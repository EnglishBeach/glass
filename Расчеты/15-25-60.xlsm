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2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3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4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drawings/drawing5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801" codeName="{4D1C537B-E38A-612A-F078-A93A15B4B7F4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D:\Бабах\Work\"/>
    </mc:Choice>
  </mc:AlternateContent>
  <xr:revisionPtr revIDLastSave="0" documentId="13_ncr:1_{8C5A604A-83C1-4E37-A85E-AC6CE5F6BA7F}" xr6:coauthVersionLast="46" xr6:coauthVersionMax="46" xr10:uidLastSave="{00000000-0000-0000-0000-000000000000}"/>
  <bookViews>
    <workbookView xWindow="-120" yWindow="-120" windowWidth="29040" windowHeight="15990" activeTab="4" xr2:uid="{0302BE19-1FF7-41F7-880F-6539212B9FEB}"/>
  </bookViews>
  <sheets>
    <sheet name="Values" sheetId="2" r:id="rId1"/>
    <sheet name="ALL" sheetId="4" r:id="rId2"/>
    <sheet name="FLUID" sheetId="11" r:id="rId3"/>
    <sheet name="SOLID" sheetId="12" r:id="rId4"/>
    <sheet name="EVALUATION" sheetId="8" r:id="rId5"/>
    <sheet name="data" sheetId="7" r:id="rId6"/>
  </sheets>
  <functionGroups builtInGroupCount="19"/>
  <externalReferences>
    <externalReference r:id="rId7"/>
  </externalReferences>
  <definedNames>
    <definedName name="H.Ar" localSheetId="1">ALL!$F$34:$AL$34</definedName>
    <definedName name="H.Ar" localSheetId="2">FLUID!$F$34:$AL$34</definedName>
    <definedName name="H.Ar" localSheetId="3">SOLID!$F$34:$AL$34</definedName>
    <definedName name="H.Ga" localSheetId="1">ALL!$F$35:$AL$35</definedName>
    <definedName name="H.Ga" localSheetId="2">FLUID!$F$35:$AL$35</definedName>
    <definedName name="H.Ga" localSheetId="3">SOLID!$F$35:$AL$35</definedName>
    <definedName name="H.Ge" localSheetId="1">ALL!$F$36:$AL$36</definedName>
    <definedName name="H.Ge" localSheetId="2">FLUID!$F$36:$AL$36</definedName>
    <definedName name="H.Ge" localSheetId="3">SOLID!$F$36:$AL$36</definedName>
    <definedName name="H.Se" localSheetId="1">ALL!$F$37:$AL$37</definedName>
    <definedName name="H.Se" localSheetId="2">FLUID!$F$37:$AL$37</definedName>
    <definedName name="H.Se" localSheetId="3">SOLID!$F$37:$AL$37</definedName>
  </definedNames>
  <calcPr calcId="181029" calcMode="manual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64" i="8" l="1"/>
  <c r="C64" i="8"/>
  <c r="D64" i="8"/>
  <c r="E64" i="8"/>
  <c r="F64" i="8"/>
  <c r="G64" i="8"/>
  <c r="H64" i="8"/>
  <c r="I64" i="8"/>
  <c r="J64" i="8"/>
  <c r="K64" i="8"/>
  <c r="L64" i="8"/>
  <c r="M64" i="8"/>
  <c r="N64" i="8"/>
  <c r="O64" i="8"/>
  <c r="P64" i="8"/>
  <c r="Q64" i="8"/>
  <c r="R64" i="8"/>
  <c r="S64" i="8"/>
  <c r="T64" i="8"/>
  <c r="U64" i="8"/>
  <c r="V64" i="8"/>
  <c r="W64" i="8"/>
  <c r="X64" i="8"/>
  <c r="Y64" i="8"/>
  <c r="Z64" i="8"/>
  <c r="AA64" i="8"/>
  <c r="AB64" i="8"/>
  <c r="AC64" i="8"/>
  <c r="AD64" i="8"/>
  <c r="AE64" i="8"/>
  <c r="AF64" i="8"/>
  <c r="AG64" i="8"/>
  <c r="AH64" i="8"/>
  <c r="C32" i="8"/>
  <c r="D32" i="8"/>
  <c r="E32" i="8"/>
  <c r="F32" i="8"/>
  <c r="G32" i="8"/>
  <c r="H32" i="8"/>
  <c r="I32" i="8"/>
  <c r="J32" i="8"/>
  <c r="K32" i="8"/>
  <c r="L32" i="8"/>
  <c r="M32" i="8"/>
  <c r="N32" i="8"/>
  <c r="O32" i="8"/>
  <c r="P32" i="8"/>
  <c r="Q32" i="8"/>
  <c r="R32" i="8"/>
  <c r="S32" i="8"/>
  <c r="T32" i="8"/>
  <c r="U32" i="8"/>
  <c r="V32" i="8"/>
  <c r="W32" i="8"/>
  <c r="X32" i="8"/>
  <c r="Y32" i="8"/>
  <c r="Z32" i="8"/>
  <c r="AA32" i="8"/>
  <c r="AB32" i="8"/>
  <c r="AC32" i="8"/>
  <c r="AD32" i="8"/>
  <c r="AE32" i="8"/>
  <c r="AF32" i="8"/>
  <c r="AG32" i="8"/>
  <c r="AH32" i="8"/>
  <c r="B32" i="8"/>
  <c r="E31" i="8"/>
  <c r="D31" i="8"/>
  <c r="C31" i="8"/>
  <c r="E30" i="8"/>
  <c r="D30" i="8"/>
  <c r="C30" i="8"/>
  <c r="E29" i="8"/>
  <c r="D29" i="8"/>
  <c r="C29" i="8"/>
  <c r="C114" i="12"/>
  <c r="AL113" i="12"/>
  <c r="AK113" i="12"/>
  <c r="AJ113" i="12"/>
  <c r="AI113" i="12"/>
  <c r="AH113" i="12"/>
  <c r="AG113" i="12"/>
  <c r="AF113" i="12"/>
  <c r="AE113" i="12"/>
  <c r="AD113" i="12"/>
  <c r="AC113" i="12"/>
  <c r="AB113" i="12"/>
  <c r="AA113" i="12"/>
  <c r="Z113" i="12"/>
  <c r="Y113" i="12"/>
  <c r="X113" i="12"/>
  <c r="W113" i="12"/>
  <c r="V113" i="12"/>
  <c r="U113" i="12"/>
  <c r="T113" i="12"/>
  <c r="S113" i="12"/>
  <c r="R113" i="12"/>
  <c r="Q113" i="12"/>
  <c r="P113" i="12"/>
  <c r="O113" i="12"/>
  <c r="N113" i="12"/>
  <c r="M113" i="12"/>
  <c r="L113" i="12"/>
  <c r="K113" i="12"/>
  <c r="J113" i="12"/>
  <c r="I113" i="12"/>
  <c r="H113" i="12"/>
  <c r="G113" i="12"/>
  <c r="F113" i="12"/>
  <c r="AL79" i="12"/>
  <c r="AK79" i="12"/>
  <c r="AJ79" i="12"/>
  <c r="AI79" i="12"/>
  <c r="AH79" i="12"/>
  <c r="AG79" i="12"/>
  <c r="AF79" i="12"/>
  <c r="AE79" i="12"/>
  <c r="AD79" i="12"/>
  <c r="AC79" i="12"/>
  <c r="AB79" i="12"/>
  <c r="AA79" i="12"/>
  <c r="Z79" i="12"/>
  <c r="Y79" i="12"/>
  <c r="X79" i="12"/>
  <c r="W79" i="12"/>
  <c r="V79" i="12"/>
  <c r="U79" i="12"/>
  <c r="T79" i="12"/>
  <c r="S79" i="12"/>
  <c r="R79" i="12"/>
  <c r="Q79" i="12"/>
  <c r="P79" i="12"/>
  <c r="O79" i="12"/>
  <c r="N79" i="12"/>
  <c r="M79" i="12"/>
  <c r="L79" i="12"/>
  <c r="K79" i="12"/>
  <c r="J79" i="12"/>
  <c r="I79" i="12"/>
  <c r="H79" i="12"/>
  <c r="G79" i="12"/>
  <c r="F79" i="12"/>
  <c r="E75" i="12"/>
  <c r="E109" i="12" s="1"/>
  <c r="E74" i="12"/>
  <c r="E108" i="12" s="1"/>
  <c r="E73" i="12"/>
  <c r="E107" i="12" s="1"/>
  <c r="E72" i="12"/>
  <c r="E106" i="12" s="1"/>
  <c r="E71" i="12"/>
  <c r="E105" i="12" s="1"/>
  <c r="E70" i="12"/>
  <c r="E104" i="12" s="1"/>
  <c r="E69" i="12"/>
  <c r="E103" i="12" s="1"/>
  <c r="E68" i="12"/>
  <c r="E102" i="12" s="1"/>
  <c r="E67" i="12"/>
  <c r="E101" i="12" s="1"/>
  <c r="E66" i="12"/>
  <c r="E100" i="12" s="1"/>
  <c r="E65" i="12"/>
  <c r="E99" i="12" s="1"/>
  <c r="E64" i="12"/>
  <c r="E98" i="12" s="1"/>
  <c r="E63" i="12"/>
  <c r="E97" i="12" s="1"/>
  <c r="E62" i="12"/>
  <c r="E96" i="12" s="1"/>
  <c r="E61" i="12"/>
  <c r="E95" i="12" s="1"/>
  <c r="E60" i="12"/>
  <c r="E94" i="12" s="1"/>
  <c r="E59" i="12"/>
  <c r="E93" i="12" s="1"/>
  <c r="E58" i="12"/>
  <c r="E92" i="12" s="1"/>
  <c r="E57" i="12"/>
  <c r="E91" i="12" s="1"/>
  <c r="E56" i="12"/>
  <c r="E90" i="12" s="1"/>
  <c r="E55" i="12"/>
  <c r="E89" i="12" s="1"/>
  <c r="E54" i="12"/>
  <c r="E88" i="12" s="1"/>
  <c r="E53" i="12"/>
  <c r="E87" i="12" s="1"/>
  <c r="E52" i="12"/>
  <c r="E86" i="12" s="1"/>
  <c r="E51" i="12"/>
  <c r="E85" i="12" s="1"/>
  <c r="E50" i="12"/>
  <c r="E84" i="12" s="1"/>
  <c r="E49" i="12"/>
  <c r="E83" i="12" s="1"/>
  <c r="E48" i="12"/>
  <c r="E82" i="12" s="1"/>
  <c r="E47" i="12"/>
  <c r="E81" i="12" s="1"/>
  <c r="E46" i="12"/>
  <c r="E80" i="12" s="1"/>
  <c r="AL45" i="12"/>
  <c r="AH34" i="8" s="1"/>
  <c r="AK45" i="12"/>
  <c r="AG34" i="8" s="1"/>
  <c r="AJ45" i="12"/>
  <c r="AF34" i="8" s="1"/>
  <c r="AI45" i="12"/>
  <c r="AE34" i="8" s="1"/>
  <c r="AH45" i="12"/>
  <c r="AD34" i="8" s="1"/>
  <c r="AG45" i="12"/>
  <c r="AC34" i="8" s="1"/>
  <c r="AF45" i="12"/>
  <c r="AB34" i="8" s="1"/>
  <c r="AE45" i="12"/>
  <c r="AA34" i="8" s="1"/>
  <c r="AD45" i="12"/>
  <c r="Z34" i="8" s="1"/>
  <c r="AC45" i="12"/>
  <c r="Y34" i="8" s="1"/>
  <c r="AB45" i="12"/>
  <c r="X34" i="8" s="1"/>
  <c r="AA45" i="12"/>
  <c r="W34" i="8" s="1"/>
  <c r="Z45" i="12"/>
  <c r="V34" i="8" s="1"/>
  <c r="Y45" i="12"/>
  <c r="U34" i="8" s="1"/>
  <c r="X45" i="12"/>
  <c r="T34" i="8" s="1"/>
  <c r="W45" i="12"/>
  <c r="S34" i="8" s="1"/>
  <c r="V45" i="12"/>
  <c r="R34" i="8" s="1"/>
  <c r="U45" i="12"/>
  <c r="Q34" i="8" s="1"/>
  <c r="T45" i="12"/>
  <c r="P34" i="8" s="1"/>
  <c r="S45" i="12"/>
  <c r="O34" i="8" s="1"/>
  <c r="R45" i="12"/>
  <c r="N34" i="8" s="1"/>
  <c r="Q45" i="12"/>
  <c r="M34" i="8" s="1"/>
  <c r="P45" i="12"/>
  <c r="L34" i="8" s="1"/>
  <c r="O45" i="12"/>
  <c r="K34" i="8" s="1"/>
  <c r="N45" i="12"/>
  <c r="J34" i="8" s="1"/>
  <c r="M45" i="12"/>
  <c r="I34" i="8" s="1"/>
  <c r="L45" i="12"/>
  <c r="H34" i="8" s="1"/>
  <c r="K45" i="12"/>
  <c r="G34" i="8" s="1"/>
  <c r="J45" i="12"/>
  <c r="F34" i="8" s="1"/>
  <c r="I45" i="12"/>
  <c r="E34" i="8" s="1"/>
  <c r="H45" i="12"/>
  <c r="D34" i="8" s="1"/>
  <c r="G45" i="12"/>
  <c r="C34" i="8" s="1"/>
  <c r="F45" i="12"/>
  <c r="B34" i="8" s="1"/>
  <c r="E45" i="12"/>
  <c r="E79" i="12" s="1"/>
  <c r="D41" i="12" a="1"/>
  <c r="D41" i="12" s="1"/>
  <c r="C41" i="12" a="1"/>
  <c r="C41" i="12" s="1"/>
  <c r="B41" i="12" a="1"/>
  <c r="B41" i="12" s="1"/>
  <c r="A41" i="12" a="1"/>
  <c r="A41" i="12" s="1"/>
  <c r="AL40" i="12"/>
  <c r="AK40" i="12"/>
  <c r="AJ40" i="12"/>
  <c r="AI40" i="12"/>
  <c r="AH40" i="12"/>
  <c r="AG40" i="12"/>
  <c r="AF40" i="12"/>
  <c r="AE40" i="12"/>
  <c r="AD40" i="12"/>
  <c r="AC40" i="12"/>
  <c r="AB40" i="12"/>
  <c r="AA40" i="12"/>
  <c r="Z40" i="12"/>
  <c r="Y40" i="12"/>
  <c r="X40" i="12"/>
  <c r="W40" i="12"/>
  <c r="V40" i="12"/>
  <c r="U40" i="12"/>
  <c r="T40" i="12"/>
  <c r="S40" i="12"/>
  <c r="R40" i="12"/>
  <c r="Q40" i="12"/>
  <c r="P40" i="12"/>
  <c r="O40" i="12"/>
  <c r="N40" i="12"/>
  <c r="M40" i="12"/>
  <c r="L40" i="12"/>
  <c r="K40" i="12"/>
  <c r="J40" i="12"/>
  <c r="I40" i="12"/>
  <c r="H40" i="12"/>
  <c r="G40" i="12"/>
  <c r="F40" i="12"/>
  <c r="D37" i="12"/>
  <c r="AF37" i="12" s="1"/>
  <c r="D36" i="12"/>
  <c r="AJ36" i="12" s="1"/>
  <c r="D35" i="12"/>
  <c r="AF35" i="12" s="1"/>
  <c r="D34" i="12"/>
  <c r="AG34" i="12" s="1"/>
  <c r="D33" i="12"/>
  <c r="D75" i="12" s="1"/>
  <c r="D109" i="12" s="1"/>
  <c r="C33" i="12"/>
  <c r="C75" i="12" s="1"/>
  <c r="C109" i="12" s="1"/>
  <c r="B33" i="12"/>
  <c r="B75" i="12" s="1"/>
  <c r="B109" i="12" s="1"/>
  <c r="A33" i="12"/>
  <c r="A75" i="12" s="1"/>
  <c r="A109" i="12" s="1"/>
  <c r="D32" i="12"/>
  <c r="D74" i="12" s="1"/>
  <c r="D108" i="12" s="1"/>
  <c r="C32" i="12"/>
  <c r="C74" i="12" s="1"/>
  <c r="C108" i="12" s="1"/>
  <c r="B32" i="12"/>
  <c r="B74" i="12" s="1"/>
  <c r="B108" i="12" s="1"/>
  <c r="A32" i="12"/>
  <c r="A74" i="12" s="1"/>
  <c r="D31" i="12"/>
  <c r="D73" i="12" s="1"/>
  <c r="D107" i="12" s="1"/>
  <c r="C31" i="12"/>
  <c r="C73" i="12" s="1"/>
  <c r="C107" i="12" s="1"/>
  <c r="B31" i="12"/>
  <c r="B73" i="12" s="1"/>
  <c r="B107" i="12" s="1"/>
  <c r="A31" i="12"/>
  <c r="A73" i="12" s="1"/>
  <c r="D30" i="12"/>
  <c r="D72" i="12" s="1"/>
  <c r="D106" i="12" s="1"/>
  <c r="C30" i="12"/>
  <c r="C72" i="12" s="1"/>
  <c r="C106" i="12" s="1"/>
  <c r="B30" i="12"/>
  <c r="B72" i="12" s="1"/>
  <c r="B106" i="12" s="1"/>
  <c r="A30" i="12"/>
  <c r="A72" i="12" s="1"/>
  <c r="D29" i="12"/>
  <c r="D71" i="12" s="1"/>
  <c r="D105" i="12" s="1"/>
  <c r="C29" i="12"/>
  <c r="C71" i="12" s="1"/>
  <c r="C105" i="12" s="1"/>
  <c r="B29" i="12"/>
  <c r="B71" i="12" s="1"/>
  <c r="B105" i="12" s="1"/>
  <c r="A29" i="12"/>
  <c r="A71" i="12" s="1"/>
  <c r="D28" i="12"/>
  <c r="D70" i="12" s="1"/>
  <c r="D104" i="12" s="1"/>
  <c r="C28" i="12"/>
  <c r="C70" i="12" s="1"/>
  <c r="C104" i="12" s="1"/>
  <c r="B28" i="12"/>
  <c r="B70" i="12" s="1"/>
  <c r="B104" i="12" s="1"/>
  <c r="A28" i="12"/>
  <c r="A70" i="12" s="1"/>
  <c r="D27" i="12"/>
  <c r="D69" i="12" s="1"/>
  <c r="D103" i="12" s="1"/>
  <c r="C27" i="12"/>
  <c r="C69" i="12" s="1"/>
  <c r="C103" i="12" s="1"/>
  <c r="B27" i="12"/>
  <c r="B69" i="12" s="1"/>
  <c r="B103" i="12" s="1"/>
  <c r="A27" i="12"/>
  <c r="A69" i="12" s="1"/>
  <c r="D26" i="12"/>
  <c r="D68" i="12" s="1"/>
  <c r="D102" i="12" s="1"/>
  <c r="C26" i="12"/>
  <c r="C68" i="12" s="1"/>
  <c r="C102" i="12" s="1"/>
  <c r="B26" i="12"/>
  <c r="B68" i="12" s="1"/>
  <c r="B102" i="12" s="1"/>
  <c r="A26" i="12"/>
  <c r="A68" i="12" s="1"/>
  <c r="D25" i="12"/>
  <c r="D67" i="12" s="1"/>
  <c r="D101" i="12" s="1"/>
  <c r="C25" i="12"/>
  <c r="C67" i="12" s="1"/>
  <c r="C101" i="12" s="1"/>
  <c r="B25" i="12"/>
  <c r="B67" i="12" s="1"/>
  <c r="B101" i="12" s="1"/>
  <c r="A25" i="12"/>
  <c r="A67" i="12" s="1"/>
  <c r="D24" i="12"/>
  <c r="D66" i="12" s="1"/>
  <c r="D100" i="12" s="1"/>
  <c r="C24" i="12"/>
  <c r="C66" i="12" s="1"/>
  <c r="C100" i="12" s="1"/>
  <c r="B24" i="12"/>
  <c r="B66" i="12" s="1"/>
  <c r="B100" i="12" s="1"/>
  <c r="A24" i="12"/>
  <c r="A66" i="12" s="1"/>
  <c r="D23" i="12"/>
  <c r="D65" i="12" s="1"/>
  <c r="D99" i="12" s="1"/>
  <c r="C23" i="12"/>
  <c r="C65" i="12" s="1"/>
  <c r="C99" i="12" s="1"/>
  <c r="B23" i="12"/>
  <c r="B65" i="12" s="1"/>
  <c r="B99" i="12" s="1"/>
  <c r="A23" i="12"/>
  <c r="A65" i="12" s="1"/>
  <c r="D22" i="12"/>
  <c r="D64" i="12" s="1"/>
  <c r="D98" i="12" s="1"/>
  <c r="C22" i="12"/>
  <c r="C64" i="12" s="1"/>
  <c r="C98" i="12" s="1"/>
  <c r="B22" i="12"/>
  <c r="B64" i="12" s="1"/>
  <c r="B98" i="12" s="1"/>
  <c r="A22" i="12"/>
  <c r="A64" i="12" s="1"/>
  <c r="D21" i="12"/>
  <c r="D63" i="12" s="1"/>
  <c r="D97" i="12" s="1"/>
  <c r="C21" i="12"/>
  <c r="C63" i="12" s="1"/>
  <c r="C97" i="12" s="1"/>
  <c r="B21" i="12"/>
  <c r="B63" i="12" s="1"/>
  <c r="B97" i="12" s="1"/>
  <c r="A21" i="12"/>
  <c r="A63" i="12" s="1"/>
  <c r="D20" i="12"/>
  <c r="D62" i="12" s="1"/>
  <c r="D96" i="12" s="1"/>
  <c r="C20" i="12"/>
  <c r="C62" i="12" s="1"/>
  <c r="C96" i="12" s="1"/>
  <c r="B20" i="12"/>
  <c r="B62" i="12" s="1"/>
  <c r="B96" i="12" s="1"/>
  <c r="A20" i="12"/>
  <c r="A62" i="12" s="1"/>
  <c r="D19" i="12"/>
  <c r="D61" i="12" s="1"/>
  <c r="D95" i="12" s="1"/>
  <c r="C19" i="12"/>
  <c r="C61" i="12" s="1"/>
  <c r="C95" i="12" s="1"/>
  <c r="B19" i="12"/>
  <c r="B61" i="12" s="1"/>
  <c r="B95" i="12" s="1"/>
  <c r="A19" i="12"/>
  <c r="A61" i="12" s="1"/>
  <c r="D18" i="12"/>
  <c r="D60" i="12" s="1"/>
  <c r="D94" i="12" s="1"/>
  <c r="C18" i="12"/>
  <c r="C60" i="12" s="1"/>
  <c r="C94" i="12" s="1"/>
  <c r="B18" i="12"/>
  <c r="B60" i="12" s="1"/>
  <c r="B94" i="12" s="1"/>
  <c r="A18" i="12"/>
  <c r="A60" i="12" s="1"/>
  <c r="D17" i="12"/>
  <c r="D59" i="12" s="1"/>
  <c r="D93" i="12" s="1"/>
  <c r="C17" i="12"/>
  <c r="C59" i="12" s="1"/>
  <c r="C93" i="12" s="1"/>
  <c r="B17" i="12"/>
  <c r="B59" i="12" s="1"/>
  <c r="B93" i="12" s="1"/>
  <c r="A17" i="12"/>
  <c r="A59" i="12" s="1"/>
  <c r="D16" i="12"/>
  <c r="D58" i="12" s="1"/>
  <c r="D92" i="12" s="1"/>
  <c r="C16" i="12"/>
  <c r="C58" i="12" s="1"/>
  <c r="C92" i="12" s="1"/>
  <c r="B16" i="12"/>
  <c r="B58" i="12" s="1"/>
  <c r="B92" i="12" s="1"/>
  <c r="A16" i="12"/>
  <c r="A58" i="12" s="1"/>
  <c r="D15" i="12"/>
  <c r="D57" i="12" s="1"/>
  <c r="D91" i="12" s="1"/>
  <c r="C15" i="12"/>
  <c r="C57" i="12" s="1"/>
  <c r="C91" i="12" s="1"/>
  <c r="B15" i="12"/>
  <c r="B57" i="12" s="1"/>
  <c r="B91" i="12" s="1"/>
  <c r="A15" i="12"/>
  <c r="A57" i="12" s="1"/>
  <c r="D14" i="12"/>
  <c r="D56" i="12" s="1"/>
  <c r="D90" i="12" s="1"/>
  <c r="C14" i="12"/>
  <c r="C56" i="12" s="1"/>
  <c r="C90" i="12" s="1"/>
  <c r="B14" i="12"/>
  <c r="B56" i="12" s="1"/>
  <c r="B90" i="12" s="1"/>
  <c r="A14" i="12"/>
  <c r="A56" i="12" s="1"/>
  <c r="D13" i="12"/>
  <c r="D55" i="12" s="1"/>
  <c r="D89" i="12" s="1"/>
  <c r="C13" i="12"/>
  <c r="C55" i="12" s="1"/>
  <c r="C89" i="12" s="1"/>
  <c r="B13" i="12"/>
  <c r="B55" i="12" s="1"/>
  <c r="B89" i="12" s="1"/>
  <c r="A13" i="12"/>
  <c r="A55" i="12" s="1"/>
  <c r="D12" i="12"/>
  <c r="D54" i="12" s="1"/>
  <c r="D88" i="12" s="1"/>
  <c r="C12" i="12"/>
  <c r="C54" i="12" s="1"/>
  <c r="C88" i="12" s="1"/>
  <c r="B12" i="12"/>
  <c r="B54" i="12" s="1"/>
  <c r="B88" i="12" s="1"/>
  <c r="A12" i="12"/>
  <c r="A54" i="12" s="1"/>
  <c r="D11" i="12"/>
  <c r="D53" i="12" s="1"/>
  <c r="D87" i="12" s="1"/>
  <c r="C11" i="12"/>
  <c r="C53" i="12" s="1"/>
  <c r="C87" i="12" s="1"/>
  <c r="B11" i="12"/>
  <c r="B53" i="12" s="1"/>
  <c r="B87" i="12" s="1"/>
  <c r="A11" i="12"/>
  <c r="A53" i="12" s="1"/>
  <c r="D10" i="12"/>
  <c r="D52" i="12" s="1"/>
  <c r="D86" i="12" s="1"/>
  <c r="C10" i="12"/>
  <c r="C52" i="12" s="1"/>
  <c r="C86" i="12" s="1"/>
  <c r="B10" i="12"/>
  <c r="B52" i="12" s="1"/>
  <c r="B86" i="12" s="1"/>
  <c r="A10" i="12"/>
  <c r="A52" i="12" s="1"/>
  <c r="D9" i="12"/>
  <c r="D51" i="12" s="1"/>
  <c r="D85" i="12" s="1"/>
  <c r="C9" i="12"/>
  <c r="C51" i="12" s="1"/>
  <c r="C85" i="12" s="1"/>
  <c r="B9" i="12"/>
  <c r="B51" i="12" s="1"/>
  <c r="B85" i="12" s="1"/>
  <c r="A9" i="12"/>
  <c r="A51" i="12" s="1"/>
  <c r="D8" i="12"/>
  <c r="D50" i="12" s="1"/>
  <c r="D84" i="12" s="1"/>
  <c r="C8" i="12"/>
  <c r="C50" i="12" s="1"/>
  <c r="C84" i="12" s="1"/>
  <c r="B8" i="12"/>
  <c r="B50" i="12" s="1"/>
  <c r="B84" i="12" s="1"/>
  <c r="A8" i="12"/>
  <c r="A50" i="12" s="1"/>
  <c r="D7" i="12"/>
  <c r="D49" i="12" s="1"/>
  <c r="D83" i="12" s="1"/>
  <c r="C7" i="12"/>
  <c r="C49" i="12" s="1"/>
  <c r="C83" i="12" s="1"/>
  <c r="B7" i="12"/>
  <c r="B49" i="12" s="1"/>
  <c r="B83" i="12" s="1"/>
  <c r="A7" i="12"/>
  <c r="A49" i="12" s="1"/>
  <c r="D6" i="12"/>
  <c r="D48" i="12" s="1"/>
  <c r="D82" i="12" s="1"/>
  <c r="C6" i="12"/>
  <c r="C48" i="12" s="1"/>
  <c r="C82" i="12" s="1"/>
  <c r="B6" i="12"/>
  <c r="B48" i="12" s="1"/>
  <c r="B82" i="12" s="1"/>
  <c r="A6" i="12"/>
  <c r="A48" i="12" s="1"/>
  <c r="D5" i="12"/>
  <c r="D47" i="12" s="1"/>
  <c r="D81" i="12" s="1"/>
  <c r="C5" i="12"/>
  <c r="C47" i="12" s="1"/>
  <c r="C81" i="12" s="1"/>
  <c r="B5" i="12"/>
  <c r="B47" i="12" s="1"/>
  <c r="B81" i="12" s="1"/>
  <c r="A5" i="12"/>
  <c r="A47" i="12" s="1"/>
  <c r="D4" i="12"/>
  <c r="D46" i="12" s="1"/>
  <c r="D80" i="12" s="1"/>
  <c r="C4" i="12"/>
  <c r="C46" i="12" s="1"/>
  <c r="C80" i="12" s="1"/>
  <c r="B4" i="12"/>
  <c r="B46" i="12" s="1"/>
  <c r="B80" i="12" s="1"/>
  <c r="A4" i="12"/>
  <c r="A46" i="12" s="1"/>
  <c r="A2" i="12"/>
  <c r="A114" i="12" s="1"/>
  <c r="A115" i="12" s="1"/>
  <c r="C114" i="11"/>
  <c r="AL113" i="11"/>
  <c r="AK113" i="11"/>
  <c r="AJ113" i="11"/>
  <c r="AI113" i="11"/>
  <c r="AH113" i="11"/>
  <c r="AG113" i="11"/>
  <c r="AF113" i="11"/>
  <c r="AE113" i="11"/>
  <c r="AD113" i="11"/>
  <c r="AC113" i="11"/>
  <c r="AB113" i="11"/>
  <c r="AA113" i="11"/>
  <c r="Z113" i="11"/>
  <c r="Y113" i="11"/>
  <c r="X113" i="11"/>
  <c r="W113" i="11"/>
  <c r="V113" i="11"/>
  <c r="U113" i="11"/>
  <c r="T113" i="11"/>
  <c r="S113" i="11"/>
  <c r="R113" i="11"/>
  <c r="Q113" i="11"/>
  <c r="P113" i="11"/>
  <c r="O113" i="11"/>
  <c r="N113" i="11"/>
  <c r="M113" i="11"/>
  <c r="L113" i="11"/>
  <c r="K113" i="11"/>
  <c r="J113" i="11"/>
  <c r="I113" i="11"/>
  <c r="H113" i="11"/>
  <c r="G113" i="11"/>
  <c r="F113" i="11"/>
  <c r="AL79" i="11"/>
  <c r="AK79" i="11"/>
  <c r="AJ79" i="11"/>
  <c r="AI79" i="11"/>
  <c r="AH79" i="11"/>
  <c r="AG79" i="11"/>
  <c r="AF79" i="11"/>
  <c r="AE79" i="11"/>
  <c r="AD79" i="11"/>
  <c r="AC79" i="11"/>
  <c r="AB79" i="11"/>
  <c r="AA79" i="11"/>
  <c r="Z79" i="11"/>
  <c r="Y79" i="11"/>
  <c r="X79" i="11"/>
  <c r="W79" i="11"/>
  <c r="V79" i="11"/>
  <c r="U79" i="11"/>
  <c r="T79" i="11"/>
  <c r="S79" i="11"/>
  <c r="R79" i="11"/>
  <c r="Q79" i="11"/>
  <c r="P79" i="11"/>
  <c r="O79" i="11"/>
  <c r="N79" i="11"/>
  <c r="M79" i="11"/>
  <c r="L79" i="11"/>
  <c r="K79" i="11"/>
  <c r="J79" i="11"/>
  <c r="I79" i="11"/>
  <c r="H79" i="11"/>
  <c r="G79" i="11"/>
  <c r="F79" i="11"/>
  <c r="E75" i="11"/>
  <c r="E109" i="11" s="1"/>
  <c r="E74" i="11"/>
  <c r="E108" i="11" s="1"/>
  <c r="E73" i="11"/>
  <c r="E107" i="11" s="1"/>
  <c r="E72" i="11"/>
  <c r="E106" i="11" s="1"/>
  <c r="E71" i="11"/>
  <c r="E105" i="11" s="1"/>
  <c r="E70" i="11"/>
  <c r="E104" i="11" s="1"/>
  <c r="E69" i="11"/>
  <c r="E103" i="11" s="1"/>
  <c r="E68" i="11"/>
  <c r="E102" i="11" s="1"/>
  <c r="E67" i="11"/>
  <c r="E101" i="11" s="1"/>
  <c r="E66" i="11"/>
  <c r="E100" i="11" s="1"/>
  <c r="E65" i="11"/>
  <c r="E99" i="11" s="1"/>
  <c r="E64" i="11"/>
  <c r="E98" i="11" s="1"/>
  <c r="E63" i="11"/>
  <c r="E97" i="11" s="1"/>
  <c r="E62" i="11"/>
  <c r="E96" i="11" s="1"/>
  <c r="E61" i="11"/>
  <c r="E95" i="11" s="1"/>
  <c r="E60" i="11"/>
  <c r="E94" i="11" s="1"/>
  <c r="E59" i="11"/>
  <c r="E93" i="11" s="1"/>
  <c r="E58" i="11"/>
  <c r="E92" i="11" s="1"/>
  <c r="E57" i="11"/>
  <c r="E91" i="11" s="1"/>
  <c r="E56" i="11"/>
  <c r="E90" i="11" s="1"/>
  <c r="E55" i="11"/>
  <c r="E89" i="11" s="1"/>
  <c r="E54" i="11"/>
  <c r="E88" i="11" s="1"/>
  <c r="E53" i="11"/>
  <c r="E87" i="11" s="1"/>
  <c r="E52" i="11"/>
  <c r="E86" i="11" s="1"/>
  <c r="E51" i="11"/>
  <c r="E85" i="11" s="1"/>
  <c r="E50" i="11"/>
  <c r="E84" i="11" s="1"/>
  <c r="E49" i="11"/>
  <c r="E83" i="11" s="1"/>
  <c r="E48" i="11"/>
  <c r="E82" i="11" s="1"/>
  <c r="E47" i="11"/>
  <c r="E81" i="11" s="1"/>
  <c r="E46" i="11"/>
  <c r="E80" i="11" s="1"/>
  <c r="AL45" i="11"/>
  <c r="AH2" i="8" s="1"/>
  <c r="AK45" i="11"/>
  <c r="AG2" i="8" s="1"/>
  <c r="AJ45" i="11"/>
  <c r="AF2" i="8" s="1"/>
  <c r="AI45" i="11"/>
  <c r="AE2" i="8" s="1"/>
  <c r="AH45" i="11"/>
  <c r="AD2" i="8" s="1"/>
  <c r="AG45" i="11"/>
  <c r="AC2" i="8" s="1"/>
  <c r="AF45" i="11"/>
  <c r="AB2" i="8" s="1"/>
  <c r="AE45" i="11"/>
  <c r="AA2" i="8" s="1"/>
  <c r="AD45" i="11"/>
  <c r="Z2" i="8" s="1"/>
  <c r="AC45" i="11"/>
  <c r="Y2" i="8" s="1"/>
  <c r="AB45" i="11"/>
  <c r="X2" i="8" s="1"/>
  <c r="AA45" i="11"/>
  <c r="W2" i="8" s="1"/>
  <c r="Z45" i="11"/>
  <c r="V2" i="8" s="1"/>
  <c r="Y45" i="11"/>
  <c r="U2" i="8" s="1"/>
  <c r="X45" i="11"/>
  <c r="T2" i="8" s="1"/>
  <c r="W45" i="11"/>
  <c r="S2" i="8" s="1"/>
  <c r="V45" i="11"/>
  <c r="R2" i="8" s="1"/>
  <c r="U45" i="11"/>
  <c r="Q2" i="8" s="1"/>
  <c r="T45" i="11"/>
  <c r="P2" i="8" s="1"/>
  <c r="S45" i="11"/>
  <c r="O2" i="8" s="1"/>
  <c r="R45" i="11"/>
  <c r="N2" i="8" s="1"/>
  <c r="Q45" i="11"/>
  <c r="M2" i="8" s="1"/>
  <c r="P45" i="11"/>
  <c r="L2" i="8" s="1"/>
  <c r="O45" i="11"/>
  <c r="K2" i="8" s="1"/>
  <c r="N45" i="11"/>
  <c r="J2" i="8" s="1"/>
  <c r="M45" i="11"/>
  <c r="I2" i="8" s="1"/>
  <c r="L45" i="11"/>
  <c r="H2" i="8" s="1"/>
  <c r="K45" i="11"/>
  <c r="G2" i="8" s="1"/>
  <c r="J45" i="11"/>
  <c r="F2" i="8" s="1"/>
  <c r="I45" i="11"/>
  <c r="E2" i="8" s="1"/>
  <c r="H45" i="11"/>
  <c r="D2" i="8" s="1"/>
  <c r="G45" i="11"/>
  <c r="C2" i="8" s="1"/>
  <c r="F45" i="11"/>
  <c r="B2" i="8" s="1"/>
  <c r="E45" i="11"/>
  <c r="E79" i="11" s="1"/>
  <c r="D41" i="11" a="1"/>
  <c r="D41" i="11" s="1"/>
  <c r="C41" i="11" a="1"/>
  <c r="C41" i="11" s="1"/>
  <c r="B41" i="11" a="1"/>
  <c r="B41" i="11" s="1"/>
  <c r="A41" i="11" a="1"/>
  <c r="A41" i="11" s="1"/>
  <c r="AL40" i="11"/>
  <c r="AK40" i="11"/>
  <c r="AJ40" i="11"/>
  <c r="AI40" i="11"/>
  <c r="AH40" i="11"/>
  <c r="AG40" i="11"/>
  <c r="AF40" i="11"/>
  <c r="AE40" i="11"/>
  <c r="AD40" i="11"/>
  <c r="AC40" i="11"/>
  <c r="AB40" i="11"/>
  <c r="AA40" i="11"/>
  <c r="Z40" i="11"/>
  <c r="Y40" i="11"/>
  <c r="X40" i="11"/>
  <c r="W40" i="11"/>
  <c r="V40" i="11"/>
  <c r="U40" i="11"/>
  <c r="T40" i="11"/>
  <c r="S40" i="11"/>
  <c r="R40" i="11"/>
  <c r="Q40" i="11"/>
  <c r="P40" i="11"/>
  <c r="O40" i="11"/>
  <c r="N40" i="11"/>
  <c r="M40" i="11"/>
  <c r="L40" i="11"/>
  <c r="K40" i="11"/>
  <c r="J40" i="11"/>
  <c r="I40" i="11"/>
  <c r="H40" i="11"/>
  <c r="G40" i="11"/>
  <c r="F40" i="11"/>
  <c r="D37" i="11"/>
  <c r="AB37" i="11" s="1"/>
  <c r="D36" i="11"/>
  <c r="AK36" i="11" s="1"/>
  <c r="D35" i="11"/>
  <c r="AJ35" i="11" s="1"/>
  <c r="AE34" i="11"/>
  <c r="D33" i="11"/>
  <c r="D75" i="11" s="1"/>
  <c r="D109" i="11" s="1"/>
  <c r="C33" i="11"/>
  <c r="C75" i="11" s="1"/>
  <c r="C109" i="11" s="1"/>
  <c r="B33" i="11"/>
  <c r="B75" i="11" s="1"/>
  <c r="B109" i="11" s="1"/>
  <c r="A33" i="11"/>
  <c r="A75" i="11" s="1"/>
  <c r="A109" i="11" s="1"/>
  <c r="D32" i="11"/>
  <c r="D74" i="11" s="1"/>
  <c r="D108" i="11" s="1"/>
  <c r="C32" i="11"/>
  <c r="C74" i="11" s="1"/>
  <c r="C108" i="11" s="1"/>
  <c r="B32" i="11"/>
  <c r="B74" i="11" s="1"/>
  <c r="B108" i="11" s="1"/>
  <c r="A32" i="11"/>
  <c r="A74" i="11" s="1"/>
  <c r="D31" i="11"/>
  <c r="D73" i="11" s="1"/>
  <c r="D107" i="11" s="1"/>
  <c r="C31" i="11"/>
  <c r="C73" i="11" s="1"/>
  <c r="C107" i="11" s="1"/>
  <c r="B31" i="11"/>
  <c r="B73" i="11" s="1"/>
  <c r="B107" i="11" s="1"/>
  <c r="A31" i="11"/>
  <c r="A73" i="11" s="1"/>
  <c r="D30" i="11"/>
  <c r="D72" i="11" s="1"/>
  <c r="D106" i="11" s="1"/>
  <c r="C30" i="11"/>
  <c r="C72" i="11" s="1"/>
  <c r="C106" i="11" s="1"/>
  <c r="B30" i="11"/>
  <c r="B72" i="11" s="1"/>
  <c r="B106" i="11" s="1"/>
  <c r="A30" i="11"/>
  <c r="A72" i="11" s="1"/>
  <c r="D29" i="11"/>
  <c r="D71" i="11" s="1"/>
  <c r="D105" i="11" s="1"/>
  <c r="C29" i="11"/>
  <c r="C71" i="11" s="1"/>
  <c r="C105" i="11" s="1"/>
  <c r="B29" i="11"/>
  <c r="B71" i="11" s="1"/>
  <c r="B105" i="11" s="1"/>
  <c r="A29" i="11"/>
  <c r="A71" i="11" s="1"/>
  <c r="D28" i="11"/>
  <c r="D70" i="11" s="1"/>
  <c r="D104" i="11" s="1"/>
  <c r="C28" i="11"/>
  <c r="C70" i="11" s="1"/>
  <c r="C104" i="11" s="1"/>
  <c r="B28" i="11"/>
  <c r="B70" i="11" s="1"/>
  <c r="B104" i="11" s="1"/>
  <c r="A28" i="11"/>
  <c r="A70" i="11" s="1"/>
  <c r="D27" i="11"/>
  <c r="D69" i="11" s="1"/>
  <c r="D103" i="11" s="1"/>
  <c r="C27" i="11"/>
  <c r="C69" i="11" s="1"/>
  <c r="C103" i="11" s="1"/>
  <c r="B27" i="11"/>
  <c r="B69" i="11" s="1"/>
  <c r="B103" i="11" s="1"/>
  <c r="A27" i="11"/>
  <c r="A69" i="11" s="1"/>
  <c r="D26" i="11"/>
  <c r="D68" i="11" s="1"/>
  <c r="D102" i="11" s="1"/>
  <c r="C26" i="11"/>
  <c r="C68" i="11" s="1"/>
  <c r="C102" i="11" s="1"/>
  <c r="B26" i="11"/>
  <c r="B68" i="11" s="1"/>
  <c r="B102" i="11" s="1"/>
  <c r="A26" i="11"/>
  <c r="A68" i="11" s="1"/>
  <c r="D25" i="11"/>
  <c r="D67" i="11" s="1"/>
  <c r="D101" i="11" s="1"/>
  <c r="C25" i="11"/>
  <c r="C67" i="11" s="1"/>
  <c r="C101" i="11" s="1"/>
  <c r="B25" i="11"/>
  <c r="B67" i="11" s="1"/>
  <c r="B101" i="11" s="1"/>
  <c r="A25" i="11"/>
  <c r="A67" i="11" s="1"/>
  <c r="D24" i="11"/>
  <c r="D66" i="11" s="1"/>
  <c r="D100" i="11" s="1"/>
  <c r="C24" i="11"/>
  <c r="C66" i="11" s="1"/>
  <c r="C100" i="11" s="1"/>
  <c r="B24" i="11"/>
  <c r="B66" i="11" s="1"/>
  <c r="B100" i="11" s="1"/>
  <c r="A24" i="11"/>
  <c r="A66" i="11" s="1"/>
  <c r="D23" i="11"/>
  <c r="D65" i="11" s="1"/>
  <c r="D99" i="11" s="1"/>
  <c r="C23" i="11"/>
  <c r="C65" i="11" s="1"/>
  <c r="C99" i="11" s="1"/>
  <c r="B23" i="11"/>
  <c r="B65" i="11" s="1"/>
  <c r="B99" i="11" s="1"/>
  <c r="A23" i="11"/>
  <c r="A65" i="11" s="1"/>
  <c r="D22" i="11"/>
  <c r="D64" i="11" s="1"/>
  <c r="D98" i="11" s="1"/>
  <c r="C22" i="11"/>
  <c r="C64" i="11" s="1"/>
  <c r="C98" i="11" s="1"/>
  <c r="B22" i="11"/>
  <c r="B64" i="11" s="1"/>
  <c r="B98" i="11" s="1"/>
  <c r="A22" i="11"/>
  <c r="A64" i="11" s="1"/>
  <c r="D21" i="11"/>
  <c r="D63" i="11" s="1"/>
  <c r="D97" i="11" s="1"/>
  <c r="C21" i="11"/>
  <c r="C63" i="11" s="1"/>
  <c r="C97" i="11" s="1"/>
  <c r="B21" i="11"/>
  <c r="B63" i="11" s="1"/>
  <c r="B97" i="11" s="1"/>
  <c r="A21" i="11"/>
  <c r="A63" i="11" s="1"/>
  <c r="D20" i="11"/>
  <c r="D62" i="11" s="1"/>
  <c r="D96" i="11" s="1"/>
  <c r="C20" i="11"/>
  <c r="C62" i="11" s="1"/>
  <c r="C96" i="11" s="1"/>
  <c r="B20" i="11"/>
  <c r="B62" i="11" s="1"/>
  <c r="B96" i="11" s="1"/>
  <c r="A20" i="11"/>
  <c r="A62" i="11" s="1"/>
  <c r="D19" i="11"/>
  <c r="D61" i="11" s="1"/>
  <c r="D95" i="11" s="1"/>
  <c r="C19" i="11"/>
  <c r="C61" i="11" s="1"/>
  <c r="C95" i="11" s="1"/>
  <c r="B19" i="11"/>
  <c r="B61" i="11" s="1"/>
  <c r="B95" i="11" s="1"/>
  <c r="A19" i="11"/>
  <c r="A61" i="11" s="1"/>
  <c r="D18" i="11"/>
  <c r="D60" i="11" s="1"/>
  <c r="D94" i="11" s="1"/>
  <c r="C18" i="11"/>
  <c r="C60" i="11" s="1"/>
  <c r="C94" i="11" s="1"/>
  <c r="B18" i="11"/>
  <c r="B60" i="11" s="1"/>
  <c r="B94" i="11" s="1"/>
  <c r="A18" i="11"/>
  <c r="A60" i="11" s="1"/>
  <c r="D17" i="11"/>
  <c r="D59" i="11" s="1"/>
  <c r="D93" i="11" s="1"/>
  <c r="C17" i="11"/>
  <c r="C59" i="11" s="1"/>
  <c r="C93" i="11" s="1"/>
  <c r="B17" i="11"/>
  <c r="B59" i="11" s="1"/>
  <c r="B93" i="11" s="1"/>
  <c r="A17" i="11"/>
  <c r="A59" i="11" s="1"/>
  <c r="D16" i="11"/>
  <c r="D58" i="11" s="1"/>
  <c r="D92" i="11" s="1"/>
  <c r="C16" i="11"/>
  <c r="C58" i="11" s="1"/>
  <c r="C92" i="11" s="1"/>
  <c r="B16" i="11"/>
  <c r="B58" i="11" s="1"/>
  <c r="B92" i="11" s="1"/>
  <c r="A16" i="11"/>
  <c r="A58" i="11" s="1"/>
  <c r="D15" i="11"/>
  <c r="D57" i="11" s="1"/>
  <c r="D91" i="11" s="1"/>
  <c r="C15" i="11"/>
  <c r="C57" i="11" s="1"/>
  <c r="C91" i="11" s="1"/>
  <c r="B15" i="11"/>
  <c r="B57" i="11" s="1"/>
  <c r="B91" i="11" s="1"/>
  <c r="A15" i="11"/>
  <c r="A57" i="11" s="1"/>
  <c r="D14" i="11"/>
  <c r="D56" i="11" s="1"/>
  <c r="D90" i="11" s="1"/>
  <c r="C14" i="11"/>
  <c r="C56" i="11" s="1"/>
  <c r="C90" i="11" s="1"/>
  <c r="B14" i="11"/>
  <c r="B56" i="11" s="1"/>
  <c r="B90" i="11" s="1"/>
  <c r="A14" i="11"/>
  <c r="A56" i="11" s="1"/>
  <c r="D13" i="11"/>
  <c r="D55" i="11" s="1"/>
  <c r="D89" i="11" s="1"/>
  <c r="C13" i="11"/>
  <c r="C55" i="11" s="1"/>
  <c r="C89" i="11" s="1"/>
  <c r="B13" i="11"/>
  <c r="B55" i="11" s="1"/>
  <c r="B89" i="11" s="1"/>
  <c r="A13" i="11"/>
  <c r="A55" i="11" s="1"/>
  <c r="D12" i="11"/>
  <c r="D54" i="11" s="1"/>
  <c r="D88" i="11" s="1"/>
  <c r="C12" i="11"/>
  <c r="C54" i="11" s="1"/>
  <c r="C88" i="11" s="1"/>
  <c r="B12" i="11"/>
  <c r="B54" i="11" s="1"/>
  <c r="B88" i="11" s="1"/>
  <c r="A12" i="11"/>
  <c r="A54" i="11" s="1"/>
  <c r="D11" i="11"/>
  <c r="D53" i="11" s="1"/>
  <c r="D87" i="11" s="1"/>
  <c r="C11" i="11"/>
  <c r="C53" i="11" s="1"/>
  <c r="C87" i="11" s="1"/>
  <c r="B11" i="11"/>
  <c r="B53" i="11" s="1"/>
  <c r="B87" i="11" s="1"/>
  <c r="A11" i="11"/>
  <c r="A53" i="11" s="1"/>
  <c r="D10" i="11"/>
  <c r="D52" i="11" s="1"/>
  <c r="D86" i="11" s="1"/>
  <c r="C10" i="11"/>
  <c r="C52" i="11" s="1"/>
  <c r="C86" i="11" s="1"/>
  <c r="B10" i="11"/>
  <c r="B52" i="11" s="1"/>
  <c r="B86" i="11" s="1"/>
  <c r="A10" i="11"/>
  <c r="A52" i="11" s="1"/>
  <c r="D9" i="11"/>
  <c r="D51" i="11" s="1"/>
  <c r="D85" i="11" s="1"/>
  <c r="C9" i="11"/>
  <c r="C51" i="11" s="1"/>
  <c r="C85" i="11" s="1"/>
  <c r="B9" i="11"/>
  <c r="B51" i="11" s="1"/>
  <c r="B85" i="11" s="1"/>
  <c r="A9" i="11"/>
  <c r="A51" i="11" s="1"/>
  <c r="D8" i="11"/>
  <c r="D50" i="11" s="1"/>
  <c r="D84" i="11" s="1"/>
  <c r="C8" i="11"/>
  <c r="C50" i="11" s="1"/>
  <c r="C84" i="11" s="1"/>
  <c r="B8" i="11"/>
  <c r="B50" i="11" s="1"/>
  <c r="B84" i="11" s="1"/>
  <c r="A8" i="11"/>
  <c r="A50" i="11" s="1"/>
  <c r="D7" i="11"/>
  <c r="D49" i="11" s="1"/>
  <c r="D83" i="11" s="1"/>
  <c r="C7" i="11"/>
  <c r="C49" i="11" s="1"/>
  <c r="C83" i="11" s="1"/>
  <c r="B7" i="11"/>
  <c r="B49" i="11" s="1"/>
  <c r="B83" i="11" s="1"/>
  <c r="A7" i="11"/>
  <c r="A49" i="11" s="1"/>
  <c r="D6" i="11"/>
  <c r="D48" i="11" s="1"/>
  <c r="D82" i="11" s="1"/>
  <c r="C6" i="11"/>
  <c r="C48" i="11" s="1"/>
  <c r="C82" i="11" s="1"/>
  <c r="B6" i="11"/>
  <c r="B48" i="11" s="1"/>
  <c r="B82" i="11" s="1"/>
  <c r="A6" i="11"/>
  <c r="A48" i="11" s="1"/>
  <c r="D5" i="11"/>
  <c r="D47" i="11" s="1"/>
  <c r="D81" i="11" s="1"/>
  <c r="C5" i="11"/>
  <c r="C47" i="11" s="1"/>
  <c r="C81" i="11" s="1"/>
  <c r="B5" i="11"/>
  <c r="B47" i="11" s="1"/>
  <c r="B81" i="11" s="1"/>
  <c r="A5" i="11"/>
  <c r="A47" i="11" s="1"/>
  <c r="D4" i="11"/>
  <c r="D46" i="11" s="1"/>
  <c r="D80" i="11" s="1"/>
  <c r="C4" i="11"/>
  <c r="C46" i="11" s="1"/>
  <c r="C80" i="11" s="1"/>
  <c r="B4" i="11"/>
  <c r="B46" i="11" s="1"/>
  <c r="B80" i="11" s="1"/>
  <c r="A4" i="11"/>
  <c r="A46" i="11" s="1"/>
  <c r="B41" i="4" a="1"/>
  <c r="B41" i="4" s="1"/>
  <c r="C41" i="4" a="1"/>
  <c r="C41" i="4" s="1"/>
  <c r="D41" i="4" a="1"/>
  <c r="D41" i="4" s="1"/>
  <c r="A41" i="4" a="1"/>
  <c r="A41" i="4" s="1"/>
  <c r="G40" i="4"/>
  <c r="H40" i="4"/>
  <c r="I40" i="4"/>
  <c r="J40" i="4"/>
  <c r="K40" i="4"/>
  <c r="L40" i="4"/>
  <c r="M40" i="4"/>
  <c r="N40" i="4"/>
  <c r="O40" i="4"/>
  <c r="P40" i="4"/>
  <c r="Q40" i="4"/>
  <c r="R40" i="4"/>
  <c r="S40" i="4"/>
  <c r="T40" i="4"/>
  <c r="U40" i="4"/>
  <c r="V40" i="4"/>
  <c r="W40" i="4"/>
  <c r="X40" i="4"/>
  <c r="Y40" i="4"/>
  <c r="Z40" i="4"/>
  <c r="AA40" i="4"/>
  <c r="AB40" i="4"/>
  <c r="AC40" i="4"/>
  <c r="AD40" i="4"/>
  <c r="AE40" i="4"/>
  <c r="AF40" i="4"/>
  <c r="AG40" i="4"/>
  <c r="AH40" i="4"/>
  <c r="AI40" i="4"/>
  <c r="AJ40" i="4"/>
  <c r="AK40" i="4"/>
  <c r="AL40" i="4"/>
  <c r="G45" i="4"/>
  <c r="H45" i="4"/>
  <c r="I45" i="4"/>
  <c r="J45" i="4"/>
  <c r="K45" i="4"/>
  <c r="L45" i="4"/>
  <c r="M45" i="4"/>
  <c r="N45" i="4"/>
  <c r="O45" i="4"/>
  <c r="P45" i="4"/>
  <c r="Q45" i="4"/>
  <c r="R45" i="4"/>
  <c r="S45" i="4"/>
  <c r="T45" i="4"/>
  <c r="U45" i="4"/>
  <c r="V45" i="4"/>
  <c r="W45" i="4"/>
  <c r="X45" i="4"/>
  <c r="Y45" i="4"/>
  <c r="Z45" i="4"/>
  <c r="AA45" i="4"/>
  <c r="AB45" i="4"/>
  <c r="AC45" i="4"/>
  <c r="AD45" i="4"/>
  <c r="AE45" i="4"/>
  <c r="AF45" i="4"/>
  <c r="AG45" i="4"/>
  <c r="AH45" i="4"/>
  <c r="AI45" i="4"/>
  <c r="AJ45" i="4"/>
  <c r="AK45" i="4"/>
  <c r="AL45" i="4"/>
  <c r="G79" i="4"/>
  <c r="H79" i="4"/>
  <c r="I79" i="4"/>
  <c r="J79" i="4"/>
  <c r="K79" i="4"/>
  <c r="L79" i="4"/>
  <c r="M79" i="4"/>
  <c r="N79" i="4"/>
  <c r="O79" i="4"/>
  <c r="P79" i="4"/>
  <c r="Q79" i="4"/>
  <c r="R79" i="4"/>
  <c r="S79" i="4"/>
  <c r="T79" i="4"/>
  <c r="U79" i="4"/>
  <c r="V79" i="4"/>
  <c r="W79" i="4"/>
  <c r="X79" i="4"/>
  <c r="Y79" i="4"/>
  <c r="Z79" i="4"/>
  <c r="AA79" i="4"/>
  <c r="AB79" i="4"/>
  <c r="AC79" i="4"/>
  <c r="AD79" i="4"/>
  <c r="AE79" i="4"/>
  <c r="AF79" i="4"/>
  <c r="AG79" i="4"/>
  <c r="AH79" i="4"/>
  <c r="AI79" i="4"/>
  <c r="AJ79" i="4"/>
  <c r="AK79" i="4"/>
  <c r="AL79" i="4"/>
  <c r="G113" i="4"/>
  <c r="H113" i="4"/>
  <c r="I113" i="4"/>
  <c r="J113" i="4"/>
  <c r="K113" i="4"/>
  <c r="L113" i="4"/>
  <c r="M113" i="4"/>
  <c r="N113" i="4"/>
  <c r="O113" i="4"/>
  <c r="P113" i="4"/>
  <c r="Q113" i="4"/>
  <c r="R113" i="4"/>
  <c r="S113" i="4"/>
  <c r="T113" i="4"/>
  <c r="U113" i="4"/>
  <c r="V113" i="4"/>
  <c r="W113" i="4"/>
  <c r="X113" i="4"/>
  <c r="Y113" i="4"/>
  <c r="Z113" i="4"/>
  <c r="AA113" i="4"/>
  <c r="AB113" i="4"/>
  <c r="AC113" i="4"/>
  <c r="AD113" i="4"/>
  <c r="AE113" i="4"/>
  <c r="AF113" i="4"/>
  <c r="AG113" i="4"/>
  <c r="AH113" i="4"/>
  <c r="AI113" i="4"/>
  <c r="AJ113" i="4"/>
  <c r="AK113" i="4"/>
  <c r="AL113" i="4"/>
  <c r="B2" i="2"/>
  <c r="B1" i="2" s="1"/>
  <c r="A2" i="11" s="1"/>
  <c r="A114" i="11" s="1"/>
  <c r="A115" i="11" s="1"/>
  <c r="A22" i="7"/>
  <c r="A49" i="8" l="1"/>
  <c r="A58" i="8"/>
  <c r="A57" i="8"/>
  <c r="BA4" i="12"/>
  <c r="AC36" i="12"/>
  <c r="A50" i="8"/>
  <c r="A42" i="8"/>
  <c r="BA3" i="12"/>
  <c r="E41" i="12"/>
  <c r="C78" i="12" s="1"/>
  <c r="AA108" i="12" s="1"/>
  <c r="A41" i="8"/>
  <c r="M37" i="12"/>
  <c r="A64" i="8"/>
  <c r="A56" i="8"/>
  <c r="A48" i="8"/>
  <c r="A40" i="8"/>
  <c r="N34" i="12"/>
  <c r="AC37" i="12"/>
  <c r="A63" i="8"/>
  <c r="A55" i="8"/>
  <c r="A47" i="8"/>
  <c r="A39" i="8"/>
  <c r="AA34" i="12"/>
  <c r="A62" i="8"/>
  <c r="A54" i="8"/>
  <c r="A46" i="8"/>
  <c r="A38" i="8"/>
  <c r="A61" i="8"/>
  <c r="A53" i="8"/>
  <c r="A45" i="8"/>
  <c r="A37" i="8"/>
  <c r="A60" i="8"/>
  <c r="A52" i="8"/>
  <c r="A44" i="8"/>
  <c r="A36" i="8"/>
  <c r="I36" i="12"/>
  <c r="A59" i="8"/>
  <c r="A51" i="8"/>
  <c r="A43" i="8"/>
  <c r="A35" i="8"/>
  <c r="E41" i="11"/>
  <c r="C78" i="11" s="1"/>
  <c r="BA4" i="11"/>
  <c r="A25" i="8"/>
  <c r="A17" i="8"/>
  <c r="A9" i="8"/>
  <c r="BA3" i="11"/>
  <c r="I35" i="11"/>
  <c r="V36" i="11"/>
  <c r="A32" i="8"/>
  <c r="A24" i="8"/>
  <c r="A16" i="8"/>
  <c r="A8" i="8"/>
  <c r="K35" i="11"/>
  <c r="A31" i="8"/>
  <c r="A23" i="8"/>
  <c r="A15" i="8"/>
  <c r="A7" i="8"/>
  <c r="Q35" i="11"/>
  <c r="X37" i="11"/>
  <c r="A30" i="8"/>
  <c r="A22" i="8"/>
  <c r="A14" i="8"/>
  <c r="A6" i="8"/>
  <c r="S35" i="11"/>
  <c r="AJ37" i="11"/>
  <c r="A29" i="8"/>
  <c r="A21" i="8"/>
  <c r="A13" i="8"/>
  <c r="A5" i="8"/>
  <c r="AC35" i="11"/>
  <c r="A28" i="8"/>
  <c r="A20" i="8"/>
  <c r="A12" i="8"/>
  <c r="A4" i="8"/>
  <c r="P34" i="11"/>
  <c r="AG35" i="11"/>
  <c r="A27" i="8"/>
  <c r="A19" i="8"/>
  <c r="A11" i="8"/>
  <c r="X34" i="11"/>
  <c r="AK35" i="11"/>
  <c r="A3" i="8"/>
  <c r="A26" i="8"/>
  <c r="A18" i="8"/>
  <c r="A10" i="8"/>
  <c r="O34" i="12"/>
  <c r="AC34" i="12"/>
  <c r="AG36" i="12"/>
  <c r="N37" i="12"/>
  <c r="AD37" i="12"/>
  <c r="E34" i="12"/>
  <c r="R34" i="12"/>
  <c r="AD34" i="12"/>
  <c r="E36" i="12"/>
  <c r="AK36" i="12"/>
  <c r="Q37" i="12"/>
  <c r="AG37" i="12"/>
  <c r="F34" i="12"/>
  <c r="S34" i="12"/>
  <c r="AE34" i="12"/>
  <c r="R37" i="12"/>
  <c r="AH37" i="12"/>
  <c r="G34" i="12"/>
  <c r="U34" i="12"/>
  <c r="AH34" i="12"/>
  <c r="M36" i="12"/>
  <c r="E37" i="12"/>
  <c r="U37" i="12"/>
  <c r="AK37" i="12"/>
  <c r="J34" i="12"/>
  <c r="V34" i="12"/>
  <c r="AI34" i="12"/>
  <c r="Q36" i="12"/>
  <c r="F37" i="12"/>
  <c r="V37" i="12"/>
  <c r="AL37" i="12"/>
  <c r="K34" i="12"/>
  <c r="W34" i="12"/>
  <c r="AK34" i="12"/>
  <c r="U36" i="12"/>
  <c r="I37" i="12"/>
  <c r="Y37" i="12"/>
  <c r="M34" i="12"/>
  <c r="Z34" i="12"/>
  <c r="AL34" i="12"/>
  <c r="Y36" i="12"/>
  <c r="J37" i="12"/>
  <c r="Z37" i="12"/>
  <c r="X36" i="11"/>
  <c r="AF34" i="11"/>
  <c r="U35" i="11"/>
  <c r="F36" i="11"/>
  <c r="Z36" i="11"/>
  <c r="Y35" i="11"/>
  <c r="H36" i="11"/>
  <c r="AD36" i="11"/>
  <c r="E35" i="11"/>
  <c r="AA35" i="11"/>
  <c r="J36" i="11"/>
  <c r="AF36" i="11"/>
  <c r="N36" i="11"/>
  <c r="AH36" i="11"/>
  <c r="P36" i="11"/>
  <c r="H34" i="11"/>
  <c r="M35" i="11"/>
  <c r="AI35" i="11"/>
  <c r="R36" i="11"/>
  <c r="K37" i="11"/>
  <c r="A80" i="12"/>
  <c r="W83" i="12"/>
  <c r="S82" i="12"/>
  <c r="F84" i="12"/>
  <c r="Y96" i="12"/>
  <c r="X91" i="12"/>
  <c r="Z86" i="12"/>
  <c r="W84" i="12"/>
  <c r="G82" i="12"/>
  <c r="Z85" i="12"/>
  <c r="U95" i="12"/>
  <c r="U87" i="12"/>
  <c r="Y80" i="12"/>
  <c r="AD90" i="12"/>
  <c r="M85" i="12"/>
  <c r="AJ82" i="12"/>
  <c r="G80" i="12"/>
  <c r="A82" i="12"/>
  <c r="A84" i="12"/>
  <c r="A86" i="12"/>
  <c r="A88" i="12"/>
  <c r="A92" i="12"/>
  <c r="A96" i="12"/>
  <c r="A81" i="12"/>
  <c r="A83" i="12"/>
  <c r="A85" i="12"/>
  <c r="A87" i="12"/>
  <c r="A89" i="12"/>
  <c r="A90" i="12"/>
  <c r="A94" i="12"/>
  <c r="A98" i="12"/>
  <c r="A100" i="12"/>
  <c r="A102" i="12"/>
  <c r="A104" i="12"/>
  <c r="A106" i="12"/>
  <c r="A108" i="12"/>
  <c r="L34" i="12"/>
  <c r="T34" i="12"/>
  <c r="AB34" i="12"/>
  <c r="AJ34" i="12"/>
  <c r="I35" i="12"/>
  <c r="Q35" i="12"/>
  <c r="Y35" i="12"/>
  <c r="AG35" i="12"/>
  <c r="F36" i="12"/>
  <c r="N36" i="12"/>
  <c r="V36" i="12"/>
  <c r="AD36" i="12"/>
  <c r="AL36" i="12"/>
  <c r="K37" i="12"/>
  <c r="S37" i="12"/>
  <c r="AA37" i="12"/>
  <c r="AI37" i="12"/>
  <c r="J35" i="12"/>
  <c r="R35" i="12"/>
  <c r="Z35" i="12"/>
  <c r="AH35" i="12"/>
  <c r="G36" i="12"/>
  <c r="O36" i="12"/>
  <c r="W36" i="12"/>
  <c r="AE36" i="12"/>
  <c r="L37" i="12"/>
  <c r="T37" i="12"/>
  <c r="AB37" i="12"/>
  <c r="AJ37" i="12"/>
  <c r="K35" i="12"/>
  <c r="S35" i="12"/>
  <c r="AA35" i="12"/>
  <c r="AI35" i="12"/>
  <c r="H36" i="12"/>
  <c r="P36" i="12"/>
  <c r="X36" i="12"/>
  <c r="AF36" i="12"/>
  <c r="AF41" i="12" s="1"/>
  <c r="L35" i="12"/>
  <c r="T35" i="12"/>
  <c r="AB35" i="12"/>
  <c r="AJ35" i="12"/>
  <c r="A91" i="12"/>
  <c r="A93" i="12"/>
  <c r="A95" i="12"/>
  <c r="A97" i="12"/>
  <c r="A99" i="12"/>
  <c r="A101" i="12"/>
  <c r="A103" i="12"/>
  <c r="A105" i="12"/>
  <c r="A107" i="12"/>
  <c r="H34" i="12"/>
  <c r="P34" i="12"/>
  <c r="X34" i="12"/>
  <c r="AF34" i="12"/>
  <c r="E35" i="12"/>
  <c r="M35" i="12"/>
  <c r="U35" i="12"/>
  <c r="AC35" i="12"/>
  <c r="AK35" i="12"/>
  <c r="J36" i="12"/>
  <c r="R36" i="12"/>
  <c r="Z36" i="12"/>
  <c r="AH36" i="12"/>
  <c r="G37" i="12"/>
  <c r="O37" i="12"/>
  <c r="W37" i="12"/>
  <c r="AE37" i="12"/>
  <c r="I34" i="12"/>
  <c r="Q34" i="12"/>
  <c r="Y34" i="12"/>
  <c r="F35" i="12"/>
  <c r="N35" i="12"/>
  <c r="V35" i="12"/>
  <c r="AD35" i="12"/>
  <c r="AL35" i="12"/>
  <c r="K36" i="12"/>
  <c r="S36" i="12"/>
  <c r="AA36" i="12"/>
  <c r="AI36" i="12"/>
  <c r="H37" i="12"/>
  <c r="P37" i="12"/>
  <c r="X37" i="12"/>
  <c r="G35" i="12"/>
  <c r="O35" i="12"/>
  <c r="W35" i="12"/>
  <c r="AE35" i="12"/>
  <c r="L36" i="12"/>
  <c r="T36" i="12"/>
  <c r="AB36" i="12"/>
  <c r="H35" i="12"/>
  <c r="P35" i="12"/>
  <c r="X35" i="12"/>
  <c r="C115" i="12"/>
  <c r="A82" i="11"/>
  <c r="A84" i="11"/>
  <c r="A106" i="11"/>
  <c r="AK108" i="11"/>
  <c r="AC108" i="11"/>
  <c r="U108" i="11"/>
  <c r="M108" i="11"/>
  <c r="AI107" i="11"/>
  <c r="AA107" i="11"/>
  <c r="S107" i="11"/>
  <c r="K107" i="11"/>
  <c r="AG106" i="11"/>
  <c r="Y106" i="11"/>
  <c r="Q106" i="11"/>
  <c r="I106" i="11"/>
  <c r="AE105" i="11"/>
  <c r="W105" i="11"/>
  <c r="O105" i="11"/>
  <c r="G105" i="11"/>
  <c r="AK104" i="11"/>
  <c r="AC104" i="11"/>
  <c r="U104" i="11"/>
  <c r="M104" i="11"/>
  <c r="AI103" i="11"/>
  <c r="AA103" i="11"/>
  <c r="S103" i="11"/>
  <c r="K103" i="11"/>
  <c r="AG102" i="11"/>
  <c r="Y102" i="11"/>
  <c r="Q102" i="11"/>
  <c r="I102" i="11"/>
  <c r="AE101" i="11"/>
  <c r="W101" i="11"/>
  <c r="O101" i="11"/>
  <c r="G101" i="11"/>
  <c r="AK100" i="11"/>
  <c r="AC100" i="11"/>
  <c r="U100" i="11"/>
  <c r="M100" i="11"/>
  <c r="AI99" i="11"/>
  <c r="AA99" i="11"/>
  <c r="S99" i="11"/>
  <c r="K99" i="11"/>
  <c r="AG98" i="11"/>
  <c r="Y98" i="11"/>
  <c r="Q98" i="11"/>
  <c r="I98" i="11"/>
  <c r="AE97" i="11"/>
  <c r="W97" i="11"/>
  <c r="O97" i="11"/>
  <c r="G97" i="11"/>
  <c r="AK96" i="11"/>
  <c r="AC96" i="11"/>
  <c r="U96" i="11"/>
  <c r="M96" i="11"/>
  <c r="AI95" i="11"/>
  <c r="AA95" i="11"/>
  <c r="S95" i="11"/>
  <c r="K95" i="11"/>
  <c r="AJ108" i="11"/>
  <c r="AB108" i="11"/>
  <c r="T108" i="11"/>
  <c r="L108" i="11"/>
  <c r="AH107" i="11"/>
  <c r="Z107" i="11"/>
  <c r="R107" i="11"/>
  <c r="J107" i="11"/>
  <c r="AF106" i="11"/>
  <c r="X106" i="11"/>
  <c r="P106" i="11"/>
  <c r="H106" i="11"/>
  <c r="AL105" i="11"/>
  <c r="AD105" i="11"/>
  <c r="V105" i="11"/>
  <c r="N105" i="11"/>
  <c r="F105" i="11"/>
  <c r="AJ104" i="11"/>
  <c r="AB104" i="11"/>
  <c r="T104" i="11"/>
  <c r="L104" i="11"/>
  <c r="AH103" i="11"/>
  <c r="Z103" i="11"/>
  <c r="R103" i="11"/>
  <c r="J103" i="11"/>
  <c r="AF102" i="11"/>
  <c r="X102" i="11"/>
  <c r="P102" i="11"/>
  <c r="H102" i="11"/>
  <c r="AL101" i="11"/>
  <c r="AD101" i="11"/>
  <c r="V101" i="11"/>
  <c r="N101" i="11"/>
  <c r="F101" i="11"/>
  <c r="AJ100" i="11"/>
  <c r="AB100" i="11"/>
  <c r="T100" i="11"/>
  <c r="L100" i="11"/>
  <c r="AH99" i="11"/>
  <c r="Z99" i="11"/>
  <c r="R99" i="11"/>
  <c r="J99" i="11"/>
  <c r="AF98" i="11"/>
  <c r="X98" i="11"/>
  <c r="P98" i="11"/>
  <c r="H98" i="11"/>
  <c r="AL97" i="11"/>
  <c r="AD97" i="11"/>
  <c r="V97" i="11"/>
  <c r="N97" i="11"/>
  <c r="F97" i="11"/>
  <c r="AJ96" i="11"/>
  <c r="AB96" i="11"/>
  <c r="T96" i="11"/>
  <c r="L96" i="11"/>
  <c r="AH95" i="11"/>
  <c r="Z95" i="11"/>
  <c r="R95" i="11"/>
  <c r="J95" i="11"/>
  <c r="AI108" i="11"/>
  <c r="AA108" i="11"/>
  <c r="S108" i="11"/>
  <c r="K108" i="11"/>
  <c r="AG107" i="11"/>
  <c r="Y107" i="11"/>
  <c r="Q107" i="11"/>
  <c r="I107" i="11"/>
  <c r="AE106" i="11"/>
  <c r="W106" i="11"/>
  <c r="O106" i="11"/>
  <c r="G106" i="11"/>
  <c r="AK105" i="11"/>
  <c r="AC105" i="11"/>
  <c r="U105" i="11"/>
  <c r="M105" i="11"/>
  <c r="AI104" i="11"/>
  <c r="AA104" i="11"/>
  <c r="S104" i="11"/>
  <c r="K104" i="11"/>
  <c r="AG103" i="11"/>
  <c r="Y103" i="11"/>
  <c r="Q103" i="11"/>
  <c r="I103" i="11"/>
  <c r="AE102" i="11"/>
  <c r="W102" i="11"/>
  <c r="O102" i="11"/>
  <c r="G102" i="11"/>
  <c r="AK101" i="11"/>
  <c r="AC101" i="11"/>
  <c r="U101" i="11"/>
  <c r="M101" i="11"/>
  <c r="AI100" i="11"/>
  <c r="AA100" i="11"/>
  <c r="S100" i="11"/>
  <c r="K100" i="11"/>
  <c r="AG99" i="11"/>
  <c r="Y99" i="11"/>
  <c r="Q99" i="11"/>
  <c r="I99" i="11"/>
  <c r="AE98" i="11"/>
  <c r="AH108" i="11"/>
  <c r="Z108" i="11"/>
  <c r="R108" i="11"/>
  <c r="J108" i="11"/>
  <c r="AF107" i="11"/>
  <c r="X107" i="11"/>
  <c r="AG108" i="11"/>
  <c r="Y108" i="11"/>
  <c r="Q108" i="11"/>
  <c r="I108" i="11"/>
  <c r="AE107" i="11"/>
  <c r="W107" i="11"/>
  <c r="O107" i="11"/>
  <c r="G107" i="11"/>
  <c r="AK106" i="11"/>
  <c r="AC106" i="11"/>
  <c r="U106" i="11"/>
  <c r="M106" i="11"/>
  <c r="AI105" i="11"/>
  <c r="AA105" i="11"/>
  <c r="S105" i="11"/>
  <c r="K105" i="11"/>
  <c r="AG104" i="11"/>
  <c r="Y104" i="11"/>
  <c r="Q104" i="11"/>
  <c r="I104" i="11"/>
  <c r="AE103" i="11"/>
  <c r="W103" i="11"/>
  <c r="O103" i="11"/>
  <c r="G103" i="11"/>
  <c r="AK102" i="11"/>
  <c r="AC102" i="11"/>
  <c r="U102" i="11"/>
  <c r="M102" i="11"/>
  <c r="AI101" i="11"/>
  <c r="AA101" i="11"/>
  <c r="S101" i="11"/>
  <c r="K101" i="11"/>
  <c r="AG100" i="11"/>
  <c r="Y100" i="11"/>
  <c r="Q100" i="11"/>
  <c r="I100" i="11"/>
  <c r="AE99" i="11"/>
  <c r="W99" i="11"/>
  <c r="O99" i="11"/>
  <c r="G99" i="11"/>
  <c r="AK98" i="11"/>
  <c r="AC98" i="11"/>
  <c r="U98" i="11"/>
  <c r="M98" i="11"/>
  <c r="AI97" i="11"/>
  <c r="AA97" i="11"/>
  <c r="S97" i="11"/>
  <c r="K97" i="11"/>
  <c r="AG96" i="11"/>
  <c r="Y96" i="11"/>
  <c r="Q96" i="11"/>
  <c r="I96" i="11"/>
  <c r="AE95" i="11"/>
  <c r="W95" i="11"/>
  <c r="O95" i="11"/>
  <c r="G95" i="11"/>
  <c r="AF108" i="11"/>
  <c r="X108" i="11"/>
  <c r="P108" i="11"/>
  <c r="H108" i="11"/>
  <c r="AL107" i="11"/>
  <c r="AD107" i="11"/>
  <c r="V107" i="11"/>
  <c r="N107" i="11"/>
  <c r="F107" i="11"/>
  <c r="AJ106" i="11"/>
  <c r="AB106" i="11"/>
  <c r="T106" i="11"/>
  <c r="L106" i="11"/>
  <c r="AH105" i="11"/>
  <c r="Z105" i="11"/>
  <c r="R105" i="11"/>
  <c r="J105" i="11"/>
  <c r="AF104" i="11"/>
  <c r="X104" i="11"/>
  <c r="P104" i="11"/>
  <c r="H104" i="11"/>
  <c r="AL103" i="11"/>
  <c r="AD103" i="11"/>
  <c r="V103" i="11"/>
  <c r="N103" i="11"/>
  <c r="F103" i="11"/>
  <c r="AJ102" i="11"/>
  <c r="AB102" i="11"/>
  <c r="T102" i="11"/>
  <c r="L102" i="11"/>
  <c r="AH101" i="11"/>
  <c r="Z101" i="11"/>
  <c r="R101" i="11"/>
  <c r="J101" i="11"/>
  <c r="AF100" i="11"/>
  <c r="X100" i="11"/>
  <c r="P100" i="11"/>
  <c r="H100" i="11"/>
  <c r="AL99" i="11"/>
  <c r="AD99" i="11"/>
  <c r="V99" i="11"/>
  <c r="N99" i="11"/>
  <c r="F99" i="11"/>
  <c r="AJ98" i="11"/>
  <c r="AB98" i="11"/>
  <c r="T98" i="11"/>
  <c r="AE108" i="11"/>
  <c r="W108" i="11"/>
  <c r="O108" i="11"/>
  <c r="G108" i="11"/>
  <c r="AK107" i="11"/>
  <c r="AC107" i="11"/>
  <c r="U107" i="11"/>
  <c r="M107" i="11"/>
  <c r="AI106" i="11"/>
  <c r="AA106" i="11"/>
  <c r="S106" i="11"/>
  <c r="K106" i="11"/>
  <c r="AG105" i="11"/>
  <c r="Y105" i="11"/>
  <c r="Q105" i="11"/>
  <c r="I105" i="11"/>
  <c r="AE104" i="11"/>
  <c r="W104" i="11"/>
  <c r="O104" i="11"/>
  <c r="G104" i="11"/>
  <c r="AK103" i="11"/>
  <c r="AC103" i="11"/>
  <c r="U103" i="11"/>
  <c r="M103" i="11"/>
  <c r="AI102" i="11"/>
  <c r="AA102" i="11"/>
  <c r="S102" i="11"/>
  <c r="K102" i="11"/>
  <c r="AG101" i="11"/>
  <c r="Y101" i="11"/>
  <c r="Q101" i="11"/>
  <c r="I101" i="11"/>
  <c r="AE100" i="11"/>
  <c r="W100" i="11"/>
  <c r="O100" i="11"/>
  <c r="G100" i="11"/>
  <c r="AK99" i="11"/>
  <c r="AC99" i="11"/>
  <c r="U99" i="11"/>
  <c r="M99" i="11"/>
  <c r="AI98" i="11"/>
  <c r="AA98" i="11"/>
  <c r="S98" i="11"/>
  <c r="K98" i="11"/>
  <c r="AG97" i="11"/>
  <c r="Y97" i="11"/>
  <c r="Q97" i="11"/>
  <c r="I97" i="11"/>
  <c r="AE96" i="11"/>
  <c r="W96" i="11"/>
  <c r="O96" i="11"/>
  <c r="G96" i="11"/>
  <c r="AK95" i="11"/>
  <c r="AC95" i="11"/>
  <c r="U95" i="11"/>
  <c r="M95" i="11"/>
  <c r="AB107" i="11"/>
  <c r="AD106" i="11"/>
  <c r="AJ105" i="11"/>
  <c r="J104" i="11"/>
  <c r="P103" i="11"/>
  <c r="V102" i="11"/>
  <c r="AB101" i="11"/>
  <c r="AH100" i="11"/>
  <c r="H99" i="11"/>
  <c r="R98" i="11"/>
  <c r="X97" i="11"/>
  <c r="H97" i="11"/>
  <c r="AD96" i="11"/>
  <c r="N96" i="11"/>
  <c r="AJ95" i="11"/>
  <c r="T95" i="11"/>
  <c r="AI94" i="11"/>
  <c r="AA94" i="11"/>
  <c r="S94" i="11"/>
  <c r="K94" i="11"/>
  <c r="AG93" i="11"/>
  <c r="Y93" i="11"/>
  <c r="Q93" i="11"/>
  <c r="I93" i="11"/>
  <c r="AE92" i="11"/>
  <c r="W92" i="11"/>
  <c r="O92" i="11"/>
  <c r="G92" i="11"/>
  <c r="AK91" i="11"/>
  <c r="AC91" i="11"/>
  <c r="U91" i="11"/>
  <c r="M91" i="11"/>
  <c r="AI90" i="11"/>
  <c r="AA90" i="11"/>
  <c r="S90" i="11"/>
  <c r="K90" i="11"/>
  <c r="AG89" i="11"/>
  <c r="Y89" i="11"/>
  <c r="Q89" i="11"/>
  <c r="I89" i="11"/>
  <c r="AE88" i="11"/>
  <c r="W88" i="11"/>
  <c r="O88" i="11"/>
  <c r="G88" i="11"/>
  <c r="AK87" i="11"/>
  <c r="AC87" i="11"/>
  <c r="U87" i="11"/>
  <c r="M87" i="11"/>
  <c r="AI86" i="11"/>
  <c r="AA86" i="11"/>
  <c r="S86" i="11"/>
  <c r="K86" i="11"/>
  <c r="AG85" i="11"/>
  <c r="Y85" i="11"/>
  <c r="Q85" i="11"/>
  <c r="I85" i="11"/>
  <c r="AE84" i="11"/>
  <c r="W84" i="11"/>
  <c r="O84" i="11"/>
  <c r="G84" i="11"/>
  <c r="AK83" i="11"/>
  <c r="T107" i="11"/>
  <c r="Z106" i="11"/>
  <c r="AF105" i="11"/>
  <c r="AL104" i="11"/>
  <c r="F104" i="11"/>
  <c r="L103" i="11"/>
  <c r="R102" i="11"/>
  <c r="X101" i="11"/>
  <c r="AD100" i="11"/>
  <c r="AJ99" i="11"/>
  <c r="O98" i="11"/>
  <c r="AK97" i="11"/>
  <c r="U97" i="11"/>
  <c r="AA96" i="11"/>
  <c r="K96" i="11"/>
  <c r="AG95" i="11"/>
  <c r="Q95" i="11"/>
  <c r="AH94" i="11"/>
  <c r="Z94" i="11"/>
  <c r="R94" i="11"/>
  <c r="J94" i="11"/>
  <c r="AF93" i="11"/>
  <c r="X93" i="11"/>
  <c r="AL108" i="11"/>
  <c r="P107" i="11"/>
  <c r="V106" i="11"/>
  <c r="AB105" i="11"/>
  <c r="AH104" i="11"/>
  <c r="H103" i="11"/>
  <c r="N102" i="11"/>
  <c r="T101" i="11"/>
  <c r="Z100" i="11"/>
  <c r="AF99" i="11"/>
  <c r="AL98" i="11"/>
  <c r="N98" i="11"/>
  <c r="AJ97" i="11"/>
  <c r="T97" i="11"/>
  <c r="Z96" i="11"/>
  <c r="J96" i="11"/>
  <c r="AF95" i="11"/>
  <c r="P95" i="11"/>
  <c r="AG94" i="11"/>
  <c r="Y94" i="11"/>
  <c r="Q94" i="11"/>
  <c r="I94" i="11"/>
  <c r="AE93" i="11"/>
  <c r="W93" i="11"/>
  <c r="O93" i="11"/>
  <c r="G93" i="11"/>
  <c r="AK92" i="11"/>
  <c r="AC92" i="11"/>
  <c r="U92" i="11"/>
  <c r="M92" i="11"/>
  <c r="AI91" i="11"/>
  <c r="AA91" i="11"/>
  <c r="S91" i="11"/>
  <c r="K91" i="11"/>
  <c r="AG90" i="11"/>
  <c r="Y90" i="11"/>
  <c r="Q90" i="11"/>
  <c r="I90" i="11"/>
  <c r="AE89" i="11"/>
  <c r="W89" i="11"/>
  <c r="O89" i="11"/>
  <c r="G89" i="11"/>
  <c r="AK88" i="11"/>
  <c r="AC88" i="11"/>
  <c r="U88" i="11"/>
  <c r="M88" i="11"/>
  <c r="AI87" i="11"/>
  <c r="AA87" i="11"/>
  <c r="S87" i="11"/>
  <c r="K87" i="11"/>
  <c r="AG86" i="11"/>
  <c r="Y86" i="11"/>
  <c r="Q86" i="11"/>
  <c r="I86" i="11"/>
  <c r="AE85" i="11"/>
  <c r="W85" i="11"/>
  <c r="O85" i="11"/>
  <c r="G85" i="11"/>
  <c r="AK84" i="11"/>
  <c r="AC84" i="11"/>
  <c r="U84" i="11"/>
  <c r="M84" i="11"/>
  <c r="AI83" i="11"/>
  <c r="AA83" i="11"/>
  <c r="S83" i="11"/>
  <c r="K83" i="11"/>
  <c r="AG82" i="11"/>
  <c r="Y82" i="11"/>
  <c r="Q82" i="11"/>
  <c r="I82" i="11"/>
  <c r="AE81" i="11"/>
  <c r="W81" i="11"/>
  <c r="O81" i="11"/>
  <c r="AD108" i="11"/>
  <c r="L107" i="11"/>
  <c r="R106" i="11"/>
  <c r="X105" i="11"/>
  <c r="AD104" i="11"/>
  <c r="AJ103" i="11"/>
  <c r="J102" i="11"/>
  <c r="P101" i="11"/>
  <c r="V100" i="11"/>
  <c r="AB99" i="11"/>
  <c r="AH98" i="11"/>
  <c r="L98" i="11"/>
  <c r="AH97" i="11"/>
  <c r="R97" i="11"/>
  <c r="X96" i="11"/>
  <c r="H96" i="11"/>
  <c r="AD95" i="11"/>
  <c r="N95" i="11"/>
  <c r="AF94" i="11"/>
  <c r="X94" i="11"/>
  <c r="P94" i="11"/>
  <c r="H94" i="11"/>
  <c r="AL93" i="11"/>
  <c r="AD93" i="11"/>
  <c r="V108" i="11"/>
  <c r="H107" i="11"/>
  <c r="N106" i="11"/>
  <c r="T105" i="11"/>
  <c r="Z104" i="11"/>
  <c r="AF103" i="11"/>
  <c r="AL102" i="11"/>
  <c r="F102" i="11"/>
  <c r="L101" i="11"/>
  <c r="R100" i="11"/>
  <c r="X99" i="11"/>
  <c r="AD98" i="11"/>
  <c r="J98" i="11"/>
  <c r="AF97" i="11"/>
  <c r="P97" i="11"/>
  <c r="AL96" i="11"/>
  <c r="V96" i="11"/>
  <c r="F96" i="11"/>
  <c r="AB95" i="11"/>
  <c r="L95" i="11"/>
  <c r="AE94" i="11"/>
  <c r="W94" i="11"/>
  <c r="O94" i="11"/>
  <c r="G94" i="11"/>
  <c r="AK93" i="11"/>
  <c r="AC93" i="11"/>
  <c r="U93" i="11"/>
  <c r="M93" i="11"/>
  <c r="AI92" i="11"/>
  <c r="AA92" i="11"/>
  <c r="S92" i="11"/>
  <c r="K92" i="11"/>
  <c r="AG91" i="11"/>
  <c r="Y91" i="11"/>
  <c r="Q91" i="11"/>
  <c r="I91" i="11"/>
  <c r="AE90" i="11"/>
  <c r="W90" i="11"/>
  <c r="O90" i="11"/>
  <c r="G90" i="11"/>
  <c r="AK89" i="11"/>
  <c r="AC89" i="11"/>
  <c r="U89" i="11"/>
  <c r="M89" i="11"/>
  <c r="AI88" i="11"/>
  <c r="AA88" i="11"/>
  <c r="S88" i="11"/>
  <c r="K88" i="11"/>
  <c r="AG87" i="11"/>
  <c r="Y87" i="11"/>
  <c r="Q87" i="11"/>
  <c r="I87" i="11"/>
  <c r="AE86" i="11"/>
  <c r="W86" i="11"/>
  <c r="O86" i="11"/>
  <c r="G86" i="11"/>
  <c r="AK85" i="11"/>
  <c r="AC85" i="11"/>
  <c r="U85" i="11"/>
  <c r="M85" i="11"/>
  <c r="AI84" i="11"/>
  <c r="AA84" i="11"/>
  <c r="S84" i="11"/>
  <c r="K84" i="11"/>
  <c r="AG83" i="11"/>
  <c r="N108" i="11"/>
  <c r="J106" i="11"/>
  <c r="P105" i="11"/>
  <c r="V104" i="11"/>
  <c r="AB103" i="11"/>
  <c r="AH102" i="11"/>
  <c r="H101" i="11"/>
  <c r="N100" i="11"/>
  <c r="T99" i="11"/>
  <c r="Z98" i="11"/>
  <c r="G98" i="11"/>
  <c r="AC97" i="11"/>
  <c r="M97" i="11"/>
  <c r="AI96" i="11"/>
  <c r="S96" i="11"/>
  <c r="Y95" i="11"/>
  <c r="I95" i="11"/>
  <c r="AL94" i="11"/>
  <c r="AD94" i="11"/>
  <c r="V94" i="11"/>
  <c r="N94" i="11"/>
  <c r="F94" i="11"/>
  <c r="AJ93" i="11"/>
  <c r="AB93" i="11"/>
  <c r="T93" i="11"/>
  <c r="L93" i="11"/>
  <c r="AH92" i="11"/>
  <c r="Z92" i="11"/>
  <c r="R92" i="11"/>
  <c r="J92" i="11"/>
  <c r="AF91" i="11"/>
  <c r="X91" i="11"/>
  <c r="P91" i="11"/>
  <c r="H91" i="11"/>
  <c r="AL90" i="11"/>
  <c r="AD90" i="11"/>
  <c r="V90" i="11"/>
  <c r="N90" i="11"/>
  <c r="F90" i="11"/>
  <c r="AJ89" i="11"/>
  <c r="AB89" i="11"/>
  <c r="T89" i="11"/>
  <c r="L89" i="11"/>
  <c r="AH88" i="11"/>
  <c r="Z88" i="11"/>
  <c r="R88" i="11"/>
  <c r="J88" i="11"/>
  <c r="AF87" i="11"/>
  <c r="X87" i="11"/>
  <c r="P87" i="11"/>
  <c r="H87" i="11"/>
  <c r="AL86" i="11"/>
  <c r="AD86" i="11"/>
  <c r="V86" i="11"/>
  <c r="N86" i="11"/>
  <c r="F86" i="11"/>
  <c r="AJ85" i="11"/>
  <c r="AB85" i="11"/>
  <c r="T85" i="11"/>
  <c r="L85" i="11"/>
  <c r="AH84" i="11"/>
  <c r="Z84" i="11"/>
  <c r="R84" i="11"/>
  <c r="J84" i="11"/>
  <c r="AF83" i="11"/>
  <c r="X83" i="11"/>
  <c r="P83" i="11"/>
  <c r="H83" i="11"/>
  <c r="AL82" i="11"/>
  <c r="AD82" i="11"/>
  <c r="V82" i="11"/>
  <c r="N82" i="11"/>
  <c r="F82" i="11"/>
  <c r="AJ81" i="11"/>
  <c r="AB81" i="11"/>
  <c r="T81" i="11"/>
  <c r="F108" i="11"/>
  <c r="AL106" i="11"/>
  <c r="F106" i="11"/>
  <c r="L105" i="11"/>
  <c r="R104" i="11"/>
  <c r="X103" i="11"/>
  <c r="AD102" i="11"/>
  <c r="AJ101" i="11"/>
  <c r="J100" i="11"/>
  <c r="P99" i="11"/>
  <c r="W98" i="11"/>
  <c r="F98" i="11"/>
  <c r="AB97" i="11"/>
  <c r="L97" i="11"/>
  <c r="AH96" i="11"/>
  <c r="R96" i="11"/>
  <c r="X95" i="11"/>
  <c r="H95" i="11"/>
  <c r="AK94" i="11"/>
  <c r="AC94" i="11"/>
  <c r="U94" i="11"/>
  <c r="M94" i="11"/>
  <c r="AI93" i="11"/>
  <c r="AA93" i="11"/>
  <c r="S93" i="11"/>
  <c r="K93" i="11"/>
  <c r="AG92" i="11"/>
  <c r="Y92" i="11"/>
  <c r="Q92" i="11"/>
  <c r="I92" i="11"/>
  <c r="AE91" i="11"/>
  <c r="W91" i="11"/>
  <c r="O91" i="11"/>
  <c r="G91" i="11"/>
  <c r="AK90" i="11"/>
  <c r="AC90" i="11"/>
  <c r="U90" i="11"/>
  <c r="M90" i="11"/>
  <c r="AI89" i="11"/>
  <c r="AA89" i="11"/>
  <c r="S89" i="11"/>
  <c r="K89" i="11"/>
  <c r="AG88" i="11"/>
  <c r="Y88" i="11"/>
  <c r="Q88" i="11"/>
  <c r="I88" i="11"/>
  <c r="AE87" i="11"/>
  <c r="W87" i="11"/>
  <c r="O87" i="11"/>
  <c r="G87" i="11"/>
  <c r="AK86" i="11"/>
  <c r="AC86" i="11"/>
  <c r="U86" i="11"/>
  <c r="M86" i="11"/>
  <c r="AI85" i="11"/>
  <c r="AA85" i="11"/>
  <c r="S85" i="11"/>
  <c r="K85" i="11"/>
  <c r="AG84" i="11"/>
  <c r="Y84" i="11"/>
  <c r="Q84" i="11"/>
  <c r="I84" i="11"/>
  <c r="AE83" i="11"/>
  <c r="W83" i="11"/>
  <c r="O83" i="11"/>
  <c r="G83" i="11"/>
  <c r="AK82" i="11"/>
  <c r="AC82" i="11"/>
  <c r="U82" i="11"/>
  <c r="M82" i="11"/>
  <c r="AI81" i="11"/>
  <c r="AA81" i="11"/>
  <c r="S81" i="11"/>
  <c r="AJ107" i="11"/>
  <c r="AH106" i="11"/>
  <c r="H105" i="11"/>
  <c r="N104" i="11"/>
  <c r="T103" i="11"/>
  <c r="Z102" i="11"/>
  <c r="AF101" i="11"/>
  <c r="AL100" i="11"/>
  <c r="F100" i="11"/>
  <c r="L99" i="11"/>
  <c r="V98" i="11"/>
  <c r="Z97" i="11"/>
  <c r="J97" i="11"/>
  <c r="AF96" i="11"/>
  <c r="P96" i="11"/>
  <c r="AL95" i="11"/>
  <c r="V95" i="11"/>
  <c r="F95" i="11"/>
  <c r="AJ94" i="11"/>
  <c r="AB94" i="11"/>
  <c r="T94" i="11"/>
  <c r="L94" i="11"/>
  <c r="AH93" i="11"/>
  <c r="Z93" i="11"/>
  <c r="R93" i="11"/>
  <c r="J93" i="11"/>
  <c r="AF92" i="11"/>
  <c r="X92" i="11"/>
  <c r="P92" i="11"/>
  <c r="H92" i="11"/>
  <c r="AL91" i="11"/>
  <c r="AD91" i="11"/>
  <c r="V91" i="11"/>
  <c r="N91" i="11"/>
  <c r="F91" i="11"/>
  <c r="AJ90" i="11"/>
  <c r="AB90" i="11"/>
  <c r="T90" i="11"/>
  <c r="L90" i="11"/>
  <c r="AH89" i="11"/>
  <c r="Z89" i="11"/>
  <c r="R89" i="11"/>
  <c r="J89" i="11"/>
  <c r="AF88" i="11"/>
  <c r="X88" i="11"/>
  <c r="P88" i="11"/>
  <c r="H88" i="11"/>
  <c r="AL87" i="11"/>
  <c r="AD87" i="11"/>
  <c r="V87" i="11"/>
  <c r="N87" i="11"/>
  <c r="F87" i="11"/>
  <c r="AJ86" i="11"/>
  <c r="AB86" i="11"/>
  <c r="T86" i="11"/>
  <c r="L86" i="11"/>
  <c r="AH85" i="11"/>
  <c r="Z85" i="11"/>
  <c r="R85" i="11"/>
  <c r="J85" i="11"/>
  <c r="AF84" i="11"/>
  <c r="X84" i="11"/>
  <c r="P84" i="11"/>
  <c r="H84" i="11"/>
  <c r="AL83" i="11"/>
  <c r="AD83" i="11"/>
  <c r="V83" i="11"/>
  <c r="N83" i="11"/>
  <c r="F83" i="11"/>
  <c r="AJ82" i="11"/>
  <c r="AB82" i="11"/>
  <c r="T82" i="11"/>
  <c r="AJ92" i="11"/>
  <c r="J91" i="11"/>
  <c r="P90" i="11"/>
  <c r="V89" i="11"/>
  <c r="AB88" i="11"/>
  <c r="AH87" i="11"/>
  <c r="H86" i="11"/>
  <c r="N85" i="11"/>
  <c r="T84" i="11"/>
  <c r="AB83" i="11"/>
  <c r="L83" i="11"/>
  <c r="AH82" i="11"/>
  <c r="R82" i="11"/>
  <c r="AD81" i="11"/>
  <c r="Q81" i="11"/>
  <c r="H81" i="11"/>
  <c r="AL80" i="11"/>
  <c r="AD80" i="11"/>
  <c r="V80" i="11"/>
  <c r="N80" i="11"/>
  <c r="F80" i="11"/>
  <c r="AD92" i="11"/>
  <c r="AJ91" i="11"/>
  <c r="J90" i="11"/>
  <c r="P89" i="11"/>
  <c r="V88" i="11"/>
  <c r="AB87" i="11"/>
  <c r="AH86" i="11"/>
  <c r="H85" i="11"/>
  <c r="N84" i="11"/>
  <c r="Z83" i="11"/>
  <c r="J83" i="11"/>
  <c r="AF82" i="11"/>
  <c r="P82" i="11"/>
  <c r="AC81" i="11"/>
  <c r="P81" i="11"/>
  <c r="G81" i="11"/>
  <c r="AK80" i="11"/>
  <c r="AC80" i="11"/>
  <c r="U80" i="11"/>
  <c r="M80" i="11"/>
  <c r="V93" i="11"/>
  <c r="AB92" i="11"/>
  <c r="AH91" i="11"/>
  <c r="H90" i="11"/>
  <c r="N89" i="11"/>
  <c r="T88" i="11"/>
  <c r="Z87" i="11"/>
  <c r="AF86" i="11"/>
  <c r="AL85" i="11"/>
  <c r="F85" i="11"/>
  <c r="L84" i="11"/>
  <c r="Y83" i="11"/>
  <c r="I83" i="11"/>
  <c r="AE82" i="11"/>
  <c r="O82" i="11"/>
  <c r="Z81" i="11"/>
  <c r="N81" i="11"/>
  <c r="F81" i="11"/>
  <c r="AJ80" i="11"/>
  <c r="AB80" i="11"/>
  <c r="T80" i="11"/>
  <c r="L80" i="11"/>
  <c r="P93" i="11"/>
  <c r="V92" i="11"/>
  <c r="AB91" i="11"/>
  <c r="AH90" i="11"/>
  <c r="H89" i="11"/>
  <c r="N88" i="11"/>
  <c r="T87" i="11"/>
  <c r="Z86" i="11"/>
  <c r="AF85" i="11"/>
  <c r="AL84" i="11"/>
  <c r="F84" i="11"/>
  <c r="U83" i="11"/>
  <c r="AA82" i="11"/>
  <c r="L82" i="11"/>
  <c r="AL81" i="11"/>
  <c r="Y81" i="11"/>
  <c r="M81" i="11"/>
  <c r="AI80" i="11"/>
  <c r="AA80" i="11"/>
  <c r="S80" i="11"/>
  <c r="K80" i="11"/>
  <c r="N93" i="11"/>
  <c r="T92" i="11"/>
  <c r="Z91" i="11"/>
  <c r="AF90" i="11"/>
  <c r="AL89" i="11"/>
  <c r="F89" i="11"/>
  <c r="L88" i="11"/>
  <c r="R87" i="11"/>
  <c r="X86" i="11"/>
  <c r="AD85" i="11"/>
  <c r="AJ84" i="11"/>
  <c r="T83" i="11"/>
  <c r="Z82" i="11"/>
  <c r="K82" i="11"/>
  <c r="AK81" i="11"/>
  <c r="X81" i="11"/>
  <c r="L81" i="11"/>
  <c r="AH80" i="11"/>
  <c r="Z80" i="11"/>
  <c r="R80" i="11"/>
  <c r="J80" i="11"/>
  <c r="H93" i="11"/>
  <c r="N92" i="11"/>
  <c r="T91" i="11"/>
  <c r="Z90" i="11"/>
  <c r="AF89" i="11"/>
  <c r="AL88" i="11"/>
  <c r="F88" i="11"/>
  <c r="L87" i="11"/>
  <c r="R86" i="11"/>
  <c r="X85" i="11"/>
  <c r="AD84" i="11"/>
  <c r="AJ83" i="11"/>
  <c r="R83" i="11"/>
  <c r="X82" i="11"/>
  <c r="J82" i="11"/>
  <c r="AH81" i="11"/>
  <c r="V81" i="11"/>
  <c r="K81" i="11"/>
  <c r="AG80" i="11"/>
  <c r="Y80" i="11"/>
  <c r="Q80" i="11"/>
  <c r="I80" i="11"/>
  <c r="F93" i="11"/>
  <c r="L92" i="11"/>
  <c r="R91" i="11"/>
  <c r="X90" i="11"/>
  <c r="AD89" i="11"/>
  <c r="AJ88" i="11"/>
  <c r="J87" i="11"/>
  <c r="P86" i="11"/>
  <c r="V85" i="11"/>
  <c r="AB84" i="11"/>
  <c r="AH83" i="11"/>
  <c r="Q83" i="11"/>
  <c r="W82" i="11"/>
  <c r="H82" i="11"/>
  <c r="AG81" i="11"/>
  <c r="U81" i="11"/>
  <c r="J81" i="11"/>
  <c r="AF80" i="11"/>
  <c r="X80" i="11"/>
  <c r="P80" i="11"/>
  <c r="H80" i="11"/>
  <c r="AJ87" i="11"/>
  <c r="S82" i="11"/>
  <c r="O80" i="11"/>
  <c r="G82" i="11"/>
  <c r="G80" i="11"/>
  <c r="AL92" i="11"/>
  <c r="J86" i="11"/>
  <c r="AF81" i="11"/>
  <c r="F92" i="11"/>
  <c r="P85" i="11"/>
  <c r="R81" i="11"/>
  <c r="L91" i="11"/>
  <c r="V84" i="11"/>
  <c r="I81" i="11"/>
  <c r="R90" i="11"/>
  <c r="AC83" i="11"/>
  <c r="X89" i="11"/>
  <c r="M83" i="11"/>
  <c r="AE80" i="11"/>
  <c r="AD88" i="11"/>
  <c r="AI82" i="11"/>
  <c r="W80" i="11"/>
  <c r="A80" i="11"/>
  <c r="A89" i="11"/>
  <c r="A105" i="11"/>
  <c r="I34" i="11"/>
  <c r="Q34" i="11"/>
  <c r="Y34" i="11"/>
  <c r="AG34" i="11"/>
  <c r="F35" i="11"/>
  <c r="N35" i="11"/>
  <c r="V35" i="11"/>
  <c r="AD35" i="11"/>
  <c r="AL35" i="11"/>
  <c r="K36" i="11"/>
  <c r="S36" i="11"/>
  <c r="AA36" i="11"/>
  <c r="AI36" i="11"/>
  <c r="L37" i="11"/>
  <c r="Y37" i="11"/>
  <c r="AK37" i="11"/>
  <c r="A87" i="11"/>
  <c r="A107" i="11"/>
  <c r="J34" i="11"/>
  <c r="R34" i="11"/>
  <c r="Z34" i="11"/>
  <c r="AH34" i="11"/>
  <c r="G35" i="11"/>
  <c r="O35" i="11"/>
  <c r="W35" i="11"/>
  <c r="AE35" i="11"/>
  <c r="L36" i="11"/>
  <c r="T36" i="11"/>
  <c r="AB36" i="11"/>
  <c r="AJ36" i="11"/>
  <c r="M37" i="11"/>
  <c r="AA37" i="11"/>
  <c r="A85" i="11"/>
  <c r="K34" i="11"/>
  <c r="S34" i="11"/>
  <c r="AA34" i="11"/>
  <c r="AI34" i="11"/>
  <c r="H35" i="11"/>
  <c r="P35" i="11"/>
  <c r="X35" i="11"/>
  <c r="AF35" i="11"/>
  <c r="E36" i="11"/>
  <c r="M36" i="11"/>
  <c r="U36" i="11"/>
  <c r="AC36" i="11"/>
  <c r="AL36" i="11"/>
  <c r="P37" i="11"/>
  <c r="A95" i="11"/>
  <c r="A99" i="11"/>
  <c r="A86" i="11"/>
  <c r="A88" i="11"/>
  <c r="A90" i="11"/>
  <c r="A92" i="11"/>
  <c r="A94" i="11"/>
  <c r="A96" i="11"/>
  <c r="A98" i="11"/>
  <c r="A100" i="11"/>
  <c r="A102" i="11"/>
  <c r="A104" i="11"/>
  <c r="A108" i="11"/>
  <c r="L34" i="11"/>
  <c r="T34" i="11"/>
  <c r="AB34" i="11"/>
  <c r="AJ34" i="11"/>
  <c r="AH37" i="11"/>
  <c r="Z37" i="11"/>
  <c r="R37" i="11"/>
  <c r="J37" i="11"/>
  <c r="AE37" i="11"/>
  <c r="W37" i="11"/>
  <c r="O37" i="11"/>
  <c r="G37" i="11"/>
  <c r="AL37" i="11"/>
  <c r="AD37" i="11"/>
  <c r="V37" i="11"/>
  <c r="N37" i="11"/>
  <c r="F37" i="11"/>
  <c r="Q37" i="11"/>
  <c r="AC37" i="11"/>
  <c r="A91" i="11"/>
  <c r="A103" i="11"/>
  <c r="E34" i="11"/>
  <c r="M34" i="11"/>
  <c r="U34" i="11"/>
  <c r="AC34" i="11"/>
  <c r="AK34" i="11"/>
  <c r="J35" i="11"/>
  <c r="R35" i="11"/>
  <c r="Z35" i="11"/>
  <c r="AH35" i="11"/>
  <c r="G36" i="11"/>
  <c r="O36" i="11"/>
  <c r="W36" i="11"/>
  <c r="AE36" i="11"/>
  <c r="E37" i="11"/>
  <c r="S37" i="11"/>
  <c r="AF37" i="11"/>
  <c r="A81" i="11"/>
  <c r="A93" i="11"/>
  <c r="A101" i="11"/>
  <c r="F34" i="11"/>
  <c r="N34" i="11"/>
  <c r="V34" i="11"/>
  <c r="AD34" i="11"/>
  <c r="AL34" i="11"/>
  <c r="H37" i="11"/>
  <c r="T37" i="11"/>
  <c r="AG37" i="11"/>
  <c r="A83" i="11"/>
  <c r="A97" i="11"/>
  <c r="G34" i="11"/>
  <c r="O34" i="11"/>
  <c r="W34" i="11"/>
  <c r="L35" i="11"/>
  <c r="T35" i="11"/>
  <c r="AB35" i="11"/>
  <c r="I36" i="11"/>
  <c r="Q36" i="11"/>
  <c r="Y36" i="11"/>
  <c r="AG36" i="11"/>
  <c r="I37" i="11"/>
  <c r="U37" i="11"/>
  <c r="AI37" i="11"/>
  <c r="C115" i="11"/>
  <c r="A98" i="8"/>
  <c r="A99" i="8" s="1"/>
  <c r="B98" i="8"/>
  <c r="AL86" i="12" l="1"/>
  <c r="I90" i="12"/>
  <c r="AD83" i="12"/>
  <c r="M105" i="12"/>
  <c r="T81" i="12"/>
  <c r="K83" i="12"/>
  <c r="AG87" i="12"/>
  <c r="I97" i="12"/>
  <c r="S97" i="12"/>
  <c r="AF92" i="12"/>
  <c r="W91" i="12"/>
  <c r="N90" i="12"/>
  <c r="N94" i="12"/>
  <c r="X90" i="12"/>
  <c r="R95" i="12"/>
  <c r="H83" i="12"/>
  <c r="Y89" i="12"/>
  <c r="G81" i="12"/>
  <c r="AI96" i="12"/>
  <c r="M104" i="12"/>
  <c r="H81" i="12"/>
  <c r="AC82" i="12"/>
  <c r="K88" i="12"/>
  <c r="AA107" i="12"/>
  <c r="AD85" i="12"/>
  <c r="M99" i="12"/>
  <c r="AF80" i="12"/>
  <c r="AE84" i="12"/>
  <c r="R91" i="12"/>
  <c r="AD81" i="12"/>
  <c r="AC89" i="12"/>
  <c r="AC91" i="12"/>
  <c r="AK41" i="11"/>
  <c r="AJ41" i="11"/>
  <c r="R104" i="12"/>
  <c r="H106" i="12"/>
  <c r="AC93" i="12"/>
  <c r="S107" i="12"/>
  <c r="U107" i="12"/>
  <c r="AJ102" i="12"/>
  <c r="O103" i="12"/>
  <c r="AH96" i="12"/>
  <c r="AH107" i="12"/>
  <c r="AL105" i="12"/>
  <c r="L104" i="12"/>
  <c r="H102" i="12"/>
  <c r="T100" i="12"/>
  <c r="S108" i="12"/>
  <c r="O106" i="12"/>
  <c r="AF107" i="12"/>
  <c r="F106" i="12"/>
  <c r="J104" i="12"/>
  <c r="N102" i="12"/>
  <c r="R100" i="12"/>
  <c r="V98" i="12"/>
  <c r="Z96" i="12"/>
  <c r="AD94" i="12"/>
  <c r="G107" i="12"/>
  <c r="K105" i="12"/>
  <c r="G103" i="12"/>
  <c r="H108" i="12"/>
  <c r="T106" i="12"/>
  <c r="P104" i="12"/>
  <c r="AB102" i="12"/>
  <c r="X100" i="12"/>
  <c r="AJ98" i="12"/>
  <c r="AF96" i="12"/>
  <c r="M107" i="12"/>
  <c r="T107" i="12"/>
  <c r="P105" i="12"/>
  <c r="AB103" i="12"/>
  <c r="X101" i="12"/>
  <c r="AJ99" i="12"/>
  <c r="AF97" i="12"/>
  <c r="F96" i="12"/>
  <c r="Q106" i="12"/>
  <c r="M101" i="12"/>
  <c r="AG97" i="12"/>
  <c r="Q95" i="12"/>
  <c r="U93" i="12"/>
  <c r="Q91" i="12"/>
  <c r="AK104" i="12"/>
  <c r="AG100" i="12"/>
  <c r="AC103" i="12"/>
  <c r="U99" i="12"/>
  <c r="AI95" i="12"/>
  <c r="S93" i="12"/>
  <c r="O91" i="12"/>
  <c r="S89" i="12"/>
  <c r="O87" i="12"/>
  <c r="S85" i="12"/>
  <c r="O83" i="12"/>
  <c r="W101" i="12"/>
  <c r="AC97" i="12"/>
  <c r="AC94" i="12"/>
  <c r="X92" i="12"/>
  <c r="AJ90" i="12"/>
  <c r="AF88" i="12"/>
  <c r="F87" i="12"/>
  <c r="AC104" i="12"/>
  <c r="AG99" i="12"/>
  <c r="AG95" i="12"/>
  <c r="Q93" i="12"/>
  <c r="U91" i="12"/>
  <c r="I105" i="12"/>
  <c r="AE99" i="12"/>
  <c r="AI102" i="12"/>
  <c r="AK98" i="12"/>
  <c r="M96" i="12"/>
  <c r="AE93" i="12"/>
  <c r="AI91" i="12"/>
  <c r="AE89" i="12"/>
  <c r="AI87" i="12"/>
  <c r="AE85" i="12"/>
  <c r="AI83" i="12"/>
  <c r="O95" i="12"/>
  <c r="H90" i="12"/>
  <c r="R87" i="12"/>
  <c r="R84" i="12"/>
  <c r="K82" i="12"/>
  <c r="AE96" i="12"/>
  <c r="H91" i="12"/>
  <c r="Q87" i="12"/>
  <c r="P84" i="12"/>
  <c r="J82" i="12"/>
  <c r="Z107" i="12"/>
  <c r="AD105" i="12"/>
  <c r="AH103" i="12"/>
  <c r="AL101" i="12"/>
  <c r="L100" i="12"/>
  <c r="K108" i="12"/>
  <c r="G106" i="12"/>
  <c r="X107" i="12"/>
  <c r="AJ105" i="12"/>
  <c r="AF103" i="12"/>
  <c r="F102" i="12"/>
  <c r="J100" i="12"/>
  <c r="N98" i="12"/>
  <c r="R96" i="12"/>
  <c r="AG108" i="12"/>
  <c r="AK106" i="12"/>
  <c r="AG104" i="12"/>
  <c r="AK102" i="12"/>
  <c r="AL107" i="12"/>
  <c r="L106" i="12"/>
  <c r="H104" i="12"/>
  <c r="T102" i="12"/>
  <c r="P100" i="12"/>
  <c r="AB98" i="12"/>
  <c r="AE108" i="12"/>
  <c r="AL108" i="12"/>
  <c r="L107" i="12"/>
  <c r="H105" i="12"/>
  <c r="T103" i="12"/>
  <c r="P101" i="12"/>
  <c r="AB99" i="12"/>
  <c r="X97" i="12"/>
  <c r="AJ95" i="12"/>
  <c r="W105" i="12"/>
  <c r="AI100" i="12"/>
  <c r="U97" i="12"/>
  <c r="F95" i="12"/>
  <c r="M93" i="12"/>
  <c r="I91" i="12"/>
  <c r="O104" i="12"/>
  <c r="Q100" i="12"/>
  <c r="I103" i="12"/>
  <c r="AE98" i="12"/>
  <c r="Y95" i="12"/>
  <c r="K93" i="12"/>
  <c r="G91" i="12"/>
  <c r="K89" i="12"/>
  <c r="G87" i="12"/>
  <c r="K85" i="12"/>
  <c r="U108" i="12"/>
  <c r="G101" i="12"/>
  <c r="O97" i="12"/>
  <c r="T94" i="12"/>
  <c r="P92" i="12"/>
  <c r="AB90" i="12"/>
  <c r="X88" i="12"/>
  <c r="AJ86" i="12"/>
  <c r="G104" i="12"/>
  <c r="Q99" i="12"/>
  <c r="V95" i="12"/>
  <c r="I93" i="12"/>
  <c r="M91" i="12"/>
  <c r="AA104" i="12"/>
  <c r="O99" i="12"/>
  <c r="O102" i="12"/>
  <c r="X98" i="12"/>
  <c r="AD95" i="12"/>
  <c r="W93" i="12"/>
  <c r="AA91" i="12"/>
  <c r="W89" i="12"/>
  <c r="AA87" i="12"/>
  <c r="W85" i="12"/>
  <c r="AA83" i="12"/>
  <c r="X94" i="12"/>
  <c r="AF89" i="12"/>
  <c r="AE86" i="12"/>
  <c r="G84" i="12"/>
  <c r="AG81" i="12"/>
  <c r="R107" i="12"/>
  <c r="V105" i="12"/>
  <c r="Z103" i="12"/>
  <c r="AD101" i="12"/>
  <c r="AH99" i="12"/>
  <c r="AG107" i="12"/>
  <c r="AK105" i="12"/>
  <c r="P107" i="12"/>
  <c r="AB105" i="12"/>
  <c r="X103" i="12"/>
  <c r="AJ101" i="12"/>
  <c r="AF99" i="12"/>
  <c r="F98" i="12"/>
  <c r="J96" i="12"/>
  <c r="Y108" i="12"/>
  <c r="AC106" i="12"/>
  <c r="Y104" i="12"/>
  <c r="AC102" i="12"/>
  <c r="AD107" i="12"/>
  <c r="AH105" i="12"/>
  <c r="AL103" i="12"/>
  <c r="L102" i="12"/>
  <c r="H100" i="12"/>
  <c r="T98" i="12"/>
  <c r="W108" i="12"/>
  <c r="AD108" i="12"/>
  <c r="AH106" i="12"/>
  <c r="AL104" i="12"/>
  <c r="L103" i="12"/>
  <c r="H101" i="12"/>
  <c r="T99" i="12"/>
  <c r="P97" i="12"/>
  <c r="AB95" i="12"/>
  <c r="S104" i="12"/>
  <c r="S100" i="12"/>
  <c r="G97" i="12"/>
  <c r="AG94" i="12"/>
  <c r="AI92" i="12"/>
  <c r="AE90" i="12"/>
  <c r="AG103" i="12"/>
  <c r="W99" i="12"/>
  <c r="Y102" i="12"/>
  <c r="Q98" i="12"/>
  <c r="N95" i="12"/>
  <c r="AG92" i="12"/>
  <c r="AK90" i="12"/>
  <c r="AG88" i="12"/>
  <c r="AK86" i="12"/>
  <c r="AG84" i="12"/>
  <c r="AI106" i="12"/>
  <c r="AC100" i="12"/>
  <c r="AB96" i="12"/>
  <c r="L94" i="12"/>
  <c r="H92" i="12"/>
  <c r="T90" i="12"/>
  <c r="P88" i="12"/>
  <c r="AB86" i="12"/>
  <c r="Y103" i="12"/>
  <c r="AA98" i="12"/>
  <c r="K95" i="12"/>
  <c r="AE92" i="12"/>
  <c r="AI90" i="12"/>
  <c r="U103" i="12"/>
  <c r="AI107" i="12"/>
  <c r="AG101" i="12"/>
  <c r="K98" i="12"/>
  <c r="S95" i="12"/>
  <c r="O93" i="12"/>
  <c r="S91" i="12"/>
  <c r="O89" i="12"/>
  <c r="S87" i="12"/>
  <c r="O85" i="12"/>
  <c r="S83" i="12"/>
  <c r="T93" i="12"/>
  <c r="T89" i="12"/>
  <c r="R86" i="12"/>
  <c r="AH83" i="12"/>
  <c r="Y81" i="12"/>
  <c r="V94" i="12"/>
  <c r="G90" i="12"/>
  <c r="P86" i="12"/>
  <c r="AG83" i="12"/>
  <c r="X81" i="12"/>
  <c r="G95" i="12"/>
  <c r="F90" i="12"/>
  <c r="J107" i="12"/>
  <c r="N105" i="12"/>
  <c r="R103" i="12"/>
  <c r="V101" i="12"/>
  <c r="Z99" i="12"/>
  <c r="Y107" i="12"/>
  <c r="AC105" i="12"/>
  <c r="H107" i="12"/>
  <c r="T105" i="12"/>
  <c r="P103" i="12"/>
  <c r="AB101" i="12"/>
  <c r="X99" i="12"/>
  <c r="AJ97" i="12"/>
  <c r="AF95" i="12"/>
  <c r="Q108" i="12"/>
  <c r="U106" i="12"/>
  <c r="Q104" i="12"/>
  <c r="U102" i="12"/>
  <c r="V107" i="12"/>
  <c r="Z105" i="12"/>
  <c r="AD103" i="12"/>
  <c r="AH101" i="12"/>
  <c r="AL99" i="12"/>
  <c r="L98" i="12"/>
  <c r="O108" i="12"/>
  <c r="V108" i="12"/>
  <c r="Z106" i="12"/>
  <c r="AD104" i="12"/>
  <c r="AH102" i="12"/>
  <c r="AL100" i="12"/>
  <c r="L99" i="12"/>
  <c r="H97" i="12"/>
  <c r="T95" i="12"/>
  <c r="AI103" i="12"/>
  <c r="Y99" i="12"/>
  <c r="AG96" i="12"/>
  <c r="W94" i="12"/>
  <c r="AA92" i="12"/>
  <c r="W90" i="12"/>
  <c r="K103" i="12"/>
  <c r="AC108" i="12"/>
  <c r="Y101" i="12"/>
  <c r="AD97" i="12"/>
  <c r="AE94" i="12"/>
  <c r="Y92" i="12"/>
  <c r="AC90" i="12"/>
  <c r="Y88" i="12"/>
  <c r="AC86" i="12"/>
  <c r="Y84" i="12"/>
  <c r="O105" i="12"/>
  <c r="M100" i="12"/>
  <c r="Q96" i="12"/>
  <c r="AH93" i="12"/>
  <c r="AL91" i="12"/>
  <c r="L90" i="12"/>
  <c r="H88" i="12"/>
  <c r="T86" i="12"/>
  <c r="S102" i="12"/>
  <c r="O98" i="12"/>
  <c r="AB94" i="12"/>
  <c r="W92" i="12"/>
  <c r="AA90" i="12"/>
  <c r="Q102" i="12"/>
  <c r="Y106" i="12"/>
  <c r="Q101" i="12"/>
  <c r="AK97" i="12"/>
  <c r="I95" i="12"/>
  <c r="G93" i="12"/>
  <c r="K91" i="12"/>
  <c r="G89" i="12"/>
  <c r="K87" i="12"/>
  <c r="G85" i="12"/>
  <c r="U104" i="12"/>
  <c r="AJ92" i="12"/>
  <c r="F89" i="12"/>
  <c r="F86" i="12"/>
  <c r="X83" i="12"/>
  <c r="Q81" i="12"/>
  <c r="AL93" i="12"/>
  <c r="AD89" i="12"/>
  <c r="AF85" i="12"/>
  <c r="V83" i="12"/>
  <c r="P81" i="12"/>
  <c r="AJ108" i="12"/>
  <c r="AF106" i="12"/>
  <c r="F105" i="12"/>
  <c r="J103" i="12"/>
  <c r="N101" i="12"/>
  <c r="R99" i="12"/>
  <c r="Q107" i="12"/>
  <c r="AH108" i="12"/>
  <c r="AL106" i="12"/>
  <c r="L105" i="12"/>
  <c r="H103" i="12"/>
  <c r="T101" i="12"/>
  <c r="P99" i="12"/>
  <c r="AB97" i="12"/>
  <c r="X95" i="12"/>
  <c r="I108" i="12"/>
  <c r="M106" i="12"/>
  <c r="I104" i="12"/>
  <c r="M102" i="12"/>
  <c r="N107" i="12"/>
  <c r="R105" i="12"/>
  <c r="V103" i="12"/>
  <c r="Z101" i="12"/>
  <c r="AD99" i="12"/>
  <c r="AH97" i="12"/>
  <c r="G108" i="12"/>
  <c r="N108" i="12"/>
  <c r="R106" i="12"/>
  <c r="V104" i="12"/>
  <c r="Z102" i="12"/>
  <c r="AD100" i="12"/>
  <c r="AH98" i="12"/>
  <c r="AL96" i="12"/>
  <c r="L95" i="12"/>
  <c r="M103" i="12"/>
  <c r="I99" i="12"/>
  <c r="U96" i="12"/>
  <c r="O94" i="12"/>
  <c r="S92" i="12"/>
  <c r="AK108" i="12"/>
  <c r="AA102" i="12"/>
  <c r="I106" i="12"/>
  <c r="I101" i="12"/>
  <c r="Q97" i="12"/>
  <c r="U94" i="12"/>
  <c r="Q92" i="12"/>
  <c r="U90" i="12"/>
  <c r="Q88" i="12"/>
  <c r="U86" i="12"/>
  <c r="Q84" i="12"/>
  <c r="AE104" i="12"/>
  <c r="AI99" i="12"/>
  <c r="G96" i="12"/>
  <c r="Z93" i="12"/>
  <c r="AD91" i="12"/>
  <c r="AH89" i="12"/>
  <c r="AL87" i="12"/>
  <c r="L86" i="12"/>
  <c r="AK101" i="12"/>
  <c r="AA97" i="12"/>
  <c r="S94" i="12"/>
  <c r="O92" i="12"/>
  <c r="S90" i="12"/>
  <c r="AI101" i="12"/>
  <c r="AE105" i="12"/>
  <c r="W100" i="12"/>
  <c r="W97" i="12"/>
  <c r="AJ94" i="12"/>
  <c r="AK92" i="12"/>
  <c r="AG90" i="12"/>
  <c r="AK88" i="12"/>
  <c r="AG86" i="12"/>
  <c r="AK84" i="12"/>
  <c r="U100" i="12"/>
  <c r="N92" i="12"/>
  <c r="AE88" i="12"/>
  <c r="AG85" i="12"/>
  <c r="M83" i="12"/>
  <c r="T108" i="12"/>
  <c r="P106" i="12"/>
  <c r="AB104" i="12"/>
  <c r="X102" i="12"/>
  <c r="AJ100" i="12"/>
  <c r="AI108" i="12"/>
  <c r="AE106" i="12"/>
  <c r="R108" i="12"/>
  <c r="V106" i="12"/>
  <c r="Z104" i="12"/>
  <c r="AD102" i="12"/>
  <c r="AH100" i="12"/>
  <c r="AL98" i="12"/>
  <c r="L97" i="12"/>
  <c r="H95" i="12"/>
  <c r="W107" i="12"/>
  <c r="AA105" i="12"/>
  <c r="W103" i="12"/>
  <c r="X108" i="12"/>
  <c r="AJ106" i="12"/>
  <c r="AF104" i="12"/>
  <c r="F103" i="12"/>
  <c r="J101" i="12"/>
  <c r="N99" i="12"/>
  <c r="R97" i="12"/>
  <c r="AC107" i="12"/>
  <c r="AJ107" i="12"/>
  <c r="AF105" i="12"/>
  <c r="F104" i="12"/>
  <c r="J102" i="12"/>
  <c r="N100" i="12"/>
  <c r="R98" i="12"/>
  <c r="V96" i="12"/>
  <c r="Z94" i="12"/>
  <c r="I102" i="12"/>
  <c r="U98" i="12"/>
  <c r="AL95" i="12"/>
  <c r="AK93" i="12"/>
  <c r="AG91" i="12"/>
  <c r="K106" i="12"/>
  <c r="AA101" i="12"/>
  <c r="AI104" i="12"/>
  <c r="O100" i="12"/>
  <c r="S96" i="12"/>
  <c r="AI93" i="12"/>
  <c r="AE91" i="12"/>
  <c r="AI89" i="12"/>
  <c r="AE87" i="12"/>
  <c r="AI85" i="12"/>
  <c r="AE83" i="12"/>
  <c r="AA103" i="12"/>
  <c r="AC98" i="12"/>
  <c r="W95" i="12"/>
  <c r="J93" i="12"/>
  <c r="N91" i="12"/>
  <c r="R89" i="12"/>
  <c r="V87" i="12"/>
  <c r="AG106" i="12"/>
  <c r="AA100" i="12"/>
  <c r="AA96" i="12"/>
  <c r="AG93" i="12"/>
  <c r="AK91" i="12"/>
  <c r="AA106" i="12"/>
  <c r="Y100" i="12"/>
  <c r="W104" i="12"/>
  <c r="AC99" i="12"/>
  <c r="AJ96" i="12"/>
  <c r="Q94" i="12"/>
  <c r="U92" i="12"/>
  <c r="Q90" i="12"/>
  <c r="U88" i="12"/>
  <c r="Q86" i="12"/>
  <c r="U84" i="12"/>
  <c r="AE97" i="12"/>
  <c r="J91" i="12"/>
  <c r="F88" i="12"/>
  <c r="L85" i="12"/>
  <c r="AA82" i="12"/>
  <c r="W98" i="12"/>
  <c r="L92" i="12"/>
  <c r="R88" i="12"/>
  <c r="AL84" i="12"/>
  <c r="Z82" i="12"/>
  <c r="S98" i="12"/>
  <c r="AD92" i="12"/>
  <c r="W80" i="12"/>
  <c r="O80" i="12"/>
  <c r="J81" i="12"/>
  <c r="F83" i="12"/>
  <c r="X85" i="12"/>
  <c r="G88" i="12"/>
  <c r="L91" i="12"/>
  <c r="I96" i="12"/>
  <c r="AG80" i="12"/>
  <c r="AK82" i="12"/>
  <c r="N85" i="12"/>
  <c r="AH87" i="12"/>
  <c r="AF90" i="12"/>
  <c r="L96" i="12"/>
  <c r="AB81" i="12"/>
  <c r="Q83" i="12"/>
  <c r="AK85" i="12"/>
  <c r="W88" i="12"/>
  <c r="V92" i="12"/>
  <c r="G98" i="12"/>
  <c r="O82" i="12"/>
  <c r="AH84" i="12"/>
  <c r="L87" i="12"/>
  <c r="AL89" i="12"/>
  <c r="AK94" i="12"/>
  <c r="L80" i="12"/>
  <c r="AL81" i="12"/>
  <c r="N84" i="12"/>
  <c r="M87" i="12"/>
  <c r="F92" i="12"/>
  <c r="M98" i="12"/>
  <c r="O81" i="12"/>
  <c r="U83" i="12"/>
  <c r="O86" i="12"/>
  <c r="V90" i="12"/>
  <c r="V97" i="12"/>
  <c r="AA84" i="12"/>
  <c r="AB91" i="12"/>
  <c r="AI82" i="12"/>
  <c r="Y98" i="12"/>
  <c r="Y90" i="12"/>
  <c r="G100" i="12"/>
  <c r="G92" i="12"/>
  <c r="M108" i="12"/>
  <c r="R93" i="12"/>
  <c r="I84" i="12"/>
  <c r="I92" i="12"/>
  <c r="Q105" i="12"/>
  <c r="G94" i="12"/>
  <c r="AH94" i="12"/>
  <c r="R102" i="12"/>
  <c r="AK107" i="12"/>
  <c r="N103" i="12"/>
  <c r="AE103" i="12"/>
  <c r="T97" i="12"/>
  <c r="AH104" i="12"/>
  <c r="J99" i="12"/>
  <c r="X106" i="12"/>
  <c r="J80" i="12"/>
  <c r="AE80" i="12"/>
  <c r="R81" i="12"/>
  <c r="N83" i="12"/>
  <c r="AH85" i="12"/>
  <c r="T88" i="12"/>
  <c r="AH91" i="12"/>
  <c r="AK96" i="12"/>
  <c r="K81" i="12"/>
  <c r="G83" i="12"/>
  <c r="Y85" i="12"/>
  <c r="J88" i="12"/>
  <c r="P91" i="12"/>
  <c r="F97" i="12"/>
  <c r="AJ81" i="12"/>
  <c r="AB83" i="12"/>
  <c r="J86" i="12"/>
  <c r="AJ88" i="12"/>
  <c r="F93" i="12"/>
  <c r="AE101" i="12"/>
  <c r="W82" i="12"/>
  <c r="F85" i="12"/>
  <c r="Y87" i="12"/>
  <c r="P90" i="12"/>
  <c r="AC95" i="12"/>
  <c r="T80" i="12"/>
  <c r="H82" i="12"/>
  <c r="X84" i="12"/>
  <c r="Z87" i="12"/>
  <c r="AB92" i="12"/>
  <c r="K99" i="12"/>
  <c r="W81" i="12"/>
  <c r="AF83" i="12"/>
  <c r="AA86" i="12"/>
  <c r="Z91" i="12"/>
  <c r="AA99" i="12"/>
  <c r="J85" i="12"/>
  <c r="AH92" i="12"/>
  <c r="AB84" i="12"/>
  <c r="M84" i="12"/>
  <c r="M92" i="12"/>
  <c r="S103" i="12"/>
  <c r="Y93" i="12"/>
  <c r="N87" i="12"/>
  <c r="M95" i="12"/>
  <c r="AA85" i="12"/>
  <c r="AA93" i="12"/>
  <c r="K101" i="12"/>
  <c r="AA95" i="12"/>
  <c r="N96" i="12"/>
  <c r="AJ103" i="12"/>
  <c r="J97" i="12"/>
  <c r="X104" i="12"/>
  <c r="S105" i="12"/>
  <c r="AD98" i="12"/>
  <c r="N106" i="12"/>
  <c r="AB100" i="12"/>
  <c r="L108" i="12"/>
  <c r="S80" i="12"/>
  <c r="Z80" i="12"/>
  <c r="R80" i="12"/>
  <c r="Z81" i="12"/>
  <c r="Y83" i="12"/>
  <c r="G86" i="12"/>
  <c r="AH88" i="12"/>
  <c r="R92" i="12"/>
  <c r="AI97" i="12"/>
  <c r="S81" i="12"/>
  <c r="P83" i="12"/>
  <c r="AJ85" i="12"/>
  <c r="V88" i="12"/>
  <c r="AJ91" i="12"/>
  <c r="AL97" i="12"/>
  <c r="F82" i="12"/>
  <c r="AL83" i="12"/>
  <c r="W86" i="12"/>
  <c r="L89" i="12"/>
  <c r="AB93" i="12"/>
  <c r="S106" i="12"/>
  <c r="AE82" i="12"/>
  <c r="Q85" i="12"/>
  <c r="AK87" i="12"/>
  <c r="AL90" i="12"/>
  <c r="T96" i="12"/>
  <c r="AB80" i="12"/>
  <c r="P82" i="12"/>
  <c r="AI84" i="12"/>
  <c r="N88" i="12"/>
  <c r="L93" i="12"/>
  <c r="AG102" i="12"/>
  <c r="AE81" i="12"/>
  <c r="O84" i="12"/>
  <c r="P87" i="12"/>
  <c r="J92" i="12"/>
  <c r="Q103" i="12"/>
  <c r="U85" i="12"/>
  <c r="P93" i="12"/>
  <c r="V85" i="12"/>
  <c r="AC84" i="12"/>
  <c r="AC92" i="12"/>
  <c r="G105" i="12"/>
  <c r="K94" i="12"/>
  <c r="AD87" i="12"/>
  <c r="AH95" i="12"/>
  <c r="M86" i="12"/>
  <c r="M94" i="12"/>
  <c r="G102" i="12"/>
  <c r="K96" i="12"/>
  <c r="AD96" i="12"/>
  <c r="N104" i="12"/>
  <c r="Z97" i="12"/>
  <c r="J105" i="12"/>
  <c r="AI105" i="12"/>
  <c r="H99" i="12"/>
  <c r="AD106" i="12"/>
  <c r="F101" i="12"/>
  <c r="AB108" i="12"/>
  <c r="AF101" i="12"/>
  <c r="AI80" i="12"/>
  <c r="K80" i="12"/>
  <c r="AH80" i="12"/>
  <c r="AH81" i="12"/>
  <c r="AJ83" i="12"/>
  <c r="S86" i="12"/>
  <c r="H89" i="12"/>
  <c r="AL92" i="12"/>
  <c r="AF98" i="12"/>
  <c r="AA81" i="12"/>
  <c r="Z83" i="12"/>
  <c r="H86" i="12"/>
  <c r="AI88" i="12"/>
  <c r="T92" i="12"/>
  <c r="AI98" i="12"/>
  <c r="N82" i="12"/>
  <c r="K84" i="12"/>
  <c r="AI86" i="12"/>
  <c r="X89" i="12"/>
  <c r="J94" i="12"/>
  <c r="M81" i="12"/>
  <c r="I83" i="12"/>
  <c r="AB85" i="12"/>
  <c r="L88" i="12"/>
  <c r="T91" i="12"/>
  <c r="M97" i="12"/>
  <c r="AJ80" i="12"/>
  <c r="X82" i="12"/>
  <c r="H85" i="12"/>
  <c r="AA88" i="12"/>
  <c r="AF93" i="12"/>
  <c r="M80" i="12"/>
  <c r="I82" i="12"/>
  <c r="Z84" i="12"/>
  <c r="AB87" i="12"/>
  <c r="N93" i="12"/>
  <c r="AF81" i="12"/>
  <c r="AD86" i="12"/>
  <c r="J95" i="12"/>
  <c r="AF87" i="12"/>
  <c r="I86" i="12"/>
  <c r="I94" i="12"/>
  <c r="I100" i="12"/>
  <c r="P96" i="12"/>
  <c r="J89" i="12"/>
  <c r="P98" i="12"/>
  <c r="W87" i="12"/>
  <c r="H96" i="12"/>
  <c r="U105" i="12"/>
  <c r="H98" i="12"/>
  <c r="J98" i="12"/>
  <c r="X105" i="12"/>
  <c r="F99" i="12"/>
  <c r="AB106" i="12"/>
  <c r="O107" i="12"/>
  <c r="Z100" i="12"/>
  <c r="J108" i="12"/>
  <c r="P102" i="12"/>
  <c r="F80" i="12"/>
  <c r="AA80" i="12"/>
  <c r="H80" i="12"/>
  <c r="L82" i="12"/>
  <c r="H84" i="12"/>
  <c r="AF86" i="12"/>
  <c r="U89" i="12"/>
  <c r="V93" i="12"/>
  <c r="AK100" i="12"/>
  <c r="AI81" i="12"/>
  <c r="AK83" i="12"/>
  <c r="V86" i="12"/>
  <c r="I89" i="12"/>
  <c r="X93" i="12"/>
  <c r="O101" i="12"/>
  <c r="V82" i="12"/>
  <c r="V84" i="12"/>
  <c r="J87" i="12"/>
  <c r="AK89" i="12"/>
  <c r="AI94" i="12"/>
  <c r="U81" i="12"/>
  <c r="R83" i="12"/>
  <c r="AL85" i="12"/>
  <c r="Z88" i="12"/>
  <c r="Z92" i="12"/>
  <c r="I98" i="12"/>
  <c r="F81" i="12"/>
  <c r="AF82" i="12"/>
  <c r="R85" i="12"/>
  <c r="N89" i="12"/>
  <c r="P94" i="12"/>
  <c r="U80" i="12"/>
  <c r="Q82" i="12"/>
  <c r="AJ84" i="12"/>
  <c r="O88" i="12"/>
  <c r="AJ93" i="12"/>
  <c r="R82" i="12"/>
  <c r="AC87" i="12"/>
  <c r="Y97" i="12"/>
  <c r="S88" i="12"/>
  <c r="Y86" i="12"/>
  <c r="Y94" i="12"/>
  <c r="S101" i="12"/>
  <c r="N97" i="12"/>
  <c r="Z89" i="12"/>
  <c r="S99" i="12"/>
  <c r="I88" i="12"/>
  <c r="AC96" i="12"/>
  <c r="K107" i="12"/>
  <c r="AG98" i="12"/>
  <c r="Z98" i="12"/>
  <c r="J106" i="12"/>
  <c r="V99" i="12"/>
  <c r="F107" i="12"/>
  <c r="AE107" i="12"/>
  <c r="L101" i="12"/>
  <c r="Z108" i="12"/>
  <c r="AF102" i="12"/>
  <c r="V80" i="12"/>
  <c r="N80" i="12"/>
  <c r="P80" i="12"/>
  <c r="T82" i="12"/>
  <c r="S84" i="12"/>
  <c r="H87" i="12"/>
  <c r="AG89" i="12"/>
  <c r="F94" i="12"/>
  <c r="I80" i="12"/>
  <c r="M82" i="12"/>
  <c r="J84" i="12"/>
  <c r="AH86" i="12"/>
  <c r="V89" i="12"/>
  <c r="H94" i="12"/>
  <c r="Y105" i="12"/>
  <c r="AD82" i="12"/>
  <c r="AF84" i="12"/>
  <c r="X87" i="12"/>
  <c r="O90" i="12"/>
  <c r="Z95" i="12"/>
  <c r="AC81" i="12"/>
  <c r="AC83" i="12"/>
  <c r="K86" i="12"/>
  <c r="AL88" i="12"/>
  <c r="H93" i="12"/>
  <c r="G99" i="12"/>
  <c r="N81" i="12"/>
  <c r="J83" i="12"/>
  <c r="AC85" i="12"/>
  <c r="AB89" i="12"/>
  <c r="AE95" i="12"/>
  <c r="AC80" i="12"/>
  <c r="Y82" i="12"/>
  <c r="I85" i="12"/>
  <c r="AB88" i="12"/>
  <c r="R94" i="12"/>
  <c r="AH82" i="12"/>
  <c r="AD88" i="12"/>
  <c r="AK103" i="12"/>
  <c r="Z90" i="12"/>
  <c r="M88" i="12"/>
  <c r="X96" i="12"/>
  <c r="AG105" i="12"/>
  <c r="K100" i="12"/>
  <c r="F91" i="12"/>
  <c r="W102" i="12"/>
  <c r="AA89" i="12"/>
  <c r="AK99" i="12"/>
  <c r="Y91" i="12"/>
  <c r="AC101" i="12"/>
  <c r="F100" i="12"/>
  <c r="AB107" i="12"/>
  <c r="AF100" i="12"/>
  <c r="P108" i="12"/>
  <c r="AL94" i="12"/>
  <c r="V102" i="12"/>
  <c r="W106" i="12"/>
  <c r="T104" i="12"/>
  <c r="AL80" i="12"/>
  <c r="AD80" i="12"/>
  <c r="X80" i="12"/>
  <c r="AB82" i="12"/>
  <c r="AD84" i="12"/>
  <c r="T87" i="12"/>
  <c r="J90" i="12"/>
  <c r="AA94" i="12"/>
  <c r="Q80" i="12"/>
  <c r="U82" i="12"/>
  <c r="T84" i="12"/>
  <c r="I87" i="12"/>
  <c r="AJ89" i="12"/>
  <c r="AF94" i="12"/>
  <c r="L81" i="12"/>
  <c r="AL82" i="12"/>
  <c r="P85" i="12"/>
  <c r="AJ87" i="12"/>
  <c r="AH90" i="12"/>
  <c r="O96" i="12"/>
  <c r="AK81" i="12"/>
  <c r="L84" i="12"/>
  <c r="X86" i="12"/>
  <c r="M89" i="12"/>
  <c r="AD93" i="12"/>
  <c r="K102" i="12"/>
  <c r="V81" i="12"/>
  <c r="T83" i="12"/>
  <c r="N86" i="12"/>
  <c r="R90" i="12"/>
  <c r="W96" i="12"/>
  <c r="AK80" i="12"/>
  <c r="AG82" i="12"/>
  <c r="T85" i="12"/>
  <c r="P89" i="12"/>
  <c r="AK95" i="12"/>
  <c r="L83" i="12"/>
  <c r="Q89" i="12"/>
  <c r="I81" i="12"/>
  <c r="AF91" i="12"/>
  <c r="AC88" i="12"/>
  <c r="K97" i="12"/>
  <c r="K90" i="12"/>
  <c r="U101" i="12"/>
  <c r="V91" i="12"/>
  <c r="K104" i="12"/>
  <c r="M90" i="12"/>
  <c r="AE100" i="12"/>
  <c r="K92" i="12"/>
  <c r="AE102" i="12"/>
  <c r="V100" i="12"/>
  <c r="F108" i="12"/>
  <c r="R101" i="12"/>
  <c r="AF108" i="12"/>
  <c r="P95" i="12"/>
  <c r="AL102" i="12"/>
  <c r="I107" i="12"/>
  <c r="AJ104" i="12"/>
  <c r="AC54" i="12"/>
  <c r="Y43" i="8" s="1"/>
  <c r="P74" i="11"/>
  <c r="K69" i="11"/>
  <c r="G26" i="8" s="1"/>
  <c r="I41" i="12"/>
  <c r="Y41" i="12"/>
  <c r="M41" i="12"/>
  <c r="AK62" i="12"/>
  <c r="AG51" i="8" s="1"/>
  <c r="AG67" i="12"/>
  <c r="AC56" i="8" s="1"/>
  <c r="AA56" i="12"/>
  <c r="AF74" i="11"/>
  <c r="K56" i="12"/>
  <c r="U61" i="12"/>
  <c r="Q50" i="8" s="1"/>
  <c r="AG71" i="12"/>
  <c r="AC60" i="8" s="1"/>
  <c r="X49" i="11"/>
  <c r="T6" i="8" s="1"/>
  <c r="AG49" i="12"/>
  <c r="AC38" i="8" s="1"/>
  <c r="Q41" i="12"/>
  <c r="X73" i="11"/>
  <c r="J74" i="12"/>
  <c r="F63" i="8" s="1"/>
  <c r="AG41" i="11"/>
  <c r="AA41" i="11"/>
  <c r="J41" i="11"/>
  <c r="N73" i="12"/>
  <c r="J62" i="8" s="1"/>
  <c r="AG59" i="12"/>
  <c r="AC48" i="8" s="1"/>
  <c r="AG69" i="12"/>
  <c r="AC58" i="8" s="1"/>
  <c r="AG57" i="12"/>
  <c r="AC46" i="8" s="1"/>
  <c r="AG73" i="12"/>
  <c r="AC62" i="8" s="1"/>
  <c r="AG65" i="12"/>
  <c r="AC54" i="8" s="1"/>
  <c r="AG61" i="12"/>
  <c r="AC50" i="8" s="1"/>
  <c r="AE57" i="12"/>
  <c r="AA46" i="8" s="1"/>
  <c r="Z73" i="12"/>
  <c r="V62" i="8" s="1"/>
  <c r="I66" i="12"/>
  <c r="E55" i="8" s="1"/>
  <c r="H59" i="12"/>
  <c r="D48" i="8" s="1"/>
  <c r="T59" i="12"/>
  <c r="P48" i="8" s="1"/>
  <c r="AB41" i="12"/>
  <c r="AG63" i="12"/>
  <c r="AC52" i="8" s="1"/>
  <c r="P64" i="11"/>
  <c r="L21" i="8" s="1"/>
  <c r="P63" i="11"/>
  <c r="L20" i="8" s="1"/>
  <c r="P53" i="11"/>
  <c r="L10" i="8" s="1"/>
  <c r="P57" i="11"/>
  <c r="L14" i="8" s="1"/>
  <c r="P62" i="11"/>
  <c r="L19" i="8" s="1"/>
  <c r="P58" i="11"/>
  <c r="L15" i="8" s="1"/>
  <c r="P69" i="11"/>
  <c r="L26" i="8" s="1"/>
  <c r="P70" i="11"/>
  <c r="L27" i="8" s="1"/>
  <c r="P67" i="11"/>
  <c r="L24" i="8" s="1"/>
  <c r="Y41" i="11"/>
  <c r="P59" i="11"/>
  <c r="L16" i="8" s="1"/>
  <c r="P47" i="11"/>
  <c r="L4" i="8" s="1"/>
  <c r="AL41" i="12"/>
  <c r="V61" i="12"/>
  <c r="R50" i="8" s="1"/>
  <c r="AJ41" i="12"/>
  <c r="H71" i="11"/>
  <c r="D28" i="8" s="1"/>
  <c r="AF69" i="12"/>
  <c r="AB58" i="8" s="1"/>
  <c r="AB73" i="12"/>
  <c r="X62" i="8" s="1"/>
  <c r="U56" i="12"/>
  <c r="W68" i="12"/>
  <c r="S57" i="8" s="1"/>
  <c r="AJ67" i="12"/>
  <c r="AF56" i="8" s="1"/>
  <c r="J60" i="12"/>
  <c r="F49" i="8" s="1"/>
  <c r="L41" i="12"/>
  <c r="F62" i="12"/>
  <c r="B51" i="8" s="1"/>
  <c r="AI57" i="11"/>
  <c r="AE14" i="8" s="1"/>
  <c r="F41" i="11"/>
  <c r="O65" i="12"/>
  <c r="K54" i="8" s="1"/>
  <c r="Q73" i="12"/>
  <c r="M62" i="8" s="1"/>
  <c r="R59" i="12"/>
  <c r="N48" i="8" s="1"/>
  <c r="AD57" i="11"/>
  <c r="Z14" i="8" s="1"/>
  <c r="X64" i="11"/>
  <c r="T21" i="8" s="1"/>
  <c r="AC60" i="12"/>
  <c r="Y49" i="8" s="1"/>
  <c r="AJ71" i="12"/>
  <c r="AF60" i="8" s="1"/>
  <c r="V66" i="12"/>
  <c r="R55" i="8" s="1"/>
  <c r="X41" i="11"/>
  <c r="M51" i="11"/>
  <c r="I8" i="8" s="1"/>
  <c r="AJ57" i="12"/>
  <c r="AF46" i="8" s="1"/>
  <c r="T41" i="12"/>
  <c r="AD65" i="12"/>
  <c r="Z54" i="8" s="1"/>
  <c r="H71" i="12"/>
  <c r="D60" i="8" s="1"/>
  <c r="AJ65" i="12"/>
  <c r="AF54" i="8" s="1"/>
  <c r="V59" i="12"/>
  <c r="R48" i="8" s="1"/>
  <c r="AJ61" i="12"/>
  <c r="AF50" i="8" s="1"/>
  <c r="AJ69" i="12"/>
  <c r="AF58" i="8" s="1"/>
  <c r="L70" i="12"/>
  <c r="H59" i="8" s="1"/>
  <c r="F56" i="11"/>
  <c r="AJ73" i="12"/>
  <c r="AF62" i="8" s="1"/>
  <c r="V63" i="12"/>
  <c r="R52" i="8" s="1"/>
  <c r="AJ59" i="12"/>
  <c r="AF48" i="8" s="1"/>
  <c r="Q74" i="12"/>
  <c r="M63" i="8" s="1"/>
  <c r="X69" i="11"/>
  <c r="T26" i="8" s="1"/>
  <c r="AI41" i="12"/>
  <c r="F56" i="12"/>
  <c r="G59" i="12"/>
  <c r="C48" i="8" s="1"/>
  <c r="M56" i="12"/>
  <c r="AJ68" i="12"/>
  <c r="AF57" i="8" s="1"/>
  <c r="AA41" i="12"/>
  <c r="AJ63" i="12"/>
  <c r="AF52" i="8" s="1"/>
  <c r="AB61" i="12"/>
  <c r="X50" i="8" s="1"/>
  <c r="AL71" i="12"/>
  <c r="AH60" i="8" s="1"/>
  <c r="J57" i="12"/>
  <c r="F46" i="8" s="1"/>
  <c r="Q49" i="11"/>
  <c r="M6" i="8" s="1"/>
  <c r="P70" i="12"/>
  <c r="L59" i="8" s="1"/>
  <c r="R69" i="12"/>
  <c r="N58" i="8" s="1"/>
  <c r="L67" i="12"/>
  <c r="H56" i="8" s="1"/>
  <c r="M65" i="12"/>
  <c r="I54" i="8" s="1"/>
  <c r="G63" i="12"/>
  <c r="C52" i="8" s="1"/>
  <c r="N57" i="12"/>
  <c r="J46" i="8" s="1"/>
  <c r="L53" i="12"/>
  <c r="X69" i="12"/>
  <c r="T58" i="8" s="1"/>
  <c r="AE59" i="12"/>
  <c r="AA48" i="8" s="1"/>
  <c r="H48" i="12"/>
  <c r="D37" i="8" s="1"/>
  <c r="U73" i="12"/>
  <c r="Q62" i="8" s="1"/>
  <c r="I71" i="12"/>
  <c r="E60" i="8" s="1"/>
  <c r="V69" i="12"/>
  <c r="R58" i="8" s="1"/>
  <c r="U67" i="12"/>
  <c r="Q56" i="8" s="1"/>
  <c r="AK65" i="12"/>
  <c r="AG54" i="8" s="1"/>
  <c r="I63" i="12"/>
  <c r="E52" i="8" s="1"/>
  <c r="K61" i="12"/>
  <c r="G50" i="8" s="1"/>
  <c r="AB59" i="12"/>
  <c r="X48" i="8" s="1"/>
  <c r="AG72" i="12"/>
  <c r="AC61" i="8" s="1"/>
  <c r="AG58" i="12"/>
  <c r="AC47" i="8" s="1"/>
  <c r="W73" i="12"/>
  <c r="S62" i="8" s="1"/>
  <c r="K73" i="12"/>
  <c r="G62" i="8" s="1"/>
  <c r="AK73" i="12"/>
  <c r="AG62" i="8" s="1"/>
  <c r="N67" i="12"/>
  <c r="J56" i="8" s="1"/>
  <c r="AL65" i="12"/>
  <c r="AH54" i="8" s="1"/>
  <c r="AI61" i="12"/>
  <c r="AE50" i="8" s="1"/>
  <c r="J59" i="12"/>
  <c r="F48" i="8" s="1"/>
  <c r="P41" i="12"/>
  <c r="AD57" i="12"/>
  <c r="Z46" i="8" s="1"/>
  <c r="W72" i="12"/>
  <c r="S61" i="8" s="1"/>
  <c r="H58" i="12"/>
  <c r="D47" i="8" s="1"/>
  <c r="K41" i="12"/>
  <c r="AD63" i="11"/>
  <c r="Z20" i="8" s="1"/>
  <c r="R67" i="11"/>
  <c r="N24" i="8" s="1"/>
  <c r="O55" i="12"/>
  <c r="K44" i="8" s="1"/>
  <c r="L71" i="12"/>
  <c r="H60" i="8" s="1"/>
  <c r="U69" i="12"/>
  <c r="Q58" i="8" s="1"/>
  <c r="H67" i="12"/>
  <c r="D56" i="8" s="1"/>
  <c r="I65" i="12"/>
  <c r="E54" i="8" s="1"/>
  <c r="W65" i="12"/>
  <c r="S54" i="8" s="1"/>
  <c r="R63" i="12"/>
  <c r="N52" i="8" s="1"/>
  <c r="F61" i="12"/>
  <c r="B50" i="8" s="1"/>
  <c r="L64" i="12"/>
  <c r="H53" i="8" s="1"/>
  <c r="AB60" i="12"/>
  <c r="X49" i="8" s="1"/>
  <c r="G61" i="12"/>
  <c r="C50" i="8" s="1"/>
  <c r="R73" i="12"/>
  <c r="N62" i="8" s="1"/>
  <c r="AC69" i="12"/>
  <c r="Y58" i="8" s="1"/>
  <c r="I67" i="12"/>
  <c r="E56" i="8" s="1"/>
  <c r="AF65" i="12"/>
  <c r="AB54" i="8" s="1"/>
  <c r="L63" i="12"/>
  <c r="H52" i="8" s="1"/>
  <c r="AF61" i="12"/>
  <c r="AB50" i="8" s="1"/>
  <c r="AE41" i="12"/>
  <c r="N68" i="12"/>
  <c r="J57" i="8" s="1"/>
  <c r="T66" i="12"/>
  <c r="P55" i="8" s="1"/>
  <c r="AC47" i="12"/>
  <c r="Y36" i="8" s="1"/>
  <c r="R67" i="12"/>
  <c r="N56" i="8" s="1"/>
  <c r="AB62" i="11"/>
  <c r="X19" i="8" s="1"/>
  <c r="Y74" i="12"/>
  <c r="U63" i="8" s="1"/>
  <c r="V73" i="12"/>
  <c r="R62" i="8" s="1"/>
  <c r="Z71" i="12"/>
  <c r="V60" i="8" s="1"/>
  <c r="U71" i="12"/>
  <c r="Q60" i="8" s="1"/>
  <c r="K65" i="12"/>
  <c r="G54" i="8" s="1"/>
  <c r="R70" i="12"/>
  <c r="N59" i="8" s="1"/>
  <c r="G52" i="12"/>
  <c r="C41" i="8" s="1"/>
  <c r="K69" i="12"/>
  <c r="G58" i="8" s="1"/>
  <c r="I61" i="12"/>
  <c r="E50" i="8" s="1"/>
  <c r="AC67" i="11"/>
  <c r="Y24" i="8" s="1"/>
  <c r="J47" i="11"/>
  <c r="F4" i="8" s="1"/>
  <c r="K59" i="12"/>
  <c r="G48" i="8" s="1"/>
  <c r="R71" i="12"/>
  <c r="N60" i="8" s="1"/>
  <c r="Y69" i="12"/>
  <c r="U58" i="8" s="1"/>
  <c r="J67" i="12"/>
  <c r="F56" i="8" s="1"/>
  <c r="AI65" i="12"/>
  <c r="AE54" i="8" s="1"/>
  <c r="U63" i="12"/>
  <c r="Q52" i="8" s="1"/>
  <c r="U59" i="12"/>
  <c r="Q48" i="8" s="1"/>
  <c r="L61" i="12"/>
  <c r="H50" i="8" s="1"/>
  <c r="AA59" i="12"/>
  <c r="W48" i="8" s="1"/>
  <c r="AK74" i="12"/>
  <c r="AG63" i="8" s="1"/>
  <c r="AH58" i="12"/>
  <c r="AD47" i="8" s="1"/>
  <c r="AH41" i="12"/>
  <c r="AH53" i="12"/>
  <c r="AH51" i="12"/>
  <c r="AD40" i="8" s="1"/>
  <c r="AH55" i="12"/>
  <c r="AD44" i="8" s="1"/>
  <c r="AH52" i="12"/>
  <c r="AD41" i="8" s="1"/>
  <c r="AH62" i="12"/>
  <c r="AD51" i="8" s="1"/>
  <c r="AH47" i="12"/>
  <c r="AD36" i="8" s="1"/>
  <c r="AH49" i="12"/>
  <c r="AD38" i="8" s="1"/>
  <c r="AH48" i="12"/>
  <c r="AD37" i="8" s="1"/>
  <c r="AH66" i="12"/>
  <c r="AD55" i="8" s="1"/>
  <c r="AH70" i="12"/>
  <c r="AD59" i="8" s="1"/>
  <c r="AH46" i="12"/>
  <c r="AD35" i="8" s="1"/>
  <c r="AH54" i="12"/>
  <c r="AD43" i="8" s="1"/>
  <c r="AD73" i="12"/>
  <c r="Z62" i="8" s="1"/>
  <c r="X73" i="12"/>
  <c r="T62" i="8" s="1"/>
  <c r="AH71" i="12"/>
  <c r="AD60" i="8" s="1"/>
  <c r="AD69" i="12"/>
  <c r="Z58" i="8" s="1"/>
  <c r="AD61" i="12"/>
  <c r="Z50" i="8" s="1"/>
  <c r="AH57" i="12"/>
  <c r="AD46" i="8" s="1"/>
  <c r="X59" i="12"/>
  <c r="T48" i="8" s="1"/>
  <c r="S47" i="12"/>
  <c r="O36" i="8" s="1"/>
  <c r="S51" i="12"/>
  <c r="O40" i="8" s="1"/>
  <c r="S62" i="12"/>
  <c r="O51" i="8" s="1"/>
  <c r="S49" i="12"/>
  <c r="O38" i="8" s="1"/>
  <c r="S48" i="12"/>
  <c r="O37" i="8" s="1"/>
  <c r="S64" i="12"/>
  <c r="O53" i="8" s="1"/>
  <c r="S52" i="12"/>
  <c r="O41" i="8" s="1"/>
  <c r="S55" i="12"/>
  <c r="O44" i="8" s="1"/>
  <c r="S46" i="12"/>
  <c r="O35" i="8" s="1"/>
  <c r="S60" i="12"/>
  <c r="O49" i="8" s="1"/>
  <c r="S50" i="12"/>
  <c r="O39" i="8" s="1"/>
  <c r="S58" i="12"/>
  <c r="O47" i="8" s="1"/>
  <c r="S72" i="12"/>
  <c r="O61" i="8" s="1"/>
  <c r="O74" i="12"/>
  <c r="K63" i="8" s="1"/>
  <c r="AE64" i="12"/>
  <c r="AA53" i="8" s="1"/>
  <c r="AA63" i="11"/>
  <c r="W20" i="8" s="1"/>
  <c r="V64" i="11"/>
  <c r="R21" i="8" s="1"/>
  <c r="X59" i="11"/>
  <c r="T16" i="8" s="1"/>
  <c r="X54" i="11"/>
  <c r="T11" i="8" s="1"/>
  <c r="G57" i="12"/>
  <c r="C46" i="8" s="1"/>
  <c r="AI59" i="12"/>
  <c r="AE48" i="8" s="1"/>
  <c r="Z50" i="12"/>
  <c r="V39" i="8" s="1"/>
  <c r="Z58" i="12"/>
  <c r="V47" i="8" s="1"/>
  <c r="Z41" i="12"/>
  <c r="Z53" i="12"/>
  <c r="Z68" i="12"/>
  <c r="V57" i="8" s="1"/>
  <c r="Z72" i="12"/>
  <c r="V61" i="8" s="1"/>
  <c r="Z51" i="12"/>
  <c r="V40" i="8" s="1"/>
  <c r="Z55" i="12"/>
  <c r="V44" i="8" s="1"/>
  <c r="Z74" i="12"/>
  <c r="V63" i="8" s="1"/>
  <c r="Z62" i="12"/>
  <c r="V51" i="8" s="1"/>
  <c r="Z47" i="12"/>
  <c r="V36" i="8" s="1"/>
  <c r="Z49" i="12"/>
  <c r="V38" i="8" s="1"/>
  <c r="Z48" i="12"/>
  <c r="V37" i="8" s="1"/>
  <c r="Z52" i="12"/>
  <c r="V41" i="8" s="1"/>
  <c r="Z64" i="12"/>
  <c r="V53" i="8" s="1"/>
  <c r="Z66" i="12"/>
  <c r="V55" i="8" s="1"/>
  <c r="Z70" i="12"/>
  <c r="V59" i="8" s="1"/>
  <c r="AF52" i="12"/>
  <c r="AB41" i="8" s="1"/>
  <c r="AF56" i="12"/>
  <c r="AF47" i="12"/>
  <c r="AB36" i="8" s="1"/>
  <c r="AF51" i="12"/>
  <c r="AB40" i="8" s="1"/>
  <c r="AF55" i="12"/>
  <c r="AB44" i="8" s="1"/>
  <c r="AF54" i="12"/>
  <c r="AB43" i="8" s="1"/>
  <c r="AF60" i="12"/>
  <c r="AB49" i="8" s="1"/>
  <c r="AF70" i="12"/>
  <c r="AB59" i="8" s="1"/>
  <c r="AF74" i="12"/>
  <c r="AB63" i="8" s="1"/>
  <c r="AF49" i="12"/>
  <c r="AB38" i="8" s="1"/>
  <c r="AF53" i="12"/>
  <c r="AF48" i="12"/>
  <c r="AB37" i="8" s="1"/>
  <c r="AF58" i="12"/>
  <c r="AB47" i="8" s="1"/>
  <c r="AF66" i="12"/>
  <c r="AB55" i="8" s="1"/>
  <c r="AF68" i="12"/>
  <c r="AB57" i="8" s="1"/>
  <c r="AF46" i="12"/>
  <c r="AB35" i="8" s="1"/>
  <c r="AF62" i="12"/>
  <c r="AB51" i="8" s="1"/>
  <c r="AF72" i="12"/>
  <c r="AB61" i="8" s="1"/>
  <c r="O73" i="12"/>
  <c r="K62" i="8" s="1"/>
  <c r="AL73" i="12"/>
  <c r="AH62" i="8" s="1"/>
  <c r="AF73" i="12"/>
  <c r="AB62" i="8" s="1"/>
  <c r="K71" i="12"/>
  <c r="G60" i="8" s="1"/>
  <c r="S71" i="12"/>
  <c r="O60" i="8" s="1"/>
  <c r="P71" i="12"/>
  <c r="L60" i="8" s="1"/>
  <c r="T71" i="12"/>
  <c r="P60" i="8" s="1"/>
  <c r="G69" i="12"/>
  <c r="C58" i="8" s="1"/>
  <c r="O69" i="12"/>
  <c r="K58" i="8" s="1"/>
  <c r="AL69" i="12"/>
  <c r="AH58" i="8" s="1"/>
  <c r="AK69" i="12"/>
  <c r="AG58" i="8" s="1"/>
  <c r="V67" i="12"/>
  <c r="R56" i="8" s="1"/>
  <c r="P67" i="12"/>
  <c r="L56" i="8" s="1"/>
  <c r="T67" i="12"/>
  <c r="P56" i="8" s="1"/>
  <c r="J65" i="12"/>
  <c r="F54" i="8" s="1"/>
  <c r="L65" i="12"/>
  <c r="H54" i="8" s="1"/>
  <c r="F65" i="12"/>
  <c r="B54" i="8" s="1"/>
  <c r="AE65" i="12"/>
  <c r="AA54" i="8" s="1"/>
  <c r="AC63" i="12"/>
  <c r="Y52" i="8" s="1"/>
  <c r="O63" i="12"/>
  <c r="K52" i="8" s="1"/>
  <c r="Q63" i="12"/>
  <c r="M52" i="8" s="1"/>
  <c r="T63" i="12"/>
  <c r="P52" i="8" s="1"/>
  <c r="J61" i="12"/>
  <c r="F50" i="8" s="1"/>
  <c r="M61" i="12"/>
  <c r="I50" i="8" s="1"/>
  <c r="AL61" i="12"/>
  <c r="AH50" i="8" s="1"/>
  <c r="AC59" i="12"/>
  <c r="Y48" i="8" s="1"/>
  <c r="O59" i="12"/>
  <c r="K48" i="8" s="1"/>
  <c r="I57" i="12"/>
  <c r="E46" i="8" s="1"/>
  <c r="K57" i="12"/>
  <c r="G46" i="8" s="1"/>
  <c r="V57" i="12"/>
  <c r="R46" i="8" s="1"/>
  <c r="Z60" i="12"/>
  <c r="V49" i="8" s="1"/>
  <c r="U60" i="12"/>
  <c r="Q49" i="8" s="1"/>
  <c r="H41" i="12"/>
  <c r="O57" i="12"/>
  <c r="K46" i="8" s="1"/>
  <c r="W41" i="12"/>
  <c r="M60" i="12"/>
  <c r="I49" i="8" s="1"/>
  <c r="K54" i="12"/>
  <c r="G43" i="8" s="1"/>
  <c r="K55" i="12"/>
  <c r="G44" i="8" s="1"/>
  <c r="K47" i="12"/>
  <c r="G36" i="8" s="1"/>
  <c r="K62" i="12"/>
  <c r="G51" i="8" s="1"/>
  <c r="K49" i="12"/>
  <c r="G38" i="8" s="1"/>
  <c r="K53" i="12"/>
  <c r="K48" i="12"/>
  <c r="G37" i="8" s="1"/>
  <c r="K64" i="12"/>
  <c r="G53" i="8" s="1"/>
  <c r="K68" i="12"/>
  <c r="G57" i="8" s="1"/>
  <c r="K46" i="12"/>
  <c r="G35" i="8" s="1"/>
  <c r="K60" i="12"/>
  <c r="G49" i="8" s="1"/>
  <c r="K66" i="12"/>
  <c r="G55" i="8" s="1"/>
  <c r="K50" i="12"/>
  <c r="G39" i="8" s="1"/>
  <c r="K52" i="12"/>
  <c r="G41" i="8" s="1"/>
  <c r="K51" i="12"/>
  <c r="G40" i="8" s="1"/>
  <c r="H74" i="12"/>
  <c r="D63" i="8" s="1"/>
  <c r="AG74" i="12"/>
  <c r="AC63" i="8" s="1"/>
  <c r="AE74" i="12"/>
  <c r="AA63" i="8" s="1"/>
  <c r="T72" i="12"/>
  <c r="P61" i="8" s="1"/>
  <c r="J72" i="12"/>
  <c r="F61" i="8" s="1"/>
  <c r="AE72" i="12"/>
  <c r="AA61" i="8" s="1"/>
  <c r="AC70" i="12"/>
  <c r="Y59" i="8" s="1"/>
  <c r="K70" i="12"/>
  <c r="G59" i="8" s="1"/>
  <c r="AK68" i="12"/>
  <c r="AG57" i="8" s="1"/>
  <c r="AE68" i="12"/>
  <c r="AA57" i="8" s="1"/>
  <c r="G66" i="12"/>
  <c r="C55" i="8" s="1"/>
  <c r="H64" i="12"/>
  <c r="D53" i="8" s="1"/>
  <c r="W60" i="12"/>
  <c r="S49" i="8" s="1"/>
  <c r="AF59" i="12"/>
  <c r="AB48" i="8" s="1"/>
  <c r="P53" i="12"/>
  <c r="F49" i="12"/>
  <c r="B38" i="8" s="1"/>
  <c r="O47" i="12"/>
  <c r="K36" i="8" s="1"/>
  <c r="AI62" i="12"/>
  <c r="AE51" i="8" s="1"/>
  <c r="AE52" i="12"/>
  <c r="AA41" i="8" s="1"/>
  <c r="T48" i="12"/>
  <c r="P37" i="8" s="1"/>
  <c r="N58" i="11"/>
  <c r="J15" i="8" s="1"/>
  <c r="AK67" i="11"/>
  <c r="AG24" i="8" s="1"/>
  <c r="AL41" i="11"/>
  <c r="X70" i="11"/>
  <c r="T27" i="8" s="1"/>
  <c r="X62" i="11"/>
  <c r="T19" i="8" s="1"/>
  <c r="AA63" i="12"/>
  <c r="W52" i="8" s="1"/>
  <c r="Z56" i="12"/>
  <c r="K63" i="12"/>
  <c r="G52" i="8" s="1"/>
  <c r="W57" i="12"/>
  <c r="S46" i="8" s="1"/>
  <c r="R46" i="12"/>
  <c r="N35" i="8" s="1"/>
  <c r="R54" i="12"/>
  <c r="N43" i="8" s="1"/>
  <c r="R50" i="12"/>
  <c r="N39" i="8" s="1"/>
  <c r="R58" i="12"/>
  <c r="N47" i="8" s="1"/>
  <c r="R41" i="12"/>
  <c r="R53" i="12"/>
  <c r="R68" i="12"/>
  <c r="N57" i="8" s="1"/>
  <c r="R72" i="12"/>
  <c r="N61" i="8" s="1"/>
  <c r="R51" i="12"/>
  <c r="N40" i="8" s="1"/>
  <c r="R55" i="12"/>
  <c r="N44" i="8" s="1"/>
  <c r="R62" i="12"/>
  <c r="N51" i="8" s="1"/>
  <c r="R47" i="12"/>
  <c r="N36" i="8" s="1"/>
  <c r="R49" i="12"/>
  <c r="N38" i="8" s="1"/>
  <c r="R48" i="12"/>
  <c r="N37" i="8" s="1"/>
  <c r="R52" i="12"/>
  <c r="N41" i="8" s="1"/>
  <c r="R64" i="12"/>
  <c r="N53" i="8" s="1"/>
  <c r="X50" i="12"/>
  <c r="T39" i="8" s="1"/>
  <c r="X52" i="12"/>
  <c r="T41" i="8" s="1"/>
  <c r="X56" i="12"/>
  <c r="X47" i="12"/>
  <c r="T36" i="8" s="1"/>
  <c r="X55" i="12"/>
  <c r="T44" i="8" s="1"/>
  <c r="X68" i="12"/>
  <c r="T57" i="8" s="1"/>
  <c r="X70" i="12"/>
  <c r="T59" i="8" s="1"/>
  <c r="X74" i="12"/>
  <c r="T63" i="8" s="1"/>
  <c r="X54" i="12"/>
  <c r="T43" i="8" s="1"/>
  <c r="X51" i="12"/>
  <c r="T40" i="8" s="1"/>
  <c r="X53" i="12"/>
  <c r="X60" i="12"/>
  <c r="T49" i="8" s="1"/>
  <c r="X49" i="12"/>
  <c r="T38" i="8" s="1"/>
  <c r="X48" i="12"/>
  <c r="T37" i="8" s="1"/>
  <c r="X58" i="12"/>
  <c r="T47" i="8" s="1"/>
  <c r="X64" i="12"/>
  <c r="T53" i="8" s="1"/>
  <c r="X66" i="12"/>
  <c r="T55" i="8" s="1"/>
  <c r="X72" i="12"/>
  <c r="T61" i="8" s="1"/>
  <c r="AE73" i="12"/>
  <c r="AA62" i="8" s="1"/>
  <c r="G73" i="12"/>
  <c r="C62" i="8" s="1"/>
  <c r="M73" i="12"/>
  <c r="I62" i="8" s="1"/>
  <c r="I73" i="12"/>
  <c r="E62" i="8" s="1"/>
  <c r="AA71" i="12"/>
  <c r="W60" i="8" s="1"/>
  <c r="AI71" i="12"/>
  <c r="AE60" i="8" s="1"/>
  <c r="X71" i="12"/>
  <c r="T60" i="8" s="1"/>
  <c r="AB71" i="12"/>
  <c r="X60" i="8" s="1"/>
  <c r="W69" i="12"/>
  <c r="S58" i="8" s="1"/>
  <c r="AE69" i="12"/>
  <c r="AA58" i="8" s="1"/>
  <c r="L69" i="12"/>
  <c r="H58" i="8" s="1"/>
  <c r="H69" i="12"/>
  <c r="D58" i="8" s="1"/>
  <c r="AD67" i="12"/>
  <c r="Z56" i="8" s="1"/>
  <c r="X67" i="12"/>
  <c r="T56" i="8" s="1"/>
  <c r="Z67" i="12"/>
  <c r="V56" i="8" s="1"/>
  <c r="AB67" i="12"/>
  <c r="X56" i="8" s="1"/>
  <c r="R65" i="12"/>
  <c r="N54" i="8" s="1"/>
  <c r="T65" i="12"/>
  <c r="P54" i="8" s="1"/>
  <c r="N65" i="12"/>
  <c r="J54" i="8" s="1"/>
  <c r="H65" i="12"/>
  <c r="D54" i="8" s="1"/>
  <c r="AK63" i="12"/>
  <c r="AG52" i="8" s="1"/>
  <c r="W63" i="12"/>
  <c r="S52" i="8" s="1"/>
  <c r="Y63" i="12"/>
  <c r="U52" i="8" s="1"/>
  <c r="AB63" i="12"/>
  <c r="X52" i="8" s="1"/>
  <c r="R61" i="12"/>
  <c r="N50" i="8" s="1"/>
  <c r="H61" i="12"/>
  <c r="D50" i="8" s="1"/>
  <c r="AK59" i="12"/>
  <c r="AG48" i="8" s="1"/>
  <c r="W59" i="12"/>
  <c r="S48" i="8" s="1"/>
  <c r="Z59" i="12"/>
  <c r="V48" i="8" s="1"/>
  <c r="Q57" i="12"/>
  <c r="M46" i="8" s="1"/>
  <c r="S57" i="12"/>
  <c r="O46" i="8" s="1"/>
  <c r="AK56" i="12"/>
  <c r="AH56" i="12"/>
  <c r="O41" i="12"/>
  <c r="S59" i="12"/>
  <c r="O48" i="8" s="1"/>
  <c r="AL52" i="12"/>
  <c r="AH41" i="8" s="1"/>
  <c r="I74" i="12"/>
  <c r="E63" i="8" s="1"/>
  <c r="T74" i="12"/>
  <c r="P63" i="8" s="1"/>
  <c r="AK72" i="12"/>
  <c r="AG61" i="8" s="1"/>
  <c r="AH72" i="12"/>
  <c r="AD61" i="8" s="1"/>
  <c r="S70" i="12"/>
  <c r="O59" i="8" s="1"/>
  <c r="Y68" i="12"/>
  <c r="U57" i="8" s="1"/>
  <c r="H66" i="12"/>
  <c r="D55" i="8" s="1"/>
  <c r="AF64" i="12"/>
  <c r="AB53" i="8" s="1"/>
  <c r="Y60" i="12"/>
  <c r="U49" i="8" s="1"/>
  <c r="AG55" i="12"/>
  <c r="AC44" i="8" s="1"/>
  <c r="F53" i="12"/>
  <c r="AE49" i="12"/>
  <c r="AA38" i="8" s="1"/>
  <c r="Q47" i="12"/>
  <c r="M36" i="8" s="1"/>
  <c r="AE54" i="12"/>
  <c r="AA43" i="8" s="1"/>
  <c r="L52" i="12"/>
  <c r="H41" i="8" s="1"/>
  <c r="N48" i="12"/>
  <c r="J37" i="8" s="1"/>
  <c r="X63" i="11"/>
  <c r="T20" i="8" s="1"/>
  <c r="X52" i="11"/>
  <c r="T9" i="8" s="1"/>
  <c r="AE61" i="12"/>
  <c r="AA50" i="8" s="1"/>
  <c r="W61" i="12"/>
  <c r="S50" i="8" s="1"/>
  <c r="S56" i="12"/>
  <c r="J46" i="12"/>
  <c r="F35" i="8" s="1"/>
  <c r="J52" i="12"/>
  <c r="F41" i="8" s="1"/>
  <c r="J54" i="12"/>
  <c r="F43" i="8" s="1"/>
  <c r="J51" i="12"/>
  <c r="F40" i="8" s="1"/>
  <c r="J50" i="12"/>
  <c r="F39" i="8" s="1"/>
  <c r="J58" i="12"/>
  <c r="F47" i="8" s="1"/>
  <c r="J41" i="12"/>
  <c r="J53" i="12"/>
  <c r="J55" i="12"/>
  <c r="F44" i="8" s="1"/>
  <c r="J62" i="12"/>
  <c r="F51" i="8" s="1"/>
  <c r="J47" i="12"/>
  <c r="F36" i="8" s="1"/>
  <c r="J49" i="12"/>
  <c r="F38" i="8" s="1"/>
  <c r="J68" i="12"/>
  <c r="F57" i="8" s="1"/>
  <c r="P46" i="12"/>
  <c r="L35" i="8" s="1"/>
  <c r="P62" i="12"/>
  <c r="L51" i="8" s="1"/>
  <c r="P50" i="12"/>
  <c r="L39" i="8" s="1"/>
  <c r="P52" i="12"/>
  <c r="L41" i="8" s="1"/>
  <c r="P56" i="12"/>
  <c r="P47" i="12"/>
  <c r="L36" i="8" s="1"/>
  <c r="P54" i="12"/>
  <c r="L43" i="8" s="1"/>
  <c r="P51" i="12"/>
  <c r="L40" i="8" s="1"/>
  <c r="P60" i="12"/>
  <c r="L49" i="8" s="1"/>
  <c r="P49" i="12"/>
  <c r="L38" i="8" s="1"/>
  <c r="P48" i="12"/>
  <c r="L37" i="8" s="1"/>
  <c r="P58" i="12"/>
  <c r="L47" i="8" s="1"/>
  <c r="P55" i="12"/>
  <c r="L44" i="8" s="1"/>
  <c r="P64" i="12"/>
  <c r="L53" i="8" s="1"/>
  <c r="P68" i="12"/>
  <c r="L57" i="8" s="1"/>
  <c r="N71" i="12"/>
  <c r="J60" i="8" s="1"/>
  <c r="F71" i="12"/>
  <c r="B60" i="8" s="1"/>
  <c r="AF71" i="12"/>
  <c r="AB60" i="8" s="1"/>
  <c r="J69" i="12"/>
  <c r="F58" i="8" s="1"/>
  <c r="T69" i="12"/>
  <c r="P58" i="8" s="1"/>
  <c r="P69" i="12"/>
  <c r="L58" i="8" s="1"/>
  <c r="M67" i="12"/>
  <c r="I56" i="8" s="1"/>
  <c r="AL67" i="12"/>
  <c r="AH56" i="8" s="1"/>
  <c r="AF67" i="12"/>
  <c r="AB56" i="8" s="1"/>
  <c r="AH67" i="12"/>
  <c r="AD56" i="8" s="1"/>
  <c r="Z65" i="12"/>
  <c r="V54" i="8" s="1"/>
  <c r="AB65" i="12"/>
  <c r="X54" i="8" s="1"/>
  <c r="V65" i="12"/>
  <c r="R54" i="8" s="1"/>
  <c r="P65" i="12"/>
  <c r="L54" i="8" s="1"/>
  <c r="F63" i="12"/>
  <c r="B52" i="8" s="1"/>
  <c r="AE63" i="12"/>
  <c r="AA52" i="8" s="1"/>
  <c r="Z61" i="12"/>
  <c r="V50" i="8" s="1"/>
  <c r="AC61" i="12"/>
  <c r="Y50" i="8" s="1"/>
  <c r="P61" i="12"/>
  <c r="L50" i="8" s="1"/>
  <c r="F59" i="12"/>
  <c r="B48" i="8" s="1"/>
  <c r="AH59" i="12"/>
  <c r="AD48" i="8" s="1"/>
  <c r="Y57" i="12"/>
  <c r="U46" i="8" s="1"/>
  <c r="AA57" i="12"/>
  <c r="W46" i="8" s="1"/>
  <c r="AL57" i="12"/>
  <c r="AH46" i="8" s="1"/>
  <c r="R56" i="12"/>
  <c r="T57" i="12"/>
  <c r="P46" i="8" s="1"/>
  <c r="G41" i="12"/>
  <c r="M57" i="12"/>
  <c r="I46" i="8" s="1"/>
  <c r="AD58" i="12"/>
  <c r="Z47" i="8" s="1"/>
  <c r="AD41" i="12"/>
  <c r="AD54" i="12"/>
  <c r="Z43" i="8" s="1"/>
  <c r="AD62" i="12"/>
  <c r="Z51" i="8" s="1"/>
  <c r="AD52" i="12"/>
  <c r="Z41" i="8" s="1"/>
  <c r="AD47" i="12"/>
  <c r="Z36" i="8" s="1"/>
  <c r="AD55" i="12"/>
  <c r="Z44" i="8" s="1"/>
  <c r="AD60" i="12"/>
  <c r="Z49" i="8" s="1"/>
  <c r="AD74" i="12"/>
  <c r="Z63" i="8" s="1"/>
  <c r="AD68" i="12"/>
  <c r="Z57" i="8" s="1"/>
  <c r="AD49" i="12"/>
  <c r="Z38" i="8" s="1"/>
  <c r="AD53" i="12"/>
  <c r="AD56" i="12"/>
  <c r="AD64" i="12"/>
  <c r="Z53" i="8" s="1"/>
  <c r="AD48" i="12"/>
  <c r="Z37" i="8" s="1"/>
  <c r="AD51" i="12"/>
  <c r="Z40" i="8" s="1"/>
  <c r="AD46" i="12"/>
  <c r="Z35" i="8" s="1"/>
  <c r="AD66" i="12"/>
  <c r="Z55" i="8" s="1"/>
  <c r="AD70" i="12"/>
  <c r="Z59" i="8" s="1"/>
  <c r="AJ58" i="12"/>
  <c r="AF47" i="8" s="1"/>
  <c r="AJ56" i="12"/>
  <c r="AJ54" i="12"/>
  <c r="AF43" i="8" s="1"/>
  <c r="AJ47" i="12"/>
  <c r="AF36" i="8" s="1"/>
  <c r="AJ72" i="12"/>
  <c r="AF61" i="8" s="1"/>
  <c r="AJ62" i="12"/>
  <c r="AF51" i="8" s="1"/>
  <c r="AJ49" i="12"/>
  <c r="AF38" i="8" s="1"/>
  <c r="AJ52" i="12"/>
  <c r="AF41" i="8" s="1"/>
  <c r="AJ64" i="12"/>
  <c r="AF53" i="8" s="1"/>
  <c r="AJ48" i="12"/>
  <c r="AF37" i="8" s="1"/>
  <c r="AJ53" i="12"/>
  <c r="AJ55" i="12"/>
  <c r="AF44" i="8" s="1"/>
  <c r="AJ46" i="12"/>
  <c r="AF35" i="8" s="1"/>
  <c r="AJ51" i="12"/>
  <c r="AF40" i="8" s="1"/>
  <c r="AJ60" i="12"/>
  <c r="AF49" i="8" s="1"/>
  <c r="AJ66" i="12"/>
  <c r="AF55" i="8" s="1"/>
  <c r="AJ70" i="12"/>
  <c r="AF59" i="8" s="1"/>
  <c r="AJ74" i="12"/>
  <c r="AF63" i="8" s="1"/>
  <c r="F74" i="12"/>
  <c r="B63" i="8" s="1"/>
  <c r="R74" i="12"/>
  <c r="N63" i="8" s="1"/>
  <c r="H72" i="12"/>
  <c r="D61" i="8" s="1"/>
  <c r="K72" i="12"/>
  <c r="G61" i="8" s="1"/>
  <c r="AG70" i="12"/>
  <c r="AC59" i="8" s="1"/>
  <c r="N70" i="12"/>
  <c r="J59" i="8" s="1"/>
  <c r="M68" i="12"/>
  <c r="I57" i="8" s="1"/>
  <c r="S66" i="12"/>
  <c r="O55" i="8" s="1"/>
  <c r="P66" i="12"/>
  <c r="L55" i="8" s="1"/>
  <c r="AG64" i="12"/>
  <c r="AC53" i="8" s="1"/>
  <c r="AC55" i="12"/>
  <c r="Y44" i="8" s="1"/>
  <c r="X62" i="12"/>
  <c r="T51" i="8" s="1"/>
  <c r="S54" i="12"/>
  <c r="O43" i="8" s="1"/>
  <c r="X46" i="12"/>
  <c r="T35" i="8" s="1"/>
  <c r="O74" i="11"/>
  <c r="X68" i="11"/>
  <c r="T25" i="8" s="1"/>
  <c r="AA66" i="11"/>
  <c r="W23" i="8" s="1"/>
  <c r="S63" i="12"/>
  <c r="O52" i="8" s="1"/>
  <c r="AH60" i="12"/>
  <c r="AD49" i="8" s="1"/>
  <c r="Y52" i="12"/>
  <c r="U41" i="8" s="1"/>
  <c r="Y58" i="12"/>
  <c r="U47" i="8" s="1"/>
  <c r="Y49" i="12"/>
  <c r="U38" i="8" s="1"/>
  <c r="Y48" i="12"/>
  <c r="U37" i="8" s="1"/>
  <c r="Y64" i="12"/>
  <c r="U53" i="8" s="1"/>
  <c r="Y62" i="12"/>
  <c r="U51" i="8" s="1"/>
  <c r="Y66" i="12"/>
  <c r="U55" i="8" s="1"/>
  <c r="Y46" i="12"/>
  <c r="U35" i="8" s="1"/>
  <c r="Y54" i="12"/>
  <c r="U43" i="8" s="1"/>
  <c r="Y50" i="12"/>
  <c r="U39" i="8" s="1"/>
  <c r="Y53" i="12"/>
  <c r="Y55" i="12"/>
  <c r="U44" i="8" s="1"/>
  <c r="Y56" i="12"/>
  <c r="Y47" i="12"/>
  <c r="U36" i="8" s="1"/>
  <c r="AE48" i="12"/>
  <c r="AA37" i="8" s="1"/>
  <c r="AE58" i="12"/>
  <c r="AA47" i="8" s="1"/>
  <c r="AE46" i="12"/>
  <c r="AA35" i="8" s="1"/>
  <c r="AE66" i="12"/>
  <c r="AA55" i="8" s="1"/>
  <c r="AE70" i="12"/>
  <c r="AA59" i="8" s="1"/>
  <c r="AE50" i="12"/>
  <c r="AA39" i="8" s="1"/>
  <c r="AE62" i="12"/>
  <c r="AA51" i="8" s="1"/>
  <c r="AE51" i="12"/>
  <c r="AA40" i="8" s="1"/>
  <c r="AE56" i="12"/>
  <c r="AE47" i="12"/>
  <c r="AA36" i="8" s="1"/>
  <c r="AE55" i="12"/>
  <c r="AA44" i="8" s="1"/>
  <c r="AE53" i="12"/>
  <c r="AE60" i="12"/>
  <c r="AA49" i="8" s="1"/>
  <c r="AK64" i="12"/>
  <c r="AG53" i="8" s="1"/>
  <c r="AK48" i="12"/>
  <c r="AG37" i="8" s="1"/>
  <c r="AK46" i="12"/>
  <c r="AG35" i="8" s="1"/>
  <c r="AK51" i="12"/>
  <c r="AG40" i="8" s="1"/>
  <c r="AK53" i="12"/>
  <c r="AK66" i="12"/>
  <c r="AG55" i="8" s="1"/>
  <c r="AK50" i="12"/>
  <c r="AG39" i="8" s="1"/>
  <c r="AK52" i="12"/>
  <c r="AG41" i="8" s="1"/>
  <c r="AK58" i="12"/>
  <c r="AG47" i="8" s="1"/>
  <c r="AK41" i="12"/>
  <c r="AK54" i="12"/>
  <c r="AG43" i="8" s="1"/>
  <c r="AK47" i="12"/>
  <c r="AG36" i="8" s="1"/>
  <c r="AK55" i="12"/>
  <c r="AG44" i="8" s="1"/>
  <c r="H53" i="12"/>
  <c r="H46" i="12"/>
  <c r="D35" i="8" s="1"/>
  <c r="H62" i="12"/>
  <c r="D51" i="8" s="1"/>
  <c r="H50" i="12"/>
  <c r="D39" i="8" s="1"/>
  <c r="H52" i="12"/>
  <c r="D41" i="8" s="1"/>
  <c r="H56" i="12"/>
  <c r="H47" i="12"/>
  <c r="D36" i="8" s="1"/>
  <c r="H55" i="12"/>
  <c r="D44" i="8" s="1"/>
  <c r="H54" i="12"/>
  <c r="D43" i="8" s="1"/>
  <c r="H51" i="12"/>
  <c r="D40" i="8" s="1"/>
  <c r="H60" i="12"/>
  <c r="D49" i="8" s="1"/>
  <c r="H49" i="12"/>
  <c r="D38" i="8" s="1"/>
  <c r="AH73" i="12"/>
  <c r="AD62" i="8" s="1"/>
  <c r="J73" i="12"/>
  <c r="F62" i="8" s="1"/>
  <c r="AC73" i="12"/>
  <c r="Y62" i="8" s="1"/>
  <c r="Y73" i="12"/>
  <c r="U62" i="8" s="1"/>
  <c r="AD71" i="12"/>
  <c r="Z60" i="8" s="1"/>
  <c r="V71" i="12"/>
  <c r="R60" i="8" s="1"/>
  <c r="M71" i="12"/>
  <c r="I60" i="8" s="1"/>
  <c r="Z69" i="12"/>
  <c r="V58" i="8" s="1"/>
  <c r="AH69" i="12"/>
  <c r="AD58" i="8" s="1"/>
  <c r="AB69" i="12"/>
  <c r="X58" i="8" s="1"/>
  <c r="G67" i="12"/>
  <c r="C56" i="8" s="1"/>
  <c r="K67" i="12"/>
  <c r="G56" i="8" s="1"/>
  <c r="AH65" i="12"/>
  <c r="AD54" i="8" s="1"/>
  <c r="X65" i="12"/>
  <c r="T54" i="8" s="1"/>
  <c r="N63" i="12"/>
  <c r="J52" i="8" s="1"/>
  <c r="H63" i="12"/>
  <c r="D52" i="8" s="1"/>
  <c r="J63" i="12"/>
  <c r="F52" i="8" s="1"/>
  <c r="AH61" i="12"/>
  <c r="AD50" i="8" s="1"/>
  <c r="AK61" i="12"/>
  <c r="AG50" i="8" s="1"/>
  <c r="X61" i="12"/>
  <c r="T50" i="8" s="1"/>
  <c r="N59" i="12"/>
  <c r="J48" i="8" s="1"/>
  <c r="I59" i="12"/>
  <c r="E48" i="8" s="1"/>
  <c r="L59" i="12"/>
  <c r="H48" i="8" s="1"/>
  <c r="AI57" i="12"/>
  <c r="AE46" i="8" s="1"/>
  <c r="H57" i="12"/>
  <c r="D46" i="8" s="1"/>
  <c r="AI56" i="12"/>
  <c r="AC56" i="12"/>
  <c r="V50" i="12"/>
  <c r="R39" i="8" s="1"/>
  <c r="V54" i="12"/>
  <c r="R43" i="8" s="1"/>
  <c r="V58" i="12"/>
  <c r="R47" i="8" s="1"/>
  <c r="V41" i="12"/>
  <c r="V72" i="12"/>
  <c r="R61" i="8" s="1"/>
  <c r="V62" i="12"/>
  <c r="R51" i="8" s="1"/>
  <c r="V47" i="12"/>
  <c r="R36" i="8" s="1"/>
  <c r="V55" i="12"/>
  <c r="R44" i="8" s="1"/>
  <c r="V60" i="12"/>
  <c r="R49" i="8" s="1"/>
  <c r="V52" i="12"/>
  <c r="R41" i="8" s="1"/>
  <c r="V49" i="12"/>
  <c r="R38" i="8" s="1"/>
  <c r="V53" i="12"/>
  <c r="V56" i="12"/>
  <c r="V64" i="12"/>
  <c r="R53" i="8" s="1"/>
  <c r="V48" i="12"/>
  <c r="R37" i="8" s="1"/>
  <c r="V51" i="12"/>
  <c r="R40" i="8" s="1"/>
  <c r="AB50" i="12"/>
  <c r="X39" i="8" s="1"/>
  <c r="AB58" i="12"/>
  <c r="X47" i="8" s="1"/>
  <c r="AB56" i="12"/>
  <c r="AB54" i="12"/>
  <c r="X43" i="8" s="1"/>
  <c r="AB72" i="12"/>
  <c r="X61" i="8" s="1"/>
  <c r="AB47" i="12"/>
  <c r="X36" i="8" s="1"/>
  <c r="AB62" i="12"/>
  <c r="X51" i="8" s="1"/>
  <c r="AB49" i="12"/>
  <c r="X38" i="8" s="1"/>
  <c r="AB52" i="12"/>
  <c r="X41" i="8" s="1"/>
  <c r="AB64" i="12"/>
  <c r="X53" i="8" s="1"/>
  <c r="AB48" i="12"/>
  <c r="X37" i="8" s="1"/>
  <c r="AB53" i="12"/>
  <c r="AB55" i="12"/>
  <c r="X44" i="8" s="1"/>
  <c r="AB68" i="12"/>
  <c r="X57" i="8" s="1"/>
  <c r="AB70" i="12"/>
  <c r="X59" i="8" s="1"/>
  <c r="AB74" i="12"/>
  <c r="X63" i="8" s="1"/>
  <c r="L74" i="12"/>
  <c r="H63" i="8" s="1"/>
  <c r="N74" i="12"/>
  <c r="J63" i="8" s="1"/>
  <c r="AH74" i="12"/>
  <c r="AD63" i="8" s="1"/>
  <c r="Y72" i="12"/>
  <c r="U61" i="8" s="1"/>
  <c r="AI72" i="12"/>
  <c r="AE61" i="8" s="1"/>
  <c r="T70" i="12"/>
  <c r="P59" i="8" s="1"/>
  <c r="V70" i="12"/>
  <c r="R59" i="8" s="1"/>
  <c r="G68" i="12"/>
  <c r="C57" i="8" s="1"/>
  <c r="J64" i="12"/>
  <c r="F53" i="8" s="1"/>
  <c r="AC51" i="12"/>
  <c r="Y40" i="8" s="1"/>
  <c r="AI49" i="12"/>
  <c r="AE38" i="8" s="1"/>
  <c r="AF50" i="12"/>
  <c r="AB39" i="8" s="1"/>
  <c r="J48" i="12"/>
  <c r="F37" i="8" s="1"/>
  <c r="Z46" i="12"/>
  <c r="V35" i="8" s="1"/>
  <c r="X67" i="11"/>
  <c r="T24" i="8" s="1"/>
  <c r="X65" i="11"/>
  <c r="T22" i="8" s="1"/>
  <c r="S41" i="11"/>
  <c r="Y59" i="11"/>
  <c r="U16" i="8" s="1"/>
  <c r="P59" i="12"/>
  <c r="L48" i="8" s="1"/>
  <c r="S41" i="12"/>
  <c r="Q51" i="12"/>
  <c r="M40" i="8" s="1"/>
  <c r="Q60" i="12"/>
  <c r="M49" i="8" s="1"/>
  <c r="Q49" i="12"/>
  <c r="M38" i="8" s="1"/>
  <c r="Q70" i="12"/>
  <c r="M59" i="8" s="1"/>
  <c r="Q48" i="12"/>
  <c r="M37" i="8" s="1"/>
  <c r="Q52" i="12"/>
  <c r="M41" i="8" s="1"/>
  <c r="Q54" i="12"/>
  <c r="M43" i="8" s="1"/>
  <c r="Q58" i="12"/>
  <c r="M47" i="8" s="1"/>
  <c r="Q53" i="12"/>
  <c r="Q64" i="12"/>
  <c r="M53" i="8" s="1"/>
  <c r="Q66" i="12"/>
  <c r="M55" i="8" s="1"/>
  <c r="Q46" i="12"/>
  <c r="M35" i="8" s="1"/>
  <c r="Q62" i="12"/>
  <c r="M51" i="8" s="1"/>
  <c r="Q55" i="12"/>
  <c r="M44" i="8" s="1"/>
  <c r="Q50" i="12"/>
  <c r="M39" i="8" s="1"/>
  <c r="Q72" i="12"/>
  <c r="M61" i="8" s="1"/>
  <c r="Q56" i="12"/>
  <c r="W49" i="12"/>
  <c r="S38" i="8" s="1"/>
  <c r="W48" i="12"/>
  <c r="S37" i="8" s="1"/>
  <c r="W58" i="12"/>
  <c r="S47" i="8" s="1"/>
  <c r="W64" i="12"/>
  <c r="S53" i="8" s="1"/>
  <c r="W46" i="12"/>
  <c r="S35" i="8" s="1"/>
  <c r="W66" i="12"/>
  <c r="S55" i="8" s="1"/>
  <c r="W70" i="12"/>
  <c r="S59" i="8" s="1"/>
  <c r="W50" i="12"/>
  <c r="S39" i="8" s="1"/>
  <c r="W52" i="12"/>
  <c r="S41" i="8" s="1"/>
  <c r="W62" i="12"/>
  <c r="S51" i="8" s="1"/>
  <c r="W54" i="12"/>
  <c r="S43" i="8" s="1"/>
  <c r="W56" i="12"/>
  <c r="W47" i="12"/>
  <c r="S36" i="8" s="1"/>
  <c r="W53" i="12"/>
  <c r="W55" i="12"/>
  <c r="S44" i="8" s="1"/>
  <c r="W74" i="12"/>
  <c r="S63" i="8" s="1"/>
  <c r="AC62" i="12"/>
  <c r="Y51" i="8" s="1"/>
  <c r="AC49" i="12"/>
  <c r="Y38" i="8" s="1"/>
  <c r="AC53" i="12"/>
  <c r="AC64" i="12"/>
  <c r="Y53" i="8" s="1"/>
  <c r="AC48" i="12"/>
  <c r="Y37" i="8" s="1"/>
  <c r="AC46" i="12"/>
  <c r="Y35" i="8" s="1"/>
  <c r="AC66" i="12"/>
  <c r="Y55" i="8" s="1"/>
  <c r="AC68" i="12"/>
  <c r="Y57" i="8" s="1"/>
  <c r="AC50" i="12"/>
  <c r="Y39" i="8" s="1"/>
  <c r="AC52" i="12"/>
  <c r="Y41" i="8" s="1"/>
  <c r="AC58" i="12"/>
  <c r="Y47" i="8" s="1"/>
  <c r="AC41" i="12"/>
  <c r="S73" i="12"/>
  <c r="O62" i="8" s="1"/>
  <c r="O71" i="12"/>
  <c r="K60" i="8" s="1"/>
  <c r="Q71" i="12"/>
  <c r="M60" i="8" s="1"/>
  <c r="S69" i="12"/>
  <c r="O58" i="8" s="1"/>
  <c r="AC67" i="12"/>
  <c r="Y56" i="8" s="1"/>
  <c r="O67" i="12"/>
  <c r="K56" i="8" s="1"/>
  <c r="Q67" i="12"/>
  <c r="M56" i="8" s="1"/>
  <c r="S67" i="12"/>
  <c r="O56" i="8" s="1"/>
  <c r="P63" i="12"/>
  <c r="L52" i="8" s="1"/>
  <c r="Q59" i="12"/>
  <c r="M48" i="8" s="1"/>
  <c r="AC57" i="12"/>
  <c r="Y46" i="8" s="1"/>
  <c r="P57" i="12"/>
  <c r="L46" i="8" s="1"/>
  <c r="J56" i="12"/>
  <c r="N46" i="12"/>
  <c r="J35" i="8" s="1"/>
  <c r="N50" i="12"/>
  <c r="J39" i="8" s="1"/>
  <c r="N52" i="12"/>
  <c r="J41" i="8" s="1"/>
  <c r="N41" i="12"/>
  <c r="N72" i="12"/>
  <c r="J61" i="8" s="1"/>
  <c r="N58" i="12"/>
  <c r="J47" i="8" s="1"/>
  <c r="N47" i="12"/>
  <c r="J36" i="8" s="1"/>
  <c r="N51" i="12"/>
  <c r="J40" i="8" s="1"/>
  <c r="N55" i="12"/>
  <c r="J44" i="8" s="1"/>
  <c r="N60" i="12"/>
  <c r="J49" i="8" s="1"/>
  <c r="N62" i="12"/>
  <c r="J51" i="8" s="1"/>
  <c r="N54" i="12"/>
  <c r="J43" i="8" s="1"/>
  <c r="N49" i="12"/>
  <c r="J38" i="8" s="1"/>
  <c r="N53" i="12"/>
  <c r="N56" i="12"/>
  <c r="N64" i="12"/>
  <c r="J53" i="8" s="1"/>
  <c r="T46" i="12"/>
  <c r="P35" i="8" s="1"/>
  <c r="T60" i="12"/>
  <c r="P49" i="8" s="1"/>
  <c r="T50" i="12"/>
  <c r="P39" i="8" s="1"/>
  <c r="T58" i="12"/>
  <c r="P47" i="8" s="1"/>
  <c r="T56" i="12"/>
  <c r="T54" i="12"/>
  <c r="P43" i="8" s="1"/>
  <c r="T47" i="12"/>
  <c r="P36" i="8" s="1"/>
  <c r="T53" i="12"/>
  <c r="T62" i="12"/>
  <c r="P51" i="8" s="1"/>
  <c r="T49" i="12"/>
  <c r="P38" i="8" s="1"/>
  <c r="T51" i="12"/>
  <c r="P40" i="8" s="1"/>
  <c r="T52" i="12"/>
  <c r="P41" i="8" s="1"/>
  <c r="T64" i="12"/>
  <c r="P53" i="8" s="1"/>
  <c r="M74" i="12"/>
  <c r="I63" i="8" s="1"/>
  <c r="V74" i="12"/>
  <c r="R63" i="8" s="1"/>
  <c r="K74" i="12"/>
  <c r="G63" i="8" s="1"/>
  <c r="L72" i="12"/>
  <c r="H61" i="8" s="1"/>
  <c r="F72" i="12"/>
  <c r="B61" i="8" s="1"/>
  <c r="AK70" i="12"/>
  <c r="AG59" i="8" s="1"/>
  <c r="G70" i="12"/>
  <c r="C59" i="8" s="1"/>
  <c r="H68" i="12"/>
  <c r="D57" i="8" s="1"/>
  <c r="AH68" i="12"/>
  <c r="AD57" i="8" s="1"/>
  <c r="AB66" i="12"/>
  <c r="X55" i="8" s="1"/>
  <c r="J66" i="12"/>
  <c r="F55" i="8" s="1"/>
  <c r="AH64" i="12"/>
  <c r="AD53" i="8" s="1"/>
  <c r="G56" i="12"/>
  <c r="T55" i="12"/>
  <c r="P44" i="8" s="1"/>
  <c r="W51" i="12"/>
  <c r="S40" i="8" s="1"/>
  <c r="AK49" i="12"/>
  <c r="AG38" i="8" s="1"/>
  <c r="Z54" i="12"/>
  <c r="V43" i="8" s="1"/>
  <c r="AH50" i="12"/>
  <c r="AD39" i="8" s="1"/>
  <c r="AB46" i="12"/>
  <c r="X35" i="8" s="1"/>
  <c r="X57" i="11"/>
  <c r="T14" i="8" s="1"/>
  <c r="X53" i="11"/>
  <c r="T10" i="8" s="1"/>
  <c r="X60" i="11"/>
  <c r="T17" i="8" s="1"/>
  <c r="X66" i="11"/>
  <c r="T23" i="8" s="1"/>
  <c r="X58" i="11"/>
  <c r="T15" i="8" s="1"/>
  <c r="AK60" i="12"/>
  <c r="AG49" i="8" s="1"/>
  <c r="AB57" i="12"/>
  <c r="X46" i="8" s="1"/>
  <c r="I47" i="12"/>
  <c r="E36" i="8" s="1"/>
  <c r="I51" i="12"/>
  <c r="E40" i="8" s="1"/>
  <c r="I60" i="12"/>
  <c r="E49" i="8" s="1"/>
  <c r="I68" i="12"/>
  <c r="E57" i="8" s="1"/>
  <c r="I70" i="12"/>
  <c r="E59" i="8" s="1"/>
  <c r="I54" i="12"/>
  <c r="E43" i="8" s="1"/>
  <c r="I49" i="12"/>
  <c r="E38" i="8" s="1"/>
  <c r="I55" i="12"/>
  <c r="E44" i="8" s="1"/>
  <c r="I48" i="12"/>
  <c r="E37" i="8" s="1"/>
  <c r="I64" i="12"/>
  <c r="E53" i="8" s="1"/>
  <c r="I52" i="12"/>
  <c r="E41" i="8" s="1"/>
  <c r="I58" i="12"/>
  <c r="E47" i="8" s="1"/>
  <c r="I46" i="12"/>
  <c r="E35" i="8" s="1"/>
  <c r="I53" i="12"/>
  <c r="I72" i="12"/>
  <c r="E61" i="8" s="1"/>
  <c r="I50" i="12"/>
  <c r="E39" i="8" s="1"/>
  <c r="I62" i="12"/>
  <c r="E51" i="8" s="1"/>
  <c r="O51" i="12"/>
  <c r="K40" i="8" s="1"/>
  <c r="O61" i="12"/>
  <c r="K50" i="8" s="1"/>
  <c r="O60" i="12"/>
  <c r="K49" i="8" s="1"/>
  <c r="O49" i="12"/>
  <c r="K38" i="8" s="1"/>
  <c r="O53" i="12"/>
  <c r="O68" i="12"/>
  <c r="K57" i="8" s="1"/>
  <c r="O48" i="12"/>
  <c r="K37" i="8" s="1"/>
  <c r="O58" i="12"/>
  <c r="K47" i="8" s="1"/>
  <c r="O64" i="12"/>
  <c r="K53" i="8" s="1"/>
  <c r="O46" i="12"/>
  <c r="K35" i="8" s="1"/>
  <c r="O66" i="12"/>
  <c r="K55" i="8" s="1"/>
  <c r="O50" i="12"/>
  <c r="K39" i="8" s="1"/>
  <c r="O54" i="12"/>
  <c r="K43" i="8" s="1"/>
  <c r="O62" i="12"/>
  <c r="K51" i="8" s="1"/>
  <c r="O72" i="12"/>
  <c r="K61" i="8" s="1"/>
  <c r="O52" i="12"/>
  <c r="K41" i="8" s="1"/>
  <c r="O56" i="12"/>
  <c r="U52" i="12"/>
  <c r="Q41" i="8" s="1"/>
  <c r="U54" i="12"/>
  <c r="Q43" i="8" s="1"/>
  <c r="U47" i="12"/>
  <c r="Q36" i="8" s="1"/>
  <c r="U55" i="12"/>
  <c r="Q44" i="8" s="1"/>
  <c r="U62" i="12"/>
  <c r="Q51" i="8" s="1"/>
  <c r="U49" i="12"/>
  <c r="Q38" i="8" s="1"/>
  <c r="U53" i="12"/>
  <c r="U72" i="12"/>
  <c r="Q61" i="8" s="1"/>
  <c r="U51" i="12"/>
  <c r="Q40" i="8" s="1"/>
  <c r="U64" i="12"/>
  <c r="Q53" i="8" s="1"/>
  <c r="U48" i="12"/>
  <c r="Q37" i="8" s="1"/>
  <c r="U46" i="12"/>
  <c r="Q35" i="8" s="1"/>
  <c r="U50" i="12"/>
  <c r="Q39" i="8" s="1"/>
  <c r="U68" i="12"/>
  <c r="Q57" i="8" s="1"/>
  <c r="U70" i="12"/>
  <c r="Q59" i="8" s="1"/>
  <c r="U58" i="12"/>
  <c r="Q47" i="8" s="1"/>
  <c r="U41" i="12"/>
  <c r="U57" i="12"/>
  <c r="Q46" i="8" s="1"/>
  <c r="AA73" i="12"/>
  <c r="W62" i="8" s="1"/>
  <c r="AI73" i="12"/>
  <c r="AE62" i="8" s="1"/>
  <c r="L73" i="12"/>
  <c r="H62" i="8" s="1"/>
  <c r="H73" i="12"/>
  <c r="D62" i="8" s="1"/>
  <c r="AE71" i="12"/>
  <c r="AA60" i="8" s="1"/>
  <c r="G71" i="12"/>
  <c r="C60" i="8" s="1"/>
  <c r="Y71" i="12"/>
  <c r="U60" i="8" s="1"/>
  <c r="AC71" i="12"/>
  <c r="Y60" i="8" s="1"/>
  <c r="AA69" i="12"/>
  <c r="W58" i="8" s="1"/>
  <c r="AI69" i="12"/>
  <c r="AE58" i="8" s="1"/>
  <c r="M69" i="12"/>
  <c r="I58" i="8" s="1"/>
  <c r="I69" i="12"/>
  <c r="E58" i="8" s="1"/>
  <c r="AK67" i="12"/>
  <c r="AG56" i="8" s="1"/>
  <c r="W67" i="12"/>
  <c r="S56" i="8" s="1"/>
  <c r="Y67" i="12"/>
  <c r="U56" i="8" s="1"/>
  <c r="AA67" i="12"/>
  <c r="W56" i="8" s="1"/>
  <c r="Q65" i="12"/>
  <c r="M54" i="8" s="1"/>
  <c r="S65" i="12"/>
  <c r="O54" i="8" s="1"/>
  <c r="U65" i="12"/>
  <c r="Q54" i="8" s="1"/>
  <c r="G65" i="12"/>
  <c r="C54" i="8" s="1"/>
  <c r="AD63" i="12"/>
  <c r="Z52" i="8" s="1"/>
  <c r="X63" i="12"/>
  <c r="T52" i="8" s="1"/>
  <c r="Z63" i="12"/>
  <c r="V52" i="8" s="1"/>
  <c r="Q61" i="12"/>
  <c r="M50" i="8" s="1"/>
  <c r="S61" i="12"/>
  <c r="O50" i="8" s="1"/>
  <c r="N61" i="12"/>
  <c r="J50" i="8" s="1"/>
  <c r="AD59" i="12"/>
  <c r="Z48" i="8" s="1"/>
  <c r="Y59" i="12"/>
  <c r="U48" i="8" s="1"/>
  <c r="R57" i="12"/>
  <c r="N46" i="8" s="1"/>
  <c r="AK57" i="12"/>
  <c r="AG46" i="8" s="1"/>
  <c r="X57" i="12"/>
  <c r="T46" i="8" s="1"/>
  <c r="AI48" i="12"/>
  <c r="AE37" i="8" s="1"/>
  <c r="F48" i="12"/>
  <c r="B37" i="8" s="1"/>
  <c r="L48" i="12"/>
  <c r="H37" i="8" s="1"/>
  <c r="AC74" i="12"/>
  <c r="Y63" i="8" s="1"/>
  <c r="AL74" i="12"/>
  <c r="AH63" i="8" s="1"/>
  <c r="S74" i="12"/>
  <c r="O63" i="8" s="1"/>
  <c r="AC72" i="12"/>
  <c r="Y61" i="8" s="1"/>
  <c r="AD72" i="12"/>
  <c r="Z61" i="8" s="1"/>
  <c r="H70" i="12"/>
  <c r="D59" i="8" s="1"/>
  <c r="O70" i="12"/>
  <c r="K59" i="8" s="1"/>
  <c r="Q68" i="12"/>
  <c r="M57" i="8" s="1"/>
  <c r="S68" i="12"/>
  <c r="O57" i="8" s="1"/>
  <c r="U66" i="12"/>
  <c r="Q55" i="8" s="1"/>
  <c r="R66" i="12"/>
  <c r="N55" i="8" s="1"/>
  <c r="I56" i="12"/>
  <c r="Y51" i="12"/>
  <c r="U40" i="8" s="1"/>
  <c r="K58" i="12"/>
  <c r="G47" i="8" s="1"/>
  <c r="AJ50" i="12"/>
  <c r="AF39" i="8" s="1"/>
  <c r="V46" i="12"/>
  <c r="R35" i="8" s="1"/>
  <c r="X74" i="11"/>
  <c r="X61" i="11"/>
  <c r="T18" i="8" s="1"/>
  <c r="L57" i="12"/>
  <c r="H46" i="8" s="1"/>
  <c r="T61" i="12"/>
  <c r="P50" i="8" s="1"/>
  <c r="G47" i="12"/>
  <c r="C36" i="8" s="1"/>
  <c r="G55" i="12"/>
  <c r="C44" i="8" s="1"/>
  <c r="G51" i="12"/>
  <c r="C40" i="8" s="1"/>
  <c r="G60" i="12"/>
  <c r="C49" i="8" s="1"/>
  <c r="G49" i="12"/>
  <c r="C38" i="8" s="1"/>
  <c r="G48" i="12"/>
  <c r="C37" i="8" s="1"/>
  <c r="G58" i="12"/>
  <c r="C47" i="8" s="1"/>
  <c r="G53" i="12"/>
  <c r="G64" i="12"/>
  <c r="C53" i="8" s="1"/>
  <c r="G46" i="12"/>
  <c r="C35" i="8" s="1"/>
  <c r="G54" i="12"/>
  <c r="C43" i="8" s="1"/>
  <c r="G50" i="12"/>
  <c r="C39" i="8" s="1"/>
  <c r="G62" i="12"/>
  <c r="C51" i="8" s="1"/>
  <c r="G72" i="12"/>
  <c r="C61" i="8" s="1"/>
  <c r="M54" i="12"/>
  <c r="I43" i="8" s="1"/>
  <c r="M51" i="12"/>
  <c r="I40" i="8" s="1"/>
  <c r="M47" i="12"/>
  <c r="I36" i="8" s="1"/>
  <c r="M55" i="12"/>
  <c r="I44" i="8" s="1"/>
  <c r="M72" i="12"/>
  <c r="I61" i="8" s="1"/>
  <c r="M62" i="12"/>
  <c r="I51" i="8" s="1"/>
  <c r="M49" i="12"/>
  <c r="I38" i="8" s="1"/>
  <c r="M64" i="12"/>
  <c r="I53" i="8" s="1"/>
  <c r="M48" i="12"/>
  <c r="I37" i="8" s="1"/>
  <c r="M52" i="12"/>
  <c r="I41" i="8" s="1"/>
  <c r="M53" i="12"/>
  <c r="M46" i="12"/>
  <c r="I35" i="8" s="1"/>
  <c r="M66" i="12"/>
  <c r="I55" i="8" s="1"/>
  <c r="M70" i="12"/>
  <c r="I59" i="8" s="1"/>
  <c r="M50" i="12"/>
  <c r="I39" i="8" s="1"/>
  <c r="F73" i="12"/>
  <c r="B62" i="8" s="1"/>
  <c r="T73" i="12"/>
  <c r="P62" i="8" s="1"/>
  <c r="P73" i="12"/>
  <c r="L62" i="8" s="1"/>
  <c r="J71" i="12"/>
  <c r="F60" i="8" s="1"/>
  <c r="W71" i="12"/>
  <c r="S60" i="8" s="1"/>
  <c r="AK71" i="12"/>
  <c r="AG60" i="8" s="1"/>
  <c r="N69" i="12"/>
  <c r="J58" i="8" s="1"/>
  <c r="F69" i="12"/>
  <c r="B58" i="8" s="1"/>
  <c r="Q69" i="12"/>
  <c r="M58" i="8" s="1"/>
  <c r="F67" i="12"/>
  <c r="B56" i="8" s="1"/>
  <c r="AE67" i="12"/>
  <c r="AA56" i="8" s="1"/>
  <c r="AI67" i="12"/>
  <c r="AE56" i="8" s="1"/>
  <c r="Y65" i="12"/>
  <c r="U54" i="8" s="1"/>
  <c r="AA65" i="12"/>
  <c r="W54" i="8" s="1"/>
  <c r="AC65" i="12"/>
  <c r="Y54" i="8" s="1"/>
  <c r="M63" i="12"/>
  <c r="I52" i="8" s="1"/>
  <c r="AL63" i="12"/>
  <c r="AH52" i="8" s="1"/>
  <c r="AF63" i="12"/>
  <c r="AB52" i="8" s="1"/>
  <c r="AH63" i="12"/>
  <c r="AD52" i="8" s="1"/>
  <c r="Y61" i="12"/>
  <c r="U50" i="8" s="1"/>
  <c r="AA61" i="12"/>
  <c r="W50" i="8" s="1"/>
  <c r="M59" i="12"/>
  <c r="I48" i="8" s="1"/>
  <c r="AL59" i="12"/>
  <c r="AH48" i="8" s="1"/>
  <c r="Z57" i="12"/>
  <c r="V46" i="8" s="1"/>
  <c r="F57" i="12"/>
  <c r="B46" i="8" s="1"/>
  <c r="AF57" i="12"/>
  <c r="AB46" i="8" s="1"/>
  <c r="X41" i="12"/>
  <c r="R60" i="12"/>
  <c r="N49" i="8" s="1"/>
  <c r="AA62" i="12"/>
  <c r="W51" i="8" s="1"/>
  <c r="AA49" i="12"/>
  <c r="W38" i="8" s="1"/>
  <c r="AA53" i="12"/>
  <c r="AA48" i="12"/>
  <c r="W37" i="8" s="1"/>
  <c r="AA52" i="12"/>
  <c r="W41" i="8" s="1"/>
  <c r="AA64" i="12"/>
  <c r="W53" i="8" s="1"/>
  <c r="AA70" i="12"/>
  <c r="W59" i="8" s="1"/>
  <c r="AA46" i="12"/>
  <c r="W35" i="8" s="1"/>
  <c r="AA51" i="12"/>
  <c r="W40" i="8" s="1"/>
  <c r="AA55" i="12"/>
  <c r="W44" i="8" s="1"/>
  <c r="AA60" i="12"/>
  <c r="W49" i="8" s="1"/>
  <c r="AA66" i="12"/>
  <c r="W55" i="8" s="1"/>
  <c r="AA50" i="12"/>
  <c r="W39" i="8" s="1"/>
  <c r="AA58" i="12"/>
  <c r="W47" i="8" s="1"/>
  <c r="AA72" i="12"/>
  <c r="W61" i="8" s="1"/>
  <c r="AA54" i="12"/>
  <c r="W43" i="8" s="1"/>
  <c r="AA68" i="12"/>
  <c r="W57" i="8" s="1"/>
  <c r="AA74" i="12"/>
  <c r="W63" i="8" s="1"/>
  <c r="AG48" i="12"/>
  <c r="AC37" i="8" s="1"/>
  <c r="AG62" i="12"/>
  <c r="AC51" i="8" s="1"/>
  <c r="AG66" i="12"/>
  <c r="AC55" i="8" s="1"/>
  <c r="AG46" i="12"/>
  <c r="AC35" i="8" s="1"/>
  <c r="AG68" i="12"/>
  <c r="AC57" i="8" s="1"/>
  <c r="AG50" i="12"/>
  <c r="AC39" i="8" s="1"/>
  <c r="AG52" i="12"/>
  <c r="AC41" i="8" s="1"/>
  <c r="AG41" i="12"/>
  <c r="AG53" i="12"/>
  <c r="AG56" i="12"/>
  <c r="AG54" i="12"/>
  <c r="AC43" i="8" s="1"/>
  <c r="AG47" i="12"/>
  <c r="AC36" i="8" s="1"/>
  <c r="AG51" i="12"/>
  <c r="AC40" i="8" s="1"/>
  <c r="AG60" i="12"/>
  <c r="AC49" i="8" s="1"/>
  <c r="U74" i="12"/>
  <c r="Q63" i="8" s="1"/>
  <c r="P74" i="12"/>
  <c r="L63" i="8" s="1"/>
  <c r="G74" i="12"/>
  <c r="C63" i="8" s="1"/>
  <c r="AI74" i="12"/>
  <c r="AE63" i="8" s="1"/>
  <c r="P72" i="12"/>
  <c r="L61" i="8" s="1"/>
  <c r="AL72" i="12"/>
  <c r="AH61" i="8" s="1"/>
  <c r="Y70" i="12"/>
  <c r="U59" i="8" s="1"/>
  <c r="J70" i="12"/>
  <c r="F59" i="8" s="1"/>
  <c r="T68" i="12"/>
  <c r="P57" i="8" s="1"/>
  <c r="V68" i="12"/>
  <c r="R57" i="8" s="1"/>
  <c r="N66" i="12"/>
  <c r="J55" i="8" s="1"/>
  <c r="F64" i="12"/>
  <c r="B53" i="8" s="1"/>
  <c r="S53" i="12"/>
  <c r="AB51" i="12"/>
  <c r="X40" i="8" s="1"/>
  <c r="AA47" i="12"/>
  <c r="W36" i="8" s="1"/>
  <c r="M58" i="12"/>
  <c r="I47" i="8" s="1"/>
  <c r="AI52" i="12"/>
  <c r="AE41" i="8" s="1"/>
  <c r="AD50" i="12"/>
  <c r="Z39" i="8" s="1"/>
  <c r="L49" i="12"/>
  <c r="H38" i="8" s="1"/>
  <c r="AI47" i="12"/>
  <c r="AE36" i="8" s="1"/>
  <c r="L62" i="12"/>
  <c r="H51" i="8" s="1"/>
  <c r="AL62" i="12"/>
  <c r="AH51" i="8" s="1"/>
  <c r="F58" i="12"/>
  <c r="B47" i="8" s="1"/>
  <c r="F54" i="12"/>
  <c r="B43" i="8" s="1"/>
  <c r="AL50" i="12"/>
  <c r="AH39" i="8" s="1"/>
  <c r="AL70" i="12"/>
  <c r="AH59" i="8" s="1"/>
  <c r="F68" i="12"/>
  <c r="B57" i="8" s="1"/>
  <c r="AI68" i="12"/>
  <c r="AE57" i="8" s="1"/>
  <c r="AL66" i="12"/>
  <c r="AH55" i="8" s="1"/>
  <c r="F60" i="12"/>
  <c r="B49" i="8" s="1"/>
  <c r="AI55" i="12"/>
  <c r="AE44" i="8" s="1"/>
  <c r="F55" i="12"/>
  <c r="B44" i="8" s="1"/>
  <c r="F51" i="12"/>
  <c r="B40" i="8" s="1"/>
  <c r="L47" i="12"/>
  <c r="H36" i="8" s="1"/>
  <c r="F47" i="12"/>
  <c r="B36" i="8" s="1"/>
  <c r="AL58" i="12"/>
  <c r="AH47" i="8" s="1"/>
  <c r="AI54" i="12"/>
  <c r="AE43" i="8" s="1"/>
  <c r="AL46" i="12"/>
  <c r="AH35" i="8" s="1"/>
  <c r="AL51" i="12"/>
  <c r="AH40" i="8" s="1"/>
  <c r="AI58" i="12"/>
  <c r="AE47" i="8" s="1"/>
  <c r="L54" i="12"/>
  <c r="H43" i="8" s="1"/>
  <c r="AL48" i="12"/>
  <c r="AH37" i="8" s="1"/>
  <c r="AL64" i="12"/>
  <c r="AH53" i="8" s="1"/>
  <c r="L56" i="12"/>
  <c r="AL56" i="12"/>
  <c r="AL53" i="12"/>
  <c r="L51" i="12"/>
  <c r="H40" i="8" s="1"/>
  <c r="AL49" i="12"/>
  <c r="AH38" i="8" s="1"/>
  <c r="F41" i="12"/>
  <c r="L58" i="12"/>
  <c r="H47" i="8" s="1"/>
  <c r="AL54" i="12"/>
  <c r="AH43" i="8" s="1"/>
  <c r="F52" i="12"/>
  <c r="B41" i="8" s="1"/>
  <c r="AI50" i="12"/>
  <c r="AE39" i="8" s="1"/>
  <c r="AL68" i="12"/>
  <c r="AH57" i="8" s="1"/>
  <c r="AI66" i="12"/>
  <c r="AE55" i="8" s="1"/>
  <c r="AI60" i="12"/>
  <c r="AE49" i="8" s="1"/>
  <c r="AI51" i="12"/>
  <c r="AE40" i="8" s="1"/>
  <c r="L50" i="12"/>
  <c r="H39" i="8" s="1"/>
  <c r="F50" i="12"/>
  <c r="B39" i="8" s="1"/>
  <c r="AI46" i="12"/>
  <c r="AE35" i="8" s="1"/>
  <c r="F70" i="12"/>
  <c r="B59" i="8" s="1"/>
  <c r="AI70" i="12"/>
  <c r="AE59" i="8" s="1"/>
  <c r="L68" i="12"/>
  <c r="H57" i="8" s="1"/>
  <c r="L66" i="12"/>
  <c r="H55" i="8" s="1"/>
  <c r="F66" i="12"/>
  <c r="B55" i="8" s="1"/>
  <c r="L60" i="12"/>
  <c r="H49" i="8" s="1"/>
  <c r="AL60" i="12"/>
  <c r="AH49" i="8" s="1"/>
  <c r="AI63" i="12"/>
  <c r="AE52" i="8" s="1"/>
  <c r="AL55" i="12"/>
  <c r="AH44" i="8" s="1"/>
  <c r="AL47" i="12"/>
  <c r="AH36" i="8" s="1"/>
  <c r="L46" i="12"/>
  <c r="H35" i="8" s="1"/>
  <c r="F46" i="12"/>
  <c r="B35" i="8" s="1"/>
  <c r="AI64" i="12"/>
  <c r="AE53" i="8" s="1"/>
  <c r="L55" i="12"/>
  <c r="H44" i="8" s="1"/>
  <c r="AI53" i="12"/>
  <c r="T41" i="11"/>
  <c r="V63" i="11"/>
  <c r="R20" i="8" s="1"/>
  <c r="L57" i="11"/>
  <c r="H14" i="8" s="1"/>
  <c r="J68" i="11"/>
  <c r="F25" i="8" s="1"/>
  <c r="AH70" i="11"/>
  <c r="AD27" i="8" s="1"/>
  <c r="Q41" i="11"/>
  <c r="AC41" i="11"/>
  <c r="F67" i="11"/>
  <c r="B24" i="8" s="1"/>
  <c r="N63" i="11"/>
  <c r="J20" i="8" s="1"/>
  <c r="Y73" i="11"/>
  <c r="AG74" i="11"/>
  <c r="G63" i="11"/>
  <c r="C20" i="8" s="1"/>
  <c r="AJ56" i="11"/>
  <c r="AI62" i="11"/>
  <c r="AE19" i="8" s="1"/>
  <c r="K53" i="11"/>
  <c r="G10" i="8" s="1"/>
  <c r="H49" i="11"/>
  <c r="D6" i="8" s="1"/>
  <c r="G67" i="11"/>
  <c r="C24" i="8" s="1"/>
  <c r="K67" i="11"/>
  <c r="G24" i="8" s="1"/>
  <c r="M69" i="11"/>
  <c r="I26" i="8" s="1"/>
  <c r="K68" i="11"/>
  <c r="G25" i="8" s="1"/>
  <c r="F54" i="11"/>
  <c r="B11" i="8" s="1"/>
  <c r="I49" i="11"/>
  <c r="E6" i="8" s="1"/>
  <c r="AH47" i="11"/>
  <c r="AD4" i="8" s="1"/>
  <c r="S58" i="11"/>
  <c r="O15" i="8" s="1"/>
  <c r="R63" i="11"/>
  <c r="N20" i="8" s="1"/>
  <c r="Q63" i="11"/>
  <c r="M20" i="8" s="1"/>
  <c r="T51" i="11"/>
  <c r="P8" i="8" s="1"/>
  <c r="M49" i="11"/>
  <c r="I6" i="8" s="1"/>
  <c r="AL74" i="11"/>
  <c r="J60" i="11"/>
  <c r="F17" i="8" s="1"/>
  <c r="J67" i="11"/>
  <c r="F24" i="8" s="1"/>
  <c r="M47" i="11"/>
  <c r="I4" i="8" s="1"/>
  <c r="AB55" i="11"/>
  <c r="X12" i="8" s="1"/>
  <c r="Z72" i="11"/>
  <c r="AH63" i="11"/>
  <c r="AD20" i="8" s="1"/>
  <c r="J57" i="11"/>
  <c r="F14" i="8" s="1"/>
  <c r="AH54" i="11"/>
  <c r="AD11" i="8" s="1"/>
  <c r="J63" i="11"/>
  <c r="F20" i="8" s="1"/>
  <c r="AH49" i="11"/>
  <c r="AD6" i="8" s="1"/>
  <c r="AH67" i="11"/>
  <c r="AD24" i="8" s="1"/>
  <c r="AA57" i="11"/>
  <c r="W14" i="8" s="1"/>
  <c r="S74" i="11"/>
  <c r="AJ70" i="11"/>
  <c r="AF27" i="8" s="1"/>
  <c r="Y69" i="11"/>
  <c r="U26" i="8" s="1"/>
  <c r="AG49" i="11"/>
  <c r="AC6" i="8" s="1"/>
  <c r="AG64" i="11"/>
  <c r="AC21" i="8" s="1"/>
  <c r="M67" i="11"/>
  <c r="I24" i="8" s="1"/>
  <c r="AK59" i="11"/>
  <c r="AG16" i="8" s="1"/>
  <c r="AK47" i="11"/>
  <c r="AG4" i="8" s="1"/>
  <c r="AK57" i="11"/>
  <c r="AG14" i="8" s="1"/>
  <c r="O70" i="11"/>
  <c r="K27" i="8" s="1"/>
  <c r="AB61" i="11"/>
  <c r="X18" i="8" s="1"/>
  <c r="AJ74" i="11"/>
  <c r="Z66" i="11"/>
  <c r="V23" i="8" s="1"/>
  <c r="S62" i="11"/>
  <c r="O19" i="8" s="1"/>
  <c r="S61" i="11"/>
  <c r="O18" i="8" s="1"/>
  <c r="S53" i="11"/>
  <c r="O10" i="8" s="1"/>
  <c r="M53" i="11"/>
  <c r="I10" i="8" s="1"/>
  <c r="K57" i="11"/>
  <c r="G14" i="8" s="1"/>
  <c r="Q70" i="11"/>
  <c r="M27" i="8" s="1"/>
  <c r="S46" i="11"/>
  <c r="O67" i="11"/>
  <c r="K24" i="8" s="1"/>
  <c r="AA59" i="11"/>
  <c r="W16" i="8" s="1"/>
  <c r="M61" i="11"/>
  <c r="I18" i="8" s="1"/>
  <c r="O46" i="11"/>
  <c r="S66" i="11"/>
  <c r="O23" i="8" s="1"/>
  <c r="O59" i="11"/>
  <c r="K16" i="8" s="1"/>
  <c r="AI70" i="11"/>
  <c r="AE27" i="8" s="1"/>
  <c r="I41" i="11"/>
  <c r="K63" i="11"/>
  <c r="G20" i="8" s="1"/>
  <c r="T49" i="11"/>
  <c r="P6" i="8" s="1"/>
  <c r="AB41" i="11"/>
  <c r="S67" i="11"/>
  <c r="O24" i="8" s="1"/>
  <c r="N67" i="11"/>
  <c r="J24" i="8" s="1"/>
  <c r="G59" i="11"/>
  <c r="C16" i="8" s="1"/>
  <c r="Y47" i="11"/>
  <c r="U4" i="8" s="1"/>
  <c r="W41" i="11"/>
  <c r="AF69" i="11"/>
  <c r="AB26" i="8" s="1"/>
  <c r="AJ57" i="11"/>
  <c r="AF14" i="8" s="1"/>
  <c r="AE66" i="11"/>
  <c r="AA23" i="8" s="1"/>
  <c r="L74" i="11"/>
  <c r="S70" i="11"/>
  <c r="O27" i="8" s="1"/>
  <c r="Y64" i="11"/>
  <c r="U21" i="8" s="1"/>
  <c r="AF41" i="11"/>
  <c r="AK64" i="11"/>
  <c r="AG21" i="8" s="1"/>
  <c r="AD41" i="11"/>
  <c r="S59" i="11"/>
  <c r="O16" i="8" s="1"/>
  <c r="F50" i="11"/>
  <c r="B7" i="8" s="1"/>
  <c r="M41" i="11"/>
  <c r="AK63" i="11"/>
  <c r="AG20" i="8" s="1"/>
  <c r="Y63" i="11"/>
  <c r="U20" i="8" s="1"/>
  <c r="AJ49" i="11"/>
  <c r="AF6" i="8" s="1"/>
  <c r="Z54" i="11"/>
  <c r="V11" i="8" s="1"/>
  <c r="J71" i="11"/>
  <c r="F28" i="8" s="1"/>
  <c r="AK74" i="11"/>
  <c r="K70" i="11"/>
  <c r="G27" i="8" s="1"/>
  <c r="AH64" i="11"/>
  <c r="AD21" i="8" s="1"/>
  <c r="AA62" i="11"/>
  <c r="W19" i="8" s="1"/>
  <c r="AH51" i="11"/>
  <c r="AD8" i="8" s="1"/>
  <c r="J50" i="11"/>
  <c r="F7" i="8" s="1"/>
  <c r="K71" i="11"/>
  <c r="G28" i="8" s="1"/>
  <c r="Z63" i="11"/>
  <c r="V20" i="8" s="1"/>
  <c r="AB63" i="11"/>
  <c r="X20" i="8" s="1"/>
  <c r="S47" i="11"/>
  <c r="O4" i="8" s="1"/>
  <c r="AA67" i="11"/>
  <c r="W24" i="8" s="1"/>
  <c r="K59" i="11"/>
  <c r="G16" i="8" s="1"/>
  <c r="G41" i="11"/>
  <c r="M64" i="11"/>
  <c r="I21" i="8" s="1"/>
  <c r="Y57" i="11"/>
  <c r="U14" i="8" s="1"/>
  <c r="M60" i="11"/>
  <c r="I17" i="8" s="1"/>
  <c r="V59" i="11"/>
  <c r="R16" i="8" s="1"/>
  <c r="F70" i="11"/>
  <c r="B27" i="8" s="1"/>
  <c r="AJ64" i="11"/>
  <c r="AF21" i="8" s="1"/>
  <c r="G62" i="11"/>
  <c r="C19" i="8" s="1"/>
  <c r="AH56" i="11"/>
  <c r="S65" i="11"/>
  <c r="O22" i="8" s="1"/>
  <c r="S51" i="11"/>
  <c r="O8" i="8" s="1"/>
  <c r="S73" i="11"/>
  <c r="X71" i="11"/>
  <c r="T28" i="8" s="1"/>
  <c r="U59" i="11"/>
  <c r="Q16" i="8" s="1"/>
  <c r="S63" i="11"/>
  <c r="O20" i="8" s="1"/>
  <c r="AL63" i="11"/>
  <c r="AH20" i="8" s="1"/>
  <c r="AK49" i="11"/>
  <c r="AG6" i="8" s="1"/>
  <c r="T70" i="11"/>
  <c r="P27" i="8" s="1"/>
  <c r="AG67" i="11"/>
  <c r="AC24" i="8" s="1"/>
  <c r="AG59" i="11"/>
  <c r="AC16" i="8" s="1"/>
  <c r="AJ59" i="11"/>
  <c r="AF16" i="8" s="1"/>
  <c r="AH41" i="11"/>
  <c r="AG57" i="11"/>
  <c r="AC14" i="8" s="1"/>
  <c r="AG66" i="11"/>
  <c r="AC23" i="8" s="1"/>
  <c r="N64" i="11"/>
  <c r="J21" i="8" s="1"/>
  <c r="Z62" i="11"/>
  <c r="V19" i="8" s="1"/>
  <c r="S56" i="11"/>
  <c r="AG65" i="11"/>
  <c r="AC22" i="8" s="1"/>
  <c r="P73" i="11"/>
  <c r="I74" i="11"/>
  <c r="W63" i="11"/>
  <c r="S20" i="8" s="1"/>
  <c r="Z52" i="11"/>
  <c r="V9" i="8" s="1"/>
  <c r="AK66" i="11"/>
  <c r="AG23" i="8" s="1"/>
  <c r="AA73" i="11"/>
  <c r="S55" i="11"/>
  <c r="O12" i="8" s="1"/>
  <c r="V49" i="11"/>
  <c r="R6" i="8" s="1"/>
  <c r="AC68" i="11"/>
  <c r="Y25" i="8" s="1"/>
  <c r="AC71" i="11"/>
  <c r="Y28" i="8" s="1"/>
  <c r="AC65" i="11"/>
  <c r="Y22" i="8" s="1"/>
  <c r="AC50" i="11"/>
  <c r="Y7" i="8" s="1"/>
  <c r="AC63" i="11"/>
  <c r="Y20" i="8" s="1"/>
  <c r="AC61" i="11"/>
  <c r="Y18" i="8" s="1"/>
  <c r="AC52" i="11"/>
  <c r="Y9" i="8" s="1"/>
  <c r="AC60" i="11"/>
  <c r="Y17" i="8" s="1"/>
  <c r="AC64" i="11"/>
  <c r="Y21" i="8" s="1"/>
  <c r="AC66" i="11"/>
  <c r="Y23" i="8" s="1"/>
  <c r="AC56" i="11"/>
  <c r="W69" i="11"/>
  <c r="S26" i="8" s="1"/>
  <c r="AC69" i="11"/>
  <c r="Y26" i="8" s="1"/>
  <c r="W57" i="11"/>
  <c r="S14" i="8" s="1"/>
  <c r="R52" i="11"/>
  <c r="N9" i="8" s="1"/>
  <c r="R60" i="11"/>
  <c r="N17" i="8" s="1"/>
  <c r="R59" i="11"/>
  <c r="N16" i="8" s="1"/>
  <c r="R56" i="11"/>
  <c r="R65" i="11"/>
  <c r="N22" i="8" s="1"/>
  <c r="R58" i="11"/>
  <c r="N15" i="8" s="1"/>
  <c r="R57" i="11"/>
  <c r="N14" i="8" s="1"/>
  <c r="R47" i="11"/>
  <c r="N4" i="8" s="1"/>
  <c r="H74" i="11"/>
  <c r="R74" i="11"/>
  <c r="I68" i="11"/>
  <c r="E25" i="8" s="1"/>
  <c r="W58" i="11"/>
  <c r="S15" i="8" s="1"/>
  <c r="L51" i="11"/>
  <c r="H8" i="8" s="1"/>
  <c r="AF73" i="11"/>
  <c r="AL53" i="11"/>
  <c r="AH10" i="8" s="1"/>
  <c r="AC55" i="11"/>
  <c r="Y12" i="8" s="1"/>
  <c r="AC72" i="11"/>
  <c r="I59" i="11"/>
  <c r="E16" i="8" s="1"/>
  <c r="T47" i="11"/>
  <c r="P4" i="8" s="1"/>
  <c r="O50" i="11"/>
  <c r="K7" i="8" s="1"/>
  <c r="O72" i="11"/>
  <c r="O63" i="11"/>
  <c r="K20" i="8" s="1"/>
  <c r="O64" i="11"/>
  <c r="K21" i="8" s="1"/>
  <c r="O57" i="11"/>
  <c r="K14" i="8" s="1"/>
  <c r="O48" i="11"/>
  <c r="K5" i="8" s="1"/>
  <c r="O71" i="11"/>
  <c r="K28" i="8" s="1"/>
  <c r="O47" i="11"/>
  <c r="K4" i="8" s="1"/>
  <c r="O73" i="11"/>
  <c r="O52" i="11"/>
  <c r="K9" i="8" s="1"/>
  <c r="O58" i="11"/>
  <c r="K15" i="8" s="1"/>
  <c r="O49" i="11"/>
  <c r="K6" i="8" s="1"/>
  <c r="O60" i="11"/>
  <c r="K17" i="8" s="1"/>
  <c r="O62" i="11"/>
  <c r="K19" i="8" s="1"/>
  <c r="O66" i="11"/>
  <c r="K23" i="8" s="1"/>
  <c r="F63" i="11"/>
  <c r="B20" i="8" s="1"/>
  <c r="AI63" i="11"/>
  <c r="AE20" i="8" s="1"/>
  <c r="AG63" i="11"/>
  <c r="AC20" i="8" s="1"/>
  <c r="Y49" i="11"/>
  <c r="U6" i="8" s="1"/>
  <c r="AB49" i="11"/>
  <c r="X6" i="8" s="1"/>
  <c r="M70" i="11"/>
  <c r="I27" i="8" s="1"/>
  <c r="AJ51" i="11"/>
  <c r="AF8" i="8" s="1"/>
  <c r="K41" i="11"/>
  <c r="AD59" i="11"/>
  <c r="Z16" i="8" s="1"/>
  <c r="AD53" i="11"/>
  <c r="Z10" i="8" s="1"/>
  <c r="AD56" i="11"/>
  <c r="AD51" i="11"/>
  <c r="Z8" i="8" s="1"/>
  <c r="AD60" i="11"/>
  <c r="Z17" i="8" s="1"/>
  <c r="AD70" i="11"/>
  <c r="Z27" i="8" s="1"/>
  <c r="AD74" i="11"/>
  <c r="AD65" i="11"/>
  <c r="Z22" i="8" s="1"/>
  <c r="AD64" i="11"/>
  <c r="Z21" i="8" s="1"/>
  <c r="AD48" i="11"/>
  <c r="Z5" i="8" s="1"/>
  <c r="AD50" i="11"/>
  <c r="Z7" i="8" s="1"/>
  <c r="AD52" i="11"/>
  <c r="Z9" i="8" s="1"/>
  <c r="AD46" i="11"/>
  <c r="AD55" i="11"/>
  <c r="Z12" i="8" s="1"/>
  <c r="AD73" i="11"/>
  <c r="AD54" i="11"/>
  <c r="Z11" i="8" s="1"/>
  <c r="AD71" i="11"/>
  <c r="Z28" i="8" s="1"/>
  <c r="AD49" i="11"/>
  <c r="Z6" i="8" s="1"/>
  <c r="AD61" i="11"/>
  <c r="Z18" i="8" s="1"/>
  <c r="AD68" i="11"/>
  <c r="Z25" i="8" s="1"/>
  <c r="AD69" i="11"/>
  <c r="Z26" i="8" s="1"/>
  <c r="AE67" i="11"/>
  <c r="AA24" i="8" s="1"/>
  <c r="Z67" i="11"/>
  <c r="V24" i="8" s="1"/>
  <c r="AD67" i="11"/>
  <c r="Z24" i="8" s="1"/>
  <c r="M59" i="11"/>
  <c r="I16" i="8" s="1"/>
  <c r="F59" i="11"/>
  <c r="B16" i="8" s="1"/>
  <c r="AF59" i="11"/>
  <c r="AB16" i="8" s="1"/>
  <c r="F47" i="11"/>
  <c r="B4" i="8" s="1"/>
  <c r="F49" i="11"/>
  <c r="B6" i="8" s="1"/>
  <c r="F69" i="11"/>
  <c r="B26" i="8" s="1"/>
  <c r="J69" i="11"/>
  <c r="F26" i="8" s="1"/>
  <c r="Z57" i="11"/>
  <c r="V14" i="8" s="1"/>
  <c r="M57" i="11"/>
  <c r="I14" i="8" s="1"/>
  <c r="AE57" i="11"/>
  <c r="AA14" i="8" s="1"/>
  <c r="AI49" i="11"/>
  <c r="AE6" i="8" s="1"/>
  <c r="Z61" i="11"/>
  <c r="V18" i="8" s="1"/>
  <c r="F74" i="11"/>
  <c r="B31" i="8" s="1"/>
  <c r="AH74" i="11"/>
  <c r="N70" i="11"/>
  <c r="J27" i="8" s="1"/>
  <c r="AF70" i="11"/>
  <c r="AB27" i="8" s="1"/>
  <c r="M68" i="11"/>
  <c r="I25" i="8" s="1"/>
  <c r="AA68" i="11"/>
  <c r="W25" i="8" s="1"/>
  <c r="AF68" i="11"/>
  <c r="AB25" i="8" s="1"/>
  <c r="F66" i="11"/>
  <c r="B23" i="8" s="1"/>
  <c r="AH66" i="11"/>
  <c r="AD23" i="8" s="1"/>
  <c r="Z60" i="11"/>
  <c r="V17" i="8" s="1"/>
  <c r="O54" i="11"/>
  <c r="K11" i="8" s="1"/>
  <c r="J52" i="11"/>
  <c r="F9" i="8" s="1"/>
  <c r="U65" i="11"/>
  <c r="Q22" i="8" s="1"/>
  <c r="O61" i="11"/>
  <c r="K18" i="8" s="1"/>
  <c r="R41" i="11"/>
  <c r="AC51" i="11"/>
  <c r="Y8" i="8" s="1"/>
  <c r="L55" i="11"/>
  <c r="H12" i="8" s="1"/>
  <c r="O53" i="11"/>
  <c r="K10" i="8" s="1"/>
  <c r="F55" i="11"/>
  <c r="B12" i="8" s="1"/>
  <c r="Z46" i="11"/>
  <c r="U72" i="11"/>
  <c r="AE50" i="11"/>
  <c r="AA7" i="8" s="1"/>
  <c r="H48" i="11"/>
  <c r="D5" i="8" s="1"/>
  <c r="H73" i="11"/>
  <c r="H62" i="11"/>
  <c r="D19" i="8" s="1"/>
  <c r="H64" i="11"/>
  <c r="D21" i="8" s="1"/>
  <c r="H66" i="11"/>
  <c r="D23" i="8" s="1"/>
  <c r="H51" i="11"/>
  <c r="D8" i="8" s="1"/>
  <c r="H56" i="11"/>
  <c r="H72" i="11"/>
  <c r="H50" i="11"/>
  <c r="D7" i="8" s="1"/>
  <c r="H46" i="11"/>
  <c r="H55" i="11"/>
  <c r="D12" i="8" s="1"/>
  <c r="H61" i="11"/>
  <c r="D18" i="8" s="1"/>
  <c r="H54" i="11"/>
  <c r="D11" i="8" s="1"/>
  <c r="H67" i="11"/>
  <c r="D24" i="8" s="1"/>
  <c r="H47" i="11"/>
  <c r="D4" i="8" s="1"/>
  <c r="Y55" i="11"/>
  <c r="U12" i="8" s="1"/>
  <c r="Y54" i="11"/>
  <c r="U11" i="8" s="1"/>
  <c r="Y62" i="11"/>
  <c r="U19" i="8" s="1"/>
  <c r="Y71" i="11"/>
  <c r="U28" i="8" s="1"/>
  <c r="Y61" i="11"/>
  <c r="U18" i="8" s="1"/>
  <c r="Y52" i="11"/>
  <c r="U9" i="8" s="1"/>
  <c r="Y46" i="11"/>
  <c r="Y65" i="11"/>
  <c r="U22" i="8" s="1"/>
  <c r="Y51" i="11"/>
  <c r="U8" i="8" s="1"/>
  <c r="Y56" i="11"/>
  <c r="Y66" i="11"/>
  <c r="U23" i="8" s="1"/>
  <c r="Y68" i="11"/>
  <c r="U25" i="8" s="1"/>
  <c r="Y74" i="11"/>
  <c r="Y67" i="11"/>
  <c r="U24" i="8" s="1"/>
  <c r="G68" i="11"/>
  <c r="C25" i="8" s="1"/>
  <c r="G72" i="11"/>
  <c r="G46" i="11"/>
  <c r="G53" i="11"/>
  <c r="C10" i="8" s="1"/>
  <c r="G51" i="11"/>
  <c r="C8" i="8" s="1"/>
  <c r="G56" i="11"/>
  <c r="G60" i="11"/>
  <c r="C17" i="8" s="1"/>
  <c r="G70" i="11"/>
  <c r="C27" i="8" s="1"/>
  <c r="G61" i="11"/>
  <c r="C18" i="8" s="1"/>
  <c r="G50" i="11"/>
  <c r="C7" i="8" s="1"/>
  <c r="G55" i="11"/>
  <c r="C12" i="8" s="1"/>
  <c r="G73" i="11"/>
  <c r="G54" i="11"/>
  <c r="C11" i="8" s="1"/>
  <c r="G48" i="11"/>
  <c r="C5" i="8" s="1"/>
  <c r="G65" i="11"/>
  <c r="C22" i="8" s="1"/>
  <c r="G58" i="11"/>
  <c r="C15" i="8" s="1"/>
  <c r="G52" i="11"/>
  <c r="C9" i="8" s="1"/>
  <c r="H63" i="11"/>
  <c r="D20" i="8" s="1"/>
  <c r="L63" i="11"/>
  <c r="H20" i="8" s="1"/>
  <c r="W67" i="11"/>
  <c r="S24" i="8" s="1"/>
  <c r="G49" i="11"/>
  <c r="C6" i="8" s="1"/>
  <c r="O41" i="11"/>
  <c r="V72" i="11"/>
  <c r="V56" i="11"/>
  <c r="V52" i="11"/>
  <c r="R9" i="8" s="1"/>
  <c r="V58" i="11"/>
  <c r="R15" i="8" s="1"/>
  <c r="V48" i="11"/>
  <c r="R5" i="8" s="1"/>
  <c r="V46" i="11"/>
  <c r="V62" i="11"/>
  <c r="R19" i="8" s="1"/>
  <c r="V66" i="11"/>
  <c r="R23" i="8" s="1"/>
  <c r="V53" i="11"/>
  <c r="R10" i="8" s="1"/>
  <c r="V51" i="11"/>
  <c r="R8" i="8" s="1"/>
  <c r="V60" i="11"/>
  <c r="R17" i="8" s="1"/>
  <c r="V65" i="11"/>
  <c r="R22" i="8" s="1"/>
  <c r="V50" i="11"/>
  <c r="R7" i="8" s="1"/>
  <c r="V55" i="11"/>
  <c r="R12" i="8" s="1"/>
  <c r="V73" i="11"/>
  <c r="V54" i="11"/>
  <c r="R11" i="8" s="1"/>
  <c r="AL67" i="11"/>
  <c r="AH24" i="8" s="1"/>
  <c r="W59" i="11"/>
  <c r="S16" i="8" s="1"/>
  <c r="L59" i="11"/>
  <c r="H16" i="8" s="1"/>
  <c r="V47" i="11"/>
  <c r="R4" i="8" s="1"/>
  <c r="V41" i="11"/>
  <c r="M56" i="11"/>
  <c r="M66" i="11"/>
  <c r="I23" i="8" s="1"/>
  <c r="M65" i="11"/>
  <c r="I22" i="8" s="1"/>
  <c r="M50" i="11"/>
  <c r="I7" i="8" s="1"/>
  <c r="M55" i="11"/>
  <c r="I12" i="8" s="1"/>
  <c r="M73" i="11"/>
  <c r="M54" i="11"/>
  <c r="I11" i="8" s="1"/>
  <c r="M72" i="11"/>
  <c r="M46" i="11"/>
  <c r="M71" i="11"/>
  <c r="I28" i="8" s="1"/>
  <c r="M52" i="11"/>
  <c r="I9" i="8" s="1"/>
  <c r="M58" i="11"/>
  <c r="I15" i="8" s="1"/>
  <c r="M48" i="11"/>
  <c r="I5" i="8" s="1"/>
  <c r="M62" i="11"/>
  <c r="I19" i="8" s="1"/>
  <c r="M74" i="11"/>
  <c r="G69" i="11"/>
  <c r="C26" i="8" s="1"/>
  <c r="N69" i="11"/>
  <c r="J26" i="8" s="1"/>
  <c r="R69" i="11"/>
  <c r="N26" i="8" s="1"/>
  <c r="AH57" i="11"/>
  <c r="AD14" i="8" s="1"/>
  <c r="AC57" i="11"/>
  <c r="Y14" i="8" s="1"/>
  <c r="AB47" i="11"/>
  <c r="X4" i="8" s="1"/>
  <c r="N74" i="11"/>
  <c r="K74" i="11"/>
  <c r="V70" i="11"/>
  <c r="R27" i="8" s="1"/>
  <c r="R70" i="11"/>
  <c r="N27" i="8" s="1"/>
  <c r="AG68" i="11"/>
  <c r="AC25" i="8" s="1"/>
  <c r="L68" i="11"/>
  <c r="H25" i="8" s="1"/>
  <c r="AD66" i="11"/>
  <c r="Z23" i="8" s="1"/>
  <c r="AB66" i="11"/>
  <c r="X23" i="8" s="1"/>
  <c r="AE64" i="11"/>
  <c r="AA21" i="8" s="1"/>
  <c r="L62" i="11"/>
  <c r="H19" i="8" s="1"/>
  <c r="Y60" i="11"/>
  <c r="U17" i="8" s="1"/>
  <c r="AL60" i="11"/>
  <c r="AH17" i="8" s="1"/>
  <c r="AE54" i="11"/>
  <c r="AA11" i="8" s="1"/>
  <c r="AK65" i="11"/>
  <c r="AG22" i="8" s="1"/>
  <c r="AL61" i="11"/>
  <c r="AH18" i="8" s="1"/>
  <c r="P46" i="11"/>
  <c r="P71" i="11"/>
  <c r="L28" i="8" s="1"/>
  <c r="P65" i="11"/>
  <c r="L22" i="8" s="1"/>
  <c r="P52" i="11"/>
  <c r="L9" i="8" s="1"/>
  <c r="P66" i="11"/>
  <c r="L23" i="8" s="1"/>
  <c r="P51" i="11"/>
  <c r="L8" i="8" s="1"/>
  <c r="P56" i="11"/>
  <c r="P60" i="11"/>
  <c r="L17" i="8" s="1"/>
  <c r="P68" i="11"/>
  <c r="L25" i="8" s="1"/>
  <c r="P72" i="11"/>
  <c r="P50" i="11"/>
  <c r="L7" i="8" s="1"/>
  <c r="P55" i="11"/>
  <c r="L12" i="8" s="1"/>
  <c r="P49" i="11"/>
  <c r="L6" i="8" s="1"/>
  <c r="P61" i="11"/>
  <c r="L18" i="8" s="1"/>
  <c r="P54" i="11"/>
  <c r="L11" i="8" s="1"/>
  <c r="P41" i="11"/>
  <c r="AL51" i="11"/>
  <c r="AH8" i="8" s="1"/>
  <c r="AE49" i="11"/>
  <c r="AA6" i="8" s="1"/>
  <c r="AE73" i="11"/>
  <c r="I53" i="11"/>
  <c r="E10" i="8" s="1"/>
  <c r="AG48" i="11"/>
  <c r="AC5" i="8" s="1"/>
  <c r="O55" i="11"/>
  <c r="K12" i="8" s="1"/>
  <c r="AC46" i="11"/>
  <c r="AI72" i="11"/>
  <c r="O65" i="11"/>
  <c r="K22" i="8" s="1"/>
  <c r="AE63" i="11"/>
  <c r="AA20" i="8" s="1"/>
  <c r="T63" i="11"/>
  <c r="P20" i="8" s="1"/>
  <c r="J49" i="11"/>
  <c r="F6" i="8" s="1"/>
  <c r="AF47" i="11"/>
  <c r="AB4" i="8" s="1"/>
  <c r="N56" i="11"/>
  <c r="N71" i="11"/>
  <c r="J28" i="8" s="1"/>
  <c r="N68" i="11"/>
  <c r="J25" i="8" s="1"/>
  <c r="N72" i="11"/>
  <c r="N46" i="11"/>
  <c r="N47" i="11"/>
  <c r="J4" i="8" s="1"/>
  <c r="N48" i="11"/>
  <c r="J5" i="8" s="1"/>
  <c r="N62" i="11"/>
  <c r="J19" i="8" s="1"/>
  <c r="N66" i="11"/>
  <c r="J23" i="8" s="1"/>
  <c r="N53" i="11"/>
  <c r="J10" i="8" s="1"/>
  <c r="N51" i="11"/>
  <c r="J8" i="8" s="1"/>
  <c r="N61" i="11"/>
  <c r="J18" i="8" s="1"/>
  <c r="N60" i="11"/>
  <c r="J17" i="8" s="1"/>
  <c r="N49" i="11"/>
  <c r="J6" i="8" s="1"/>
  <c r="N65" i="11"/>
  <c r="J22" i="8" s="1"/>
  <c r="N50" i="11"/>
  <c r="J7" i="8" s="1"/>
  <c r="N55" i="11"/>
  <c r="J12" i="8" s="1"/>
  <c r="N73" i="11"/>
  <c r="N54" i="11"/>
  <c r="J11" i="8" s="1"/>
  <c r="N57" i="11"/>
  <c r="J14" i="8" s="1"/>
  <c r="AI67" i="11"/>
  <c r="AE24" i="8" s="1"/>
  <c r="AF67" i="11"/>
  <c r="AB24" i="8" s="1"/>
  <c r="L67" i="11"/>
  <c r="H24" i="8" s="1"/>
  <c r="N59" i="11"/>
  <c r="J16" i="8" s="1"/>
  <c r="AL59" i="11"/>
  <c r="AH16" i="8" s="1"/>
  <c r="T59" i="11"/>
  <c r="P16" i="8" s="1"/>
  <c r="AD47" i="11"/>
  <c r="Z4" i="8" s="1"/>
  <c r="L69" i="11"/>
  <c r="H26" i="8" s="1"/>
  <c r="V69" i="11"/>
  <c r="R26" i="8" s="1"/>
  <c r="AH69" i="11"/>
  <c r="AD26" i="8" s="1"/>
  <c r="AL57" i="11"/>
  <c r="AH14" i="8" s="1"/>
  <c r="AJ61" i="11"/>
  <c r="AF18" i="8" s="1"/>
  <c r="AJ66" i="11"/>
  <c r="AF23" i="8" s="1"/>
  <c r="AJ71" i="11"/>
  <c r="AF28" i="8" s="1"/>
  <c r="AJ53" i="11"/>
  <c r="AF10" i="8" s="1"/>
  <c r="AJ62" i="11"/>
  <c r="AF19" i="8" s="1"/>
  <c r="AJ68" i="11"/>
  <c r="AF25" i="8" s="1"/>
  <c r="AJ48" i="11"/>
  <c r="AF5" i="8" s="1"/>
  <c r="AJ72" i="11"/>
  <c r="AJ65" i="11"/>
  <c r="AF22" i="8" s="1"/>
  <c r="AJ50" i="11"/>
  <c r="AF7" i="8" s="1"/>
  <c r="AJ47" i="11"/>
  <c r="AF4" i="8" s="1"/>
  <c r="AJ73" i="11"/>
  <c r="AJ54" i="11"/>
  <c r="AF11" i="8" s="1"/>
  <c r="AJ60" i="11"/>
  <c r="AF17" i="8" s="1"/>
  <c r="AJ52" i="11"/>
  <c r="AF9" i="8" s="1"/>
  <c r="AJ69" i="11"/>
  <c r="AF26" i="8" s="1"/>
  <c r="AJ58" i="11"/>
  <c r="AF15" i="8" s="1"/>
  <c r="V74" i="11"/>
  <c r="U70" i="11"/>
  <c r="Q27" i="8" s="1"/>
  <c r="AL70" i="11"/>
  <c r="AH27" i="8" s="1"/>
  <c r="O68" i="11"/>
  <c r="K25" i="8" s="1"/>
  <c r="T68" i="11"/>
  <c r="P25" i="8" s="1"/>
  <c r="U66" i="11"/>
  <c r="Q23" i="8" s="1"/>
  <c r="G66" i="11"/>
  <c r="C23" i="8" s="1"/>
  <c r="R64" i="11"/>
  <c r="N21" i="8" s="1"/>
  <c r="AK62" i="11"/>
  <c r="AG19" i="8" s="1"/>
  <c r="AK60" i="11"/>
  <c r="AG17" i="8" s="1"/>
  <c r="AD58" i="11"/>
  <c r="Z15" i="8" s="1"/>
  <c r="U56" i="11"/>
  <c r="L52" i="11"/>
  <c r="H9" i="8" s="1"/>
  <c r="H65" i="11"/>
  <c r="D22" i="8" s="1"/>
  <c r="H41" i="11"/>
  <c r="O51" i="11"/>
  <c r="K8" i="8" s="1"/>
  <c r="AA64" i="11"/>
  <c r="W21" i="8" s="1"/>
  <c r="AA70" i="11"/>
  <c r="W27" i="8" s="1"/>
  <c r="AA69" i="11"/>
  <c r="W26" i="8" s="1"/>
  <c r="AA65" i="11"/>
  <c r="W22" i="8" s="1"/>
  <c r="AA52" i="11"/>
  <c r="W9" i="8" s="1"/>
  <c r="AA47" i="11"/>
  <c r="W4" i="8" s="1"/>
  <c r="AA61" i="11"/>
  <c r="W18" i="8" s="1"/>
  <c r="AA74" i="11"/>
  <c r="Y53" i="11"/>
  <c r="U10" i="8" s="1"/>
  <c r="R61" i="11"/>
  <c r="N18" i="8" s="1"/>
  <c r="Y48" i="11"/>
  <c r="U5" i="8" s="1"/>
  <c r="AE55" i="11"/>
  <c r="AA12" i="8" s="1"/>
  <c r="R46" i="11"/>
  <c r="AD72" i="11"/>
  <c r="AK48" i="11"/>
  <c r="AG5" i="8" s="1"/>
  <c r="U67" i="11"/>
  <c r="Q24" i="8" s="1"/>
  <c r="W50" i="11"/>
  <c r="S7" i="8" s="1"/>
  <c r="W55" i="11"/>
  <c r="S12" i="8" s="1"/>
  <c r="W73" i="11"/>
  <c r="W54" i="11"/>
  <c r="S11" i="8" s="1"/>
  <c r="W48" i="11"/>
  <c r="S5" i="8" s="1"/>
  <c r="W72" i="11"/>
  <c r="W71" i="11"/>
  <c r="S28" i="8" s="1"/>
  <c r="W52" i="11"/>
  <c r="S9" i="8" s="1"/>
  <c r="W60" i="11"/>
  <c r="S17" i="8" s="1"/>
  <c r="W49" i="11"/>
  <c r="S6" i="8" s="1"/>
  <c r="W47" i="11"/>
  <c r="S4" i="8" s="1"/>
  <c r="W46" i="11"/>
  <c r="W53" i="11"/>
  <c r="S10" i="8" s="1"/>
  <c r="W51" i="11"/>
  <c r="S8" i="8" s="1"/>
  <c r="W61" i="11"/>
  <c r="S18" i="8" s="1"/>
  <c r="W65" i="11"/>
  <c r="S22" i="8" s="1"/>
  <c r="W56" i="11"/>
  <c r="W70" i="11"/>
  <c r="S27" i="8" s="1"/>
  <c r="W74" i="11"/>
  <c r="V67" i="11"/>
  <c r="R24" i="8" s="1"/>
  <c r="R49" i="11"/>
  <c r="N6" i="8" s="1"/>
  <c r="U49" i="11"/>
  <c r="Q6" i="8" s="1"/>
  <c r="AI41" i="11"/>
  <c r="AE41" i="11"/>
  <c r="F52" i="11"/>
  <c r="B9" i="8" s="1"/>
  <c r="F48" i="11"/>
  <c r="F72" i="11"/>
  <c r="B29" i="8" s="1"/>
  <c r="F46" i="11"/>
  <c r="F58" i="11"/>
  <c r="B15" i="8" s="1"/>
  <c r="F62" i="11"/>
  <c r="B19" i="8" s="1"/>
  <c r="F53" i="11"/>
  <c r="B10" i="8" s="1"/>
  <c r="F51" i="11"/>
  <c r="F60" i="11"/>
  <c r="B17" i="8" s="1"/>
  <c r="F61" i="11"/>
  <c r="B18" i="8" s="1"/>
  <c r="F65" i="11"/>
  <c r="F64" i="11"/>
  <c r="B21" i="8" s="1"/>
  <c r="I67" i="11"/>
  <c r="E24" i="8" s="1"/>
  <c r="T67" i="11"/>
  <c r="P24" i="8" s="1"/>
  <c r="AL47" i="11"/>
  <c r="AH4" i="8" s="1"/>
  <c r="H57" i="11"/>
  <c r="D14" i="8" s="1"/>
  <c r="AF46" i="11"/>
  <c r="AF64" i="11"/>
  <c r="AB21" i="8" s="1"/>
  <c r="AF66" i="11"/>
  <c r="AB23" i="8" s="1"/>
  <c r="AF72" i="11"/>
  <c r="AF50" i="11"/>
  <c r="AB7" i="8" s="1"/>
  <c r="AF55" i="11"/>
  <c r="AB12" i="8" s="1"/>
  <c r="AF61" i="11"/>
  <c r="AB18" i="8" s="1"/>
  <c r="AF54" i="11"/>
  <c r="AB11" i="8" s="1"/>
  <c r="AF62" i="11"/>
  <c r="AB19" i="8" s="1"/>
  <c r="AF48" i="11"/>
  <c r="AB5" i="8" s="1"/>
  <c r="AF60" i="11"/>
  <c r="AB17" i="8" s="1"/>
  <c r="AF53" i="11"/>
  <c r="AB10" i="8" s="1"/>
  <c r="AF71" i="11"/>
  <c r="AB28" i="8" s="1"/>
  <c r="AF49" i="11"/>
  <c r="AB6" i="8" s="1"/>
  <c r="AF65" i="11"/>
  <c r="AB22" i="8" s="1"/>
  <c r="AF52" i="11"/>
  <c r="AB9" i="8" s="1"/>
  <c r="Z74" i="11"/>
  <c r="Z58" i="11"/>
  <c r="V15" i="8" s="1"/>
  <c r="Z68" i="11"/>
  <c r="V25" i="8" s="1"/>
  <c r="Z41" i="11"/>
  <c r="Z69" i="11"/>
  <c r="V26" i="8" s="1"/>
  <c r="T69" i="11"/>
  <c r="P26" i="8" s="1"/>
  <c r="AL69" i="11"/>
  <c r="AH26" i="8" s="1"/>
  <c r="F57" i="11"/>
  <c r="B14" i="8" s="1"/>
  <c r="AB64" i="11"/>
  <c r="X21" i="8" s="1"/>
  <c r="AB48" i="11"/>
  <c r="X5" i="8" s="1"/>
  <c r="AB46" i="11"/>
  <c r="AB56" i="11"/>
  <c r="AB58" i="11"/>
  <c r="X15" i="8" s="1"/>
  <c r="AB70" i="11"/>
  <c r="X27" i="8" s="1"/>
  <c r="AB74" i="11"/>
  <c r="AB51" i="11"/>
  <c r="X8" i="8" s="1"/>
  <c r="AB59" i="11"/>
  <c r="X16" i="8" s="1"/>
  <c r="AB71" i="11"/>
  <c r="X28" i="8" s="1"/>
  <c r="AB53" i="11"/>
  <c r="X10" i="8" s="1"/>
  <c r="AB68" i="11"/>
  <c r="X25" i="8" s="1"/>
  <c r="AB72" i="11"/>
  <c r="AB65" i="11"/>
  <c r="X22" i="8" s="1"/>
  <c r="AB50" i="11"/>
  <c r="X7" i="8" s="1"/>
  <c r="AB73" i="11"/>
  <c r="AB54" i="11"/>
  <c r="X11" i="8" s="1"/>
  <c r="AB60" i="11"/>
  <c r="X17" i="8" s="1"/>
  <c r="AB67" i="11"/>
  <c r="X24" i="8" s="1"/>
  <c r="AI74" i="11"/>
  <c r="Y70" i="11"/>
  <c r="U27" i="8" s="1"/>
  <c r="L70" i="11"/>
  <c r="H27" i="8" s="1"/>
  <c r="Q68" i="11"/>
  <c r="M25" i="8" s="1"/>
  <c r="F68" i="11"/>
  <c r="B25" i="8" s="1"/>
  <c r="W66" i="11"/>
  <c r="S23" i="8" s="1"/>
  <c r="AC62" i="11"/>
  <c r="Y19" i="8" s="1"/>
  <c r="Q60" i="11"/>
  <c r="M17" i="8" s="1"/>
  <c r="Q54" i="11"/>
  <c r="M11" i="8" s="1"/>
  <c r="AB52" i="11"/>
  <c r="X9" i="8" s="1"/>
  <c r="AK61" i="11"/>
  <c r="AG18" i="8" s="1"/>
  <c r="AI50" i="11"/>
  <c r="AE7" i="8" s="1"/>
  <c r="AF51" i="11"/>
  <c r="AB8" i="8" s="1"/>
  <c r="L73" i="11"/>
  <c r="N52" i="11"/>
  <c r="J9" i="8" s="1"/>
  <c r="K51" i="11"/>
  <c r="G8" i="8" s="1"/>
  <c r="K65" i="11"/>
  <c r="G22" i="8" s="1"/>
  <c r="K56" i="11"/>
  <c r="K61" i="11"/>
  <c r="G18" i="8" s="1"/>
  <c r="K66" i="11"/>
  <c r="G23" i="8" s="1"/>
  <c r="K54" i="11"/>
  <c r="G11" i="8" s="1"/>
  <c r="K58" i="11"/>
  <c r="G15" i="8" s="1"/>
  <c r="K62" i="11"/>
  <c r="G19" i="8" s="1"/>
  <c r="K52" i="11"/>
  <c r="G9" i="8" s="1"/>
  <c r="Q48" i="11"/>
  <c r="M5" i="8" s="1"/>
  <c r="Q72" i="11"/>
  <c r="Q53" i="11"/>
  <c r="M10" i="8" s="1"/>
  <c r="Q65" i="11"/>
  <c r="M22" i="8" s="1"/>
  <c r="Q50" i="11"/>
  <c r="M7" i="8" s="1"/>
  <c r="Q73" i="11"/>
  <c r="Q57" i="11"/>
  <c r="M14" i="8" s="1"/>
  <c r="Q58" i="11"/>
  <c r="M15" i="8" s="1"/>
  <c r="Q71" i="11"/>
  <c r="M28" i="8" s="1"/>
  <c r="Q52" i="11"/>
  <c r="M9" i="8" s="1"/>
  <c r="Q46" i="11"/>
  <c r="Q61" i="11"/>
  <c r="M18" i="8" s="1"/>
  <c r="Q62" i="11"/>
  <c r="M19" i="8" s="1"/>
  <c r="Q64" i="11"/>
  <c r="M21" i="8" s="1"/>
  <c r="Q66" i="11"/>
  <c r="M23" i="8" s="1"/>
  <c r="Q59" i="11"/>
  <c r="M16" i="8" s="1"/>
  <c r="Z71" i="11"/>
  <c r="V28" i="8" s="1"/>
  <c r="Q55" i="11"/>
  <c r="M12" i="8" s="1"/>
  <c r="AK46" i="11"/>
  <c r="AC48" i="11"/>
  <c r="Y5" i="8" s="1"/>
  <c r="U68" i="11"/>
  <c r="Q25" i="8" s="1"/>
  <c r="U57" i="11"/>
  <c r="Q14" i="8" s="1"/>
  <c r="U47" i="11"/>
  <c r="Q4" i="8" s="1"/>
  <c r="I73" i="11"/>
  <c r="I51" i="11"/>
  <c r="E8" i="8" s="1"/>
  <c r="I61" i="11"/>
  <c r="E18" i="8" s="1"/>
  <c r="I56" i="11"/>
  <c r="I64" i="11"/>
  <c r="E21" i="8" s="1"/>
  <c r="I65" i="11"/>
  <c r="E22" i="8" s="1"/>
  <c r="I54" i="11"/>
  <c r="E11" i="8" s="1"/>
  <c r="I60" i="11"/>
  <c r="E17" i="8" s="1"/>
  <c r="I71" i="11"/>
  <c r="E28" i="8" s="1"/>
  <c r="I52" i="11"/>
  <c r="E9" i="8" s="1"/>
  <c r="I58" i="11"/>
  <c r="E15" i="8" s="1"/>
  <c r="H53" i="11"/>
  <c r="D10" i="8" s="1"/>
  <c r="AL62" i="11"/>
  <c r="AH19" i="8" s="1"/>
  <c r="AL66" i="11"/>
  <c r="AH23" i="8" s="1"/>
  <c r="AL65" i="11"/>
  <c r="AH22" i="8" s="1"/>
  <c r="AL64" i="11"/>
  <c r="AH21" i="8" s="1"/>
  <c r="AL50" i="11"/>
  <c r="AH7" i="8" s="1"/>
  <c r="AL46" i="11"/>
  <c r="AL55" i="11"/>
  <c r="AH12" i="8" s="1"/>
  <c r="AL73" i="11"/>
  <c r="AL54" i="11"/>
  <c r="AH11" i="8" s="1"/>
  <c r="AL48" i="11"/>
  <c r="AH5" i="8" s="1"/>
  <c r="AL56" i="11"/>
  <c r="AL71" i="11"/>
  <c r="AH28" i="8" s="1"/>
  <c r="AL72" i="11"/>
  <c r="AL58" i="11"/>
  <c r="AH15" i="8" s="1"/>
  <c r="K49" i="11"/>
  <c r="G6" i="8" s="1"/>
  <c r="U63" i="11"/>
  <c r="Q20" i="8" s="1"/>
  <c r="M63" i="11"/>
  <c r="I20" i="8" s="1"/>
  <c r="AF63" i="11"/>
  <c r="AB20" i="8" s="1"/>
  <c r="AJ63" i="11"/>
  <c r="AF20" i="8" s="1"/>
  <c r="Z49" i="11"/>
  <c r="V6" i="8" s="1"/>
  <c r="AC49" i="11"/>
  <c r="Y6" i="8" s="1"/>
  <c r="AI60" i="11"/>
  <c r="AE17" i="8" s="1"/>
  <c r="G47" i="11"/>
  <c r="C4" i="8" s="1"/>
  <c r="L41" i="11"/>
  <c r="AG61" i="11"/>
  <c r="AC18" i="8" s="1"/>
  <c r="AG62" i="11"/>
  <c r="AC19" i="8" s="1"/>
  <c r="AG60" i="11"/>
  <c r="AC17" i="8" s="1"/>
  <c r="AG69" i="11"/>
  <c r="AC26" i="8" s="1"/>
  <c r="AG47" i="11"/>
  <c r="AC4" i="8" s="1"/>
  <c r="AG73" i="11"/>
  <c r="AG51" i="11"/>
  <c r="AC8" i="8" s="1"/>
  <c r="AG56" i="11"/>
  <c r="AG58" i="11"/>
  <c r="AC15" i="8" s="1"/>
  <c r="AG70" i="11"/>
  <c r="AC27" i="8" s="1"/>
  <c r="Q67" i="11"/>
  <c r="M24" i="8" s="1"/>
  <c r="AJ67" i="11"/>
  <c r="AF24" i="8" s="1"/>
  <c r="AE59" i="11"/>
  <c r="AA16" i="8" s="1"/>
  <c r="AI59" i="11"/>
  <c r="AE16" i="8" s="1"/>
  <c r="AC59" i="11"/>
  <c r="Y16" i="8" s="1"/>
  <c r="AJ55" i="11"/>
  <c r="AF12" i="8" s="1"/>
  <c r="O69" i="11"/>
  <c r="K26" i="8" s="1"/>
  <c r="AB69" i="11"/>
  <c r="X26" i="8" s="1"/>
  <c r="H69" i="11"/>
  <c r="D26" i="8" s="1"/>
  <c r="I57" i="11"/>
  <c r="E14" i="8" s="1"/>
  <c r="V57" i="11"/>
  <c r="R14" i="8" s="1"/>
  <c r="Y58" i="11"/>
  <c r="U15" i="8" s="1"/>
  <c r="T55" i="11"/>
  <c r="P12" i="8" s="1"/>
  <c r="G74" i="11"/>
  <c r="Q74" i="11"/>
  <c r="I70" i="11"/>
  <c r="E27" i="8" s="1"/>
  <c r="AE70" i="11"/>
  <c r="AA27" i="8" s="1"/>
  <c r="W68" i="11"/>
  <c r="S25" i="8" s="1"/>
  <c r="V68" i="11"/>
  <c r="R25" i="8" s="1"/>
  <c r="I66" i="11"/>
  <c r="E23" i="8" s="1"/>
  <c r="G64" i="11"/>
  <c r="C21" i="8" s="1"/>
  <c r="K64" i="11"/>
  <c r="G21" i="8" s="1"/>
  <c r="AD62" i="11"/>
  <c r="Z19" i="8" s="1"/>
  <c r="H60" i="11"/>
  <c r="D17" i="8" s="1"/>
  <c r="H58" i="11"/>
  <c r="D15" i="8" s="1"/>
  <c r="O56" i="11"/>
  <c r="AA54" i="11"/>
  <c r="W11" i="8" s="1"/>
  <c r="AG54" i="11"/>
  <c r="AC11" i="8" s="1"/>
  <c r="AA72" i="11"/>
  <c r="Q51" i="11"/>
  <c r="M8" i="8" s="1"/>
  <c r="AH62" i="11"/>
  <c r="AD19" i="8" s="1"/>
  <c r="AH53" i="11"/>
  <c r="AD10" i="8" s="1"/>
  <c r="AH65" i="11"/>
  <c r="AD22" i="8" s="1"/>
  <c r="AH58" i="11"/>
  <c r="AD15" i="8" s="1"/>
  <c r="AH68" i="11"/>
  <c r="AD25" i="8" s="1"/>
  <c r="AH72" i="11"/>
  <c r="AH55" i="11"/>
  <c r="AD12" i="8" s="1"/>
  <c r="AH73" i="11"/>
  <c r="AH48" i="11"/>
  <c r="AD5" i="8" s="1"/>
  <c r="AH61" i="11"/>
  <c r="AD18" i="8" s="1"/>
  <c r="AH50" i="11"/>
  <c r="AD7" i="8" s="1"/>
  <c r="AH71" i="11"/>
  <c r="AD28" i="8" s="1"/>
  <c r="AH52" i="11"/>
  <c r="AD9" i="8" s="1"/>
  <c r="AH60" i="11"/>
  <c r="AD17" i="8" s="1"/>
  <c r="AH59" i="11"/>
  <c r="AD16" i="8" s="1"/>
  <c r="AC73" i="11"/>
  <c r="AA53" i="11"/>
  <c r="W10" i="8" s="1"/>
  <c r="I55" i="11"/>
  <c r="E12" i="8" s="1"/>
  <c r="F71" i="11"/>
  <c r="B28" i="8" s="1"/>
  <c r="AG55" i="11"/>
  <c r="AC12" i="8" s="1"/>
  <c r="AH46" i="11"/>
  <c r="I48" i="11"/>
  <c r="E5" i="8" s="1"/>
  <c r="L49" i="11"/>
  <c r="H6" i="8" s="1"/>
  <c r="AI58" i="11"/>
  <c r="AE15" i="8" s="1"/>
  <c r="AI56" i="11"/>
  <c r="I63" i="11"/>
  <c r="E20" i="8" s="1"/>
  <c r="T64" i="11"/>
  <c r="P21" i="8" s="1"/>
  <c r="T65" i="11"/>
  <c r="P22" i="8" s="1"/>
  <c r="T58" i="11"/>
  <c r="P15" i="8" s="1"/>
  <c r="H59" i="11"/>
  <c r="D16" i="8" s="1"/>
  <c r="I47" i="11"/>
  <c r="E4" i="8" s="1"/>
  <c r="R54" i="11"/>
  <c r="N11" i="8" s="1"/>
  <c r="AI69" i="11"/>
  <c r="AE26" i="8" s="1"/>
  <c r="AE60" i="11"/>
  <c r="AA17" i="8" s="1"/>
  <c r="AE48" i="11"/>
  <c r="AA5" i="8" s="1"/>
  <c r="AE52" i="11"/>
  <c r="AA9" i="8" s="1"/>
  <c r="AE61" i="11"/>
  <c r="AA18" i="8" s="1"/>
  <c r="AE47" i="11"/>
  <c r="AA4" i="8" s="1"/>
  <c r="AE69" i="11"/>
  <c r="AA26" i="8" s="1"/>
  <c r="AE58" i="11"/>
  <c r="AA15" i="8" s="1"/>
  <c r="AE62" i="11"/>
  <c r="AA19" i="8" s="1"/>
  <c r="AE72" i="11"/>
  <c r="AE46" i="11"/>
  <c r="AE53" i="11"/>
  <c r="AA10" i="8" s="1"/>
  <c r="AE51" i="11"/>
  <c r="AA8" i="8" s="1"/>
  <c r="AE56" i="11"/>
  <c r="AE71" i="11"/>
  <c r="AA28" i="8" s="1"/>
  <c r="AE68" i="11"/>
  <c r="AA25" i="8" s="1"/>
  <c r="L58" i="11"/>
  <c r="H15" i="8" s="1"/>
  <c r="L48" i="11"/>
  <c r="H5" i="8" s="1"/>
  <c r="L61" i="11"/>
  <c r="H18" i="8" s="1"/>
  <c r="L66" i="11"/>
  <c r="H23" i="8" s="1"/>
  <c r="L46" i="11"/>
  <c r="L47" i="11"/>
  <c r="H4" i="8" s="1"/>
  <c r="L56" i="11"/>
  <c r="L60" i="11"/>
  <c r="H17" i="8" s="1"/>
  <c r="L71" i="11"/>
  <c r="H28" i="8" s="1"/>
  <c r="L53" i="11"/>
  <c r="H10" i="8" s="1"/>
  <c r="L72" i="11"/>
  <c r="L65" i="11"/>
  <c r="H22" i="8" s="1"/>
  <c r="L64" i="11"/>
  <c r="H21" i="8" s="1"/>
  <c r="T74" i="11"/>
  <c r="AC70" i="11"/>
  <c r="Y27" i="8" s="1"/>
  <c r="H70" i="11"/>
  <c r="D27" i="8" s="1"/>
  <c r="AL68" i="11"/>
  <c r="AH25" i="8" s="1"/>
  <c r="U64" i="11"/>
  <c r="Q21" i="8" s="1"/>
  <c r="AI64" i="11"/>
  <c r="AE21" i="8" s="1"/>
  <c r="T62" i="11"/>
  <c r="P19" i="8" s="1"/>
  <c r="T60" i="11"/>
  <c r="P17" i="8" s="1"/>
  <c r="AC58" i="11"/>
  <c r="Y15" i="8" s="1"/>
  <c r="AF56" i="11"/>
  <c r="L54" i="11"/>
  <c r="H11" i="8" s="1"/>
  <c r="F73" i="11"/>
  <c r="B30" i="8" s="1"/>
  <c r="V71" i="11"/>
  <c r="R28" i="8" s="1"/>
  <c r="Y50" i="11"/>
  <c r="U7" i="8" s="1"/>
  <c r="P48" i="11"/>
  <c r="L5" i="8" s="1"/>
  <c r="Z59" i="11"/>
  <c r="V16" i="8" s="1"/>
  <c r="AC47" i="11"/>
  <c r="Y4" i="8" s="1"/>
  <c r="Q47" i="11"/>
  <c r="M4" i="8" s="1"/>
  <c r="AL49" i="11"/>
  <c r="AH6" i="8" s="1"/>
  <c r="AK50" i="11"/>
  <c r="AG7" i="8" s="1"/>
  <c r="AK55" i="11"/>
  <c r="AG12" i="8" s="1"/>
  <c r="AK73" i="11"/>
  <c r="AK54" i="11"/>
  <c r="AG11" i="8" s="1"/>
  <c r="AK72" i="11"/>
  <c r="AK71" i="11"/>
  <c r="AG28" i="8" s="1"/>
  <c r="AK52" i="11"/>
  <c r="AG9" i="8" s="1"/>
  <c r="AK68" i="11"/>
  <c r="AG25" i="8" s="1"/>
  <c r="AK69" i="11"/>
  <c r="AG26" i="8" s="1"/>
  <c r="AK56" i="11"/>
  <c r="AK58" i="11"/>
  <c r="AG15" i="8" s="1"/>
  <c r="AK53" i="11"/>
  <c r="AG10" i="8" s="1"/>
  <c r="AK51" i="11"/>
  <c r="AG8" i="8" s="1"/>
  <c r="AK70" i="11"/>
  <c r="AG27" i="8" s="1"/>
  <c r="Q69" i="11"/>
  <c r="M26" i="8" s="1"/>
  <c r="U69" i="11"/>
  <c r="Q26" i="8" s="1"/>
  <c r="AB57" i="11"/>
  <c r="X14" i="8" s="1"/>
  <c r="G57" i="11"/>
  <c r="C14" i="8" s="1"/>
  <c r="AL52" i="11"/>
  <c r="AH9" i="8" s="1"/>
  <c r="J64" i="11"/>
  <c r="F21" i="8" s="1"/>
  <c r="J70" i="11"/>
  <c r="F27" i="8" s="1"/>
  <c r="J54" i="11"/>
  <c r="F11" i="8" s="1"/>
  <c r="J62" i="11"/>
  <c r="F19" i="8" s="1"/>
  <c r="J51" i="11"/>
  <c r="F8" i="8" s="1"/>
  <c r="J56" i="11"/>
  <c r="J53" i="11"/>
  <c r="F10" i="8" s="1"/>
  <c r="J61" i="11"/>
  <c r="F18" i="8" s="1"/>
  <c r="J65" i="11"/>
  <c r="F22" i="8" s="1"/>
  <c r="J58" i="11"/>
  <c r="F15" i="8" s="1"/>
  <c r="J59" i="11"/>
  <c r="F16" i="8" s="1"/>
  <c r="AC74" i="11"/>
  <c r="AE74" i="11"/>
  <c r="J74" i="11"/>
  <c r="R68" i="11"/>
  <c r="N25" i="8" s="1"/>
  <c r="H68" i="11"/>
  <c r="D25" i="8" s="1"/>
  <c r="AI66" i="11"/>
  <c r="AE23" i="8" s="1"/>
  <c r="J66" i="11"/>
  <c r="F23" i="8" s="1"/>
  <c r="W64" i="11"/>
  <c r="S21" i="8" s="1"/>
  <c r="I62" i="11"/>
  <c r="E19" i="8" s="1"/>
  <c r="W62" i="11"/>
  <c r="S19" i="8" s="1"/>
  <c r="K60" i="11"/>
  <c r="G17" i="8" s="1"/>
  <c r="AF58" i="11"/>
  <c r="AB15" i="8" s="1"/>
  <c r="Q56" i="11"/>
  <c r="AC54" i="11"/>
  <c r="Y11" i="8" s="1"/>
  <c r="H52" i="11"/>
  <c r="D9" i="8" s="1"/>
  <c r="AE65" i="11"/>
  <c r="AA22" i="8" s="1"/>
  <c r="V61" i="11"/>
  <c r="R18" i="8" s="1"/>
  <c r="I69" i="11"/>
  <c r="E26" i="8" s="1"/>
  <c r="K46" i="11"/>
  <c r="R50" i="11"/>
  <c r="N7" i="8" s="1"/>
  <c r="AC53" i="11"/>
  <c r="Y10" i="8" s="1"/>
  <c r="G71" i="11"/>
  <c r="C28" i="8" s="1"/>
  <c r="AI55" i="11"/>
  <c r="AE12" i="8" s="1"/>
  <c r="AJ46" i="11"/>
  <c r="AF57" i="11"/>
  <c r="AB14" i="8" s="1"/>
  <c r="L50" i="11"/>
  <c r="H7" i="8" s="1"/>
  <c r="U74" i="11"/>
  <c r="S69" i="11"/>
  <c r="O26" i="8" s="1"/>
  <c r="T57" i="11"/>
  <c r="P14" i="8" s="1"/>
  <c r="S49" i="11"/>
  <c r="O6" i="8" s="1"/>
  <c r="Z70" i="11"/>
  <c r="V27" i="8" s="1"/>
  <c r="AI68" i="11"/>
  <c r="AE25" i="8" s="1"/>
  <c r="R66" i="11"/>
  <c r="N23" i="8" s="1"/>
  <c r="Z64" i="11"/>
  <c r="V21" i="8" s="1"/>
  <c r="U62" i="11"/>
  <c r="Q19" i="8" s="1"/>
  <c r="U60" i="11"/>
  <c r="Q17" i="8" s="1"/>
  <c r="AA58" i="11"/>
  <c r="W15" i="8" s="1"/>
  <c r="AA56" i="11"/>
  <c r="T54" i="11"/>
  <c r="P11" i="8" s="1"/>
  <c r="AA51" i="11"/>
  <c r="W8" i="8" s="1"/>
  <c r="K73" i="11"/>
  <c r="T73" i="11"/>
  <c r="J73" i="11"/>
  <c r="AG53" i="11"/>
  <c r="AC10" i="8" s="1"/>
  <c r="AI53" i="11"/>
  <c r="AE10" i="8" s="1"/>
  <c r="AA49" i="11"/>
  <c r="W6" i="8" s="1"/>
  <c r="J55" i="11"/>
  <c r="F12" i="8" s="1"/>
  <c r="X46" i="11"/>
  <c r="AA46" i="11"/>
  <c r="I72" i="11"/>
  <c r="J72" i="11"/>
  <c r="T50" i="11"/>
  <c r="P7" i="8" s="1"/>
  <c r="J48" i="11"/>
  <c r="F5" i="8" s="1"/>
  <c r="U48" i="11"/>
  <c r="Q5" i="8" s="1"/>
  <c r="X48" i="11"/>
  <c r="T5" i="8" s="1"/>
  <c r="AI51" i="11"/>
  <c r="AE8" i="8" s="1"/>
  <c r="Z47" i="11"/>
  <c r="V4" i="8" s="1"/>
  <c r="R73" i="11"/>
  <c r="N41" i="11"/>
  <c r="R55" i="11"/>
  <c r="N12" i="8" s="1"/>
  <c r="U46" i="11"/>
  <c r="AI46" i="11"/>
  <c r="R72" i="11"/>
  <c r="T72" i="11"/>
  <c r="Z50" i="11"/>
  <c r="V7" i="8" s="1"/>
  <c r="Z48" i="11"/>
  <c r="V5" i="8" s="1"/>
  <c r="R48" i="11"/>
  <c r="N5" i="8" s="1"/>
  <c r="S60" i="11"/>
  <c r="O17" i="8" s="1"/>
  <c r="S52" i="11"/>
  <c r="O9" i="8" s="1"/>
  <c r="U52" i="11"/>
  <c r="Q9" i="8" s="1"/>
  <c r="U61" i="11"/>
  <c r="Q18" i="8" s="1"/>
  <c r="U41" i="11"/>
  <c r="Z73" i="11"/>
  <c r="R53" i="11"/>
  <c r="N10" i="8" s="1"/>
  <c r="T53" i="11"/>
  <c r="P10" i="8" s="1"/>
  <c r="U71" i="11"/>
  <c r="Q28" i="8" s="1"/>
  <c r="AI71" i="11"/>
  <c r="AE28" i="8" s="1"/>
  <c r="T71" i="11"/>
  <c r="P28" i="8" s="1"/>
  <c r="X55" i="11"/>
  <c r="T12" i="8" s="1"/>
  <c r="Z55" i="11"/>
  <c r="V12" i="8" s="1"/>
  <c r="AG46" i="11"/>
  <c r="AG50" i="11"/>
  <c r="AC7" i="8" s="1"/>
  <c r="X50" i="11"/>
  <c r="T7" i="8" s="1"/>
  <c r="K48" i="11"/>
  <c r="G5" i="8" s="1"/>
  <c r="S64" i="11"/>
  <c r="O21" i="8" s="1"/>
  <c r="T56" i="11"/>
  <c r="Z65" i="11"/>
  <c r="V22" i="8" s="1"/>
  <c r="R51" i="11"/>
  <c r="N8" i="8" s="1"/>
  <c r="AI47" i="11"/>
  <c r="AE4" i="8" s="1"/>
  <c r="AI73" i="11"/>
  <c r="Z53" i="11"/>
  <c r="V10" i="8" s="1"/>
  <c r="S71" i="11"/>
  <c r="O28" i="8" s="1"/>
  <c r="X47" i="11"/>
  <c r="T4" i="8" s="1"/>
  <c r="J46" i="11"/>
  <c r="I46" i="11"/>
  <c r="T46" i="11"/>
  <c r="AI65" i="11"/>
  <c r="AE22" i="8" s="1"/>
  <c r="AG72" i="11"/>
  <c r="X72" i="11"/>
  <c r="I50" i="11"/>
  <c r="E7" i="8" s="1"/>
  <c r="K50" i="11"/>
  <c r="G7" i="8" s="1"/>
  <c r="S48" i="11"/>
  <c r="O5" i="8" s="1"/>
  <c r="S57" i="11"/>
  <c r="O14" i="8" s="1"/>
  <c r="T66" i="11"/>
  <c r="P23" i="8" s="1"/>
  <c r="R62" i="11"/>
  <c r="N19" i="8" s="1"/>
  <c r="AA60" i="11"/>
  <c r="W17" i="8" s="1"/>
  <c r="U58" i="11"/>
  <c r="Q15" i="8" s="1"/>
  <c r="X56" i="11"/>
  <c r="Z56" i="11"/>
  <c r="S54" i="11"/>
  <c r="O11" i="8" s="1"/>
  <c r="U54" i="11"/>
  <c r="Q11" i="8" s="1"/>
  <c r="AG52" i="11"/>
  <c r="AC9" i="8" s="1"/>
  <c r="AI52" i="11"/>
  <c r="AE9" i="8" s="1"/>
  <c r="AI61" i="11"/>
  <c r="AE18" i="8" s="1"/>
  <c r="T61" i="11"/>
  <c r="P18" i="8" s="1"/>
  <c r="X51" i="11"/>
  <c r="T8" i="8" s="1"/>
  <c r="Z51" i="11"/>
  <c r="V8" i="8" s="1"/>
  <c r="U73" i="11"/>
  <c r="K47" i="11"/>
  <c r="G4" i="8" s="1"/>
  <c r="AA71" i="11"/>
  <c r="W28" i="8" s="1"/>
  <c r="AG71" i="11"/>
  <c r="AC28" i="8" s="1"/>
  <c r="U55" i="11"/>
  <c r="Q12" i="8" s="1"/>
  <c r="K55" i="11"/>
  <c r="G12" i="8" s="1"/>
  <c r="K72" i="11"/>
  <c r="S50" i="11"/>
  <c r="O7" i="8" s="1"/>
  <c r="U50" i="11"/>
  <c r="Q7" i="8" s="1"/>
  <c r="AA48" i="11"/>
  <c r="W5" i="8" s="1"/>
  <c r="Y72" i="11"/>
  <c r="S72" i="11"/>
  <c r="AA50" i="11"/>
  <c r="W7" i="8" s="1"/>
  <c r="T48" i="11"/>
  <c r="P5" i="8" s="1"/>
  <c r="AI48" i="11"/>
  <c r="AE5" i="8" s="1"/>
  <c r="S68" i="11"/>
  <c r="O25" i="8" s="1"/>
  <c r="AI54" i="11"/>
  <c r="AE11" i="8" s="1"/>
  <c r="T52" i="11"/>
  <c r="P9" i="8" s="1"/>
  <c r="U51" i="11"/>
  <c r="Q8" i="8" s="1"/>
  <c r="U53" i="11"/>
  <c r="Q10" i="8" s="1"/>
  <c r="R71" i="11"/>
  <c r="N28" i="8" s="1"/>
  <c r="AA55" i="11"/>
  <c r="W12" i="8" s="1"/>
  <c r="D35" i="4"/>
  <c r="D36" i="4"/>
  <c r="D37" i="4"/>
  <c r="D34" i="4"/>
  <c r="AA13" i="8" l="1"/>
  <c r="AE114" i="11"/>
  <c r="AH3" i="8"/>
  <c r="AL115" i="11"/>
  <c r="Q13" i="8"/>
  <c r="U114" i="11"/>
  <c r="E3" i="8"/>
  <c r="I115" i="11"/>
  <c r="H3" i="8"/>
  <c r="L115" i="11"/>
  <c r="AD3" i="8"/>
  <c r="AH115" i="11"/>
  <c r="X3" i="8"/>
  <c r="AB115" i="11"/>
  <c r="P3" i="8"/>
  <c r="T115" i="11"/>
  <c r="X13" i="8"/>
  <c r="AB114" i="11"/>
  <c r="S3" i="8"/>
  <c r="W115" i="11"/>
  <c r="F3" i="8"/>
  <c r="J115" i="11"/>
  <c r="P13" i="8"/>
  <c r="T114" i="11"/>
  <c r="AE3" i="8"/>
  <c r="AI115" i="11"/>
  <c r="W13" i="8"/>
  <c r="AA114" i="11"/>
  <c r="K13" i="8"/>
  <c r="O114" i="11"/>
  <c r="Y3" i="8"/>
  <c r="AC115" i="11"/>
  <c r="L13" i="8"/>
  <c r="P114" i="11"/>
  <c r="C13" i="8"/>
  <c r="G114" i="11"/>
  <c r="Z3" i="8"/>
  <c r="AD115" i="11"/>
  <c r="AD13" i="8"/>
  <c r="AH114" i="11"/>
  <c r="V13" i="8"/>
  <c r="Z114" i="11"/>
  <c r="Q3" i="8"/>
  <c r="U115" i="11"/>
  <c r="M13" i="8"/>
  <c r="Q114" i="11"/>
  <c r="AA3" i="8"/>
  <c r="AE115" i="11"/>
  <c r="AH13" i="8"/>
  <c r="AL114" i="11"/>
  <c r="AB3" i="8"/>
  <c r="AF115" i="11"/>
  <c r="S13" i="8"/>
  <c r="W114" i="11"/>
  <c r="J13" i="8"/>
  <c r="N114" i="11"/>
  <c r="D3" i="8"/>
  <c r="H115" i="11"/>
  <c r="T3" i="8"/>
  <c r="X115" i="11"/>
  <c r="T13" i="8"/>
  <c r="X114" i="11"/>
  <c r="AG13" i="8"/>
  <c r="AK114" i="11"/>
  <c r="I3" i="8"/>
  <c r="M115" i="11"/>
  <c r="I13" i="8"/>
  <c r="M114" i="11"/>
  <c r="R3" i="8"/>
  <c r="V115" i="11"/>
  <c r="U13" i="8"/>
  <c r="Y114" i="11"/>
  <c r="Z13" i="8"/>
  <c r="AD114" i="11"/>
  <c r="Y13" i="8"/>
  <c r="AC114" i="11"/>
  <c r="K3" i="8"/>
  <c r="O115" i="11"/>
  <c r="AF3" i="8"/>
  <c r="AJ115" i="11"/>
  <c r="O3" i="8"/>
  <c r="S115" i="11"/>
  <c r="G3" i="8"/>
  <c r="K115" i="11"/>
  <c r="F13" i="8"/>
  <c r="J114" i="11"/>
  <c r="AE13" i="8"/>
  <c r="AI114" i="11"/>
  <c r="C3" i="8"/>
  <c r="G115" i="11"/>
  <c r="N13" i="8"/>
  <c r="R114" i="11"/>
  <c r="AF13" i="8"/>
  <c r="AJ114" i="11"/>
  <c r="AC13" i="8"/>
  <c r="AG114" i="11"/>
  <c r="E13" i="8"/>
  <c r="I114" i="11"/>
  <c r="AG3" i="8"/>
  <c r="AK115" i="11"/>
  <c r="M3" i="8"/>
  <c r="Q115" i="11"/>
  <c r="D13" i="8"/>
  <c r="H114" i="11"/>
  <c r="L3" i="8"/>
  <c r="P115" i="11"/>
  <c r="R13" i="8"/>
  <c r="V114" i="11"/>
  <c r="O13" i="8"/>
  <c r="S114" i="11"/>
  <c r="AC3" i="8"/>
  <c r="AG115" i="11"/>
  <c r="W3" i="8"/>
  <c r="AA115" i="11"/>
  <c r="AB13" i="8"/>
  <c r="AF114" i="11"/>
  <c r="H13" i="8"/>
  <c r="L114" i="11"/>
  <c r="G13" i="8"/>
  <c r="K114" i="11"/>
  <c r="N3" i="8"/>
  <c r="R115" i="11"/>
  <c r="J3" i="8"/>
  <c r="N115" i="11"/>
  <c r="U3" i="8"/>
  <c r="Y115" i="11"/>
  <c r="V3" i="8"/>
  <c r="Z115" i="11"/>
  <c r="I42" i="8"/>
  <c r="M115" i="12"/>
  <c r="M116" i="12"/>
  <c r="C45" i="8"/>
  <c r="G114" i="12"/>
  <c r="Y42" i="8"/>
  <c r="AC115" i="12"/>
  <c r="AC116" i="12"/>
  <c r="Y45" i="8"/>
  <c r="AC114" i="12"/>
  <c r="AA45" i="8"/>
  <c r="AE114" i="12"/>
  <c r="AG45" i="8"/>
  <c r="AK114" i="12"/>
  <c r="L42" i="8"/>
  <c r="P115" i="12"/>
  <c r="P116" i="12"/>
  <c r="G42" i="8"/>
  <c r="K115" i="12"/>
  <c r="K116" i="12"/>
  <c r="Q45" i="8"/>
  <c r="U114" i="12"/>
  <c r="C42" i="8"/>
  <c r="G115" i="12"/>
  <c r="G116" i="12"/>
  <c r="E45" i="8"/>
  <c r="I114" i="12"/>
  <c r="K45" i="8"/>
  <c r="O114" i="12"/>
  <c r="AE45" i="8"/>
  <c r="AI114" i="12"/>
  <c r="D45" i="8"/>
  <c r="H114" i="12"/>
  <c r="AF42" i="8"/>
  <c r="AJ115" i="12"/>
  <c r="AJ116" i="12"/>
  <c r="AB42" i="8"/>
  <c r="AF115" i="12"/>
  <c r="AF116" i="12"/>
  <c r="V42" i="8"/>
  <c r="Z115" i="12"/>
  <c r="Z116" i="12"/>
  <c r="AH42" i="8"/>
  <c r="AL115" i="12"/>
  <c r="AL116" i="12"/>
  <c r="Q42" i="8"/>
  <c r="U115" i="12"/>
  <c r="U116" i="12"/>
  <c r="P42" i="8"/>
  <c r="T116" i="12"/>
  <c r="T115" i="12"/>
  <c r="F45" i="8"/>
  <c r="J114" i="12"/>
  <c r="U45" i="8"/>
  <c r="Y114" i="12"/>
  <c r="AF45" i="8"/>
  <c r="AJ114" i="12"/>
  <c r="Z45" i="8"/>
  <c r="AD114" i="12"/>
  <c r="N45" i="8"/>
  <c r="R114" i="12"/>
  <c r="AB45" i="8"/>
  <c r="AF114" i="12"/>
  <c r="AH45" i="8"/>
  <c r="AL114" i="12"/>
  <c r="O42" i="8"/>
  <c r="S115" i="12"/>
  <c r="S116" i="12"/>
  <c r="J45" i="8"/>
  <c r="N114" i="12"/>
  <c r="M45" i="8"/>
  <c r="Q114" i="12"/>
  <c r="M42" i="8"/>
  <c r="Q115" i="12"/>
  <c r="Q116" i="12"/>
  <c r="R45" i="8"/>
  <c r="V114" i="12"/>
  <c r="Z42" i="8"/>
  <c r="AD115" i="12"/>
  <c r="AD116" i="12"/>
  <c r="G45" i="8"/>
  <c r="K114" i="12"/>
  <c r="H45" i="8"/>
  <c r="L114" i="12"/>
  <c r="AC45" i="8"/>
  <c r="AG114" i="12"/>
  <c r="J42" i="8"/>
  <c r="N115" i="12"/>
  <c r="N116" i="12"/>
  <c r="X42" i="8"/>
  <c r="AB116" i="12"/>
  <c r="AB115" i="12"/>
  <c r="R42" i="8"/>
  <c r="V115" i="12"/>
  <c r="V117" i="12" s="1"/>
  <c r="V116" i="12"/>
  <c r="U42" i="8"/>
  <c r="Y115" i="12"/>
  <c r="Y116" i="12"/>
  <c r="N42" i="8"/>
  <c r="R115" i="12"/>
  <c r="R116" i="12"/>
  <c r="V45" i="8"/>
  <c r="Z114" i="12"/>
  <c r="AD42" i="8"/>
  <c r="AH115" i="12"/>
  <c r="AH116" i="12"/>
  <c r="I45" i="8"/>
  <c r="M114" i="12"/>
  <c r="AE42" i="8"/>
  <c r="AI115" i="12"/>
  <c r="AI116" i="12"/>
  <c r="AC42" i="8"/>
  <c r="AG115" i="12"/>
  <c r="AG116" i="12"/>
  <c r="W42" i="8"/>
  <c r="AA115" i="12"/>
  <c r="AA116" i="12"/>
  <c r="K42" i="8"/>
  <c r="O115" i="12"/>
  <c r="O116" i="12"/>
  <c r="E42" i="8"/>
  <c r="I115" i="12"/>
  <c r="I117" i="12" s="1"/>
  <c r="I116" i="12"/>
  <c r="P45" i="8"/>
  <c r="T114" i="12"/>
  <c r="S42" i="8"/>
  <c r="W115" i="12"/>
  <c r="W116" i="12"/>
  <c r="X45" i="8"/>
  <c r="AB114" i="12"/>
  <c r="AA42" i="8"/>
  <c r="AE115" i="12"/>
  <c r="AE117" i="12" s="1"/>
  <c r="AE116" i="12"/>
  <c r="L45" i="8"/>
  <c r="P114" i="12"/>
  <c r="W45" i="8"/>
  <c r="AA114" i="12"/>
  <c r="D42" i="8"/>
  <c r="H115" i="12"/>
  <c r="H116" i="12"/>
  <c r="H42" i="8"/>
  <c r="L115" i="12"/>
  <c r="L116" i="12"/>
  <c r="S45" i="8"/>
  <c r="W114" i="12"/>
  <c r="AG42" i="8"/>
  <c r="AK115" i="12"/>
  <c r="AK116" i="12"/>
  <c r="F42" i="8"/>
  <c r="J115" i="12"/>
  <c r="J117" i="12" s="1"/>
  <c r="J116" i="12"/>
  <c r="O45" i="8"/>
  <c r="S114" i="12"/>
  <c r="AD45" i="8"/>
  <c r="AH114" i="12"/>
  <c r="T42" i="8"/>
  <c r="X115" i="12"/>
  <c r="X116" i="12"/>
  <c r="T45" i="8"/>
  <c r="X114" i="12"/>
  <c r="F116" i="12"/>
  <c r="F115" i="12"/>
  <c r="F114" i="12"/>
  <c r="B42" i="8"/>
  <c r="B45" i="8"/>
  <c r="F115" i="11"/>
  <c r="F116" i="11" s="1"/>
  <c r="F114" i="11"/>
  <c r="B3" i="8"/>
  <c r="B13" i="8"/>
  <c r="B22" i="8"/>
  <c r="B5" i="8"/>
  <c r="B8" i="8"/>
  <c r="N37" i="4"/>
  <c r="V37" i="4"/>
  <c r="AD37" i="4"/>
  <c r="AL37" i="4"/>
  <c r="U37" i="4"/>
  <c r="G37" i="4"/>
  <c r="O37" i="4"/>
  <c r="W37" i="4"/>
  <c r="AE37" i="4"/>
  <c r="AC37" i="4"/>
  <c r="H37" i="4"/>
  <c r="P37" i="4"/>
  <c r="X37" i="4"/>
  <c r="AF37" i="4"/>
  <c r="M37" i="4"/>
  <c r="AK37" i="4"/>
  <c r="I37" i="4"/>
  <c r="Q37" i="4"/>
  <c r="Y37" i="4"/>
  <c r="AG37" i="4"/>
  <c r="J37" i="4"/>
  <c r="R37" i="4"/>
  <c r="Z37" i="4"/>
  <c r="AH37" i="4"/>
  <c r="K37" i="4"/>
  <c r="S37" i="4"/>
  <c r="AA37" i="4"/>
  <c r="AI37" i="4"/>
  <c r="L37" i="4"/>
  <c r="T37" i="4"/>
  <c r="AB37" i="4"/>
  <c r="AJ37" i="4"/>
  <c r="N35" i="4"/>
  <c r="V35" i="4"/>
  <c r="AD35" i="4"/>
  <c r="AL35" i="4"/>
  <c r="AC35" i="4"/>
  <c r="G35" i="4"/>
  <c r="O35" i="4"/>
  <c r="W35" i="4"/>
  <c r="AE35" i="4"/>
  <c r="M35" i="4"/>
  <c r="H35" i="4"/>
  <c r="P35" i="4"/>
  <c r="X35" i="4"/>
  <c r="AF35" i="4"/>
  <c r="U35" i="4"/>
  <c r="AK35" i="4"/>
  <c r="I35" i="4"/>
  <c r="Q35" i="4"/>
  <c r="Y35" i="4"/>
  <c r="AG35" i="4"/>
  <c r="J35" i="4"/>
  <c r="R35" i="4"/>
  <c r="Z35" i="4"/>
  <c r="AH35" i="4"/>
  <c r="K35" i="4"/>
  <c r="S35" i="4"/>
  <c r="AA35" i="4"/>
  <c r="AI35" i="4"/>
  <c r="L35" i="4"/>
  <c r="T35" i="4"/>
  <c r="AB35" i="4"/>
  <c r="AJ35" i="4"/>
  <c r="N36" i="4"/>
  <c r="V36" i="4"/>
  <c r="AD36" i="4"/>
  <c r="AL36" i="4"/>
  <c r="M36" i="4"/>
  <c r="AC36" i="4"/>
  <c r="AK36" i="4"/>
  <c r="G36" i="4"/>
  <c r="O36" i="4"/>
  <c r="W36" i="4"/>
  <c r="AE36" i="4"/>
  <c r="H36" i="4"/>
  <c r="P36" i="4"/>
  <c r="X36" i="4"/>
  <c r="AF36" i="4"/>
  <c r="U36" i="4"/>
  <c r="I36" i="4"/>
  <c r="Q36" i="4"/>
  <c r="Y36" i="4"/>
  <c r="AG36" i="4"/>
  <c r="J36" i="4"/>
  <c r="R36" i="4"/>
  <c r="Z36" i="4"/>
  <c r="AH36" i="4"/>
  <c r="K36" i="4"/>
  <c r="S36" i="4"/>
  <c r="AA36" i="4"/>
  <c r="AI36" i="4"/>
  <c r="L36" i="4"/>
  <c r="T36" i="4"/>
  <c r="AB36" i="4"/>
  <c r="AJ36" i="4"/>
  <c r="N34" i="4"/>
  <c r="V34" i="4"/>
  <c r="AD34" i="4"/>
  <c r="AL34" i="4"/>
  <c r="G34" i="4"/>
  <c r="O34" i="4"/>
  <c r="W34" i="4"/>
  <c r="AE34" i="4"/>
  <c r="H34" i="4"/>
  <c r="P34" i="4"/>
  <c r="X34" i="4"/>
  <c r="AF34" i="4"/>
  <c r="I34" i="4"/>
  <c r="Q34" i="4"/>
  <c r="Y34" i="4"/>
  <c r="AG34" i="4"/>
  <c r="AK34" i="4"/>
  <c r="J34" i="4"/>
  <c r="R34" i="4"/>
  <c r="Z34" i="4"/>
  <c r="AH34" i="4"/>
  <c r="AC34" i="4"/>
  <c r="K34" i="4"/>
  <c r="S34" i="4"/>
  <c r="AA34" i="4"/>
  <c r="AI34" i="4"/>
  <c r="U34" i="4"/>
  <c r="L34" i="4"/>
  <c r="T34" i="4"/>
  <c r="AB34" i="4"/>
  <c r="AJ34" i="4"/>
  <c r="M34" i="4"/>
  <c r="AI117" i="12" l="1"/>
  <c r="Y117" i="12"/>
  <c r="G117" i="12"/>
  <c r="AD117" i="12"/>
  <c r="P117" i="12"/>
  <c r="L117" i="12"/>
  <c r="N117" i="12"/>
  <c r="Z116" i="11"/>
  <c r="Z118" i="11" s="1"/>
  <c r="Z117" i="11"/>
  <c r="AG116" i="11"/>
  <c r="AG118" i="11" s="1"/>
  <c r="AG117" i="11"/>
  <c r="AJ117" i="11"/>
  <c r="AJ116" i="11"/>
  <c r="AJ118" i="11" s="1"/>
  <c r="AE116" i="11"/>
  <c r="AE118" i="11" s="1"/>
  <c r="AE117" i="11"/>
  <c r="AC116" i="11"/>
  <c r="AC118" i="11" s="1"/>
  <c r="AC117" i="11"/>
  <c r="T117" i="11"/>
  <c r="T116" i="11"/>
  <c r="T118" i="11" s="1"/>
  <c r="I116" i="11"/>
  <c r="I118" i="11" s="1"/>
  <c r="I117" i="11"/>
  <c r="O117" i="12"/>
  <c r="Y116" i="11"/>
  <c r="Y118" i="11" s="1"/>
  <c r="Y117" i="11"/>
  <c r="Q116" i="11"/>
  <c r="Q118" i="11" s="1"/>
  <c r="Q117" i="11"/>
  <c r="O116" i="11"/>
  <c r="O118" i="11" s="1"/>
  <c r="O117" i="11"/>
  <c r="V116" i="11"/>
  <c r="V118" i="11" s="1"/>
  <c r="V117" i="11"/>
  <c r="AD116" i="11"/>
  <c r="AD118" i="11" s="1"/>
  <c r="AD117" i="11"/>
  <c r="J116" i="11"/>
  <c r="J118" i="11" s="1"/>
  <c r="J117" i="11"/>
  <c r="AB116" i="11"/>
  <c r="AB118" i="11" s="1"/>
  <c r="AB117" i="11"/>
  <c r="N116" i="11"/>
  <c r="N118" i="11" s="1"/>
  <c r="N117" i="11"/>
  <c r="AK116" i="11"/>
  <c r="AK118" i="11" s="1"/>
  <c r="AK117" i="11"/>
  <c r="K116" i="11"/>
  <c r="K118" i="11" s="1"/>
  <c r="K117" i="11"/>
  <c r="X116" i="11"/>
  <c r="X118" i="11" s="1"/>
  <c r="X117" i="11"/>
  <c r="AF116" i="11"/>
  <c r="AF118" i="11" s="1"/>
  <c r="AF117" i="11"/>
  <c r="U116" i="11"/>
  <c r="U118" i="11" s="1"/>
  <c r="U117" i="11"/>
  <c r="W116" i="11"/>
  <c r="W118" i="11" s="1"/>
  <c r="W117" i="11"/>
  <c r="AH116" i="11"/>
  <c r="AH118" i="11" s="1"/>
  <c r="AH117" i="11"/>
  <c r="AL116" i="11"/>
  <c r="AL118" i="11" s="1"/>
  <c r="AL117" i="11"/>
  <c r="AK117" i="12"/>
  <c r="H117" i="12"/>
  <c r="R116" i="11"/>
  <c r="R118" i="11" s="1"/>
  <c r="R117" i="11"/>
  <c r="AA116" i="11"/>
  <c r="AA118" i="11" s="1"/>
  <c r="AA117" i="11"/>
  <c r="P116" i="11"/>
  <c r="P118" i="11" s="1"/>
  <c r="P117" i="11"/>
  <c r="G116" i="11"/>
  <c r="G118" i="11" s="1"/>
  <c r="G117" i="11"/>
  <c r="S116" i="11"/>
  <c r="S118" i="11" s="1"/>
  <c r="S117" i="11"/>
  <c r="M116" i="11"/>
  <c r="M118" i="11" s="1"/>
  <c r="M117" i="11"/>
  <c r="H116" i="11"/>
  <c r="H118" i="11" s="1"/>
  <c r="H117" i="11"/>
  <c r="AI116" i="11"/>
  <c r="AI118" i="11" s="1"/>
  <c r="AI117" i="11"/>
  <c r="L116" i="11"/>
  <c r="L118" i="11" s="1"/>
  <c r="L117" i="11"/>
  <c r="W117" i="12"/>
  <c r="U117" i="12"/>
  <c r="AA117" i="12"/>
  <c r="R117" i="12"/>
  <c r="AL117" i="12"/>
  <c r="AJ117" i="12"/>
  <c r="AG117" i="12"/>
  <c r="AC117" i="12"/>
  <c r="AF117" i="12"/>
  <c r="X117" i="12"/>
  <c r="AB117" i="12"/>
  <c r="S117" i="12"/>
  <c r="T117" i="12"/>
  <c r="K117" i="12"/>
  <c r="F117" i="12"/>
  <c r="Q117" i="12"/>
  <c r="M117" i="12"/>
  <c r="AH117" i="12"/>
  <c r="Z117" i="12"/>
  <c r="F117" i="11"/>
  <c r="F118" i="11"/>
  <c r="F37" i="4"/>
  <c r="E37" i="4"/>
  <c r="E34" i="4"/>
  <c r="F35" i="4"/>
  <c r="E35" i="4"/>
  <c r="F36" i="4"/>
  <c r="E36" i="4"/>
  <c r="F34" i="4"/>
  <c r="B114" i="12" l="1"/>
  <c r="B115" i="12"/>
  <c r="E122" i="12" a="1"/>
  <c r="AL135" i="12" s="1"/>
  <c r="V29" i="8"/>
  <c r="AC30" i="8"/>
  <c r="N30" i="8"/>
  <c r="U29" i="8"/>
  <c r="AA30" i="8"/>
  <c r="Q30" i="8"/>
  <c r="J31" i="8"/>
  <c r="AD30" i="8"/>
  <c r="I30" i="8"/>
  <c r="AF30" i="8"/>
  <c r="P29" i="8"/>
  <c r="W30" i="8"/>
  <c r="L31" i="8"/>
  <c r="AB30" i="8"/>
  <c r="O31" i="8"/>
  <c r="AA29" i="8"/>
  <c r="AA31" i="8"/>
  <c r="Z31" i="8"/>
  <c r="Y30" i="8"/>
  <c r="L30" i="8"/>
  <c r="P30" i="8"/>
  <c r="N31" i="8"/>
  <c r="AG29" i="8"/>
  <c r="S31" i="8"/>
  <c r="R31" i="8"/>
  <c r="R29" i="8"/>
  <c r="Z30" i="8"/>
  <c r="T30" i="8"/>
  <c r="V30" i="8"/>
  <c r="X30" i="8"/>
  <c r="AD29" i="8"/>
  <c r="AD31" i="8"/>
  <c r="AB31" i="8"/>
  <c r="Z29" i="8"/>
  <c r="U31" i="8"/>
  <c r="J29" i="8"/>
  <c r="AG30" i="8"/>
  <c r="V31" i="8"/>
  <c r="AC29" i="8"/>
  <c r="AF29" i="8"/>
  <c r="AF31" i="8"/>
  <c r="W31" i="8"/>
  <c r="AH30" i="8"/>
  <c r="AE31" i="8"/>
  <c r="O29" i="8"/>
  <c r="AB29" i="8"/>
  <c r="G30" i="8"/>
  <c r="N29" i="8"/>
  <c r="K31" i="8"/>
  <c r="H31" i="8"/>
  <c r="K29" i="8"/>
  <c r="T31" i="8"/>
  <c r="K30" i="8"/>
  <c r="M30" i="8"/>
  <c r="O30" i="8"/>
  <c r="F29" i="8"/>
  <c r="G31" i="8"/>
  <c r="P31" i="8"/>
  <c r="W29" i="8"/>
  <c r="S29" i="8"/>
  <c r="L29" i="8"/>
  <c r="J30" i="8"/>
  <c r="S30" i="8"/>
  <c r="U30" i="8"/>
  <c r="H29" i="8"/>
  <c r="M31" i="8"/>
  <c r="Q31" i="8"/>
  <c r="G29" i="8"/>
  <c r="T29" i="8"/>
  <c r="AE30" i="8"/>
  <c r="AC31" i="8"/>
  <c r="AG31" i="8"/>
  <c r="Q29" i="8"/>
  <c r="AH29" i="8"/>
  <c r="AH31" i="8"/>
  <c r="R30" i="8"/>
  <c r="F30" i="8"/>
  <c r="H30" i="8"/>
  <c r="Y31" i="8"/>
  <c r="F31" i="8"/>
  <c r="Y29" i="8"/>
  <c r="M29" i="8"/>
  <c r="AE29" i="8"/>
  <c r="I31" i="8"/>
  <c r="I29" i="8"/>
  <c r="X31" i="8"/>
  <c r="X29" i="8"/>
  <c r="A17" i="4"/>
  <c r="B17" i="4"/>
  <c r="C17" i="4"/>
  <c r="D17" i="4"/>
  <c r="A18" i="4"/>
  <c r="B18" i="4"/>
  <c r="C18" i="4"/>
  <c r="D18" i="4"/>
  <c r="A19" i="4"/>
  <c r="B19" i="4"/>
  <c r="C19" i="4"/>
  <c r="D19" i="4"/>
  <c r="A20" i="4"/>
  <c r="B20" i="4"/>
  <c r="C20" i="4"/>
  <c r="D20" i="4"/>
  <c r="A21" i="4"/>
  <c r="B21" i="4"/>
  <c r="C21" i="4"/>
  <c r="D21" i="4"/>
  <c r="A22" i="4"/>
  <c r="B22" i="4"/>
  <c r="C22" i="4"/>
  <c r="D22" i="4"/>
  <c r="A23" i="4"/>
  <c r="B23" i="4"/>
  <c r="C23" i="4"/>
  <c r="D23" i="4"/>
  <c r="A24" i="4"/>
  <c r="B24" i="4"/>
  <c r="C24" i="4"/>
  <c r="D24" i="4"/>
  <c r="A25" i="4"/>
  <c r="B25" i="4"/>
  <c r="C25" i="4"/>
  <c r="D25" i="4"/>
  <c r="A26" i="4"/>
  <c r="B26" i="4"/>
  <c r="C26" i="4"/>
  <c r="D26" i="4"/>
  <c r="A27" i="4"/>
  <c r="B27" i="4"/>
  <c r="C27" i="4"/>
  <c r="D27" i="4"/>
  <c r="A28" i="4"/>
  <c r="B28" i="4"/>
  <c r="C28" i="4"/>
  <c r="D28" i="4"/>
  <c r="A29" i="4"/>
  <c r="B29" i="4"/>
  <c r="C29" i="4"/>
  <c r="D29" i="4"/>
  <c r="A30" i="4"/>
  <c r="B30" i="4"/>
  <c r="C30" i="4"/>
  <c r="D30" i="4"/>
  <c r="A31" i="4"/>
  <c r="B31" i="4"/>
  <c r="C31" i="4"/>
  <c r="D31" i="4"/>
  <c r="A32" i="4"/>
  <c r="B32" i="4"/>
  <c r="C32" i="4"/>
  <c r="D32" i="4"/>
  <c r="AI67" i="8"/>
  <c r="AI68" i="8"/>
  <c r="AI69" i="8"/>
  <c r="AI70" i="8"/>
  <c r="AI71" i="8"/>
  <c r="AI72" i="8"/>
  <c r="AI73" i="8"/>
  <c r="AI74" i="8"/>
  <c r="AI75" i="8"/>
  <c r="AI76" i="8"/>
  <c r="AI77" i="8"/>
  <c r="AI78" i="8"/>
  <c r="AI79" i="8"/>
  <c r="AI80" i="8"/>
  <c r="AI81" i="8"/>
  <c r="AI82" i="8"/>
  <c r="AI83" i="8"/>
  <c r="AI84" i="8"/>
  <c r="AI85" i="8"/>
  <c r="AI86" i="8"/>
  <c r="AI87" i="8"/>
  <c r="AI88" i="8"/>
  <c r="AI89" i="8"/>
  <c r="AI90" i="8"/>
  <c r="AI91" i="8"/>
  <c r="AI92" i="8"/>
  <c r="AI93" i="8"/>
  <c r="AI94" i="8"/>
  <c r="AI95" i="8"/>
  <c r="B96" i="8"/>
  <c r="C96" i="8"/>
  <c r="D96" i="8"/>
  <c r="E96" i="8"/>
  <c r="F96" i="8"/>
  <c r="G96" i="8"/>
  <c r="H96" i="8"/>
  <c r="I96" i="8"/>
  <c r="J96" i="8"/>
  <c r="K96" i="8"/>
  <c r="L96" i="8"/>
  <c r="M96" i="8"/>
  <c r="N96" i="8"/>
  <c r="O96" i="8"/>
  <c r="P96" i="8"/>
  <c r="Q96" i="8"/>
  <c r="R96" i="8"/>
  <c r="S96" i="8"/>
  <c r="T96" i="8"/>
  <c r="U96" i="8"/>
  <c r="V96" i="8"/>
  <c r="W96" i="8"/>
  <c r="X96" i="8"/>
  <c r="Y96" i="8"/>
  <c r="Z96" i="8"/>
  <c r="AA96" i="8"/>
  <c r="AB96" i="8"/>
  <c r="AC96" i="8"/>
  <c r="AD96" i="8"/>
  <c r="AE96" i="8"/>
  <c r="AF96" i="8"/>
  <c r="AG96" i="8"/>
  <c r="AH96" i="8"/>
  <c r="AI96" i="8"/>
  <c r="AE123" i="12" l="1"/>
  <c r="AJ129" i="12"/>
  <c r="I131" i="12"/>
  <c r="P132" i="12"/>
  <c r="O133" i="12"/>
  <c r="N134" i="12"/>
  <c r="M135" i="12"/>
  <c r="E124" i="12"/>
  <c r="AF131" i="12"/>
  <c r="E133" i="12"/>
  <c r="L134" i="12"/>
  <c r="K135" i="12"/>
  <c r="G122" i="12"/>
  <c r="F123" i="12"/>
  <c r="M124" i="12"/>
  <c r="AB133" i="12"/>
  <c r="AI134" i="12"/>
  <c r="E122" i="12"/>
  <c r="AL122" i="12"/>
  <c r="AK123" i="12"/>
  <c r="AJ124" i="12"/>
  <c r="U124" i="12"/>
  <c r="X135" i="12"/>
  <c r="AJ122" i="12"/>
  <c r="AI123" i="12"/>
  <c r="AH124" i="12"/>
  <c r="AG125" i="12"/>
  <c r="AF126" i="12"/>
  <c r="R122" i="12"/>
  <c r="Y123" i="12"/>
  <c r="AF124" i="12"/>
  <c r="AE125" i="12"/>
  <c r="AD126" i="12"/>
  <c r="AC127" i="12"/>
  <c r="AB128" i="12"/>
  <c r="Q130" i="12"/>
  <c r="N124" i="12"/>
  <c r="U125" i="12"/>
  <c r="AB126" i="12"/>
  <c r="AA127" i="12"/>
  <c r="Z128" i="12"/>
  <c r="Y129" i="12"/>
  <c r="X130" i="12"/>
  <c r="U132" i="12"/>
  <c r="J126" i="12"/>
  <c r="Q127" i="12"/>
  <c r="X128" i="12"/>
  <c r="W129" i="12"/>
  <c r="V130" i="12"/>
  <c r="U131" i="12"/>
  <c r="T132" i="12"/>
  <c r="Y134" i="12"/>
  <c r="F128" i="12"/>
  <c r="M129" i="12"/>
  <c r="T130" i="12"/>
  <c r="S131" i="12"/>
  <c r="R132" i="12"/>
  <c r="Q133" i="12"/>
  <c r="P134" i="12"/>
  <c r="M132" i="12"/>
  <c r="Q134" i="12"/>
  <c r="W123" i="12"/>
  <c r="AA125" i="12"/>
  <c r="AI125" i="12"/>
  <c r="I126" i="12"/>
  <c r="Q126" i="12"/>
  <c r="Z122" i="12"/>
  <c r="V124" i="12"/>
  <c r="R126" i="12"/>
  <c r="N128" i="12"/>
  <c r="J130" i="12"/>
  <c r="F132" i="12"/>
  <c r="AJ133" i="12"/>
  <c r="AF135" i="12"/>
  <c r="AG123" i="12"/>
  <c r="AC125" i="12"/>
  <c r="Y127" i="12"/>
  <c r="U129" i="12"/>
  <c r="Q131" i="12"/>
  <c r="M133" i="12"/>
  <c r="I135" i="12"/>
  <c r="J123" i="12"/>
  <c r="F125" i="12"/>
  <c r="AJ126" i="12"/>
  <c r="AF128" i="12"/>
  <c r="AB130" i="12"/>
  <c r="X132" i="12"/>
  <c r="T134" i="12"/>
  <c r="M122" i="12"/>
  <c r="I124" i="12"/>
  <c r="E126" i="12"/>
  <c r="AI127" i="12"/>
  <c r="AE129" i="12"/>
  <c r="AA131" i="12"/>
  <c r="W133" i="12"/>
  <c r="S135" i="12"/>
  <c r="L123" i="12"/>
  <c r="H125" i="12"/>
  <c r="AL126" i="12"/>
  <c r="AH128" i="12"/>
  <c r="AD130" i="12"/>
  <c r="Z132" i="12"/>
  <c r="V134" i="12"/>
  <c r="O122" i="12"/>
  <c r="K124" i="12"/>
  <c r="G126" i="12"/>
  <c r="AK127" i="12"/>
  <c r="AG129" i="12"/>
  <c r="AC131" i="12"/>
  <c r="Y133" i="12"/>
  <c r="U135" i="12"/>
  <c r="N123" i="12"/>
  <c r="J125" i="12"/>
  <c r="F127" i="12"/>
  <c r="AJ128" i="12"/>
  <c r="AF130" i="12"/>
  <c r="AB132" i="12"/>
  <c r="X134" i="12"/>
  <c r="I134" i="12"/>
  <c r="O123" i="12"/>
  <c r="S125" i="12"/>
  <c r="W127" i="12"/>
  <c r="AE127" i="12"/>
  <c r="E128" i="12"/>
  <c r="M128" i="12"/>
  <c r="AH122" i="12"/>
  <c r="AD124" i="12"/>
  <c r="Z126" i="12"/>
  <c r="V128" i="12"/>
  <c r="R130" i="12"/>
  <c r="N132" i="12"/>
  <c r="J134" i="12"/>
  <c r="K122" i="12"/>
  <c r="G124" i="12"/>
  <c r="AK125" i="12"/>
  <c r="AG127" i="12"/>
  <c r="AC129" i="12"/>
  <c r="Y131" i="12"/>
  <c r="U133" i="12"/>
  <c r="Q135" i="12"/>
  <c r="R123" i="12"/>
  <c r="N125" i="12"/>
  <c r="J127" i="12"/>
  <c r="F129" i="12"/>
  <c r="AJ130" i="12"/>
  <c r="AF132" i="12"/>
  <c r="AB134" i="12"/>
  <c r="U122" i="12"/>
  <c r="Q124" i="12"/>
  <c r="M126" i="12"/>
  <c r="I128" i="12"/>
  <c r="E130" i="12"/>
  <c r="AI131" i="12"/>
  <c r="AE133" i="12"/>
  <c r="AA135" i="12"/>
  <c r="T123" i="12"/>
  <c r="P125" i="12"/>
  <c r="L127" i="12"/>
  <c r="H129" i="12"/>
  <c r="AL130" i="12"/>
  <c r="AH132" i="12"/>
  <c r="AD134" i="12"/>
  <c r="W122" i="12"/>
  <c r="S124" i="12"/>
  <c r="O126" i="12"/>
  <c r="K128" i="12"/>
  <c r="G130" i="12"/>
  <c r="AK131" i="12"/>
  <c r="AG133" i="12"/>
  <c r="AC135" i="12"/>
  <c r="V123" i="12"/>
  <c r="R125" i="12"/>
  <c r="N127" i="12"/>
  <c r="J129" i="12"/>
  <c r="F131" i="12"/>
  <c r="AJ132" i="12"/>
  <c r="AF134" i="12"/>
  <c r="G123" i="12"/>
  <c r="K125" i="12"/>
  <c r="O127" i="12"/>
  <c r="S129" i="12"/>
  <c r="AA129" i="12"/>
  <c r="AI129" i="12"/>
  <c r="I130" i="12"/>
  <c r="H123" i="12"/>
  <c r="AL124" i="12"/>
  <c r="AH126" i="12"/>
  <c r="AD128" i="12"/>
  <c r="Z130" i="12"/>
  <c r="V132" i="12"/>
  <c r="R134" i="12"/>
  <c r="S122" i="12"/>
  <c r="O124" i="12"/>
  <c r="K126" i="12"/>
  <c r="G128" i="12"/>
  <c r="AK129" i="12"/>
  <c r="AG131" i="12"/>
  <c r="AC133" i="12"/>
  <c r="Y135" i="12"/>
  <c r="Z123" i="12"/>
  <c r="V125" i="12"/>
  <c r="R127" i="12"/>
  <c r="N129" i="12"/>
  <c r="J131" i="12"/>
  <c r="F133" i="12"/>
  <c r="AJ134" i="12"/>
  <c r="AC122" i="12"/>
  <c r="Y124" i="12"/>
  <c r="U126" i="12"/>
  <c r="Q128" i="12"/>
  <c r="M130" i="12"/>
  <c r="I132" i="12"/>
  <c r="E134" i="12"/>
  <c r="AI135" i="12"/>
  <c r="AB123" i="12"/>
  <c r="X125" i="12"/>
  <c r="T127" i="12"/>
  <c r="P129" i="12"/>
  <c r="L131" i="12"/>
  <c r="H133" i="12"/>
  <c r="AL134" i="12"/>
  <c r="AE122" i="12"/>
  <c r="AA124" i="12"/>
  <c r="W126" i="12"/>
  <c r="S128" i="12"/>
  <c r="O130" i="12"/>
  <c r="K132" i="12"/>
  <c r="G134" i="12"/>
  <c r="AK135" i="12"/>
  <c r="AD123" i="12"/>
  <c r="Z125" i="12"/>
  <c r="V127" i="12"/>
  <c r="R129" i="12"/>
  <c r="N131" i="12"/>
  <c r="J133" i="12"/>
  <c r="F135" i="12"/>
  <c r="AG122" i="12"/>
  <c r="AK124" i="12"/>
  <c r="G127" i="12"/>
  <c r="K129" i="12"/>
  <c r="O131" i="12"/>
  <c r="W131" i="12"/>
  <c r="AE131" i="12"/>
  <c r="E132" i="12"/>
  <c r="P123" i="12"/>
  <c r="L125" i="12"/>
  <c r="H127" i="12"/>
  <c r="AL128" i="12"/>
  <c r="AH130" i="12"/>
  <c r="AD132" i="12"/>
  <c r="Z134" i="12"/>
  <c r="AA122" i="12"/>
  <c r="W124" i="12"/>
  <c r="S126" i="12"/>
  <c r="O128" i="12"/>
  <c r="K130" i="12"/>
  <c r="G132" i="12"/>
  <c r="AK133" i="12"/>
  <c r="AG135" i="12"/>
  <c r="AH123" i="12"/>
  <c r="AD125" i="12"/>
  <c r="Z127" i="12"/>
  <c r="V129" i="12"/>
  <c r="R131" i="12"/>
  <c r="N133" i="12"/>
  <c r="J135" i="12"/>
  <c r="AK122" i="12"/>
  <c r="AG124" i="12"/>
  <c r="AC126" i="12"/>
  <c r="Y128" i="12"/>
  <c r="U130" i="12"/>
  <c r="Q132" i="12"/>
  <c r="M134" i="12"/>
  <c r="F122" i="12"/>
  <c r="AJ123" i="12"/>
  <c r="AF125" i="12"/>
  <c r="AB127" i="12"/>
  <c r="X129" i="12"/>
  <c r="T131" i="12"/>
  <c r="P133" i="12"/>
  <c r="L135" i="12"/>
  <c r="E123" i="12"/>
  <c r="AI124" i="12"/>
  <c r="AE126" i="12"/>
  <c r="AA128" i="12"/>
  <c r="W130" i="12"/>
  <c r="S132" i="12"/>
  <c r="O134" i="12"/>
  <c r="H122" i="12"/>
  <c r="AL123" i="12"/>
  <c r="AH125" i="12"/>
  <c r="AD127" i="12"/>
  <c r="Z129" i="12"/>
  <c r="V131" i="12"/>
  <c r="R133" i="12"/>
  <c r="N135" i="12"/>
  <c r="AC124" i="12"/>
  <c r="AG126" i="12"/>
  <c r="AK128" i="12"/>
  <c r="G131" i="12"/>
  <c r="K133" i="12"/>
  <c r="S133" i="12"/>
  <c r="AA133" i="12"/>
  <c r="AI133" i="12"/>
  <c r="X123" i="12"/>
  <c r="T125" i="12"/>
  <c r="P127" i="12"/>
  <c r="L129" i="12"/>
  <c r="H131" i="12"/>
  <c r="AL132" i="12"/>
  <c r="AH134" i="12"/>
  <c r="AI122" i="12"/>
  <c r="AE124" i="12"/>
  <c r="AA126" i="12"/>
  <c r="W128" i="12"/>
  <c r="S130" i="12"/>
  <c r="O132" i="12"/>
  <c r="K134" i="12"/>
  <c r="L122" i="12"/>
  <c r="H124" i="12"/>
  <c r="AL125" i="12"/>
  <c r="AH127" i="12"/>
  <c r="AD129" i="12"/>
  <c r="Z131" i="12"/>
  <c r="V133" i="12"/>
  <c r="R135" i="12"/>
  <c r="K123" i="12"/>
  <c r="G125" i="12"/>
  <c r="AK126" i="12"/>
  <c r="AG128" i="12"/>
  <c r="AC130" i="12"/>
  <c r="Y132" i="12"/>
  <c r="U134" i="12"/>
  <c r="N122" i="12"/>
  <c r="J124" i="12"/>
  <c r="F126" i="12"/>
  <c r="AJ127" i="12"/>
  <c r="AF129" i="12"/>
  <c r="AB131" i="12"/>
  <c r="X133" i="12"/>
  <c r="T135" i="12"/>
  <c r="M123" i="12"/>
  <c r="I125" i="12"/>
  <c r="E127" i="12"/>
  <c r="AI128" i="12"/>
  <c r="AE130" i="12"/>
  <c r="AA132" i="12"/>
  <c r="W134" i="12"/>
  <c r="P122" i="12"/>
  <c r="L124" i="12"/>
  <c r="H126" i="12"/>
  <c r="AL127" i="12"/>
  <c r="AH129" i="12"/>
  <c r="AD131" i="12"/>
  <c r="Z133" i="12"/>
  <c r="V135" i="12"/>
  <c r="Y126" i="12"/>
  <c r="AC128" i="12"/>
  <c r="AG130" i="12"/>
  <c r="AK132" i="12"/>
  <c r="G135" i="12"/>
  <c r="O135" i="12"/>
  <c r="W135" i="12"/>
  <c r="AE135" i="12"/>
  <c r="AF123" i="12"/>
  <c r="AB125" i="12"/>
  <c r="X127" i="12"/>
  <c r="T129" i="12"/>
  <c r="P131" i="12"/>
  <c r="L133" i="12"/>
  <c r="H135" i="12"/>
  <c r="I123" i="12"/>
  <c r="E125" i="12"/>
  <c r="AI126" i="12"/>
  <c r="AE128" i="12"/>
  <c r="AA130" i="12"/>
  <c r="W132" i="12"/>
  <c r="S134" i="12"/>
  <c r="T122" i="12"/>
  <c r="P124" i="12"/>
  <c r="L126" i="12"/>
  <c r="H128" i="12"/>
  <c r="AL129" i="12"/>
  <c r="AH131" i="12"/>
  <c r="AD133" i="12"/>
  <c r="Z135" i="12"/>
  <c r="S123" i="12"/>
  <c r="O125" i="12"/>
  <c r="K127" i="12"/>
  <c r="G129" i="12"/>
  <c r="AK130" i="12"/>
  <c r="AG132" i="12"/>
  <c r="AC134" i="12"/>
  <c r="V122" i="12"/>
  <c r="R124" i="12"/>
  <c r="N126" i="12"/>
  <c r="J128" i="12"/>
  <c r="F130" i="12"/>
  <c r="AJ131" i="12"/>
  <c r="AF133" i="12"/>
  <c r="AB135" i="12"/>
  <c r="U123" i="12"/>
  <c r="Q125" i="12"/>
  <c r="M127" i="12"/>
  <c r="I129" i="12"/>
  <c r="E131" i="12"/>
  <c r="AI132" i="12"/>
  <c r="AE134" i="12"/>
  <c r="X122" i="12"/>
  <c r="T124" i="12"/>
  <c r="P126" i="12"/>
  <c r="L128" i="12"/>
  <c r="H130" i="12"/>
  <c r="AL131" i="12"/>
  <c r="AH133" i="12"/>
  <c r="AD135" i="12"/>
  <c r="U128" i="12"/>
  <c r="Y130" i="12"/>
  <c r="AC132" i="12"/>
  <c r="AG134" i="12"/>
  <c r="I122" i="12"/>
  <c r="Q122" i="12"/>
  <c r="Y122" i="12"/>
  <c r="J122" i="12"/>
  <c r="F124" i="12"/>
  <c r="AJ125" i="12"/>
  <c r="AF127" i="12"/>
  <c r="AB129" i="12"/>
  <c r="X131" i="12"/>
  <c r="T133" i="12"/>
  <c r="P135" i="12"/>
  <c r="Q123" i="12"/>
  <c r="M125" i="12"/>
  <c r="I127" i="12"/>
  <c r="E129" i="12"/>
  <c r="AI130" i="12"/>
  <c r="AE132" i="12"/>
  <c r="AA134" i="12"/>
  <c r="AB122" i="12"/>
  <c r="X124" i="12"/>
  <c r="T126" i="12"/>
  <c r="P128" i="12"/>
  <c r="L130" i="12"/>
  <c r="H132" i="12"/>
  <c r="AL133" i="12"/>
  <c r="AH135" i="12"/>
  <c r="AA123" i="12"/>
  <c r="W125" i="12"/>
  <c r="S127" i="12"/>
  <c r="O129" i="12"/>
  <c r="K131" i="12"/>
  <c r="G133" i="12"/>
  <c r="AK134" i="12"/>
  <c r="AD122" i="12"/>
  <c r="Z124" i="12"/>
  <c r="V126" i="12"/>
  <c r="R128" i="12"/>
  <c r="N130" i="12"/>
  <c r="J132" i="12"/>
  <c r="F134" i="12"/>
  <c r="AJ135" i="12"/>
  <c r="AC123" i="12"/>
  <c r="Y125" i="12"/>
  <c r="U127" i="12"/>
  <c r="Q129" i="12"/>
  <c r="M131" i="12"/>
  <c r="I133" i="12"/>
  <c r="E135" i="12"/>
  <c r="AF122" i="12"/>
  <c r="AB124" i="12"/>
  <c r="X126" i="12"/>
  <c r="T128" i="12"/>
  <c r="P130" i="12"/>
  <c r="L132" i="12"/>
  <c r="H134" i="12"/>
  <c r="A2" i="4"/>
  <c r="BA4" i="4" s="1"/>
  <c r="C114" i="4"/>
  <c r="F113" i="4"/>
  <c r="F79" i="4"/>
  <c r="E75" i="4"/>
  <c r="E74" i="4"/>
  <c r="E73" i="4"/>
  <c r="E72" i="4"/>
  <c r="E71" i="4"/>
  <c r="E70" i="4"/>
  <c r="E69" i="4"/>
  <c r="E68" i="4"/>
  <c r="E67" i="4"/>
  <c r="E66" i="4"/>
  <c r="E65" i="4"/>
  <c r="E64" i="4"/>
  <c r="E63" i="4"/>
  <c r="E62" i="4"/>
  <c r="E61" i="4"/>
  <c r="E60" i="4"/>
  <c r="E59" i="4"/>
  <c r="E58" i="4"/>
  <c r="E57" i="4"/>
  <c r="E56" i="4"/>
  <c r="E55" i="4"/>
  <c r="E54" i="4"/>
  <c r="E53" i="4"/>
  <c r="E52" i="4"/>
  <c r="E51" i="4"/>
  <c r="E50" i="4"/>
  <c r="E49" i="4"/>
  <c r="E48" i="4"/>
  <c r="E47" i="4"/>
  <c r="E46" i="4"/>
  <c r="AH66" i="8"/>
  <c r="AG66" i="8"/>
  <c r="AF66" i="8"/>
  <c r="AE66" i="8"/>
  <c r="AD66" i="8"/>
  <c r="AC66" i="8"/>
  <c r="AB66" i="8"/>
  <c r="AA66" i="8"/>
  <c r="Z66" i="8"/>
  <c r="Y66" i="8"/>
  <c r="X66" i="8"/>
  <c r="W66" i="8"/>
  <c r="V66" i="8"/>
  <c r="U66" i="8"/>
  <c r="T66" i="8"/>
  <c r="S66" i="8"/>
  <c r="R66" i="8"/>
  <c r="Q66" i="8"/>
  <c r="P66" i="8"/>
  <c r="O66" i="8"/>
  <c r="N66" i="8"/>
  <c r="M66" i="8"/>
  <c r="L66" i="8"/>
  <c r="K66" i="8"/>
  <c r="J66" i="8"/>
  <c r="I66" i="8"/>
  <c r="H66" i="8"/>
  <c r="G66" i="8"/>
  <c r="F66" i="8"/>
  <c r="E66" i="8"/>
  <c r="D66" i="8"/>
  <c r="C66" i="8"/>
  <c r="F45" i="4"/>
  <c r="B66" i="8" s="1"/>
  <c r="E45" i="4"/>
  <c r="F40" i="4"/>
  <c r="D33" i="4"/>
  <c r="D75" i="4" s="1"/>
  <c r="D109" i="4" s="1"/>
  <c r="C33" i="4"/>
  <c r="C75" i="4" s="1"/>
  <c r="C109" i="4" s="1"/>
  <c r="B33" i="4"/>
  <c r="B75" i="4" s="1"/>
  <c r="B109" i="4" s="1"/>
  <c r="A33" i="4"/>
  <c r="A75" i="4" s="1"/>
  <c r="A109" i="4" s="1"/>
  <c r="D74" i="4"/>
  <c r="D108" i="4" s="1"/>
  <c r="C74" i="4"/>
  <c r="C108" i="4" s="1"/>
  <c r="B74" i="4"/>
  <c r="B108" i="4" s="1"/>
  <c r="A74" i="4"/>
  <c r="D73" i="4"/>
  <c r="D107" i="4" s="1"/>
  <c r="C73" i="4"/>
  <c r="C107" i="4" s="1"/>
  <c r="B73" i="4"/>
  <c r="B107" i="4" s="1"/>
  <c r="A73" i="4"/>
  <c r="D72" i="4"/>
  <c r="D106" i="4" s="1"/>
  <c r="C72" i="4"/>
  <c r="C106" i="4" s="1"/>
  <c r="B72" i="4"/>
  <c r="B106" i="4" s="1"/>
  <c r="A72" i="4"/>
  <c r="D71" i="4"/>
  <c r="D105" i="4" s="1"/>
  <c r="C71" i="4"/>
  <c r="C105" i="4" s="1"/>
  <c r="B71" i="4"/>
  <c r="B105" i="4" s="1"/>
  <c r="A71" i="4"/>
  <c r="D70" i="4"/>
  <c r="D104" i="4" s="1"/>
  <c r="C70" i="4"/>
  <c r="C104" i="4" s="1"/>
  <c r="B70" i="4"/>
  <c r="B104" i="4" s="1"/>
  <c r="A70" i="4"/>
  <c r="D69" i="4"/>
  <c r="D103" i="4" s="1"/>
  <c r="C69" i="4"/>
  <c r="C103" i="4" s="1"/>
  <c r="B69" i="4"/>
  <c r="B103" i="4" s="1"/>
  <c r="A69" i="4"/>
  <c r="D68" i="4"/>
  <c r="D102" i="4" s="1"/>
  <c r="C68" i="4"/>
  <c r="C102" i="4" s="1"/>
  <c r="B68" i="4"/>
  <c r="B102" i="4" s="1"/>
  <c r="A68" i="4"/>
  <c r="D67" i="4"/>
  <c r="D101" i="4" s="1"/>
  <c r="C67" i="4"/>
  <c r="C101" i="4" s="1"/>
  <c r="B67" i="4"/>
  <c r="B101" i="4" s="1"/>
  <c r="A67" i="4"/>
  <c r="D66" i="4"/>
  <c r="D100" i="4" s="1"/>
  <c r="C66" i="4"/>
  <c r="C100" i="4" s="1"/>
  <c r="B66" i="4"/>
  <c r="B100" i="4" s="1"/>
  <c r="A66" i="4"/>
  <c r="D65" i="4"/>
  <c r="D99" i="4" s="1"/>
  <c r="C65" i="4"/>
  <c r="C99" i="4" s="1"/>
  <c r="B65" i="4"/>
  <c r="B99" i="4" s="1"/>
  <c r="A65" i="4"/>
  <c r="D64" i="4"/>
  <c r="D98" i="4" s="1"/>
  <c r="C64" i="4"/>
  <c r="C98" i="4" s="1"/>
  <c r="B64" i="4"/>
  <c r="B98" i="4" s="1"/>
  <c r="A64" i="4"/>
  <c r="D63" i="4"/>
  <c r="D97" i="4" s="1"/>
  <c r="C63" i="4"/>
  <c r="C97" i="4" s="1"/>
  <c r="B63" i="4"/>
  <c r="B97" i="4" s="1"/>
  <c r="A63" i="4"/>
  <c r="D62" i="4"/>
  <c r="D96" i="4" s="1"/>
  <c r="C62" i="4"/>
  <c r="C96" i="4" s="1"/>
  <c r="B62" i="4"/>
  <c r="B96" i="4" s="1"/>
  <c r="A62" i="4"/>
  <c r="D61" i="4"/>
  <c r="D95" i="4" s="1"/>
  <c r="C61" i="4"/>
  <c r="C95" i="4" s="1"/>
  <c r="B61" i="4"/>
  <c r="B95" i="4" s="1"/>
  <c r="A61" i="4"/>
  <c r="D60" i="4"/>
  <c r="D94" i="4" s="1"/>
  <c r="C60" i="4"/>
  <c r="C94" i="4" s="1"/>
  <c r="B60" i="4"/>
  <c r="B94" i="4" s="1"/>
  <c r="A60" i="4"/>
  <c r="D59" i="4"/>
  <c r="D93" i="4" s="1"/>
  <c r="C59" i="4"/>
  <c r="C93" i="4" s="1"/>
  <c r="B59" i="4"/>
  <c r="B93" i="4" s="1"/>
  <c r="A59" i="4"/>
  <c r="D16" i="4"/>
  <c r="D58" i="4" s="1"/>
  <c r="D92" i="4" s="1"/>
  <c r="C16" i="4"/>
  <c r="C58" i="4" s="1"/>
  <c r="C92" i="4" s="1"/>
  <c r="B16" i="4"/>
  <c r="B58" i="4" s="1"/>
  <c r="B92" i="4" s="1"/>
  <c r="A16" i="4"/>
  <c r="A58" i="4" s="1"/>
  <c r="D15" i="4"/>
  <c r="D57" i="4" s="1"/>
  <c r="D91" i="4" s="1"/>
  <c r="C15" i="4"/>
  <c r="C57" i="4" s="1"/>
  <c r="C91" i="4" s="1"/>
  <c r="B15" i="4"/>
  <c r="B57" i="4" s="1"/>
  <c r="B91" i="4" s="1"/>
  <c r="A15" i="4"/>
  <c r="A57" i="4" s="1"/>
  <c r="D14" i="4"/>
  <c r="D56" i="4" s="1"/>
  <c r="D90" i="4" s="1"/>
  <c r="C14" i="4"/>
  <c r="C56" i="4" s="1"/>
  <c r="C90" i="4" s="1"/>
  <c r="B14" i="4"/>
  <c r="B56" i="4" s="1"/>
  <c r="B90" i="4" s="1"/>
  <c r="A14" i="4"/>
  <c r="A56" i="4" s="1"/>
  <c r="D13" i="4"/>
  <c r="D55" i="4" s="1"/>
  <c r="D89" i="4" s="1"/>
  <c r="C13" i="4"/>
  <c r="C55" i="4" s="1"/>
  <c r="C89" i="4" s="1"/>
  <c r="B13" i="4"/>
  <c r="B55" i="4" s="1"/>
  <c r="B89" i="4" s="1"/>
  <c r="A13" i="4"/>
  <c r="A55" i="4" s="1"/>
  <c r="D12" i="4"/>
  <c r="D54" i="4" s="1"/>
  <c r="D88" i="4" s="1"/>
  <c r="C12" i="4"/>
  <c r="C54" i="4" s="1"/>
  <c r="C88" i="4" s="1"/>
  <c r="B12" i="4"/>
  <c r="B54" i="4" s="1"/>
  <c r="B88" i="4" s="1"/>
  <c r="A12" i="4"/>
  <c r="A54" i="4" s="1"/>
  <c r="D11" i="4"/>
  <c r="D53" i="4" s="1"/>
  <c r="D87" i="4" s="1"/>
  <c r="C11" i="4"/>
  <c r="C53" i="4" s="1"/>
  <c r="C87" i="4" s="1"/>
  <c r="B11" i="4"/>
  <c r="B53" i="4" s="1"/>
  <c r="B87" i="4" s="1"/>
  <c r="A11" i="4"/>
  <c r="A53" i="4" s="1"/>
  <c r="D10" i="4"/>
  <c r="D52" i="4" s="1"/>
  <c r="D86" i="4" s="1"/>
  <c r="C10" i="4"/>
  <c r="C52" i="4" s="1"/>
  <c r="C86" i="4" s="1"/>
  <c r="B10" i="4"/>
  <c r="B52" i="4" s="1"/>
  <c r="B86" i="4" s="1"/>
  <c r="A10" i="4"/>
  <c r="A52" i="4" s="1"/>
  <c r="D9" i="4"/>
  <c r="D51" i="4" s="1"/>
  <c r="D85" i="4" s="1"/>
  <c r="C9" i="4"/>
  <c r="C51" i="4" s="1"/>
  <c r="C85" i="4" s="1"/>
  <c r="B9" i="4"/>
  <c r="B51" i="4" s="1"/>
  <c r="B85" i="4" s="1"/>
  <c r="A9" i="4"/>
  <c r="A51" i="4" s="1"/>
  <c r="D8" i="4"/>
  <c r="D50" i="4" s="1"/>
  <c r="D84" i="4" s="1"/>
  <c r="C8" i="4"/>
  <c r="C50" i="4" s="1"/>
  <c r="C84" i="4" s="1"/>
  <c r="B8" i="4"/>
  <c r="B50" i="4" s="1"/>
  <c r="B84" i="4" s="1"/>
  <c r="A8" i="4"/>
  <c r="A50" i="4" s="1"/>
  <c r="D7" i="4"/>
  <c r="D49" i="4" s="1"/>
  <c r="D83" i="4" s="1"/>
  <c r="C7" i="4"/>
  <c r="C49" i="4" s="1"/>
  <c r="C83" i="4" s="1"/>
  <c r="B7" i="4"/>
  <c r="B49" i="4" s="1"/>
  <c r="B83" i="4" s="1"/>
  <c r="A7" i="4"/>
  <c r="A49" i="4" s="1"/>
  <c r="D6" i="4"/>
  <c r="D48" i="4" s="1"/>
  <c r="D82" i="4" s="1"/>
  <c r="C6" i="4"/>
  <c r="C48" i="4" s="1"/>
  <c r="C82" i="4" s="1"/>
  <c r="B6" i="4"/>
  <c r="B48" i="4" s="1"/>
  <c r="B82" i="4" s="1"/>
  <c r="A6" i="4"/>
  <c r="A48" i="4" s="1"/>
  <c r="D5" i="4"/>
  <c r="D47" i="4" s="1"/>
  <c r="D81" i="4" s="1"/>
  <c r="C5" i="4"/>
  <c r="C47" i="4" s="1"/>
  <c r="C81" i="4" s="1"/>
  <c r="B5" i="4"/>
  <c r="B47" i="4" s="1"/>
  <c r="B81" i="4" s="1"/>
  <c r="A5" i="4"/>
  <c r="A47" i="4" s="1"/>
  <c r="D4" i="4"/>
  <c r="D46" i="4" s="1"/>
  <c r="D80" i="4" s="1"/>
  <c r="C4" i="4"/>
  <c r="C46" i="4" s="1"/>
  <c r="C80" i="4" s="1"/>
  <c r="B4" i="4"/>
  <c r="B46" i="4" s="1"/>
  <c r="B80" i="4" s="1"/>
  <c r="A4" i="4"/>
  <c r="A46" i="4" s="1"/>
  <c r="G46" i="4" l="1"/>
  <c r="T46" i="4"/>
  <c r="Z46" i="4"/>
  <c r="U46" i="4"/>
  <c r="Q46" i="4"/>
  <c r="S46" i="4"/>
  <c r="X46" i="4"/>
  <c r="AF46" i="4"/>
  <c r="AJ46" i="4"/>
  <c r="Y46" i="4"/>
  <c r="N46" i="4"/>
  <c r="P46" i="4"/>
  <c r="AG46" i="4"/>
  <c r="AH46" i="4"/>
  <c r="AA46" i="4"/>
  <c r="AC46" i="4"/>
  <c r="H46" i="4"/>
  <c r="AB46" i="4"/>
  <c r="R46" i="4"/>
  <c r="J46" i="4"/>
  <c r="AI46" i="4"/>
  <c r="V46" i="4"/>
  <c r="AE46" i="4"/>
  <c r="AD46" i="4"/>
  <c r="AK46" i="4"/>
  <c r="AL46" i="4"/>
  <c r="O46" i="4"/>
  <c r="L46" i="4"/>
  <c r="K46" i="4"/>
  <c r="I46" i="4"/>
  <c r="M46" i="4"/>
  <c r="W46" i="4"/>
  <c r="AG48" i="4"/>
  <c r="AH48" i="4"/>
  <c r="AA48" i="4"/>
  <c r="V48" i="4"/>
  <c r="AC48" i="4"/>
  <c r="H48" i="4"/>
  <c r="AK48" i="4"/>
  <c r="G48" i="4"/>
  <c r="T48" i="4"/>
  <c r="Z48" i="4"/>
  <c r="K48" i="4"/>
  <c r="U48" i="4"/>
  <c r="Q48" i="4"/>
  <c r="X48" i="4"/>
  <c r="N48" i="4"/>
  <c r="AJ48" i="4"/>
  <c r="Y48" i="4"/>
  <c r="AB48" i="4"/>
  <c r="I48" i="4"/>
  <c r="M48" i="4"/>
  <c r="W48" i="4"/>
  <c r="R48" i="4"/>
  <c r="AL48" i="4"/>
  <c r="J48" i="4"/>
  <c r="AI48" i="4"/>
  <c r="AD48" i="4"/>
  <c r="AE48" i="4"/>
  <c r="P48" i="4"/>
  <c r="L48" i="4"/>
  <c r="O48" i="4"/>
  <c r="AF48" i="4"/>
  <c r="S48" i="4"/>
  <c r="AJ50" i="4"/>
  <c r="Y50" i="4"/>
  <c r="P50" i="4"/>
  <c r="V50" i="4"/>
  <c r="AG50" i="4"/>
  <c r="AH50" i="4"/>
  <c r="AA50" i="4"/>
  <c r="AC50" i="4"/>
  <c r="H50" i="4"/>
  <c r="AK50" i="4"/>
  <c r="G50" i="4"/>
  <c r="T50" i="4"/>
  <c r="Z50" i="4"/>
  <c r="U50" i="4"/>
  <c r="K50" i="4"/>
  <c r="Q50" i="4"/>
  <c r="N50" i="4"/>
  <c r="S50" i="4"/>
  <c r="AD50" i="4"/>
  <c r="AF50" i="4"/>
  <c r="O50" i="4"/>
  <c r="I50" i="4"/>
  <c r="M50" i="4"/>
  <c r="W50" i="4"/>
  <c r="X50" i="4"/>
  <c r="AB50" i="4"/>
  <c r="R50" i="4"/>
  <c r="AL50" i="4"/>
  <c r="J50" i="4"/>
  <c r="AI50" i="4"/>
  <c r="AE50" i="4"/>
  <c r="L50" i="4"/>
  <c r="Q52" i="4"/>
  <c r="M73" i="8" s="1"/>
  <c r="X52" i="4"/>
  <c r="AF52" i="4"/>
  <c r="AB73" i="8" s="1"/>
  <c r="AJ52" i="4"/>
  <c r="AF73" i="8" s="1"/>
  <c r="Y52" i="4"/>
  <c r="U73" i="8" s="1"/>
  <c r="V52" i="4"/>
  <c r="R73" i="8" s="1"/>
  <c r="AB52" i="4"/>
  <c r="X73" i="8" s="1"/>
  <c r="P52" i="4"/>
  <c r="L73" i="8" s="1"/>
  <c r="AG52" i="4"/>
  <c r="AC73" i="8" s="1"/>
  <c r="AH52" i="4"/>
  <c r="AA52" i="4"/>
  <c r="W73" i="8" s="1"/>
  <c r="AC52" i="4"/>
  <c r="Y73" i="8" s="1"/>
  <c r="H52" i="4"/>
  <c r="D73" i="8" s="1"/>
  <c r="AK52" i="4"/>
  <c r="AG73" i="8" s="1"/>
  <c r="G52" i="4"/>
  <c r="C73" i="8" s="1"/>
  <c r="L52" i="4"/>
  <c r="H73" i="8" s="1"/>
  <c r="AE52" i="4"/>
  <c r="AA73" i="8" s="1"/>
  <c r="K52" i="4"/>
  <c r="T52" i="4"/>
  <c r="P73" i="8" s="1"/>
  <c r="S52" i="4"/>
  <c r="O73" i="8" s="1"/>
  <c r="O52" i="4"/>
  <c r="K73" i="8" s="1"/>
  <c r="U52" i="4"/>
  <c r="Q73" i="8" s="1"/>
  <c r="I52" i="4"/>
  <c r="E73" i="8" s="1"/>
  <c r="M52" i="4"/>
  <c r="I73" i="8" s="1"/>
  <c r="AL52" i="4"/>
  <c r="AH73" i="8" s="1"/>
  <c r="Z52" i="4"/>
  <c r="N52" i="4"/>
  <c r="J73" i="8" s="1"/>
  <c r="AD52" i="4"/>
  <c r="Z73" i="8" s="1"/>
  <c r="W52" i="4"/>
  <c r="S73" i="8" s="1"/>
  <c r="R52" i="4"/>
  <c r="N73" i="8" s="1"/>
  <c r="J52" i="4"/>
  <c r="F73" i="8" s="1"/>
  <c r="AI52" i="4"/>
  <c r="AE73" i="8" s="1"/>
  <c r="N54" i="4"/>
  <c r="G54" i="4"/>
  <c r="T54" i="4"/>
  <c r="Z54" i="4"/>
  <c r="U54" i="4"/>
  <c r="Q54" i="4"/>
  <c r="S54" i="4"/>
  <c r="X54" i="4"/>
  <c r="V54" i="4"/>
  <c r="AF54" i="4"/>
  <c r="AJ54" i="4"/>
  <c r="Y54" i="4"/>
  <c r="P54" i="4"/>
  <c r="AG54" i="4"/>
  <c r="AH54" i="4"/>
  <c r="AA54" i="4"/>
  <c r="AC54" i="4"/>
  <c r="K54" i="4"/>
  <c r="L54" i="4"/>
  <c r="R54" i="4"/>
  <c r="J54" i="4"/>
  <c r="AI54" i="4"/>
  <c r="H54" i="4"/>
  <c r="AE54" i="4"/>
  <c r="O54" i="4"/>
  <c r="AK54" i="4"/>
  <c r="AL54" i="4"/>
  <c r="AD54" i="4"/>
  <c r="I54" i="4"/>
  <c r="M54" i="4"/>
  <c r="AB54" i="4"/>
  <c r="W54" i="4"/>
  <c r="AG56" i="4"/>
  <c r="AC77" i="8" s="1"/>
  <c r="AH56" i="4"/>
  <c r="AA56" i="4"/>
  <c r="W77" i="8" s="1"/>
  <c r="H56" i="4"/>
  <c r="D77" i="8" s="1"/>
  <c r="AK56" i="4"/>
  <c r="AG77" i="8" s="1"/>
  <c r="N56" i="4"/>
  <c r="J77" i="8" s="1"/>
  <c r="K56" i="4"/>
  <c r="G77" i="8" s="1"/>
  <c r="G56" i="4"/>
  <c r="C77" i="8" s="1"/>
  <c r="T56" i="4"/>
  <c r="P77" i="8" s="1"/>
  <c r="Z56" i="4"/>
  <c r="Q56" i="4"/>
  <c r="M77" i="8" s="1"/>
  <c r="V56" i="4"/>
  <c r="R77" i="8" s="1"/>
  <c r="AC56" i="4"/>
  <c r="Y77" i="8" s="1"/>
  <c r="X56" i="4"/>
  <c r="T77" i="8" s="1"/>
  <c r="AJ56" i="4"/>
  <c r="AF77" i="8" s="1"/>
  <c r="Y56" i="4"/>
  <c r="U77" i="8" s="1"/>
  <c r="AB56" i="4"/>
  <c r="X77" i="8" s="1"/>
  <c r="I56" i="4"/>
  <c r="M56" i="4"/>
  <c r="I77" i="8" s="1"/>
  <c r="AF56" i="4"/>
  <c r="AB77" i="8" s="1"/>
  <c r="W56" i="4"/>
  <c r="S77" i="8" s="1"/>
  <c r="L56" i="4"/>
  <c r="H77" i="8" s="1"/>
  <c r="AD56" i="4"/>
  <c r="Z77" i="8" s="1"/>
  <c r="R56" i="4"/>
  <c r="N77" i="8" s="1"/>
  <c r="J56" i="4"/>
  <c r="F77" i="8" s="1"/>
  <c r="AI56" i="4"/>
  <c r="AE56" i="4"/>
  <c r="AA77" i="8" s="1"/>
  <c r="S56" i="4"/>
  <c r="O77" i="8" s="1"/>
  <c r="P56" i="4"/>
  <c r="L77" i="8" s="1"/>
  <c r="U56" i="4"/>
  <c r="Q77" i="8" s="1"/>
  <c r="AL56" i="4"/>
  <c r="AH77" i="8" s="1"/>
  <c r="O56" i="4"/>
  <c r="K77" i="8" s="1"/>
  <c r="AJ58" i="4"/>
  <c r="AF79" i="8" s="1"/>
  <c r="Y58" i="4"/>
  <c r="P58" i="4"/>
  <c r="L79" i="8" s="1"/>
  <c r="U58" i="4"/>
  <c r="Q79" i="8" s="1"/>
  <c r="AG58" i="4"/>
  <c r="AC79" i="8" s="1"/>
  <c r="AH58" i="4"/>
  <c r="AD79" i="8" s="1"/>
  <c r="AA58" i="4"/>
  <c r="W79" i="8" s="1"/>
  <c r="H58" i="4"/>
  <c r="D79" i="8" s="1"/>
  <c r="AK58" i="4"/>
  <c r="AG79" i="8" s="1"/>
  <c r="N58" i="4"/>
  <c r="G58" i="4"/>
  <c r="C79" i="8" s="1"/>
  <c r="T58" i="4"/>
  <c r="P79" i="8" s="1"/>
  <c r="K58" i="4"/>
  <c r="G79" i="8" s="1"/>
  <c r="Z58" i="4"/>
  <c r="V79" i="8" s="1"/>
  <c r="AC58" i="4"/>
  <c r="Y79" i="8" s="1"/>
  <c r="Q58" i="4"/>
  <c r="M79" i="8" s="1"/>
  <c r="V58" i="4"/>
  <c r="R79" i="8" s="1"/>
  <c r="S58" i="4"/>
  <c r="AL58" i="4"/>
  <c r="AH79" i="8" s="1"/>
  <c r="O58" i="4"/>
  <c r="K79" i="8" s="1"/>
  <c r="AF58" i="4"/>
  <c r="AB79" i="8" s="1"/>
  <c r="AB58" i="4"/>
  <c r="X79" i="8" s="1"/>
  <c r="I58" i="4"/>
  <c r="E79" i="8" s="1"/>
  <c r="L58" i="4"/>
  <c r="H79" i="8" s="1"/>
  <c r="W58" i="4"/>
  <c r="S79" i="8" s="1"/>
  <c r="X58" i="4"/>
  <c r="AD58" i="4"/>
  <c r="Z79" i="8" s="1"/>
  <c r="R58" i="4"/>
  <c r="N79" i="8" s="1"/>
  <c r="J58" i="4"/>
  <c r="F79" i="8" s="1"/>
  <c r="AI58" i="4"/>
  <c r="AE79" i="8" s="1"/>
  <c r="M58" i="4"/>
  <c r="I79" i="8" s="1"/>
  <c r="AE58" i="4"/>
  <c r="AA79" i="8" s="1"/>
  <c r="Q60" i="4"/>
  <c r="M81" i="8" s="1"/>
  <c r="V60" i="4"/>
  <c r="X60" i="4"/>
  <c r="T81" i="8" s="1"/>
  <c r="AJ60" i="4"/>
  <c r="AF81" i="8" s="1"/>
  <c r="Y60" i="4"/>
  <c r="U81" i="8" s="1"/>
  <c r="AC60" i="4"/>
  <c r="Y81" i="8" s="1"/>
  <c r="AB60" i="4"/>
  <c r="X81" i="8" s="1"/>
  <c r="P60" i="4"/>
  <c r="L81" i="8" s="1"/>
  <c r="U60" i="4"/>
  <c r="AG60" i="4"/>
  <c r="AH60" i="4"/>
  <c r="AD81" i="8" s="1"/>
  <c r="AA60" i="4"/>
  <c r="W81" i="8" s="1"/>
  <c r="H60" i="4"/>
  <c r="D81" i="8" s="1"/>
  <c r="AK60" i="4"/>
  <c r="AG81" i="8" s="1"/>
  <c r="N60" i="4"/>
  <c r="J81" i="8" s="1"/>
  <c r="G60" i="4"/>
  <c r="C81" i="8" s="1"/>
  <c r="S60" i="4"/>
  <c r="O81" i="8" s="1"/>
  <c r="M60" i="4"/>
  <c r="AE60" i="4"/>
  <c r="AA81" i="8" s="1"/>
  <c r="AL60" i="4"/>
  <c r="AH81" i="8" s="1"/>
  <c r="O60" i="4"/>
  <c r="K81" i="8" s="1"/>
  <c r="T60" i="4"/>
  <c r="P81" i="8" s="1"/>
  <c r="AF60" i="4"/>
  <c r="AB81" i="8" s="1"/>
  <c r="L60" i="4"/>
  <c r="H81" i="8" s="1"/>
  <c r="I60" i="4"/>
  <c r="E81" i="8" s="1"/>
  <c r="W60" i="4"/>
  <c r="Z60" i="4"/>
  <c r="V81" i="8" s="1"/>
  <c r="AD60" i="4"/>
  <c r="Z81" i="8" s="1"/>
  <c r="R60" i="4"/>
  <c r="N81" i="8" s="1"/>
  <c r="J60" i="4"/>
  <c r="F81" i="8" s="1"/>
  <c r="K60" i="4"/>
  <c r="G81" i="8" s="1"/>
  <c r="AI60" i="4"/>
  <c r="AE81" i="8" s="1"/>
  <c r="N62" i="4"/>
  <c r="J83" i="8" s="1"/>
  <c r="G62" i="4"/>
  <c r="T62" i="4"/>
  <c r="P83" i="8" s="1"/>
  <c r="Z62" i="4"/>
  <c r="V83" i="8" s="1"/>
  <c r="Q62" i="4"/>
  <c r="M83" i="8" s="1"/>
  <c r="S62" i="4"/>
  <c r="O83" i="8" s="1"/>
  <c r="AJ62" i="4"/>
  <c r="AF83" i="8" s="1"/>
  <c r="X62" i="4"/>
  <c r="T83" i="8" s="1"/>
  <c r="Y62" i="4"/>
  <c r="U83" i="8" s="1"/>
  <c r="P62" i="4"/>
  <c r="AG62" i="4"/>
  <c r="AC83" i="8" s="1"/>
  <c r="AH62" i="4"/>
  <c r="AD83" i="8" s="1"/>
  <c r="AK62" i="4"/>
  <c r="AG83" i="8" s="1"/>
  <c r="AA62" i="4"/>
  <c r="W83" i="8" s="1"/>
  <c r="V62" i="4"/>
  <c r="R83" i="8" s="1"/>
  <c r="U62" i="4"/>
  <c r="Q83" i="8" s="1"/>
  <c r="AC62" i="4"/>
  <c r="Y83" i="8" s="1"/>
  <c r="AD62" i="4"/>
  <c r="R62" i="4"/>
  <c r="N83" i="8" s="1"/>
  <c r="M62" i="4"/>
  <c r="I83" i="8" s="1"/>
  <c r="J62" i="4"/>
  <c r="F83" i="8" s="1"/>
  <c r="AI62" i="4"/>
  <c r="AE83" i="8" s="1"/>
  <c r="AE62" i="4"/>
  <c r="AA83" i="8" s="1"/>
  <c r="H62" i="4"/>
  <c r="D83" i="8" s="1"/>
  <c r="AL62" i="4"/>
  <c r="AH83" i="8" s="1"/>
  <c r="AF62" i="4"/>
  <c r="O62" i="4"/>
  <c r="K83" i="8" s="1"/>
  <c r="K62" i="4"/>
  <c r="G83" i="8" s="1"/>
  <c r="L62" i="4"/>
  <c r="H83" i="8" s="1"/>
  <c r="AB62" i="4"/>
  <c r="X83" i="8" s="1"/>
  <c r="I62" i="4"/>
  <c r="E83" i="8" s="1"/>
  <c r="W62" i="4"/>
  <c r="S83" i="8" s="1"/>
  <c r="AH64" i="4"/>
  <c r="AD85" i="8" s="1"/>
  <c r="AK64" i="4"/>
  <c r="AA64" i="4"/>
  <c r="W85" i="8" s="1"/>
  <c r="H64" i="4"/>
  <c r="D85" i="8" s="1"/>
  <c r="K64" i="4"/>
  <c r="G85" i="8" s="1"/>
  <c r="N64" i="4"/>
  <c r="J85" i="8" s="1"/>
  <c r="G64" i="4"/>
  <c r="C85" i="8" s="1"/>
  <c r="Z64" i="4"/>
  <c r="V85" i="8" s="1"/>
  <c r="V64" i="4"/>
  <c r="R85" i="8" s="1"/>
  <c r="U64" i="4"/>
  <c r="Q64" i="4"/>
  <c r="M85" i="8" s="1"/>
  <c r="L64" i="4"/>
  <c r="H85" i="8" s="1"/>
  <c r="AJ64" i="4"/>
  <c r="AF85" i="8" s="1"/>
  <c r="T64" i="4"/>
  <c r="P85" i="8" s="1"/>
  <c r="X64" i="4"/>
  <c r="T85" i="8" s="1"/>
  <c r="Y64" i="4"/>
  <c r="U85" i="8" s="1"/>
  <c r="I64" i="4"/>
  <c r="E85" i="8" s="1"/>
  <c r="W64" i="4"/>
  <c r="AC64" i="4"/>
  <c r="Y85" i="8" s="1"/>
  <c r="M64" i="4"/>
  <c r="I85" i="8" s="1"/>
  <c r="S64" i="4"/>
  <c r="O85" i="8" s="1"/>
  <c r="R64" i="4"/>
  <c r="N85" i="8" s="1"/>
  <c r="J64" i="4"/>
  <c r="F85" i="8" s="1"/>
  <c r="AI64" i="4"/>
  <c r="AE85" i="8" s="1"/>
  <c r="AL64" i="4"/>
  <c r="AE64" i="4"/>
  <c r="AF64" i="4"/>
  <c r="AB85" i="8" s="1"/>
  <c r="O64" i="4"/>
  <c r="K85" i="8" s="1"/>
  <c r="AG64" i="4"/>
  <c r="AC85" i="8" s="1"/>
  <c r="P64" i="4"/>
  <c r="L85" i="8" s="1"/>
  <c r="AD64" i="4"/>
  <c r="Z85" i="8" s="1"/>
  <c r="AB64" i="4"/>
  <c r="X85" i="8" s="1"/>
  <c r="Y66" i="4"/>
  <c r="U87" i="8" s="1"/>
  <c r="T66" i="4"/>
  <c r="P66" i="4"/>
  <c r="L87" i="8" s="1"/>
  <c r="Z66" i="4"/>
  <c r="V87" i="8" s="1"/>
  <c r="AG66" i="4"/>
  <c r="AC87" i="8" s="1"/>
  <c r="AA66" i="4"/>
  <c r="W87" i="8" s="1"/>
  <c r="H66" i="4"/>
  <c r="D87" i="8" s="1"/>
  <c r="AC66" i="4"/>
  <c r="Y87" i="8" s="1"/>
  <c r="N66" i="4"/>
  <c r="J87" i="8" s="1"/>
  <c r="AJ66" i="4"/>
  <c r="K66" i="4"/>
  <c r="G87" i="8" s="1"/>
  <c r="G66" i="4"/>
  <c r="C87" i="8" s="1"/>
  <c r="V66" i="4"/>
  <c r="R87" i="8" s="1"/>
  <c r="U66" i="4"/>
  <c r="Q87" i="8" s="1"/>
  <c r="Q66" i="4"/>
  <c r="M87" i="8" s="1"/>
  <c r="AH66" i="4"/>
  <c r="AD87" i="8" s="1"/>
  <c r="L66" i="4"/>
  <c r="H87" i="8" s="1"/>
  <c r="S66" i="4"/>
  <c r="O66" i="4"/>
  <c r="K87" i="8" s="1"/>
  <c r="R66" i="4"/>
  <c r="N87" i="8" s="1"/>
  <c r="I66" i="4"/>
  <c r="E87" i="8" s="1"/>
  <c r="AL66" i="4"/>
  <c r="AH87" i="8" s="1"/>
  <c r="W66" i="4"/>
  <c r="S87" i="8" s="1"/>
  <c r="AD66" i="4"/>
  <c r="Z87" i="8" s="1"/>
  <c r="M66" i="4"/>
  <c r="J66" i="4"/>
  <c r="AI66" i="4"/>
  <c r="AE87" i="8" s="1"/>
  <c r="AK66" i="4"/>
  <c r="AG87" i="8" s="1"/>
  <c r="X66" i="4"/>
  <c r="T87" i="8" s="1"/>
  <c r="AF66" i="4"/>
  <c r="AB87" i="8" s="1"/>
  <c r="AB66" i="4"/>
  <c r="X87" i="8" s="1"/>
  <c r="AE66" i="4"/>
  <c r="AA87" i="8" s="1"/>
  <c r="Q68" i="4"/>
  <c r="M89" i="8" s="1"/>
  <c r="AH68" i="4"/>
  <c r="L68" i="4"/>
  <c r="H89" i="8" s="1"/>
  <c r="AK68" i="4"/>
  <c r="AG89" i="8" s="1"/>
  <c r="X68" i="4"/>
  <c r="T89" i="8" s="1"/>
  <c r="Y68" i="4"/>
  <c r="U89" i="8" s="1"/>
  <c r="T68" i="4"/>
  <c r="P89" i="8" s="1"/>
  <c r="Z68" i="4"/>
  <c r="V89" i="8" s="1"/>
  <c r="H68" i="4"/>
  <c r="D89" i="8" s="1"/>
  <c r="P68" i="4"/>
  <c r="AG68" i="4"/>
  <c r="AC89" i="8" s="1"/>
  <c r="AA68" i="4"/>
  <c r="W89" i="8" s="1"/>
  <c r="G68" i="4"/>
  <c r="C89" i="8" s="1"/>
  <c r="AC68" i="4"/>
  <c r="Y89" i="8" s="1"/>
  <c r="N68" i="4"/>
  <c r="J89" i="8" s="1"/>
  <c r="AJ68" i="4"/>
  <c r="AF89" i="8" s="1"/>
  <c r="AE68" i="4"/>
  <c r="AA89" i="8" s="1"/>
  <c r="V68" i="4"/>
  <c r="R68" i="4"/>
  <c r="N89" i="8" s="1"/>
  <c r="O68" i="4"/>
  <c r="K89" i="8" s="1"/>
  <c r="J68" i="4"/>
  <c r="F89" i="8" s="1"/>
  <c r="I68" i="4"/>
  <c r="E89" i="8" s="1"/>
  <c r="U68" i="4"/>
  <c r="Q89" i="8" s="1"/>
  <c r="AL68" i="4"/>
  <c r="AH89" i="8" s="1"/>
  <c r="W68" i="4"/>
  <c r="S89" i="8" s="1"/>
  <c r="S68" i="4"/>
  <c r="AD68" i="4"/>
  <c r="Z89" i="8" s="1"/>
  <c r="M68" i="4"/>
  <c r="I89" i="8" s="1"/>
  <c r="K68" i="4"/>
  <c r="G89" i="8" s="1"/>
  <c r="AF68" i="4"/>
  <c r="AB89" i="8" s="1"/>
  <c r="AB68" i="4"/>
  <c r="X89" i="8" s="1"/>
  <c r="AI68" i="4"/>
  <c r="AE89" i="8" s="1"/>
  <c r="AJ70" i="4"/>
  <c r="AF91" i="8" s="1"/>
  <c r="AH70" i="4"/>
  <c r="V70" i="4"/>
  <c r="R91" i="8" s="1"/>
  <c r="U70" i="4"/>
  <c r="Q91" i="8" s="1"/>
  <c r="Q70" i="4"/>
  <c r="M91" i="8" s="1"/>
  <c r="L70" i="4"/>
  <c r="H91" i="8" s="1"/>
  <c r="S70" i="4"/>
  <c r="O91" i="8" s="1"/>
  <c r="Z70" i="4"/>
  <c r="V91" i="8" s="1"/>
  <c r="AK70" i="4"/>
  <c r="AG91" i="8" s="1"/>
  <c r="X70" i="4"/>
  <c r="Y70" i="4"/>
  <c r="U91" i="8" s="1"/>
  <c r="T70" i="4"/>
  <c r="P91" i="8" s="1"/>
  <c r="K70" i="4"/>
  <c r="G91" i="8" s="1"/>
  <c r="H70" i="4"/>
  <c r="D91" i="8" s="1"/>
  <c r="P70" i="4"/>
  <c r="L91" i="8" s="1"/>
  <c r="AG70" i="4"/>
  <c r="AC91" i="8" s="1"/>
  <c r="AA70" i="4"/>
  <c r="G70" i="4"/>
  <c r="AF70" i="4"/>
  <c r="AB91" i="8" s="1"/>
  <c r="M70" i="4"/>
  <c r="I91" i="8" s="1"/>
  <c r="AC70" i="4"/>
  <c r="Y91" i="8" s="1"/>
  <c r="AB70" i="4"/>
  <c r="X91" i="8" s="1"/>
  <c r="AI70" i="4"/>
  <c r="AE91" i="8" s="1"/>
  <c r="AE70" i="4"/>
  <c r="AA91" i="8" s="1"/>
  <c r="R70" i="4"/>
  <c r="N91" i="8" s="1"/>
  <c r="J70" i="4"/>
  <c r="N70" i="4"/>
  <c r="J91" i="8" s="1"/>
  <c r="O70" i="4"/>
  <c r="K91" i="8" s="1"/>
  <c r="I70" i="4"/>
  <c r="E91" i="8" s="1"/>
  <c r="AD70" i="4"/>
  <c r="Z91" i="8" s="1"/>
  <c r="AL70" i="4"/>
  <c r="AH91" i="8" s="1"/>
  <c r="W70" i="4"/>
  <c r="S91" i="8" s="1"/>
  <c r="AG72" i="4"/>
  <c r="AC93" i="8" s="1"/>
  <c r="AA72" i="4"/>
  <c r="K72" i="4"/>
  <c r="G93" i="8" s="1"/>
  <c r="G72" i="4"/>
  <c r="C93" i="8" s="1"/>
  <c r="AC72" i="4"/>
  <c r="Y93" i="8" s="1"/>
  <c r="N72" i="4"/>
  <c r="J93" i="8" s="1"/>
  <c r="AJ72" i="4"/>
  <c r="AF93" i="8" s="1"/>
  <c r="V72" i="4"/>
  <c r="R93" i="8" s="1"/>
  <c r="U72" i="4"/>
  <c r="Q93" i="8" s="1"/>
  <c r="Q72" i="4"/>
  <c r="Z72" i="4"/>
  <c r="V93" i="8" s="1"/>
  <c r="AK72" i="4"/>
  <c r="AG93" i="8" s="1"/>
  <c r="X72" i="4"/>
  <c r="T93" i="8" s="1"/>
  <c r="Y72" i="4"/>
  <c r="U93" i="8" s="1"/>
  <c r="T72" i="4"/>
  <c r="P93" i="8" s="1"/>
  <c r="P72" i="4"/>
  <c r="L93" i="8" s="1"/>
  <c r="I72" i="4"/>
  <c r="E93" i="8" s="1"/>
  <c r="AF72" i="4"/>
  <c r="L72" i="4"/>
  <c r="H93" i="8" s="1"/>
  <c r="S72" i="4"/>
  <c r="O93" i="8" s="1"/>
  <c r="AD72" i="4"/>
  <c r="Z93" i="8" s="1"/>
  <c r="AL72" i="4"/>
  <c r="AH93" i="8" s="1"/>
  <c r="W72" i="4"/>
  <c r="S93" i="8" s="1"/>
  <c r="M72" i="4"/>
  <c r="I93" i="8" s="1"/>
  <c r="AH72" i="4"/>
  <c r="AB72" i="4"/>
  <c r="AI72" i="4"/>
  <c r="AE93" i="8" s="1"/>
  <c r="H72" i="4"/>
  <c r="D93" i="8" s="1"/>
  <c r="R72" i="4"/>
  <c r="N93" i="8" s="1"/>
  <c r="AE72" i="4"/>
  <c r="AA93" i="8" s="1"/>
  <c r="J72" i="4"/>
  <c r="F93" i="8" s="1"/>
  <c r="O72" i="4"/>
  <c r="K93" i="8" s="1"/>
  <c r="Y74" i="4"/>
  <c r="T74" i="4"/>
  <c r="H74" i="4"/>
  <c r="D95" i="8" s="1"/>
  <c r="P74" i="4"/>
  <c r="L95" i="8" s="1"/>
  <c r="AG74" i="4"/>
  <c r="AC95" i="8" s="1"/>
  <c r="AH74" i="4"/>
  <c r="AD95" i="8" s="1"/>
  <c r="AA74" i="4"/>
  <c r="W95" i="8" s="1"/>
  <c r="G74" i="4"/>
  <c r="C95" i="8" s="1"/>
  <c r="K74" i="4"/>
  <c r="G95" i="8" s="1"/>
  <c r="AC74" i="4"/>
  <c r="N74" i="4"/>
  <c r="J95" i="8" s="1"/>
  <c r="AJ74" i="4"/>
  <c r="AF95" i="8" s="1"/>
  <c r="Z74" i="4"/>
  <c r="V95" i="8" s="1"/>
  <c r="V74" i="4"/>
  <c r="R95" i="8" s="1"/>
  <c r="U74" i="4"/>
  <c r="Q95" i="8" s="1"/>
  <c r="Q74" i="4"/>
  <c r="M95" i="8" s="1"/>
  <c r="L74" i="4"/>
  <c r="S74" i="4"/>
  <c r="O74" i="4"/>
  <c r="K95" i="8" s="1"/>
  <c r="AF74" i="4"/>
  <c r="AB95" i="8" s="1"/>
  <c r="AD74" i="4"/>
  <c r="Z95" i="8" s="1"/>
  <c r="I74" i="4"/>
  <c r="E95" i="8" s="1"/>
  <c r="AL74" i="4"/>
  <c r="AH95" i="8" s="1"/>
  <c r="W74" i="4"/>
  <c r="S95" i="8" s="1"/>
  <c r="M74" i="4"/>
  <c r="I95" i="8" s="1"/>
  <c r="AB74" i="4"/>
  <c r="R74" i="4"/>
  <c r="N95" i="8" s="1"/>
  <c r="J74" i="4"/>
  <c r="F95" i="8" s="1"/>
  <c r="AI74" i="4"/>
  <c r="AE95" i="8" s="1"/>
  <c r="AE74" i="4"/>
  <c r="AA95" i="8" s="1"/>
  <c r="AK74" i="4"/>
  <c r="AG95" i="8" s="1"/>
  <c r="X74" i="4"/>
  <c r="T95" i="8" s="1"/>
  <c r="H47" i="4"/>
  <c r="D68" i="8" s="1"/>
  <c r="AK47" i="4"/>
  <c r="AG68" i="8" s="1"/>
  <c r="T47" i="4"/>
  <c r="P68" i="8" s="1"/>
  <c r="Z47" i="4"/>
  <c r="V68" i="8" s="1"/>
  <c r="U47" i="4"/>
  <c r="Q68" i="8" s="1"/>
  <c r="Q47" i="4"/>
  <c r="M68" i="8" s="1"/>
  <c r="N47" i="4"/>
  <c r="J68" i="8" s="1"/>
  <c r="X47" i="4"/>
  <c r="T68" i="8" s="1"/>
  <c r="AF47" i="4"/>
  <c r="AB68" i="8" s="1"/>
  <c r="AJ47" i="4"/>
  <c r="AF68" i="8" s="1"/>
  <c r="Y47" i="4"/>
  <c r="U68" i="8" s="1"/>
  <c r="P47" i="4"/>
  <c r="L68" i="8" s="1"/>
  <c r="V47" i="4"/>
  <c r="R68" i="8" s="1"/>
  <c r="L47" i="4"/>
  <c r="H68" i="8" s="1"/>
  <c r="AH47" i="4"/>
  <c r="AD68" i="8" s="1"/>
  <c r="AA47" i="4"/>
  <c r="W68" i="8" s="1"/>
  <c r="W47" i="4"/>
  <c r="S68" i="8" s="1"/>
  <c r="AB47" i="4"/>
  <c r="X68" i="8" s="1"/>
  <c r="R47" i="4"/>
  <c r="N68" i="8" s="1"/>
  <c r="J47" i="4"/>
  <c r="F68" i="8" s="1"/>
  <c r="AI47" i="4"/>
  <c r="AE68" i="8" s="1"/>
  <c r="AE47" i="4"/>
  <c r="AA68" i="8" s="1"/>
  <c r="K47" i="4"/>
  <c r="G68" i="8" s="1"/>
  <c r="AG47" i="4"/>
  <c r="AC68" i="8" s="1"/>
  <c r="O47" i="4"/>
  <c r="K68" i="8" s="1"/>
  <c r="S47" i="4"/>
  <c r="AL47" i="4"/>
  <c r="AH68" i="8" s="1"/>
  <c r="AC47" i="4"/>
  <c r="Y68" i="8" s="1"/>
  <c r="G47" i="4"/>
  <c r="C68" i="8" s="1"/>
  <c r="AD47" i="4"/>
  <c r="Z68" i="8" s="1"/>
  <c r="I47" i="4"/>
  <c r="E68" i="8" s="1"/>
  <c r="M47" i="4"/>
  <c r="I68" i="8" s="1"/>
  <c r="P49" i="4"/>
  <c r="L70" i="8" s="1"/>
  <c r="L49" i="4"/>
  <c r="H70" i="8" s="1"/>
  <c r="AG49" i="4"/>
  <c r="AC70" i="8" s="1"/>
  <c r="AH49" i="4"/>
  <c r="AD70" i="8" s="1"/>
  <c r="AA49" i="4"/>
  <c r="W70" i="8" s="1"/>
  <c r="AC49" i="4"/>
  <c r="Y70" i="8" s="1"/>
  <c r="H49" i="4"/>
  <c r="D70" i="8" s="1"/>
  <c r="AK49" i="4"/>
  <c r="AG70" i="8" s="1"/>
  <c r="T49" i="4"/>
  <c r="P70" i="8" s="1"/>
  <c r="Z49" i="4"/>
  <c r="V70" i="8" s="1"/>
  <c r="U49" i="4"/>
  <c r="Q70" i="8" s="1"/>
  <c r="N49" i="4"/>
  <c r="J70" i="8" s="1"/>
  <c r="Q49" i="4"/>
  <c r="M70" i="8" s="1"/>
  <c r="K49" i="4"/>
  <c r="G70" i="8" s="1"/>
  <c r="X49" i="4"/>
  <c r="T70" i="8" s="1"/>
  <c r="AF49" i="4"/>
  <c r="AB70" i="8" s="1"/>
  <c r="V49" i="4"/>
  <c r="R70" i="8" s="1"/>
  <c r="G49" i="4"/>
  <c r="C70" i="8" s="1"/>
  <c r="S49" i="4"/>
  <c r="O70" i="8" s="1"/>
  <c r="AD49" i="4"/>
  <c r="Z70" i="8" s="1"/>
  <c r="I49" i="4"/>
  <c r="E70" i="8" s="1"/>
  <c r="M49" i="4"/>
  <c r="I70" i="8" s="1"/>
  <c r="AJ49" i="4"/>
  <c r="AF70" i="8" s="1"/>
  <c r="W49" i="4"/>
  <c r="S70" i="8" s="1"/>
  <c r="AB49" i="4"/>
  <c r="X70" i="8" s="1"/>
  <c r="R49" i="4"/>
  <c r="N70" i="8" s="1"/>
  <c r="J49" i="4"/>
  <c r="F70" i="8" s="1"/>
  <c r="AI49" i="4"/>
  <c r="AE70" i="8" s="1"/>
  <c r="AE49" i="4"/>
  <c r="AA70" i="8" s="1"/>
  <c r="Y49" i="4"/>
  <c r="U70" i="8" s="1"/>
  <c r="AL49" i="4"/>
  <c r="AH70" i="8" s="1"/>
  <c r="O49" i="4"/>
  <c r="K70" i="8" s="1"/>
  <c r="K51" i="4"/>
  <c r="X51" i="4"/>
  <c r="V51" i="4"/>
  <c r="AF51" i="4"/>
  <c r="AJ51" i="4"/>
  <c r="Y51" i="4"/>
  <c r="P51" i="4"/>
  <c r="L51" i="4"/>
  <c r="AG51" i="4"/>
  <c r="AH51" i="4"/>
  <c r="AA51" i="4"/>
  <c r="AC51" i="4"/>
  <c r="H51" i="4"/>
  <c r="AK51" i="4"/>
  <c r="N51" i="4"/>
  <c r="T51" i="4"/>
  <c r="Z51" i="4"/>
  <c r="U51" i="4"/>
  <c r="AD51" i="4"/>
  <c r="AL51" i="4"/>
  <c r="Q51" i="4"/>
  <c r="G51" i="4"/>
  <c r="S51" i="4"/>
  <c r="O51" i="4"/>
  <c r="I51" i="4"/>
  <c r="M51" i="4"/>
  <c r="W51" i="4"/>
  <c r="AB51" i="4"/>
  <c r="R51" i="4"/>
  <c r="J51" i="4"/>
  <c r="AI51" i="4"/>
  <c r="AE51" i="4"/>
  <c r="T53" i="4"/>
  <c r="P74" i="8" s="1"/>
  <c r="Z53" i="4"/>
  <c r="V74" i="8" s="1"/>
  <c r="U53" i="4"/>
  <c r="Q74" i="8" s="1"/>
  <c r="Q53" i="4"/>
  <c r="M74" i="8" s="1"/>
  <c r="V53" i="4"/>
  <c r="R74" i="8" s="1"/>
  <c r="X53" i="4"/>
  <c r="T74" i="8" s="1"/>
  <c r="AF53" i="4"/>
  <c r="AB74" i="8" s="1"/>
  <c r="AJ53" i="4"/>
  <c r="AF74" i="8" s="1"/>
  <c r="Y53" i="4"/>
  <c r="U74" i="8" s="1"/>
  <c r="P53" i="4"/>
  <c r="L74" i="8" s="1"/>
  <c r="L53" i="4"/>
  <c r="H74" i="8" s="1"/>
  <c r="AG53" i="4"/>
  <c r="AC74" i="8" s="1"/>
  <c r="AH53" i="4"/>
  <c r="AD74" i="8" s="1"/>
  <c r="AA53" i="4"/>
  <c r="W74" i="8" s="1"/>
  <c r="AC53" i="4"/>
  <c r="Y74" i="8" s="1"/>
  <c r="H53" i="4"/>
  <c r="D74" i="8" s="1"/>
  <c r="AK53" i="4"/>
  <c r="AG74" i="8" s="1"/>
  <c r="N53" i="4"/>
  <c r="J74" i="8" s="1"/>
  <c r="R53" i="4"/>
  <c r="N74" i="8" s="1"/>
  <c r="J53" i="4"/>
  <c r="F74" i="8" s="1"/>
  <c r="AI53" i="4"/>
  <c r="AE74" i="8" s="1"/>
  <c r="AD53" i="4"/>
  <c r="Z74" i="8" s="1"/>
  <c r="AL53" i="4"/>
  <c r="AH74" i="8" s="1"/>
  <c r="AE53" i="4"/>
  <c r="AA74" i="8" s="1"/>
  <c r="G53" i="4"/>
  <c r="C74" i="8" s="1"/>
  <c r="S53" i="4"/>
  <c r="O74" i="8" s="1"/>
  <c r="O53" i="4"/>
  <c r="K74" i="8" s="1"/>
  <c r="I53" i="4"/>
  <c r="E74" i="8" s="1"/>
  <c r="K53" i="4"/>
  <c r="G74" i="8" s="1"/>
  <c r="M53" i="4"/>
  <c r="I74" i="8" s="1"/>
  <c r="AB53" i="4"/>
  <c r="X74" i="8" s="1"/>
  <c r="W53" i="4"/>
  <c r="S74" i="8" s="1"/>
  <c r="H55" i="4"/>
  <c r="D76" i="8" s="1"/>
  <c r="AK55" i="4"/>
  <c r="AG76" i="8" s="1"/>
  <c r="T55" i="4"/>
  <c r="P76" i="8" s="1"/>
  <c r="Z55" i="4"/>
  <c r="V76" i="8" s="1"/>
  <c r="V55" i="4"/>
  <c r="R76" i="8" s="1"/>
  <c r="U55" i="4"/>
  <c r="Q76" i="8" s="1"/>
  <c r="K55" i="4"/>
  <c r="G76" i="8" s="1"/>
  <c r="Q55" i="4"/>
  <c r="M76" i="8" s="1"/>
  <c r="X55" i="4"/>
  <c r="T76" i="8" s="1"/>
  <c r="AF55" i="4"/>
  <c r="AB76" i="8" s="1"/>
  <c r="AJ55" i="4"/>
  <c r="AF76" i="8" s="1"/>
  <c r="Y55" i="4"/>
  <c r="U76" i="8" s="1"/>
  <c r="P55" i="4"/>
  <c r="L76" i="8" s="1"/>
  <c r="L55" i="4"/>
  <c r="H76" i="8" s="1"/>
  <c r="AC55" i="4"/>
  <c r="Y76" i="8" s="1"/>
  <c r="AB55" i="4"/>
  <c r="X76" i="8" s="1"/>
  <c r="W55" i="4"/>
  <c r="S76" i="8" s="1"/>
  <c r="AH55" i="4"/>
  <c r="AD76" i="8" s="1"/>
  <c r="AA55" i="4"/>
  <c r="W76" i="8" s="1"/>
  <c r="AD55" i="4"/>
  <c r="Z76" i="8" s="1"/>
  <c r="R55" i="4"/>
  <c r="N76" i="8" s="1"/>
  <c r="AL55" i="4"/>
  <c r="AH76" i="8" s="1"/>
  <c r="J55" i="4"/>
  <c r="F76" i="8" s="1"/>
  <c r="AI55" i="4"/>
  <c r="AE76" i="8" s="1"/>
  <c r="N55" i="4"/>
  <c r="J76" i="8" s="1"/>
  <c r="G55" i="4"/>
  <c r="C76" i="8" s="1"/>
  <c r="AE55" i="4"/>
  <c r="AA76" i="8" s="1"/>
  <c r="S55" i="4"/>
  <c r="O76" i="8" s="1"/>
  <c r="O55" i="4"/>
  <c r="K76" i="8" s="1"/>
  <c r="AG55" i="4"/>
  <c r="AC76" i="8" s="1"/>
  <c r="I55" i="4"/>
  <c r="E76" i="8" s="1"/>
  <c r="M55" i="4"/>
  <c r="I76" i="8" s="1"/>
  <c r="P57" i="4"/>
  <c r="L78" i="8" s="1"/>
  <c r="U57" i="4"/>
  <c r="Q78" i="8" s="1"/>
  <c r="AC57" i="4"/>
  <c r="Y78" i="8" s="1"/>
  <c r="L57" i="4"/>
  <c r="H78" i="8" s="1"/>
  <c r="AG57" i="4"/>
  <c r="AC78" i="8" s="1"/>
  <c r="AH57" i="4"/>
  <c r="AD78" i="8" s="1"/>
  <c r="AA57" i="4"/>
  <c r="W78" i="8" s="1"/>
  <c r="H57" i="4"/>
  <c r="D78" i="8" s="1"/>
  <c r="AK57" i="4"/>
  <c r="AG78" i="8" s="1"/>
  <c r="N57" i="4"/>
  <c r="J78" i="8" s="1"/>
  <c r="T57" i="4"/>
  <c r="P78" i="8" s="1"/>
  <c r="Z57" i="4"/>
  <c r="V78" i="8" s="1"/>
  <c r="Q57" i="4"/>
  <c r="M78" i="8" s="1"/>
  <c r="K57" i="4"/>
  <c r="G78" i="8" s="1"/>
  <c r="V57" i="4"/>
  <c r="R78" i="8" s="1"/>
  <c r="X57" i="4"/>
  <c r="T78" i="8" s="1"/>
  <c r="AF57" i="4"/>
  <c r="AB78" i="8" s="1"/>
  <c r="AB57" i="4"/>
  <c r="X78" i="8" s="1"/>
  <c r="I57" i="4"/>
  <c r="E78" i="8" s="1"/>
  <c r="W57" i="4"/>
  <c r="S78" i="8" s="1"/>
  <c r="AJ57" i="4"/>
  <c r="AF78" i="8" s="1"/>
  <c r="G57" i="4"/>
  <c r="C78" i="8" s="1"/>
  <c r="AD57" i="4"/>
  <c r="Z78" i="8" s="1"/>
  <c r="R57" i="4"/>
  <c r="N78" i="8" s="1"/>
  <c r="J57" i="4"/>
  <c r="F78" i="8" s="1"/>
  <c r="AI57" i="4"/>
  <c r="AE78" i="8" s="1"/>
  <c r="M57" i="4"/>
  <c r="I78" i="8" s="1"/>
  <c r="AE57" i="4"/>
  <c r="AA78" i="8" s="1"/>
  <c r="S57" i="4"/>
  <c r="O78" i="8" s="1"/>
  <c r="Y57" i="4"/>
  <c r="U78" i="8" s="1"/>
  <c r="AL57" i="4"/>
  <c r="AH78" i="8" s="1"/>
  <c r="O57" i="4"/>
  <c r="K78" i="8" s="1"/>
  <c r="X59" i="4"/>
  <c r="T80" i="8" s="1"/>
  <c r="AF59" i="4"/>
  <c r="AB80" i="8" s="1"/>
  <c r="AJ59" i="4"/>
  <c r="AF80" i="8" s="1"/>
  <c r="Y59" i="4"/>
  <c r="U80" i="8" s="1"/>
  <c r="AC59" i="4"/>
  <c r="Y80" i="8" s="1"/>
  <c r="P59" i="4"/>
  <c r="L80" i="8" s="1"/>
  <c r="U59" i="4"/>
  <c r="Q80" i="8" s="1"/>
  <c r="L59" i="4"/>
  <c r="H80" i="8" s="1"/>
  <c r="AD59" i="4"/>
  <c r="Z80" i="8" s="1"/>
  <c r="AG59" i="4"/>
  <c r="AC80" i="8" s="1"/>
  <c r="AH59" i="4"/>
  <c r="AD80" i="8" s="1"/>
  <c r="AA59" i="4"/>
  <c r="W80" i="8" s="1"/>
  <c r="H59" i="4"/>
  <c r="D80" i="8" s="1"/>
  <c r="AK59" i="4"/>
  <c r="AG80" i="8" s="1"/>
  <c r="N59" i="4"/>
  <c r="J80" i="8" s="1"/>
  <c r="T59" i="4"/>
  <c r="P80" i="8" s="1"/>
  <c r="Z59" i="4"/>
  <c r="V80" i="8" s="1"/>
  <c r="AL59" i="4"/>
  <c r="AH80" i="8" s="1"/>
  <c r="O59" i="4"/>
  <c r="K80" i="8" s="1"/>
  <c r="Q59" i="4"/>
  <c r="M80" i="8" s="1"/>
  <c r="V59" i="4"/>
  <c r="R80" i="8" s="1"/>
  <c r="AB59" i="4"/>
  <c r="X80" i="8" s="1"/>
  <c r="I59" i="4"/>
  <c r="E80" i="8" s="1"/>
  <c r="W59" i="4"/>
  <c r="S80" i="8" s="1"/>
  <c r="G59" i="4"/>
  <c r="C80" i="8" s="1"/>
  <c r="R59" i="4"/>
  <c r="N80" i="8" s="1"/>
  <c r="J59" i="4"/>
  <c r="F80" i="8" s="1"/>
  <c r="AI59" i="4"/>
  <c r="AE80" i="8" s="1"/>
  <c r="S59" i="4"/>
  <c r="O80" i="8" s="1"/>
  <c r="M59" i="4"/>
  <c r="I80" i="8" s="1"/>
  <c r="AE59" i="4"/>
  <c r="AA80" i="8" s="1"/>
  <c r="K59" i="4"/>
  <c r="G80" i="8" s="1"/>
  <c r="Z61" i="4"/>
  <c r="V82" i="8" s="1"/>
  <c r="Q61" i="4"/>
  <c r="M82" i="8" s="1"/>
  <c r="AC61" i="4"/>
  <c r="Y82" i="8" s="1"/>
  <c r="T61" i="4"/>
  <c r="P82" i="8" s="1"/>
  <c r="AK61" i="4"/>
  <c r="AG82" i="8" s="1"/>
  <c r="X61" i="4"/>
  <c r="T82" i="8" s="1"/>
  <c r="AF61" i="4"/>
  <c r="AB82" i="8" s="1"/>
  <c r="Y61" i="4"/>
  <c r="U82" i="8" s="1"/>
  <c r="P61" i="4"/>
  <c r="L82" i="8" s="1"/>
  <c r="V61" i="4"/>
  <c r="R82" i="8" s="1"/>
  <c r="U61" i="4"/>
  <c r="Q82" i="8" s="1"/>
  <c r="AG61" i="4"/>
  <c r="AC82" i="8" s="1"/>
  <c r="AH61" i="4"/>
  <c r="AD82" i="8" s="1"/>
  <c r="AA61" i="4"/>
  <c r="W82" i="8" s="1"/>
  <c r="H61" i="4"/>
  <c r="D82" i="8" s="1"/>
  <c r="N61" i="4"/>
  <c r="J82" i="8" s="1"/>
  <c r="R61" i="4"/>
  <c r="N82" i="8" s="1"/>
  <c r="J61" i="4"/>
  <c r="F82" i="8" s="1"/>
  <c r="AI61" i="4"/>
  <c r="AE82" i="8" s="1"/>
  <c r="S61" i="4"/>
  <c r="O82" i="8" s="1"/>
  <c r="M61" i="4"/>
  <c r="I82" i="8" s="1"/>
  <c r="AE61" i="4"/>
  <c r="AA82" i="8" s="1"/>
  <c r="L61" i="4"/>
  <c r="H82" i="8" s="1"/>
  <c r="AD61" i="4"/>
  <c r="Z82" i="8" s="1"/>
  <c r="O61" i="4"/>
  <c r="K82" i="8" s="1"/>
  <c r="AB61" i="4"/>
  <c r="X82" i="8" s="1"/>
  <c r="K61" i="4"/>
  <c r="G82" i="8" s="1"/>
  <c r="AJ61" i="4"/>
  <c r="AF82" i="8" s="1"/>
  <c r="I61" i="4"/>
  <c r="E82" i="8" s="1"/>
  <c r="G61" i="4"/>
  <c r="C82" i="8" s="1"/>
  <c r="AL61" i="4"/>
  <c r="AH82" i="8" s="1"/>
  <c r="W61" i="4"/>
  <c r="S82" i="8" s="1"/>
  <c r="AJ63" i="4"/>
  <c r="AF84" i="8" s="1"/>
  <c r="H63" i="4"/>
  <c r="D84" i="8" s="1"/>
  <c r="AG63" i="4"/>
  <c r="AC84" i="8" s="1"/>
  <c r="Z63" i="4"/>
  <c r="V84" i="8" s="1"/>
  <c r="AC63" i="4"/>
  <c r="Y84" i="8" s="1"/>
  <c r="AD63" i="4"/>
  <c r="Z84" i="8" s="1"/>
  <c r="T63" i="4"/>
  <c r="P84" i="8" s="1"/>
  <c r="Q63" i="4"/>
  <c r="M84" i="8" s="1"/>
  <c r="AK63" i="4"/>
  <c r="AG84" i="8" s="1"/>
  <c r="X63" i="4"/>
  <c r="T84" i="8" s="1"/>
  <c r="AF63" i="4"/>
  <c r="AB84" i="8" s="1"/>
  <c r="Y63" i="4"/>
  <c r="U84" i="8" s="1"/>
  <c r="V63" i="4"/>
  <c r="R84" i="8" s="1"/>
  <c r="U63" i="4"/>
  <c r="Q84" i="8" s="1"/>
  <c r="P63" i="4"/>
  <c r="L84" i="8" s="1"/>
  <c r="W63" i="4"/>
  <c r="S84" i="8" s="1"/>
  <c r="AH63" i="4"/>
  <c r="AD84" i="8" s="1"/>
  <c r="AA63" i="4"/>
  <c r="W84" i="8" s="1"/>
  <c r="S63" i="4"/>
  <c r="O84" i="8" s="1"/>
  <c r="R63" i="4"/>
  <c r="N84" i="8" s="1"/>
  <c r="M63" i="4"/>
  <c r="I84" i="8" s="1"/>
  <c r="J63" i="4"/>
  <c r="F84" i="8" s="1"/>
  <c r="AI63" i="4"/>
  <c r="AE84" i="8" s="1"/>
  <c r="K63" i="4"/>
  <c r="G84" i="8" s="1"/>
  <c r="AE63" i="4"/>
  <c r="AA84" i="8" s="1"/>
  <c r="L63" i="4"/>
  <c r="H84" i="8" s="1"/>
  <c r="AB63" i="4"/>
  <c r="X84" i="8" s="1"/>
  <c r="O63" i="4"/>
  <c r="K84" i="8" s="1"/>
  <c r="N63" i="4"/>
  <c r="J84" i="8" s="1"/>
  <c r="G63" i="4"/>
  <c r="C84" i="8" s="1"/>
  <c r="I63" i="4"/>
  <c r="E84" i="8" s="1"/>
  <c r="AL63" i="4"/>
  <c r="AH84" i="8" s="1"/>
  <c r="AG65" i="4"/>
  <c r="P65" i="4"/>
  <c r="AC65" i="4"/>
  <c r="AH65" i="4"/>
  <c r="AK65" i="4"/>
  <c r="AA65" i="4"/>
  <c r="H65" i="4"/>
  <c r="N65" i="4"/>
  <c r="AD65" i="4"/>
  <c r="T65" i="4"/>
  <c r="Z65" i="4"/>
  <c r="K65" i="4"/>
  <c r="V65" i="4"/>
  <c r="U65" i="4"/>
  <c r="Q65" i="4"/>
  <c r="AJ65" i="4"/>
  <c r="X65" i="4"/>
  <c r="AF65" i="4"/>
  <c r="Y65" i="4"/>
  <c r="AB65" i="4"/>
  <c r="I65" i="4"/>
  <c r="W65" i="4"/>
  <c r="M65" i="4"/>
  <c r="G65" i="4"/>
  <c r="S65" i="4"/>
  <c r="R65" i="4"/>
  <c r="J65" i="4"/>
  <c r="AI65" i="4"/>
  <c r="L65" i="4"/>
  <c r="AL65" i="4"/>
  <c r="AE65" i="4"/>
  <c r="O65" i="4"/>
  <c r="AK67" i="4"/>
  <c r="AG88" i="8" s="1"/>
  <c r="X67" i="4"/>
  <c r="T88" i="8" s="1"/>
  <c r="AF67" i="4"/>
  <c r="AB88" i="8" s="1"/>
  <c r="Y67" i="4"/>
  <c r="U88" i="8" s="1"/>
  <c r="T67" i="4"/>
  <c r="P88" i="8" s="1"/>
  <c r="H67" i="4"/>
  <c r="D88" i="8" s="1"/>
  <c r="P67" i="4"/>
  <c r="L88" i="8" s="1"/>
  <c r="AH67" i="4"/>
  <c r="AD88" i="8" s="1"/>
  <c r="AG67" i="4"/>
  <c r="AC88" i="8" s="1"/>
  <c r="AA67" i="4"/>
  <c r="W88" i="8" s="1"/>
  <c r="AC67" i="4"/>
  <c r="Y88" i="8" s="1"/>
  <c r="N67" i="4"/>
  <c r="J88" i="8" s="1"/>
  <c r="AJ67" i="4"/>
  <c r="AF88" i="8" s="1"/>
  <c r="Z67" i="4"/>
  <c r="V88" i="8" s="1"/>
  <c r="V67" i="4"/>
  <c r="R88" i="8" s="1"/>
  <c r="U67" i="4"/>
  <c r="Q88" i="8" s="1"/>
  <c r="AB67" i="4"/>
  <c r="X88" i="8" s="1"/>
  <c r="G67" i="4"/>
  <c r="C88" i="8" s="1"/>
  <c r="O67" i="4"/>
  <c r="K88" i="8" s="1"/>
  <c r="Q67" i="4"/>
  <c r="M88" i="8" s="1"/>
  <c r="I67" i="4"/>
  <c r="E88" i="8" s="1"/>
  <c r="AL67" i="4"/>
  <c r="AH88" i="8" s="1"/>
  <c r="W67" i="4"/>
  <c r="S88" i="8" s="1"/>
  <c r="S67" i="4"/>
  <c r="O88" i="8" s="1"/>
  <c r="AD67" i="4"/>
  <c r="Z88" i="8" s="1"/>
  <c r="R67" i="4"/>
  <c r="N88" i="8" s="1"/>
  <c r="M67" i="4"/>
  <c r="I88" i="8" s="1"/>
  <c r="L67" i="4"/>
  <c r="H88" i="8" s="1"/>
  <c r="J67" i="4"/>
  <c r="F88" i="8" s="1"/>
  <c r="AI67" i="4"/>
  <c r="AE88" i="8" s="1"/>
  <c r="K67" i="4"/>
  <c r="G88" i="8" s="1"/>
  <c r="AE67" i="4"/>
  <c r="AA88" i="8" s="1"/>
  <c r="V69" i="4"/>
  <c r="R90" i="8" s="1"/>
  <c r="U69" i="4"/>
  <c r="Q90" i="8" s="1"/>
  <c r="Q69" i="4"/>
  <c r="M90" i="8" s="1"/>
  <c r="AK69" i="4"/>
  <c r="AG90" i="8" s="1"/>
  <c r="X69" i="4"/>
  <c r="T90" i="8" s="1"/>
  <c r="AF69" i="4"/>
  <c r="AB90" i="8" s="1"/>
  <c r="Y69" i="4"/>
  <c r="U90" i="8" s="1"/>
  <c r="T69" i="4"/>
  <c r="P90" i="8" s="1"/>
  <c r="AH69" i="4"/>
  <c r="AD90" i="8" s="1"/>
  <c r="H69" i="4"/>
  <c r="D90" i="8" s="1"/>
  <c r="P69" i="4"/>
  <c r="L90" i="8" s="1"/>
  <c r="AG69" i="4"/>
  <c r="AC90" i="8" s="1"/>
  <c r="AA69" i="4"/>
  <c r="W90" i="8" s="1"/>
  <c r="Z69" i="4"/>
  <c r="V90" i="8" s="1"/>
  <c r="AC69" i="4"/>
  <c r="Y90" i="8" s="1"/>
  <c r="N69" i="4"/>
  <c r="J90" i="8" s="1"/>
  <c r="AD69" i="4"/>
  <c r="Z90" i="8" s="1"/>
  <c r="AB69" i="4"/>
  <c r="X90" i="8" s="1"/>
  <c r="AI69" i="4"/>
  <c r="AE90" i="8" s="1"/>
  <c r="G69" i="4"/>
  <c r="C90" i="8" s="1"/>
  <c r="AE69" i="4"/>
  <c r="AA90" i="8" s="1"/>
  <c r="K69" i="4"/>
  <c r="G90" i="8" s="1"/>
  <c r="O69" i="4"/>
  <c r="K90" i="8" s="1"/>
  <c r="AJ69" i="4"/>
  <c r="AF90" i="8" s="1"/>
  <c r="I69" i="4"/>
  <c r="E90" i="8" s="1"/>
  <c r="R69" i="4"/>
  <c r="N90" i="8" s="1"/>
  <c r="AL69" i="4"/>
  <c r="AH90" i="8" s="1"/>
  <c r="W69" i="4"/>
  <c r="S90" i="8" s="1"/>
  <c r="L69" i="4"/>
  <c r="H90" i="8" s="1"/>
  <c r="S69" i="4"/>
  <c r="O90" i="8" s="1"/>
  <c r="M69" i="4"/>
  <c r="I90" i="8" s="1"/>
  <c r="J69" i="4"/>
  <c r="F90" i="8" s="1"/>
  <c r="AC71" i="4"/>
  <c r="Y92" i="8" s="1"/>
  <c r="N71" i="4"/>
  <c r="J92" i="8" s="1"/>
  <c r="K71" i="4"/>
  <c r="G92" i="8" s="1"/>
  <c r="AJ71" i="4"/>
  <c r="AF92" i="8" s="1"/>
  <c r="V71" i="4"/>
  <c r="R92" i="8" s="1"/>
  <c r="U71" i="4"/>
  <c r="Q92" i="8" s="1"/>
  <c r="Q71" i="4"/>
  <c r="M92" i="8" s="1"/>
  <c r="AH71" i="4"/>
  <c r="AD92" i="8" s="1"/>
  <c r="AK71" i="4"/>
  <c r="AG92" i="8" s="1"/>
  <c r="X71" i="4"/>
  <c r="T92" i="8" s="1"/>
  <c r="AF71" i="4"/>
  <c r="AB92" i="8" s="1"/>
  <c r="Y71" i="4"/>
  <c r="U92" i="8" s="1"/>
  <c r="T71" i="4"/>
  <c r="P92" i="8" s="1"/>
  <c r="H71" i="4"/>
  <c r="D92" i="8" s="1"/>
  <c r="P71" i="4"/>
  <c r="L92" i="8" s="1"/>
  <c r="AG71" i="4"/>
  <c r="AC92" i="8" s="1"/>
  <c r="L71" i="4"/>
  <c r="H92" i="8" s="1"/>
  <c r="S71" i="4"/>
  <c r="O92" i="8" s="1"/>
  <c r="AD71" i="4"/>
  <c r="Z92" i="8" s="1"/>
  <c r="AL71" i="4"/>
  <c r="AH92" i="8" s="1"/>
  <c r="W71" i="4"/>
  <c r="S92" i="8" s="1"/>
  <c r="J71" i="4"/>
  <c r="F92" i="8" s="1"/>
  <c r="M71" i="4"/>
  <c r="I92" i="8" s="1"/>
  <c r="G71" i="4"/>
  <c r="C92" i="8" s="1"/>
  <c r="AB71" i="4"/>
  <c r="X92" i="8" s="1"/>
  <c r="AI71" i="4"/>
  <c r="AE92" i="8" s="1"/>
  <c r="AA71" i="4"/>
  <c r="W92" i="8" s="1"/>
  <c r="AE71" i="4"/>
  <c r="AA92" i="8" s="1"/>
  <c r="O71" i="4"/>
  <c r="K92" i="8" s="1"/>
  <c r="Z71" i="4"/>
  <c r="V92" i="8" s="1"/>
  <c r="R71" i="4"/>
  <c r="N92" i="8" s="1"/>
  <c r="I71" i="4"/>
  <c r="E92" i="8" s="1"/>
  <c r="H73" i="4"/>
  <c r="D94" i="8" s="1"/>
  <c r="P73" i="4"/>
  <c r="L94" i="8" s="1"/>
  <c r="Z73" i="4"/>
  <c r="V94" i="8" s="1"/>
  <c r="AG73" i="4"/>
  <c r="AC94" i="8" s="1"/>
  <c r="AA73" i="4"/>
  <c r="W94" i="8" s="1"/>
  <c r="AC73" i="4"/>
  <c r="Y94" i="8" s="1"/>
  <c r="N73" i="4"/>
  <c r="J94" i="8" s="1"/>
  <c r="AD73" i="4"/>
  <c r="Z94" i="8" s="1"/>
  <c r="AJ73" i="4"/>
  <c r="AF94" i="8" s="1"/>
  <c r="K73" i="4"/>
  <c r="G94" i="8" s="1"/>
  <c r="V73" i="4"/>
  <c r="R94" i="8" s="1"/>
  <c r="U73" i="4"/>
  <c r="Q94" i="8" s="1"/>
  <c r="Q73" i="4"/>
  <c r="M94" i="8" s="1"/>
  <c r="AH73" i="4"/>
  <c r="AD94" i="8" s="1"/>
  <c r="AK73" i="4"/>
  <c r="AG94" i="8" s="1"/>
  <c r="X73" i="4"/>
  <c r="T94" i="8" s="1"/>
  <c r="AF73" i="4"/>
  <c r="AB94" i="8" s="1"/>
  <c r="R73" i="4"/>
  <c r="N94" i="8" s="1"/>
  <c r="Y73" i="4"/>
  <c r="U94" i="8" s="1"/>
  <c r="I73" i="4"/>
  <c r="E94" i="8" s="1"/>
  <c r="J73" i="4"/>
  <c r="F94" i="8" s="1"/>
  <c r="L73" i="4"/>
  <c r="H94" i="8" s="1"/>
  <c r="S73" i="4"/>
  <c r="O94" i="8" s="1"/>
  <c r="AL73" i="4"/>
  <c r="AH94" i="8" s="1"/>
  <c r="W73" i="4"/>
  <c r="S94" i="8" s="1"/>
  <c r="G73" i="4"/>
  <c r="C94" i="8" s="1"/>
  <c r="M73" i="4"/>
  <c r="I94" i="8" s="1"/>
  <c r="T73" i="4"/>
  <c r="P94" i="8" s="1"/>
  <c r="AB73" i="4"/>
  <c r="X94" i="8" s="1"/>
  <c r="AI73" i="4"/>
  <c r="AE94" i="8" s="1"/>
  <c r="AE73" i="4"/>
  <c r="AA94" i="8" s="1"/>
  <c r="O73" i="4"/>
  <c r="K94" i="8" s="1"/>
  <c r="BA3" i="4"/>
  <c r="E108" i="4"/>
  <c r="A95" i="8"/>
  <c r="E85" i="4"/>
  <c r="A72" i="8"/>
  <c r="E93" i="4"/>
  <c r="A80" i="8"/>
  <c r="E101" i="4"/>
  <c r="A88" i="8"/>
  <c r="E109" i="4"/>
  <c r="A96" i="8"/>
  <c r="E92" i="4"/>
  <c r="A79" i="8"/>
  <c r="E79" i="4"/>
  <c r="E86" i="4"/>
  <c r="A73" i="8"/>
  <c r="E94" i="4"/>
  <c r="A81" i="8"/>
  <c r="E102" i="4"/>
  <c r="A89" i="8"/>
  <c r="E87" i="4"/>
  <c r="A74" i="8"/>
  <c r="E95" i="4"/>
  <c r="A82" i="8"/>
  <c r="E103" i="4"/>
  <c r="A90" i="8"/>
  <c r="E80" i="4"/>
  <c r="A67" i="8"/>
  <c r="E88" i="4"/>
  <c r="A75" i="8"/>
  <c r="E96" i="4"/>
  <c r="A83" i="8"/>
  <c r="E104" i="4"/>
  <c r="A91" i="8"/>
  <c r="E84" i="4"/>
  <c r="A71" i="8"/>
  <c r="E81" i="4"/>
  <c r="A68" i="8"/>
  <c r="E89" i="4"/>
  <c r="A76" i="8"/>
  <c r="E97" i="4"/>
  <c r="A84" i="8"/>
  <c r="E105" i="4"/>
  <c r="A92" i="8"/>
  <c r="E100" i="4"/>
  <c r="A87" i="8"/>
  <c r="E82" i="4"/>
  <c r="A69" i="8"/>
  <c r="E90" i="4"/>
  <c r="A77" i="8"/>
  <c r="E98" i="4"/>
  <c r="A85" i="8"/>
  <c r="E106" i="4"/>
  <c r="A93" i="8"/>
  <c r="E83" i="4"/>
  <c r="A70" i="8"/>
  <c r="E91" i="4"/>
  <c r="A78" i="8"/>
  <c r="E99" i="4"/>
  <c r="A86" i="8"/>
  <c r="E107" i="4"/>
  <c r="A94" i="8"/>
  <c r="A114" i="4"/>
  <c r="A115" i="4" s="1"/>
  <c r="A83" i="4"/>
  <c r="F49" i="4"/>
  <c r="B70" i="8" s="1"/>
  <c r="A87" i="4"/>
  <c r="F53" i="4"/>
  <c r="B74" i="8" s="1"/>
  <c r="A80" i="4"/>
  <c r="F46" i="4"/>
  <c r="A84" i="4"/>
  <c r="F50" i="4"/>
  <c r="A88" i="4"/>
  <c r="F54" i="4"/>
  <c r="A90" i="4"/>
  <c r="AE77" i="8"/>
  <c r="AD77" i="8"/>
  <c r="V77" i="8"/>
  <c r="E77" i="8"/>
  <c r="F56" i="4"/>
  <c r="A94" i="4"/>
  <c r="S81" i="8"/>
  <c r="R81" i="8"/>
  <c r="F60" i="4"/>
  <c r="B81" i="8" s="1"/>
  <c r="Q81" i="8"/>
  <c r="I81" i="8"/>
  <c r="AC81" i="8"/>
  <c r="A82" i="4"/>
  <c r="F48" i="4"/>
  <c r="A86" i="4"/>
  <c r="G73" i="8"/>
  <c r="AD73" i="8"/>
  <c r="V73" i="8"/>
  <c r="T73" i="8"/>
  <c r="F52" i="4"/>
  <c r="B73" i="8" s="1"/>
  <c r="A92" i="4"/>
  <c r="J79" i="8"/>
  <c r="F58" i="4"/>
  <c r="B79" i="8" s="1"/>
  <c r="O79" i="8"/>
  <c r="U79" i="8"/>
  <c r="T79" i="8"/>
  <c r="A91" i="4"/>
  <c r="F57" i="4"/>
  <c r="B78" i="8" s="1"/>
  <c r="F47" i="4"/>
  <c r="B68" i="8" s="1"/>
  <c r="A96" i="4"/>
  <c r="AB83" i="8"/>
  <c r="L83" i="8"/>
  <c r="C83" i="8"/>
  <c r="Z83" i="8"/>
  <c r="F62" i="4"/>
  <c r="B83" i="8" s="1"/>
  <c r="A98" i="4"/>
  <c r="S85" i="8"/>
  <c r="AA85" i="8"/>
  <c r="F64" i="4"/>
  <c r="B85" i="8" s="1"/>
  <c r="Q85" i="8"/>
  <c r="AH85" i="8"/>
  <c r="AG85" i="8"/>
  <c r="A100" i="4"/>
  <c r="I87" i="8"/>
  <c r="AF87" i="8"/>
  <c r="P87" i="8"/>
  <c r="F87" i="8"/>
  <c r="O87" i="8"/>
  <c r="F66" i="4"/>
  <c r="B87" i="8" s="1"/>
  <c r="A102" i="4"/>
  <c r="L89" i="8"/>
  <c r="O89" i="8"/>
  <c r="F68" i="4"/>
  <c r="B89" i="8" s="1"/>
  <c r="AD89" i="8"/>
  <c r="R89" i="8"/>
  <c r="A104" i="4"/>
  <c r="W91" i="8"/>
  <c r="C91" i="8"/>
  <c r="F70" i="4"/>
  <c r="B91" i="8" s="1"/>
  <c r="AD91" i="8"/>
  <c r="T91" i="8"/>
  <c r="F91" i="8"/>
  <c r="A106" i="4"/>
  <c r="M93" i="8"/>
  <c r="AB93" i="8"/>
  <c r="X93" i="8"/>
  <c r="F72" i="4"/>
  <c r="B93" i="8" s="1"/>
  <c r="W93" i="8"/>
  <c r="AD93" i="8"/>
  <c r="A108" i="4"/>
  <c r="Y95" i="8"/>
  <c r="X95" i="8"/>
  <c r="P95" i="8"/>
  <c r="H95" i="8"/>
  <c r="U95" i="8"/>
  <c r="O95" i="8"/>
  <c r="F74" i="4"/>
  <c r="B95" i="8" s="1"/>
  <c r="O68" i="8"/>
  <c r="F59" i="4"/>
  <c r="B80" i="8" s="1"/>
  <c r="F51" i="4"/>
  <c r="A81" i="4"/>
  <c r="A85" i="4"/>
  <c r="A89" i="4"/>
  <c r="A93" i="4"/>
  <c r="A95" i="4"/>
  <c r="F61" i="4"/>
  <c r="B82" i="8" s="1"/>
  <c r="A97" i="4"/>
  <c r="F63" i="4"/>
  <c r="B84" i="8" s="1"/>
  <c r="A99" i="4"/>
  <c r="F65" i="4"/>
  <c r="A101" i="4"/>
  <c r="F67" i="4"/>
  <c r="B88" i="8" s="1"/>
  <c r="A103" i="4"/>
  <c r="F69" i="4"/>
  <c r="B90" i="8" s="1"/>
  <c r="A105" i="4"/>
  <c r="F71" i="4"/>
  <c r="B92" i="8" s="1"/>
  <c r="A107" i="4"/>
  <c r="F73" i="4"/>
  <c r="B94" i="8" s="1"/>
  <c r="F55" i="4"/>
  <c r="B76" i="8" s="1"/>
  <c r="C115" i="4"/>
  <c r="I41" i="4" l="1"/>
  <c r="AL41" i="4"/>
  <c r="H86" i="8"/>
  <c r="AF86" i="8"/>
  <c r="C86" i="8"/>
  <c r="V86" i="8"/>
  <c r="I75" i="8"/>
  <c r="AG75" i="8"/>
  <c r="P75" i="8"/>
  <c r="AA75" i="8"/>
  <c r="F71" i="8"/>
  <c r="AD71" i="8"/>
  <c r="W71" i="8"/>
  <c r="K71" i="8"/>
  <c r="R86" i="8"/>
  <c r="K86" i="8"/>
  <c r="M86" i="8"/>
  <c r="AD86" i="8"/>
  <c r="U75" i="8"/>
  <c r="D75" i="8"/>
  <c r="AB75" i="8"/>
  <c r="J75" i="8"/>
  <c r="P71" i="8"/>
  <c r="I71" i="8"/>
  <c r="AG71" i="8"/>
  <c r="S71" i="8"/>
  <c r="AB86" i="8"/>
  <c r="U86" i="8"/>
  <c r="Y86" i="8"/>
  <c r="G86" i="8"/>
  <c r="AE75" i="8"/>
  <c r="N75" i="8"/>
  <c r="G75" i="8"/>
  <c r="R75" i="8"/>
  <c r="D71" i="8"/>
  <c r="AB71" i="8"/>
  <c r="U71" i="8"/>
  <c r="AA71" i="8"/>
  <c r="I86" i="8"/>
  <c r="AG86" i="8"/>
  <c r="D86" i="8"/>
  <c r="O86" i="8"/>
  <c r="L75" i="8"/>
  <c r="X75" i="8"/>
  <c r="Q75" i="8"/>
  <c r="Z75" i="8"/>
  <c r="N71" i="8"/>
  <c r="G71" i="8"/>
  <c r="AE71" i="8"/>
  <c r="J71" i="8"/>
  <c r="S86" i="8"/>
  <c r="P86" i="8"/>
  <c r="W86" i="8"/>
  <c r="V75" i="8"/>
  <c r="E75" i="8"/>
  <c r="AC75" i="8"/>
  <c r="AH75" i="8"/>
  <c r="X71" i="8"/>
  <c r="Q71" i="8"/>
  <c r="L71" i="8"/>
  <c r="R71" i="8"/>
  <c r="E86" i="8"/>
  <c r="AC86" i="8"/>
  <c r="L86" i="8"/>
  <c r="Z86" i="8"/>
  <c r="AE86" i="8"/>
  <c r="AF75" i="8"/>
  <c r="O75" i="8"/>
  <c r="H75" i="8"/>
  <c r="C75" i="8"/>
  <c r="E71" i="8"/>
  <c r="AC71" i="8"/>
  <c r="V71" i="8"/>
  <c r="Z71" i="8"/>
  <c r="Q86" i="8"/>
  <c r="J86" i="8"/>
  <c r="X86" i="8"/>
  <c r="F86" i="8"/>
  <c r="M75" i="8"/>
  <c r="Y75" i="8"/>
  <c r="T75" i="8"/>
  <c r="K75" i="8"/>
  <c r="O71" i="8"/>
  <c r="H71" i="8"/>
  <c r="AF71" i="8"/>
  <c r="AH71" i="8"/>
  <c r="AA86" i="8"/>
  <c r="T86" i="8"/>
  <c r="AH86" i="8"/>
  <c r="N86" i="8"/>
  <c r="W75" i="8"/>
  <c r="F75" i="8"/>
  <c r="AD75" i="8"/>
  <c r="S75" i="8"/>
  <c r="Y71" i="8"/>
  <c r="T71" i="8"/>
  <c r="M71" i="8"/>
  <c r="C71" i="8"/>
  <c r="B71" i="8"/>
  <c r="B86" i="8"/>
  <c r="B75" i="8"/>
  <c r="Q69" i="8"/>
  <c r="J69" i="8"/>
  <c r="X69" i="8"/>
  <c r="F69" i="8"/>
  <c r="U67" i="8"/>
  <c r="D67" i="8"/>
  <c r="AB67" i="8"/>
  <c r="S67" i="8"/>
  <c r="AA69" i="8"/>
  <c r="T69" i="8"/>
  <c r="AH69" i="8"/>
  <c r="N69" i="8"/>
  <c r="G67" i="8"/>
  <c r="AE67" i="8"/>
  <c r="N67" i="8"/>
  <c r="AA67" i="8"/>
  <c r="H69" i="8"/>
  <c r="AF69" i="8"/>
  <c r="C69" i="8"/>
  <c r="V69" i="8"/>
  <c r="Q67" i="8"/>
  <c r="L67" i="8"/>
  <c r="X67" i="8"/>
  <c r="J67" i="8"/>
  <c r="R69" i="8"/>
  <c r="K69" i="8"/>
  <c r="M69" i="8"/>
  <c r="AD69" i="8"/>
  <c r="AC67" i="8"/>
  <c r="V67" i="8"/>
  <c r="E67" i="8"/>
  <c r="R67" i="8"/>
  <c r="AB69" i="8"/>
  <c r="U69" i="8"/>
  <c r="Y69" i="8"/>
  <c r="G69" i="8"/>
  <c r="H67" i="8"/>
  <c r="AF67" i="8"/>
  <c r="O67" i="8"/>
  <c r="Z67" i="8"/>
  <c r="I69" i="8"/>
  <c r="AG69" i="8"/>
  <c r="D69" i="8"/>
  <c r="O69" i="8"/>
  <c r="T67" i="8"/>
  <c r="M67" i="8"/>
  <c r="Y67" i="8"/>
  <c r="AH67" i="8"/>
  <c r="S69" i="8"/>
  <c r="P69" i="8"/>
  <c r="W69" i="8"/>
  <c r="AD67" i="8"/>
  <c r="W67" i="8"/>
  <c r="F67" i="8"/>
  <c r="C67" i="8"/>
  <c r="E69" i="8"/>
  <c r="AC69" i="8"/>
  <c r="L69" i="8"/>
  <c r="Z69" i="8"/>
  <c r="AE69" i="8"/>
  <c r="I67" i="8"/>
  <c r="AG67" i="8"/>
  <c r="P67" i="8"/>
  <c r="K67" i="8"/>
  <c r="B69" i="8"/>
  <c r="AA72" i="8"/>
  <c r="T72" i="8"/>
  <c r="I72" i="8"/>
  <c r="Q72" i="8"/>
  <c r="AB72" i="8"/>
  <c r="AG72" i="8"/>
  <c r="G72" i="8"/>
  <c r="W72" i="8"/>
  <c r="E72" i="8"/>
  <c r="O72" i="8"/>
  <c r="K72" i="8"/>
  <c r="AD72" i="8"/>
  <c r="Y72" i="8"/>
  <c r="Z72" i="8"/>
  <c r="M72" i="8"/>
  <c r="C72" i="8"/>
  <c r="R72" i="8"/>
  <c r="P72" i="8"/>
  <c r="U72" i="8"/>
  <c r="AH72" i="8"/>
  <c r="AF72" i="8"/>
  <c r="H72" i="8"/>
  <c r="F72" i="8"/>
  <c r="D72" i="8"/>
  <c r="AC72" i="8"/>
  <c r="X72" i="8"/>
  <c r="V72" i="8"/>
  <c r="AE72" i="8"/>
  <c r="L72" i="8"/>
  <c r="N72" i="8"/>
  <c r="J72" i="8"/>
  <c r="S72" i="8"/>
  <c r="B72" i="8"/>
  <c r="B67" i="8"/>
  <c r="B77" i="8"/>
  <c r="O41" i="4"/>
  <c r="P41" i="4" l="1"/>
  <c r="AH41" i="4"/>
  <c r="AD41" i="4"/>
  <c r="K41" i="4"/>
  <c r="AJ41" i="4"/>
  <c r="N41" i="4"/>
  <c r="AC41" i="4"/>
  <c r="AA41" i="4"/>
  <c r="AG41" i="4"/>
  <c r="V41" i="4"/>
  <c r="T41" i="4"/>
  <c r="R41" i="4"/>
  <c r="Y41" i="4"/>
  <c r="G41" i="4"/>
  <c r="U41" i="4"/>
  <c r="AB41" i="4"/>
  <c r="Z41" i="4"/>
  <c r="AE41" i="4"/>
  <c r="L41" i="4"/>
  <c r="S41" i="4"/>
  <c r="Q41" i="4"/>
  <c r="AF41" i="4"/>
  <c r="M41" i="4"/>
  <c r="J41" i="4"/>
  <c r="H41" i="4"/>
  <c r="X41" i="4"/>
  <c r="AK41" i="4"/>
  <c r="AI41" i="4"/>
  <c r="W41" i="4"/>
  <c r="F41" i="4"/>
  <c r="E41" i="4"/>
  <c r="C78" i="4" s="1"/>
  <c r="G80" i="4" l="1"/>
  <c r="O80" i="4"/>
  <c r="W80" i="4"/>
  <c r="AE80" i="4"/>
  <c r="G81" i="4"/>
  <c r="O81" i="4"/>
  <c r="W81" i="4"/>
  <c r="AE81" i="4"/>
  <c r="G82" i="4"/>
  <c r="O82" i="4"/>
  <c r="W82" i="4"/>
  <c r="AE82" i="4"/>
  <c r="G83" i="4"/>
  <c r="O83" i="4"/>
  <c r="W83" i="4"/>
  <c r="AE83" i="4"/>
  <c r="G84" i="4"/>
  <c r="O84" i="4"/>
  <c r="W84" i="4"/>
  <c r="AE84" i="4"/>
  <c r="G85" i="4"/>
  <c r="O85" i="4"/>
  <c r="W85" i="4"/>
  <c r="AE85" i="4"/>
  <c r="G86" i="4"/>
  <c r="O86" i="4"/>
  <c r="W86" i="4"/>
  <c r="AE86" i="4"/>
  <c r="G87" i="4"/>
  <c r="O87" i="4"/>
  <c r="W87" i="4"/>
  <c r="AE87" i="4"/>
  <c r="G88" i="4"/>
  <c r="O88" i="4"/>
  <c r="W88" i="4"/>
  <c r="AE88" i="4"/>
  <c r="G89" i="4"/>
  <c r="O89" i="4"/>
  <c r="W89" i="4"/>
  <c r="AE89" i="4"/>
  <c r="G90" i="4"/>
  <c r="O90" i="4"/>
  <c r="W90" i="4"/>
  <c r="AE90" i="4"/>
  <c r="G91" i="4"/>
  <c r="O91" i="4"/>
  <c r="W91" i="4"/>
  <c r="AE91" i="4"/>
  <c r="G92" i="4"/>
  <c r="O92" i="4"/>
  <c r="W92" i="4"/>
  <c r="AE92" i="4"/>
  <c r="G93" i="4"/>
  <c r="O93" i="4"/>
  <c r="W93" i="4"/>
  <c r="AE93" i="4"/>
  <c r="G94" i="4"/>
  <c r="O94" i="4"/>
  <c r="W94" i="4"/>
  <c r="AE94" i="4"/>
  <c r="G95" i="4"/>
  <c r="O95" i="4"/>
  <c r="W95" i="4"/>
  <c r="AE95" i="4"/>
  <c r="G96" i="4"/>
  <c r="O96" i="4"/>
  <c r="W96" i="4"/>
  <c r="AE96" i="4"/>
  <c r="G97" i="4"/>
  <c r="O97" i="4"/>
  <c r="W97" i="4"/>
  <c r="AE97" i="4"/>
  <c r="G98" i="4"/>
  <c r="O98" i="4"/>
  <c r="W98" i="4"/>
  <c r="H80" i="4"/>
  <c r="P80" i="4"/>
  <c r="X80" i="4"/>
  <c r="AF80" i="4"/>
  <c r="H81" i="4"/>
  <c r="P81" i="4"/>
  <c r="X81" i="4"/>
  <c r="AF81" i="4"/>
  <c r="H82" i="4"/>
  <c r="P82" i="4"/>
  <c r="X82" i="4"/>
  <c r="AF82" i="4"/>
  <c r="H83" i="4"/>
  <c r="P83" i="4"/>
  <c r="X83" i="4"/>
  <c r="AF83" i="4"/>
  <c r="H84" i="4"/>
  <c r="P84" i="4"/>
  <c r="X84" i="4"/>
  <c r="AF84" i="4"/>
  <c r="H85" i="4"/>
  <c r="P85" i="4"/>
  <c r="X85" i="4"/>
  <c r="AF85" i="4"/>
  <c r="H86" i="4"/>
  <c r="P86" i="4"/>
  <c r="X86" i="4"/>
  <c r="AF86" i="4"/>
  <c r="H87" i="4"/>
  <c r="P87" i="4"/>
  <c r="X87" i="4"/>
  <c r="AF87" i="4"/>
  <c r="H88" i="4"/>
  <c r="P88" i="4"/>
  <c r="X88" i="4"/>
  <c r="AF88" i="4"/>
  <c r="H89" i="4"/>
  <c r="P89" i="4"/>
  <c r="X89" i="4"/>
  <c r="AF89" i="4"/>
  <c r="H90" i="4"/>
  <c r="P90" i="4"/>
  <c r="X90" i="4"/>
  <c r="AF90" i="4"/>
  <c r="H91" i="4"/>
  <c r="P91" i="4"/>
  <c r="X91" i="4"/>
  <c r="AF91" i="4"/>
  <c r="H92" i="4"/>
  <c r="P92" i="4"/>
  <c r="X92" i="4"/>
  <c r="AF92" i="4"/>
  <c r="H93" i="4"/>
  <c r="P93" i="4"/>
  <c r="X93" i="4"/>
  <c r="AF93" i="4"/>
  <c r="H94" i="4"/>
  <c r="P94" i="4"/>
  <c r="X94" i="4"/>
  <c r="AF94" i="4"/>
  <c r="H95" i="4"/>
  <c r="P95" i="4"/>
  <c r="X95" i="4"/>
  <c r="AF95" i="4"/>
  <c r="H96" i="4"/>
  <c r="P96" i="4"/>
  <c r="X96" i="4"/>
  <c r="AF96" i="4"/>
  <c r="H97" i="4"/>
  <c r="P97" i="4"/>
  <c r="X97" i="4"/>
  <c r="AF97" i="4"/>
  <c r="H98" i="4"/>
  <c r="P98" i="4"/>
  <c r="X98" i="4"/>
  <c r="AF98" i="4"/>
  <c r="H99" i="4"/>
  <c r="P99" i="4"/>
  <c r="X99" i="4"/>
  <c r="AF99" i="4"/>
  <c r="H100" i="4"/>
  <c r="P100" i="4"/>
  <c r="X100" i="4"/>
  <c r="AF100" i="4"/>
  <c r="H101" i="4"/>
  <c r="I80" i="4"/>
  <c r="Q80" i="4"/>
  <c r="Y80" i="4"/>
  <c r="AG80" i="4"/>
  <c r="I81" i="4"/>
  <c r="Q81" i="4"/>
  <c r="Y81" i="4"/>
  <c r="AG81" i="4"/>
  <c r="I82" i="4"/>
  <c r="Q82" i="4"/>
  <c r="Y82" i="4"/>
  <c r="AG82" i="4"/>
  <c r="I83" i="4"/>
  <c r="Q83" i="4"/>
  <c r="Y83" i="4"/>
  <c r="AG83" i="4"/>
  <c r="I84" i="4"/>
  <c r="Q84" i="4"/>
  <c r="Y84" i="4"/>
  <c r="AG84" i="4"/>
  <c r="I85" i="4"/>
  <c r="Q85" i="4"/>
  <c r="Y85" i="4"/>
  <c r="AG85" i="4"/>
  <c r="I86" i="4"/>
  <c r="Q86" i="4"/>
  <c r="Y86" i="4"/>
  <c r="AG86" i="4"/>
  <c r="I87" i="4"/>
  <c r="Q87" i="4"/>
  <c r="Y87" i="4"/>
  <c r="AG87" i="4"/>
  <c r="I88" i="4"/>
  <c r="Q88" i="4"/>
  <c r="Y88" i="4"/>
  <c r="AG88" i="4"/>
  <c r="I89" i="4"/>
  <c r="Q89" i="4"/>
  <c r="Y89" i="4"/>
  <c r="AG89" i="4"/>
  <c r="I90" i="4"/>
  <c r="Q90" i="4"/>
  <c r="Y90" i="4"/>
  <c r="AG90" i="4"/>
  <c r="I91" i="4"/>
  <c r="Q91" i="4"/>
  <c r="Y91" i="4"/>
  <c r="J80" i="4"/>
  <c r="R80" i="4"/>
  <c r="Z80" i="4"/>
  <c r="AH80" i="4"/>
  <c r="J81" i="4"/>
  <c r="R81" i="4"/>
  <c r="Z81" i="4"/>
  <c r="AH81" i="4"/>
  <c r="J82" i="4"/>
  <c r="R82" i="4"/>
  <c r="Z82" i="4"/>
  <c r="AH82" i="4"/>
  <c r="J83" i="4"/>
  <c r="R83" i="4"/>
  <c r="Z83" i="4"/>
  <c r="AH83" i="4"/>
  <c r="J84" i="4"/>
  <c r="R84" i="4"/>
  <c r="Z84" i="4"/>
  <c r="AH84" i="4"/>
  <c r="J85" i="4"/>
  <c r="R85" i="4"/>
  <c r="Z85" i="4"/>
  <c r="AH85" i="4"/>
  <c r="J86" i="4"/>
  <c r="R86" i="4"/>
  <c r="Z86" i="4"/>
  <c r="AH86" i="4"/>
  <c r="J87" i="4"/>
  <c r="R87" i="4"/>
  <c r="Z87" i="4"/>
  <c r="AH87" i="4"/>
  <c r="J88" i="4"/>
  <c r="R88" i="4"/>
  <c r="Z88" i="4"/>
  <c r="AH88" i="4"/>
  <c r="J89" i="4"/>
  <c r="R89" i="4"/>
  <c r="Z89" i="4"/>
  <c r="AH89" i="4"/>
  <c r="J90" i="4"/>
  <c r="R90" i="4"/>
  <c r="Z90" i="4"/>
  <c r="AH90" i="4"/>
  <c r="J91" i="4"/>
  <c r="R91" i="4"/>
  <c r="Z91" i="4"/>
  <c r="AH91" i="4"/>
  <c r="J92" i="4"/>
  <c r="R92" i="4"/>
  <c r="Z92" i="4"/>
  <c r="AH92" i="4"/>
  <c r="J93" i="4"/>
  <c r="R93" i="4"/>
  <c r="Z93" i="4"/>
  <c r="AH93" i="4"/>
  <c r="J94" i="4"/>
  <c r="R94" i="4"/>
  <c r="Z94" i="4"/>
  <c r="AH94" i="4"/>
  <c r="J95" i="4"/>
  <c r="R95" i="4"/>
  <c r="Z95" i="4"/>
  <c r="AH95" i="4"/>
  <c r="J96" i="4"/>
  <c r="R96" i="4"/>
  <c r="Z96" i="4"/>
  <c r="AH96" i="4"/>
  <c r="J97" i="4"/>
  <c r="R97" i="4"/>
  <c r="Z97" i="4"/>
  <c r="AH97" i="4"/>
  <c r="J98" i="4"/>
  <c r="R98" i="4"/>
  <c r="Z98" i="4"/>
  <c r="AH98" i="4"/>
  <c r="K80" i="4"/>
  <c r="S80" i="4"/>
  <c r="AA80" i="4"/>
  <c r="AI80" i="4"/>
  <c r="K81" i="4"/>
  <c r="S81" i="4"/>
  <c r="AA81" i="4"/>
  <c r="AI81" i="4"/>
  <c r="K82" i="4"/>
  <c r="S82" i="4"/>
  <c r="AA82" i="4"/>
  <c r="AI82" i="4"/>
  <c r="K83" i="4"/>
  <c r="S83" i="4"/>
  <c r="AA83" i="4"/>
  <c r="AI83" i="4"/>
  <c r="K84" i="4"/>
  <c r="S84" i="4"/>
  <c r="AA84" i="4"/>
  <c r="AI84" i="4"/>
  <c r="K85" i="4"/>
  <c r="S85" i="4"/>
  <c r="AA85" i="4"/>
  <c r="AI85" i="4"/>
  <c r="K86" i="4"/>
  <c r="S86" i="4"/>
  <c r="AA86" i="4"/>
  <c r="AI86" i="4"/>
  <c r="K87" i="4"/>
  <c r="S87" i="4"/>
  <c r="AA87" i="4"/>
  <c r="AI87" i="4"/>
  <c r="K88" i="4"/>
  <c r="S88" i="4"/>
  <c r="AA88" i="4"/>
  <c r="AI88" i="4"/>
  <c r="K89" i="4"/>
  <c r="S89" i="4"/>
  <c r="AA89" i="4"/>
  <c r="AI89" i="4"/>
  <c r="K90" i="4"/>
  <c r="S90" i="4"/>
  <c r="AA90" i="4"/>
  <c r="AI90" i="4"/>
  <c r="K91" i="4"/>
  <c r="S91" i="4"/>
  <c r="AA91" i="4"/>
  <c r="AI91" i="4"/>
  <c r="K92" i="4"/>
  <c r="S92" i="4"/>
  <c r="AA92" i="4"/>
  <c r="AI92" i="4"/>
  <c r="K93" i="4"/>
  <c r="S93" i="4"/>
  <c r="AA93" i="4"/>
  <c r="AI93" i="4"/>
  <c r="K94" i="4"/>
  <c r="S94" i="4"/>
  <c r="AA94" i="4"/>
  <c r="AI94" i="4"/>
  <c r="K95" i="4"/>
  <c r="S95" i="4"/>
  <c r="AA95" i="4"/>
  <c r="AI95" i="4"/>
  <c r="K96" i="4"/>
  <c r="S96" i="4"/>
  <c r="AA96" i="4"/>
  <c r="AI96" i="4"/>
  <c r="K97" i="4"/>
  <c r="S97" i="4"/>
  <c r="AA97" i="4"/>
  <c r="AI97" i="4"/>
  <c r="K98" i="4"/>
  <c r="S98" i="4"/>
  <c r="AA98" i="4"/>
  <c r="AI98" i="4"/>
  <c r="K99" i="4"/>
  <c r="S99" i="4"/>
  <c r="AA99" i="4"/>
  <c r="AI99" i="4"/>
  <c r="K100" i="4"/>
  <c r="S100" i="4"/>
  <c r="AA100" i="4"/>
  <c r="L80" i="4"/>
  <c r="T80" i="4"/>
  <c r="AB80" i="4"/>
  <c r="AJ80" i="4"/>
  <c r="L81" i="4"/>
  <c r="T81" i="4"/>
  <c r="AB81" i="4"/>
  <c r="AJ81" i="4"/>
  <c r="L82" i="4"/>
  <c r="T82" i="4"/>
  <c r="AB82" i="4"/>
  <c r="AJ82" i="4"/>
  <c r="L83" i="4"/>
  <c r="T83" i="4"/>
  <c r="AB83" i="4"/>
  <c r="AJ83" i="4"/>
  <c r="L84" i="4"/>
  <c r="T84" i="4"/>
  <c r="AB84" i="4"/>
  <c r="AJ84" i="4"/>
  <c r="L85" i="4"/>
  <c r="T85" i="4"/>
  <c r="AB85" i="4"/>
  <c r="AJ85" i="4"/>
  <c r="L86" i="4"/>
  <c r="T86" i="4"/>
  <c r="AB86" i="4"/>
  <c r="AJ86" i="4"/>
  <c r="L87" i="4"/>
  <c r="T87" i="4"/>
  <c r="AB87" i="4"/>
  <c r="AJ87" i="4"/>
  <c r="L88" i="4"/>
  <c r="T88" i="4"/>
  <c r="AB88" i="4"/>
  <c r="AJ88" i="4"/>
  <c r="L89" i="4"/>
  <c r="T89" i="4"/>
  <c r="AB89" i="4"/>
  <c r="AJ89" i="4"/>
  <c r="L90" i="4"/>
  <c r="T90" i="4"/>
  <c r="AB90" i="4"/>
  <c r="AJ90" i="4"/>
  <c r="L91" i="4"/>
  <c r="T91" i="4"/>
  <c r="AB91" i="4"/>
  <c r="AJ91" i="4"/>
  <c r="L92" i="4"/>
  <c r="T92" i="4"/>
  <c r="AB92" i="4"/>
  <c r="AJ92" i="4"/>
  <c r="L93" i="4"/>
  <c r="T93" i="4"/>
  <c r="AB93" i="4"/>
  <c r="AJ93" i="4"/>
  <c r="L94" i="4"/>
  <c r="T94" i="4"/>
  <c r="AB94" i="4"/>
  <c r="AJ94" i="4"/>
  <c r="L95" i="4"/>
  <c r="T95" i="4"/>
  <c r="AB95" i="4"/>
  <c r="AJ95" i="4"/>
  <c r="L96" i="4"/>
  <c r="T96" i="4"/>
  <c r="AB96" i="4"/>
  <c r="AJ96" i="4"/>
  <c r="L97" i="4"/>
  <c r="T97" i="4"/>
  <c r="AB97" i="4"/>
  <c r="AJ97" i="4"/>
  <c r="L98" i="4"/>
  <c r="T98" i="4"/>
  <c r="AB98" i="4"/>
  <c r="AJ98" i="4"/>
  <c r="L99" i="4"/>
  <c r="T99" i="4"/>
  <c r="AB99" i="4"/>
  <c r="AJ99" i="4"/>
  <c r="L100" i="4"/>
  <c r="L115" i="4" s="1"/>
  <c r="T100" i="4"/>
  <c r="AB100" i="4"/>
  <c r="AJ100" i="4"/>
  <c r="L101" i="4"/>
  <c r="M80" i="4"/>
  <c r="M81" i="4"/>
  <c r="M82" i="4"/>
  <c r="M83" i="4"/>
  <c r="M84" i="4"/>
  <c r="M85" i="4"/>
  <c r="M86" i="4"/>
  <c r="M87" i="4"/>
  <c r="M88" i="4"/>
  <c r="M89" i="4"/>
  <c r="M90" i="4"/>
  <c r="M91" i="4"/>
  <c r="AL91" i="4"/>
  <c r="AC92" i="4"/>
  <c r="Q93" i="4"/>
  <c r="AL93" i="4"/>
  <c r="AC94" i="4"/>
  <c r="Q95" i="4"/>
  <c r="AL95" i="4"/>
  <c r="AC96" i="4"/>
  <c r="Q97" i="4"/>
  <c r="AL97" i="4"/>
  <c r="AC98" i="4"/>
  <c r="J99" i="4"/>
  <c r="W99" i="4"/>
  <c r="AK99" i="4"/>
  <c r="Q100" i="4"/>
  <c r="AD100" i="4"/>
  <c r="I101" i="4"/>
  <c r="R101" i="4"/>
  <c r="Z101" i="4"/>
  <c r="AH101" i="4"/>
  <c r="J102" i="4"/>
  <c r="R102" i="4"/>
  <c r="Z102" i="4"/>
  <c r="AH102" i="4"/>
  <c r="J103" i="4"/>
  <c r="R103" i="4"/>
  <c r="Z103" i="4"/>
  <c r="AH103" i="4"/>
  <c r="J104" i="4"/>
  <c r="R104" i="4"/>
  <c r="Z104" i="4"/>
  <c r="AH104" i="4"/>
  <c r="J105" i="4"/>
  <c r="R105" i="4"/>
  <c r="Z105" i="4"/>
  <c r="AH105" i="4"/>
  <c r="J106" i="4"/>
  <c r="R106" i="4"/>
  <c r="Z106" i="4"/>
  <c r="AH106" i="4"/>
  <c r="J107" i="4"/>
  <c r="R107" i="4"/>
  <c r="Z107" i="4"/>
  <c r="AH107" i="4"/>
  <c r="J108" i="4"/>
  <c r="R108" i="4"/>
  <c r="Z108" i="4"/>
  <c r="AH108" i="4"/>
  <c r="AL89" i="4"/>
  <c r="N80" i="4"/>
  <c r="N81" i="4"/>
  <c r="N82" i="4"/>
  <c r="N83" i="4"/>
  <c r="N84" i="4"/>
  <c r="N85" i="4"/>
  <c r="N86" i="4"/>
  <c r="N87" i="4"/>
  <c r="N88" i="4"/>
  <c r="N89" i="4"/>
  <c r="N90" i="4"/>
  <c r="N91" i="4"/>
  <c r="I92" i="4"/>
  <c r="AD92" i="4"/>
  <c r="U93" i="4"/>
  <c r="I94" i="4"/>
  <c r="AD94" i="4"/>
  <c r="U95" i="4"/>
  <c r="I96" i="4"/>
  <c r="AD96" i="4"/>
  <c r="U97" i="4"/>
  <c r="I98" i="4"/>
  <c r="AD98" i="4"/>
  <c r="M99" i="4"/>
  <c r="Y99" i="4"/>
  <c r="AL99" i="4"/>
  <c r="R100" i="4"/>
  <c r="AE100" i="4"/>
  <c r="J101" i="4"/>
  <c r="S101" i="4"/>
  <c r="AA101" i="4"/>
  <c r="AI101" i="4"/>
  <c r="K102" i="4"/>
  <c r="S102" i="4"/>
  <c r="AA102" i="4"/>
  <c r="AI102" i="4"/>
  <c r="K103" i="4"/>
  <c r="S103" i="4"/>
  <c r="AA103" i="4"/>
  <c r="AI103" i="4"/>
  <c r="K104" i="4"/>
  <c r="S104" i="4"/>
  <c r="AA104" i="4"/>
  <c r="AI104" i="4"/>
  <c r="K105" i="4"/>
  <c r="S105" i="4"/>
  <c r="AA105" i="4"/>
  <c r="AI105" i="4"/>
  <c r="K106" i="4"/>
  <c r="S106" i="4"/>
  <c r="AA106" i="4"/>
  <c r="AI106" i="4"/>
  <c r="K107" i="4"/>
  <c r="S107" i="4"/>
  <c r="AA107" i="4"/>
  <c r="AI107" i="4"/>
  <c r="K108" i="4"/>
  <c r="S108" i="4"/>
  <c r="AA108" i="4"/>
  <c r="AI108" i="4"/>
  <c r="AK95" i="4"/>
  <c r="U80" i="4"/>
  <c r="U81" i="4"/>
  <c r="U82" i="4"/>
  <c r="U83" i="4"/>
  <c r="U84" i="4"/>
  <c r="U85" i="4"/>
  <c r="U86" i="4"/>
  <c r="U87" i="4"/>
  <c r="U88" i="4"/>
  <c r="U89" i="4"/>
  <c r="U90" i="4"/>
  <c r="U91" i="4"/>
  <c r="M92" i="4"/>
  <c r="AG92" i="4"/>
  <c r="V93" i="4"/>
  <c r="M94" i="4"/>
  <c r="AG94" i="4"/>
  <c r="V95" i="4"/>
  <c r="M96" i="4"/>
  <c r="AG96" i="4"/>
  <c r="V97" i="4"/>
  <c r="M98" i="4"/>
  <c r="AE98" i="4"/>
  <c r="N99" i="4"/>
  <c r="Z99" i="4"/>
  <c r="G100" i="4"/>
  <c r="U100" i="4"/>
  <c r="AG100" i="4"/>
  <c r="K101" i="4"/>
  <c r="T101" i="4"/>
  <c r="AB101" i="4"/>
  <c r="AJ101" i="4"/>
  <c r="L102" i="4"/>
  <c r="T102" i="4"/>
  <c r="AB102" i="4"/>
  <c r="AJ102" i="4"/>
  <c r="L103" i="4"/>
  <c r="T103" i="4"/>
  <c r="AB103" i="4"/>
  <c r="AJ103" i="4"/>
  <c r="L104" i="4"/>
  <c r="T104" i="4"/>
  <c r="AB104" i="4"/>
  <c r="AJ104" i="4"/>
  <c r="L105" i="4"/>
  <c r="T105" i="4"/>
  <c r="AB105" i="4"/>
  <c r="AJ105" i="4"/>
  <c r="L106" i="4"/>
  <c r="T106" i="4"/>
  <c r="AB106" i="4"/>
  <c r="AJ106" i="4"/>
  <c r="L107" i="4"/>
  <c r="T107" i="4"/>
  <c r="AB107" i="4"/>
  <c r="AJ107" i="4"/>
  <c r="L108" i="4"/>
  <c r="T108" i="4"/>
  <c r="AB108" i="4"/>
  <c r="AJ108" i="4"/>
  <c r="V80" i="4"/>
  <c r="V81" i="4"/>
  <c r="V82" i="4"/>
  <c r="V83" i="4"/>
  <c r="V84" i="4"/>
  <c r="V85" i="4"/>
  <c r="V86" i="4"/>
  <c r="V87" i="4"/>
  <c r="V88" i="4"/>
  <c r="V89" i="4"/>
  <c r="V90" i="4"/>
  <c r="V91" i="4"/>
  <c r="N92" i="4"/>
  <c r="AK92" i="4"/>
  <c r="Y93" i="4"/>
  <c r="N94" i="4"/>
  <c r="AK94" i="4"/>
  <c r="Y95" i="4"/>
  <c r="N96" i="4"/>
  <c r="AK96" i="4"/>
  <c r="Y97" i="4"/>
  <c r="N98" i="4"/>
  <c r="AG98" i="4"/>
  <c r="O99" i="4"/>
  <c r="AC99" i="4"/>
  <c r="I100" i="4"/>
  <c r="V100" i="4"/>
  <c r="AH100" i="4"/>
  <c r="M101" i="4"/>
  <c r="U101" i="4"/>
  <c r="AC101" i="4"/>
  <c r="AK101" i="4"/>
  <c r="M102" i="4"/>
  <c r="U102" i="4"/>
  <c r="AC102" i="4"/>
  <c r="AK102" i="4"/>
  <c r="M103" i="4"/>
  <c r="U103" i="4"/>
  <c r="AC103" i="4"/>
  <c r="AK103" i="4"/>
  <c r="M104" i="4"/>
  <c r="U104" i="4"/>
  <c r="AC104" i="4"/>
  <c r="AK104" i="4"/>
  <c r="M105" i="4"/>
  <c r="U105" i="4"/>
  <c r="AC105" i="4"/>
  <c r="AK105" i="4"/>
  <c r="M106" i="4"/>
  <c r="U106" i="4"/>
  <c r="AC106" i="4"/>
  <c r="AK106" i="4"/>
  <c r="M107" i="4"/>
  <c r="U107" i="4"/>
  <c r="AC107" i="4"/>
  <c r="AK107" i="4"/>
  <c r="M108" i="4"/>
  <c r="U108" i="4"/>
  <c r="AC108" i="4"/>
  <c r="AK108" i="4"/>
  <c r="Y98" i="4"/>
  <c r="I103" i="4"/>
  <c r="AG104" i="4"/>
  <c r="Q106" i="4"/>
  <c r="Q107" i="4"/>
  <c r="Q108" i="4"/>
  <c r="AC80" i="4"/>
  <c r="AC81" i="4"/>
  <c r="AC82" i="4"/>
  <c r="AC83" i="4"/>
  <c r="AC84" i="4"/>
  <c r="AC85" i="4"/>
  <c r="AC86" i="4"/>
  <c r="AC87" i="4"/>
  <c r="AC88" i="4"/>
  <c r="AC89" i="4"/>
  <c r="AC90" i="4"/>
  <c r="AC91" i="4"/>
  <c r="Q92" i="4"/>
  <c r="AL92" i="4"/>
  <c r="AC93" i="4"/>
  <c r="Q94" i="4"/>
  <c r="AL94" i="4"/>
  <c r="AC95" i="4"/>
  <c r="Q96" i="4"/>
  <c r="AL96" i="4"/>
  <c r="AC97" i="4"/>
  <c r="Q98" i="4"/>
  <c r="AK98" i="4"/>
  <c r="Q99" i="4"/>
  <c r="AD99" i="4"/>
  <c r="J100" i="4"/>
  <c r="J115" i="4" s="1"/>
  <c r="W100" i="4"/>
  <c r="AI100" i="4"/>
  <c r="N101" i="4"/>
  <c r="V101" i="4"/>
  <c r="AD101" i="4"/>
  <c r="AL101" i="4"/>
  <c r="N102" i="4"/>
  <c r="V102" i="4"/>
  <c r="AD102" i="4"/>
  <c r="AL102" i="4"/>
  <c r="N103" i="4"/>
  <c r="V103" i="4"/>
  <c r="AD103" i="4"/>
  <c r="AL103" i="4"/>
  <c r="N104" i="4"/>
  <c r="V104" i="4"/>
  <c r="AD104" i="4"/>
  <c r="AL104" i="4"/>
  <c r="N105" i="4"/>
  <c r="V105" i="4"/>
  <c r="AD105" i="4"/>
  <c r="AL105" i="4"/>
  <c r="N106" i="4"/>
  <c r="V106" i="4"/>
  <c r="AD106" i="4"/>
  <c r="AL106" i="4"/>
  <c r="N107" i="4"/>
  <c r="V107" i="4"/>
  <c r="AD107" i="4"/>
  <c r="AL107" i="4"/>
  <c r="N108" i="4"/>
  <c r="V108" i="4"/>
  <c r="AD108" i="4"/>
  <c r="AL108" i="4"/>
  <c r="AL80" i="4"/>
  <c r="AL82" i="4"/>
  <c r="AL84" i="4"/>
  <c r="AL86" i="4"/>
  <c r="AL87" i="4"/>
  <c r="AL90" i="4"/>
  <c r="Y92" i="4"/>
  <c r="AK93" i="4"/>
  <c r="Y94" i="4"/>
  <c r="N97" i="4"/>
  <c r="I99" i="4"/>
  <c r="AH99" i="4"/>
  <c r="G101" i="4"/>
  <c r="Q102" i="4"/>
  <c r="Q103" i="4"/>
  <c r="I104" i="4"/>
  <c r="Q105" i="4"/>
  <c r="Y106" i="4"/>
  <c r="Y107" i="4"/>
  <c r="Y108" i="4"/>
  <c r="AD80" i="4"/>
  <c r="AD81" i="4"/>
  <c r="AD82" i="4"/>
  <c r="AD83" i="4"/>
  <c r="AD84" i="4"/>
  <c r="AD85" i="4"/>
  <c r="AD86" i="4"/>
  <c r="AD87" i="4"/>
  <c r="AD88" i="4"/>
  <c r="AD89" i="4"/>
  <c r="AD90" i="4"/>
  <c r="AD91" i="4"/>
  <c r="U92" i="4"/>
  <c r="I93" i="4"/>
  <c r="AD93" i="4"/>
  <c r="U94" i="4"/>
  <c r="I95" i="4"/>
  <c r="AD95" i="4"/>
  <c r="U96" i="4"/>
  <c r="I97" i="4"/>
  <c r="AD97" i="4"/>
  <c r="U98" i="4"/>
  <c r="AL98" i="4"/>
  <c r="R99" i="4"/>
  <c r="AE99" i="4"/>
  <c r="M100" i="4"/>
  <c r="Y100" i="4"/>
  <c r="AK100" i="4"/>
  <c r="O101" i="4"/>
  <c r="W101" i="4"/>
  <c r="AE101" i="4"/>
  <c r="G102" i="4"/>
  <c r="O102" i="4"/>
  <c r="W102" i="4"/>
  <c r="AE102" i="4"/>
  <c r="G103" i="4"/>
  <c r="O103" i="4"/>
  <c r="W103" i="4"/>
  <c r="AE103" i="4"/>
  <c r="G104" i="4"/>
  <c r="O104" i="4"/>
  <c r="W104" i="4"/>
  <c r="AE104" i="4"/>
  <c r="G105" i="4"/>
  <c r="O105" i="4"/>
  <c r="W105" i="4"/>
  <c r="AE105" i="4"/>
  <c r="G106" i="4"/>
  <c r="O106" i="4"/>
  <c r="W106" i="4"/>
  <c r="AE106" i="4"/>
  <c r="G107" i="4"/>
  <c r="O107" i="4"/>
  <c r="W107" i="4"/>
  <c r="AE107" i="4"/>
  <c r="G108" i="4"/>
  <c r="O108" i="4"/>
  <c r="W108" i="4"/>
  <c r="AE108" i="4"/>
  <c r="AL81" i="4"/>
  <c r="AL83" i="4"/>
  <c r="AL85" i="4"/>
  <c r="AL88" i="4"/>
  <c r="AK91" i="4"/>
  <c r="N93" i="4"/>
  <c r="N95" i="4"/>
  <c r="AK97" i="4"/>
  <c r="V99" i="4"/>
  <c r="O100" i="4"/>
  <c r="O115" i="4" s="1"/>
  <c r="Q101" i="4"/>
  <c r="AG101" i="4"/>
  <c r="Y102" i="4"/>
  <c r="AG103" i="4"/>
  <c r="Y104" i="4"/>
  <c r="Y105" i="4"/>
  <c r="I106" i="4"/>
  <c r="I107" i="4"/>
  <c r="AG107" i="4"/>
  <c r="AG108" i="4"/>
  <c r="AK80" i="4"/>
  <c r="AK81" i="4"/>
  <c r="AK82" i="4"/>
  <c r="AK83" i="4"/>
  <c r="AK84" i="4"/>
  <c r="AK85" i="4"/>
  <c r="AK86" i="4"/>
  <c r="AK87" i="4"/>
  <c r="AK88" i="4"/>
  <c r="AK89" i="4"/>
  <c r="AK90" i="4"/>
  <c r="AG91" i="4"/>
  <c r="V92" i="4"/>
  <c r="M93" i="4"/>
  <c r="AG93" i="4"/>
  <c r="V94" i="4"/>
  <c r="M95" i="4"/>
  <c r="AG95" i="4"/>
  <c r="V96" i="4"/>
  <c r="M97" i="4"/>
  <c r="AG97" i="4"/>
  <c r="V98" i="4"/>
  <c r="G99" i="4"/>
  <c r="U99" i="4"/>
  <c r="AG99" i="4"/>
  <c r="N100" i="4"/>
  <c r="Z100" i="4"/>
  <c r="Z115" i="4" s="1"/>
  <c r="AL100" i="4"/>
  <c r="P101" i="4"/>
  <c r="X101" i="4"/>
  <c r="AF101" i="4"/>
  <c r="H102" i="4"/>
  <c r="P102" i="4"/>
  <c r="X102" i="4"/>
  <c r="AF102" i="4"/>
  <c r="H103" i="4"/>
  <c r="P103" i="4"/>
  <c r="X103" i="4"/>
  <c r="AF103" i="4"/>
  <c r="H104" i="4"/>
  <c r="P104" i="4"/>
  <c r="X104" i="4"/>
  <c r="AF104" i="4"/>
  <c r="H105" i="4"/>
  <c r="P105" i="4"/>
  <c r="X105" i="4"/>
  <c r="AF105" i="4"/>
  <c r="H106" i="4"/>
  <c r="P106" i="4"/>
  <c r="X106" i="4"/>
  <c r="AF106" i="4"/>
  <c r="H107" i="4"/>
  <c r="P107" i="4"/>
  <c r="X107" i="4"/>
  <c r="AF107" i="4"/>
  <c r="H108" i="4"/>
  <c r="P108" i="4"/>
  <c r="X108" i="4"/>
  <c r="AF108" i="4"/>
  <c r="Y96" i="4"/>
  <c r="AC100" i="4"/>
  <c r="Y101" i="4"/>
  <c r="I102" i="4"/>
  <c r="AG102" i="4"/>
  <c r="Y103" i="4"/>
  <c r="Q104" i="4"/>
  <c r="I105" i="4"/>
  <c r="AG105" i="4"/>
  <c r="AG106" i="4"/>
  <c r="I108" i="4"/>
  <c r="F106" i="4"/>
  <c r="F92" i="4"/>
  <c r="F102" i="4"/>
  <c r="F108" i="4"/>
  <c r="F88" i="4"/>
  <c r="F98" i="4"/>
  <c r="F104" i="4"/>
  <c r="F91" i="4"/>
  <c r="F84" i="4"/>
  <c r="F93" i="4"/>
  <c r="F107" i="4"/>
  <c r="F100" i="4"/>
  <c r="F80" i="4"/>
  <c r="F89" i="4"/>
  <c r="F103" i="4"/>
  <c r="F96" i="4"/>
  <c r="F95" i="4"/>
  <c r="F99" i="4"/>
  <c r="F101" i="4"/>
  <c r="F85" i="4"/>
  <c r="F94" i="4"/>
  <c r="F90" i="4"/>
  <c r="F97" i="4"/>
  <c r="F87" i="4"/>
  <c r="F83" i="4"/>
  <c r="F86" i="4"/>
  <c r="F82" i="4"/>
  <c r="F105" i="4"/>
  <c r="F81" i="4"/>
  <c r="AK115" i="4" l="1"/>
  <c r="AL115" i="4"/>
  <c r="G115" i="4"/>
  <c r="R115" i="4"/>
  <c r="F115" i="4"/>
  <c r="Y115" i="4"/>
  <c r="W115" i="4"/>
  <c r="AI115" i="4"/>
  <c r="N115" i="4"/>
  <c r="I115" i="4"/>
  <c r="AC115" i="4"/>
  <c r="AJ115" i="4"/>
  <c r="F118" i="4"/>
  <c r="F117" i="4"/>
  <c r="AK114" i="4"/>
  <c r="U115" i="4"/>
  <c r="U118" i="4"/>
  <c r="U117" i="4"/>
  <c r="T115" i="4"/>
  <c r="T117" i="4"/>
  <c r="T118" i="4"/>
  <c r="K114" i="4"/>
  <c r="J118" i="4"/>
  <c r="J117" i="4"/>
  <c r="AG114" i="4"/>
  <c r="H114" i="4"/>
  <c r="AE114" i="4"/>
  <c r="V114" i="4"/>
  <c r="AD115" i="4"/>
  <c r="L117" i="4"/>
  <c r="L118" i="4"/>
  <c r="AI117" i="4"/>
  <c r="AI118" i="4"/>
  <c r="AH114" i="4"/>
  <c r="Y114" i="4"/>
  <c r="AF115" i="4"/>
  <c r="AF118" i="4"/>
  <c r="AF117" i="4"/>
  <c r="W114" i="4"/>
  <c r="AD117" i="4"/>
  <c r="AD118" i="4"/>
  <c r="AC117" i="4"/>
  <c r="AC118" i="4"/>
  <c r="N114" i="4"/>
  <c r="Q115" i="4"/>
  <c r="M117" i="4"/>
  <c r="M118" i="4"/>
  <c r="AJ114" i="4"/>
  <c r="AA115" i="4"/>
  <c r="AA117" i="4"/>
  <c r="AA118" i="4"/>
  <c r="Z114" i="4"/>
  <c r="Q114" i="4"/>
  <c r="X115" i="4"/>
  <c r="X117" i="4"/>
  <c r="X118" i="4"/>
  <c r="O114" i="4"/>
  <c r="AK117" i="4"/>
  <c r="AK118" i="4"/>
  <c r="M115" i="4"/>
  <c r="AH115" i="4"/>
  <c r="AB114" i="4"/>
  <c r="S115" i="4"/>
  <c r="S117" i="4"/>
  <c r="S118" i="4"/>
  <c r="R114" i="4"/>
  <c r="I114" i="4"/>
  <c r="P115" i="4"/>
  <c r="P117" i="4"/>
  <c r="P118" i="4"/>
  <c r="G114" i="4"/>
  <c r="V115" i="4"/>
  <c r="V118" i="4"/>
  <c r="V117" i="4"/>
  <c r="AE115" i="4"/>
  <c r="T114" i="4"/>
  <c r="K115" i="4"/>
  <c r="K117" i="4"/>
  <c r="K118" i="4"/>
  <c r="J114" i="4"/>
  <c r="AG117" i="4"/>
  <c r="AG118" i="4"/>
  <c r="H115" i="4"/>
  <c r="H117" i="4"/>
  <c r="H118" i="4"/>
  <c r="AE117" i="4"/>
  <c r="AE118" i="4"/>
  <c r="U114" i="4"/>
  <c r="N117" i="4"/>
  <c r="N118" i="4"/>
  <c r="L114" i="4"/>
  <c r="AI114" i="4"/>
  <c r="AH118" i="4"/>
  <c r="AH117" i="4"/>
  <c r="Y117" i="4"/>
  <c r="Y118" i="4"/>
  <c r="AF114" i="4"/>
  <c r="W117" i="4"/>
  <c r="W118" i="4"/>
  <c r="F114" i="4"/>
  <c r="AJ117" i="4"/>
  <c r="AJ118" i="4"/>
  <c r="AA114" i="4"/>
  <c r="Z117" i="4"/>
  <c r="Z118" i="4"/>
  <c r="Q117" i="4"/>
  <c r="Q118" i="4"/>
  <c r="X114" i="4"/>
  <c r="O117" i="4"/>
  <c r="O118" i="4"/>
  <c r="AL114" i="4"/>
  <c r="AD114" i="4"/>
  <c r="AL117" i="4"/>
  <c r="AL118" i="4"/>
  <c r="AC114" i="4"/>
  <c r="AG115" i="4"/>
  <c r="M114" i="4"/>
  <c r="AB115" i="4"/>
  <c r="AB117" i="4"/>
  <c r="AB118" i="4"/>
  <c r="S114" i="4"/>
  <c r="R117" i="4"/>
  <c r="R118" i="4"/>
  <c r="I117" i="4"/>
  <c r="I118" i="4"/>
  <c r="P114" i="4"/>
  <c r="G118" i="4"/>
  <c r="G117" i="4"/>
  <c r="K119" i="4" l="1"/>
  <c r="K120" i="4"/>
  <c r="I119" i="4"/>
  <c r="I120" i="4"/>
  <c r="H119" i="4"/>
  <c r="H120" i="4"/>
  <c r="T119" i="4"/>
  <c r="T120" i="4"/>
  <c r="Q119" i="4"/>
  <c r="Q120" i="4"/>
  <c r="W119" i="4"/>
  <c r="W120" i="4"/>
  <c r="V119" i="4"/>
  <c r="V120" i="4"/>
  <c r="AK119" i="4"/>
  <c r="AK120" i="4"/>
  <c r="AA119" i="4"/>
  <c r="AA120" i="4"/>
  <c r="AC119" i="4"/>
  <c r="AC120" i="4"/>
  <c r="U119" i="4"/>
  <c r="U120" i="4"/>
  <c r="AL119" i="4"/>
  <c r="AL120" i="4"/>
  <c r="N119" i="4"/>
  <c r="N120" i="4"/>
  <c r="AG119" i="4"/>
  <c r="AG120" i="4"/>
  <c r="R119" i="4"/>
  <c r="R120" i="4"/>
  <c r="G119" i="4"/>
  <c r="G120" i="4"/>
  <c r="Z119" i="4"/>
  <c r="Z120" i="4"/>
  <c r="S119" i="4"/>
  <c r="S120" i="4"/>
  <c r="AD119" i="4"/>
  <c r="AD120" i="4"/>
  <c r="AI119" i="4"/>
  <c r="AI120" i="4"/>
  <c r="J119" i="4"/>
  <c r="J120" i="4"/>
  <c r="AB119" i="4"/>
  <c r="AB120" i="4"/>
  <c r="Y119" i="4"/>
  <c r="Y120" i="4"/>
  <c r="X119" i="4"/>
  <c r="X120" i="4"/>
  <c r="AH119" i="4"/>
  <c r="AH120" i="4"/>
  <c r="M119" i="4"/>
  <c r="M120" i="4"/>
  <c r="AF119" i="4"/>
  <c r="AF120" i="4"/>
  <c r="L119" i="4"/>
  <c r="L120" i="4"/>
  <c r="AE119" i="4"/>
  <c r="AE120" i="4"/>
  <c r="O119" i="4"/>
  <c r="O120" i="4"/>
  <c r="AJ119" i="4"/>
  <c r="AJ120" i="4"/>
  <c r="P119" i="4"/>
  <c r="P120" i="4"/>
  <c r="B114" i="4"/>
  <c r="F119" i="4"/>
  <c r="F120" i="4"/>
  <c r="B115" i="4"/>
  <c r="E122" i="4" l="1" a="1"/>
  <c r="V135" i="4" s="1"/>
  <c r="E129" i="4" l="1"/>
  <c r="T126" i="4"/>
  <c r="AE129" i="4"/>
  <c r="S124" i="4"/>
  <c r="Y133" i="4"/>
  <c r="I122" i="4"/>
  <c r="P135" i="4"/>
  <c r="I131" i="4"/>
  <c r="AC123" i="4"/>
  <c r="F127" i="4"/>
  <c r="Z126" i="4"/>
  <c r="O126" i="4"/>
  <c r="AG131" i="4"/>
  <c r="AE122" i="4"/>
  <c r="Q122" i="4"/>
  <c r="AD127" i="4"/>
  <c r="AJ127" i="4"/>
  <c r="X126" i="4"/>
  <c r="AL135" i="4"/>
  <c r="AK134" i="4"/>
  <c r="G133" i="4"/>
  <c r="AF124" i="4"/>
  <c r="U128" i="4"/>
  <c r="U132" i="4"/>
  <c r="E132" i="4"/>
  <c r="AL133" i="4"/>
  <c r="E131" i="4"/>
  <c r="I130" i="4"/>
  <c r="Z124" i="4"/>
  <c r="AF126" i="4"/>
  <c r="S135" i="4"/>
  <c r="AJ128" i="4"/>
  <c r="Z122" i="4"/>
  <c r="AL126" i="4"/>
  <c r="V128" i="4"/>
  <c r="R123" i="4"/>
  <c r="AE133" i="4"/>
  <c r="AK131" i="4"/>
  <c r="G127" i="4"/>
  <c r="AC133" i="4"/>
  <c r="Q128" i="4"/>
  <c r="AA124" i="4"/>
  <c r="AA127" i="4"/>
  <c r="K129" i="4"/>
  <c r="AA122" i="4"/>
  <c r="M134" i="4"/>
  <c r="N135" i="4"/>
  <c r="O131" i="4"/>
  <c r="K134" i="4"/>
  <c r="T135" i="4"/>
  <c r="AB135" i="4"/>
  <c r="P124" i="4"/>
  <c r="T134" i="4"/>
  <c r="E130" i="4"/>
  <c r="R129" i="4"/>
  <c r="N122" i="4"/>
  <c r="P128" i="4"/>
  <c r="Q127" i="4"/>
  <c r="M135" i="4"/>
  <c r="W133" i="4"/>
  <c r="Q135" i="4"/>
  <c r="AC125" i="4"/>
  <c r="N131" i="4"/>
  <c r="AH130" i="4"/>
  <c r="Q132" i="4"/>
  <c r="O132" i="4"/>
  <c r="AA129" i="4"/>
  <c r="E128" i="4"/>
  <c r="R128" i="4"/>
  <c r="I123" i="4"/>
  <c r="Z135" i="4"/>
  <c r="P131" i="4"/>
  <c r="F128" i="4"/>
  <c r="AJ129" i="4"/>
  <c r="AF123" i="4"/>
  <c r="AL131" i="4"/>
  <c r="AC132" i="4"/>
  <c r="J132" i="4"/>
  <c r="P134" i="4"/>
  <c r="AD130" i="4"/>
  <c r="X134" i="4"/>
  <c r="J130" i="4"/>
  <c r="V134" i="4"/>
  <c r="R130" i="4"/>
  <c r="F129" i="4"/>
  <c r="T123" i="4"/>
  <c r="AG133" i="4"/>
  <c r="AL124" i="4"/>
  <c r="Y135" i="4"/>
  <c r="E134" i="4"/>
  <c r="S128" i="4"/>
  <c r="K135" i="4"/>
  <c r="S129" i="4"/>
  <c r="K130" i="4"/>
  <c r="AF125" i="4"/>
  <c r="E122" i="4"/>
  <c r="Y126" i="4"/>
  <c r="AL125" i="4"/>
  <c r="M123" i="4"/>
  <c r="AB125" i="4"/>
  <c r="H132" i="4"/>
  <c r="Y131" i="4"/>
  <c r="AL134" i="4"/>
  <c r="AG124" i="4"/>
  <c r="S134" i="4"/>
  <c r="AH131" i="4"/>
  <c r="T132" i="4"/>
  <c r="AI131" i="4"/>
  <c r="U126" i="4"/>
  <c r="Y122" i="4"/>
  <c r="X135" i="4"/>
  <c r="X127" i="4"/>
  <c r="I129" i="4"/>
  <c r="K127" i="4"/>
  <c r="G129" i="4"/>
  <c r="W132" i="4"/>
  <c r="M128" i="4"/>
  <c r="P132" i="4"/>
  <c r="T133" i="4"/>
  <c r="G135" i="4"/>
  <c r="N124" i="4"/>
  <c r="P126" i="4"/>
  <c r="S125" i="4"/>
  <c r="Z132" i="4"/>
  <c r="AE125" i="4"/>
  <c r="AJ133" i="4"/>
  <c r="O135" i="4"/>
  <c r="J134" i="4"/>
  <c r="AJ130" i="4"/>
  <c r="P125" i="4"/>
  <c r="AC135" i="4"/>
  <c r="Z130" i="4"/>
  <c r="V125" i="4"/>
  <c r="AI135" i="4"/>
  <c r="O130" i="4"/>
  <c r="N134" i="4"/>
  <c r="U124" i="4"/>
  <c r="G132" i="4"/>
  <c r="P133" i="4"/>
  <c r="R132" i="4"/>
  <c r="AC128" i="4"/>
  <c r="V133" i="4"/>
  <c r="AI128" i="4"/>
  <c r="Y134" i="4"/>
  <c r="Q125" i="4"/>
  <c r="J125" i="4"/>
  <c r="AF134" i="4"/>
  <c r="H122" i="4"/>
  <c r="S127" i="4"/>
  <c r="AA123" i="4"/>
  <c r="X122" i="4"/>
  <c r="U123" i="4"/>
  <c r="AI134" i="4"/>
  <c r="M129" i="4"/>
  <c r="T129" i="4"/>
  <c r="AH133" i="4"/>
  <c r="N128" i="4"/>
  <c r="O122" i="4"/>
  <c r="V130" i="4"/>
  <c r="Q131" i="4"/>
  <c r="W135" i="4"/>
  <c r="K122" i="4"/>
  <c r="AF132" i="4"/>
  <c r="AL130" i="4"/>
  <c r="R125" i="4"/>
  <c r="V132" i="4"/>
  <c r="R127" i="4"/>
  <c r="AB123" i="4"/>
  <c r="AK135" i="4"/>
  <c r="I134" i="4"/>
  <c r="AC124" i="4"/>
  <c r="AH123" i="4"/>
  <c r="L135" i="4"/>
  <c r="S133" i="4"/>
  <c r="X123" i="4"/>
  <c r="R135" i="4"/>
  <c r="P122" i="4"/>
  <c r="X124" i="4"/>
  <c r="N130" i="4"/>
  <c r="AJ124" i="4"/>
  <c r="K126" i="4"/>
  <c r="AE124" i="4"/>
  <c r="J128" i="4"/>
  <c r="AA131" i="4"/>
  <c r="F134" i="4"/>
  <c r="AF131" i="4"/>
  <c r="AI129" i="4"/>
  <c r="V126" i="4"/>
  <c r="N126" i="4"/>
  <c r="H135" i="4"/>
  <c r="J126" i="4"/>
  <c r="Q123" i="4"/>
  <c r="AI126" i="4"/>
  <c r="R122" i="4"/>
  <c r="Q129" i="4"/>
  <c r="AE134" i="4"/>
  <c r="S123" i="4"/>
  <c r="W123" i="4"/>
  <c r="T130" i="4"/>
  <c r="AB133" i="4"/>
  <c r="U125" i="4"/>
  <c r="AI123" i="4"/>
  <c r="AJ126" i="4"/>
  <c r="AK127" i="4"/>
  <c r="G122" i="4"/>
  <c r="J123" i="4"/>
  <c r="AE135" i="4"/>
  <c r="AG127" i="4"/>
  <c r="U122" i="4"/>
  <c r="AH132" i="4"/>
  <c r="N127" i="4"/>
  <c r="R134" i="4"/>
  <c r="F133" i="4"/>
  <c r="T127" i="4"/>
  <c r="AD123" i="4"/>
  <c r="R126" i="4"/>
  <c r="AG126" i="4"/>
  <c r="R131" i="4"/>
  <c r="AE126" i="4"/>
  <c r="O123" i="4"/>
  <c r="H131" i="4"/>
  <c r="AK126" i="4"/>
  <c r="L124" i="4"/>
  <c r="AJ125" i="4"/>
  <c r="W131" i="4"/>
  <c r="Z128" i="4"/>
  <c r="O127" i="4"/>
  <c r="AC122" i="4"/>
  <c r="AL128" i="4"/>
  <c r="E135" i="4"/>
  <c r="L132" i="4"/>
  <c r="AC134" i="4"/>
  <c r="E133" i="4"/>
  <c r="AG132" i="4"/>
  <c r="AF127" i="4"/>
  <c r="AF122" i="4"/>
  <c r="X131" i="4"/>
  <c r="AJ131" i="4"/>
  <c r="AJ122" i="4"/>
  <c r="AH135" i="4"/>
  <c r="M125" i="4"/>
  <c r="AB126" i="4"/>
  <c r="AH124" i="4"/>
  <c r="AB130" i="4"/>
  <c r="AC131" i="4"/>
  <c r="Y129" i="4"/>
  <c r="M122" i="4"/>
  <c r="K125" i="4"/>
  <c r="AC129" i="4"/>
  <c r="Q124" i="4"/>
  <c r="AD134" i="4"/>
  <c r="AJ132" i="4"/>
  <c r="O124" i="4"/>
  <c r="AJ134" i="4"/>
  <c r="P129" i="4"/>
  <c r="Z125" i="4"/>
  <c r="I124" i="4"/>
  <c r="G131" i="4"/>
  <c r="N133" i="4"/>
  <c r="O134" i="4"/>
  <c r="U129" i="4"/>
  <c r="AL132" i="4"/>
  <c r="U134" i="4"/>
  <c r="AH129" i="4"/>
  <c r="J135" i="4"/>
  <c r="AH134" i="4"/>
  <c r="L122" i="4"/>
  <c r="K123" i="4"/>
  <c r="J124" i="4"/>
  <c r="I125" i="4"/>
  <c r="H126" i="4"/>
  <c r="AD132" i="4"/>
  <c r="AK133" i="4"/>
  <c r="F122" i="4"/>
  <c r="E123" i="4"/>
  <c r="AL123" i="4"/>
  <c r="O133" i="4"/>
  <c r="V124" i="4"/>
  <c r="AK124" i="4"/>
  <c r="AG130" i="4"/>
  <c r="AD133" i="4"/>
  <c r="T128" i="4"/>
  <c r="AE128" i="4"/>
  <c r="AJ135" i="4"/>
  <c r="I127" i="4"/>
  <c r="Y130" i="4"/>
  <c r="L130" i="4"/>
  <c r="P130" i="4"/>
  <c r="W125" i="4"/>
  <c r="K133" i="4"/>
  <c r="R124" i="4"/>
  <c r="AB122" i="4"/>
  <c r="AG134" i="4"/>
  <c r="AA134" i="4"/>
  <c r="T124" i="4"/>
  <c r="AA130" i="4"/>
  <c r="AB129" i="4"/>
  <c r="K131" i="4"/>
  <c r="S131" i="4"/>
  <c r="AA133" i="4"/>
  <c r="AI127" i="4"/>
  <c r="G126" i="4"/>
  <c r="AB132" i="4"/>
  <c r="F123" i="4"/>
  <c r="Y127" i="4"/>
  <c r="L123" i="4"/>
  <c r="G123" i="4"/>
  <c r="N132" i="4"/>
  <c r="U133" i="4"/>
  <c r="AB134" i="4"/>
  <c r="AA135" i="4"/>
  <c r="W122" i="4"/>
  <c r="V123" i="4"/>
  <c r="K124" i="4"/>
  <c r="S122" i="4"/>
  <c r="Z123" i="4"/>
  <c r="Y124" i="4"/>
  <c r="X125" i="4"/>
  <c r="W126" i="4"/>
  <c r="V127" i="4"/>
  <c r="AB128" i="4"/>
  <c r="AG122" i="4"/>
  <c r="AK128" i="4"/>
  <c r="Z134" i="4"/>
  <c r="AG135" i="4"/>
  <c r="AK122" i="4"/>
  <c r="AJ123" i="4"/>
  <c r="AI124" i="4"/>
  <c r="AH125" i="4"/>
  <c r="AD126" i="4"/>
  <c r="F132" i="4"/>
  <c r="H123" i="4"/>
  <c r="AK132" i="4"/>
  <c r="AI122" i="4"/>
  <c r="H124" i="4"/>
  <c r="G125" i="4"/>
  <c r="F126" i="4"/>
  <c r="E127" i="4"/>
  <c r="AL127" i="4"/>
  <c r="AF129" i="4"/>
  <c r="M132" i="4"/>
  <c r="V122" i="4"/>
  <c r="E125" i="4"/>
  <c r="I133" i="4"/>
  <c r="U127" i="4"/>
  <c r="O129" i="4"/>
  <c r="Q134" i="4"/>
  <c r="AK130" i="4"/>
  <c r="AI130" i="4"/>
  <c r="Y125" i="4"/>
  <c r="AK123" i="4"/>
  <c r="AG123" i="4"/>
  <c r="H125" i="4"/>
  <c r="U135" i="4"/>
  <c r="W129" i="4"/>
  <c r="AA125" i="4"/>
  <c r="AF128" i="4"/>
  <c r="AF130" i="4"/>
  <c r="AH122" i="4"/>
  <c r="G124" i="4"/>
  <c r="N125" i="4"/>
  <c r="M126" i="4"/>
  <c r="L127" i="4"/>
  <c r="K128" i="4"/>
  <c r="J129" i="4"/>
  <c r="AH126" i="4"/>
  <c r="G128" i="4"/>
  <c r="N129" i="4"/>
  <c r="M130" i="4"/>
  <c r="L131" i="4"/>
  <c r="K132" i="4"/>
  <c r="J133" i="4"/>
  <c r="AF135" i="4"/>
  <c r="E124" i="4"/>
  <c r="L125" i="4"/>
  <c r="S126" i="4"/>
  <c r="Z127" i="4"/>
  <c r="Y128" i="4"/>
  <c r="X129" i="4"/>
  <c r="W130" i="4"/>
  <c r="V131" i="4"/>
  <c r="Q133" i="4"/>
  <c r="E126" i="4"/>
  <c r="I126" i="4"/>
  <c r="P127" i="4"/>
  <c r="W128" i="4"/>
  <c r="AD129" i="4"/>
  <c r="AC130" i="4"/>
  <c r="AB131" i="4"/>
  <c r="AA132" i="4"/>
  <c r="Z133" i="4"/>
  <c r="P123" i="4"/>
  <c r="W124" i="4"/>
  <c r="AD125" i="4"/>
  <c r="AC126" i="4"/>
  <c r="AB127" i="4"/>
  <c r="AA128" i="4"/>
  <c r="Z129" i="4"/>
  <c r="AC127" i="4"/>
  <c r="F125" i="4"/>
  <c r="AI125" i="4"/>
  <c r="T125" i="4"/>
  <c r="AA126" i="4"/>
  <c r="AH127" i="4"/>
  <c r="AG128" i="4"/>
  <c r="AE130" i="4"/>
  <c r="AD131" i="4"/>
  <c r="H128" i="4"/>
  <c r="AE132" i="4"/>
  <c r="AL129" i="4"/>
  <c r="H130" i="4"/>
  <c r="M127" i="4"/>
  <c r="L133" i="4"/>
  <c r="O125" i="4"/>
  <c r="AD135" i="4"/>
  <c r="M131" i="4"/>
  <c r="AF133" i="4"/>
  <c r="X128" i="4"/>
  <c r="J122" i="4"/>
  <c r="L134" i="4"/>
  <c r="AE127" i="4"/>
  <c r="L128" i="4"/>
  <c r="Y123" i="4"/>
  <c r="F130" i="4"/>
  <c r="AG125" i="4"/>
  <c r="Q130" i="4"/>
  <c r="L126" i="4"/>
  <c r="AB124" i="4"/>
  <c r="H134" i="4"/>
  <c r="AE131" i="4"/>
  <c r="AD122" i="4"/>
  <c r="F124" i="4"/>
  <c r="AE123" i="4"/>
  <c r="T122" i="4"/>
  <c r="AI132" i="4"/>
  <c r="U131" i="4"/>
  <c r="M133" i="4"/>
  <c r="AH128" i="4"/>
  <c r="N123" i="4"/>
  <c r="AL122" i="4"/>
  <c r="AI133" i="4"/>
  <c r="X132" i="4"/>
  <c r="W127" i="4"/>
  <c r="AD124" i="4"/>
  <c r="AK125" i="4"/>
  <c r="J127" i="4"/>
  <c r="I128" i="4"/>
  <c r="H129" i="4"/>
  <c r="G130" i="4"/>
  <c r="F131" i="4"/>
  <c r="AD128" i="4"/>
  <c r="AK129" i="4"/>
  <c r="J131" i="4"/>
  <c r="I132" i="4"/>
  <c r="H133" i="4"/>
  <c r="G134" i="4"/>
  <c r="F135" i="4"/>
  <c r="I135" i="4"/>
  <c r="M124" i="4"/>
  <c r="H127" i="4"/>
  <c r="O128" i="4"/>
  <c r="V129" i="4"/>
  <c r="U130" i="4"/>
  <c r="T131" i="4"/>
  <c r="S132" i="4"/>
  <c r="R133" i="4"/>
  <c r="X130" i="4"/>
  <c r="AG129" i="4"/>
  <c r="Q126" i="4"/>
  <c r="L129" i="4"/>
  <c r="S130" i="4"/>
  <c r="Z131" i="4"/>
  <c r="Y132" i="4"/>
  <c r="X133" i="4"/>
  <c r="W134" i="4"/>
  <c r="E122" i="11" a="1"/>
  <c r="AD127" i="11" s="1"/>
  <c r="B115" i="11"/>
  <c r="B114" i="11"/>
  <c r="F129" i="11" l="1"/>
  <c r="AA123" i="11"/>
  <c r="U128" i="11"/>
  <c r="H131" i="11"/>
  <c r="H124" i="11"/>
  <c r="AC130" i="11"/>
  <c r="AH129" i="11"/>
  <c r="G135" i="11"/>
  <c r="H135" i="11"/>
  <c r="AC134" i="11"/>
  <c r="Q125" i="11"/>
  <c r="G133" i="11"/>
  <c r="M131" i="11"/>
  <c r="Y123" i="11"/>
  <c r="X128" i="11"/>
  <c r="AC127" i="11"/>
  <c r="R126" i="11"/>
  <c r="Y131" i="11"/>
  <c r="F127" i="11"/>
  <c r="Y130" i="11"/>
  <c r="G131" i="11"/>
  <c r="AH134" i="11"/>
  <c r="AL125" i="11"/>
  <c r="Y132" i="11"/>
  <c r="E127" i="11"/>
  <c r="AD131" i="11"/>
  <c r="O135" i="11"/>
  <c r="E125" i="11"/>
  <c r="AL129" i="11"/>
  <c r="V122" i="11"/>
  <c r="I129" i="11"/>
  <c r="AH133" i="11"/>
  <c r="AD122" i="11"/>
  <c r="AF122" i="11"/>
  <c r="E124" i="11"/>
  <c r="U125" i="11"/>
  <c r="P132" i="11"/>
  <c r="AL122" i="11"/>
  <c r="Y129" i="11"/>
  <c r="M132" i="11"/>
  <c r="N128" i="11"/>
  <c r="I135" i="11"/>
  <c r="AE129" i="11"/>
  <c r="K124" i="11"/>
  <c r="L132" i="11"/>
  <c r="Q135" i="11"/>
  <c r="W122" i="11"/>
  <c r="K125" i="11"/>
  <c r="V125" i="11"/>
  <c r="AA124" i="11"/>
  <c r="G127" i="11"/>
  <c r="AD125" i="11"/>
  <c r="AI124" i="11"/>
  <c r="Q122" i="11"/>
  <c r="AF129" i="11"/>
  <c r="AJ131" i="11"/>
  <c r="AI134" i="11"/>
  <c r="AC125" i="11"/>
  <c r="R130" i="11"/>
  <c r="M130" i="11"/>
  <c r="K133" i="11"/>
  <c r="AI122" i="11"/>
  <c r="AD129" i="11"/>
  <c r="U134" i="11"/>
  <c r="AI128" i="11"/>
  <c r="V135" i="11"/>
  <c r="W135" i="11"/>
  <c r="AI126" i="11"/>
  <c r="AD133" i="11"/>
  <c r="R124" i="11"/>
  <c r="E131" i="11"/>
  <c r="I127" i="11"/>
  <c r="Z124" i="11"/>
  <c r="AB124" i="11"/>
  <c r="U124" i="11"/>
  <c r="Q127" i="11"/>
  <c r="L134" i="11"/>
  <c r="AD126" i="11"/>
  <c r="U131" i="11"/>
  <c r="Q134" i="11"/>
  <c r="F132" i="11"/>
  <c r="J123" i="11"/>
  <c r="AA131" i="11"/>
  <c r="G126" i="11"/>
  <c r="W127" i="11"/>
  <c r="N125" i="11"/>
  <c r="O126" i="11"/>
  <c r="AI129" i="11"/>
  <c r="N129" i="11"/>
  <c r="S128" i="11"/>
  <c r="AE131" i="11"/>
  <c r="V129" i="11"/>
  <c r="AA128" i="11"/>
  <c r="S130" i="11"/>
  <c r="S134" i="11"/>
  <c r="AC123" i="11"/>
  <c r="AF126" i="11"/>
  <c r="U135" i="11"/>
  <c r="R134" i="11"/>
  <c r="AG134" i="11"/>
  <c r="AF127" i="11"/>
  <c r="AE124" i="11"/>
  <c r="J124" i="11"/>
  <c r="E129" i="11"/>
  <c r="AE128" i="11"/>
  <c r="J128" i="11"/>
  <c r="AB122" i="11"/>
  <c r="X126" i="11"/>
  <c r="R122" i="11"/>
  <c r="I131" i="11"/>
  <c r="E122" i="11"/>
  <c r="Z128" i="11"/>
  <c r="M135" i="11"/>
  <c r="W123" i="11"/>
  <c r="AJ133" i="11"/>
  <c r="AF128" i="11"/>
  <c r="W133" i="11"/>
  <c r="AC131" i="11"/>
  <c r="E128" i="11"/>
  <c r="AB134" i="11"/>
  <c r="G130" i="11"/>
  <c r="H123" i="11"/>
  <c r="AC122" i="11"/>
  <c r="K132" i="11"/>
  <c r="P123" i="11"/>
  <c r="AK122" i="11"/>
  <c r="S132" i="11"/>
  <c r="AH135" i="11"/>
  <c r="Y126" i="11"/>
  <c r="T124" i="11"/>
  <c r="AA127" i="11"/>
  <c r="X132" i="11"/>
  <c r="R129" i="11"/>
  <c r="AC132" i="11"/>
  <c r="F126" i="11"/>
  <c r="AB129" i="11"/>
  <c r="AA133" i="11"/>
  <c r="Z131" i="11"/>
  <c r="AE130" i="11"/>
  <c r="AF123" i="11"/>
  <c r="Z135" i="11"/>
  <c r="AI132" i="11"/>
  <c r="N130" i="11"/>
  <c r="F128" i="11"/>
  <c r="X131" i="11"/>
  <c r="T133" i="11"/>
  <c r="AI133" i="11"/>
  <c r="W128" i="11"/>
  <c r="V133" i="11"/>
  <c r="AJ127" i="11"/>
  <c r="W134" i="11"/>
  <c r="L130" i="11"/>
  <c r="AB125" i="11"/>
  <c r="W132" i="11"/>
  <c r="S123" i="11"/>
  <c r="F130" i="11"/>
  <c r="X122" i="11"/>
  <c r="T126" i="11"/>
  <c r="J132" i="11"/>
  <c r="H134" i="11"/>
  <c r="N124" i="11"/>
  <c r="E133" i="11"/>
  <c r="AE125" i="11"/>
  <c r="V130" i="11"/>
  <c r="AJ124" i="11"/>
  <c r="AI125" i="11"/>
  <c r="AF135" i="11"/>
  <c r="AB130" i="11"/>
  <c r="L123" i="11"/>
  <c r="Y133" i="11"/>
  <c r="AH122" i="11"/>
  <c r="Q124" i="11"/>
  <c r="V123" i="11"/>
  <c r="AH126" i="11"/>
  <c r="U126" i="11"/>
  <c r="Z125" i="11"/>
  <c r="H127" i="11"/>
  <c r="AC126" i="11"/>
  <c r="Z129" i="11"/>
  <c r="X123" i="11"/>
  <c r="P122" i="11"/>
  <c r="K127" i="11"/>
  <c r="AJ129" i="11"/>
  <c r="I126" i="11"/>
  <c r="I128" i="11"/>
  <c r="Z134" i="11"/>
  <c r="F123" i="11"/>
  <c r="F134" i="11"/>
  <c r="P127" i="11"/>
  <c r="O132" i="11"/>
  <c r="G125" i="11"/>
  <c r="X133" i="11"/>
  <c r="L124" i="11"/>
  <c r="AC128" i="11"/>
  <c r="P131" i="11"/>
  <c r="T122" i="11"/>
  <c r="G129" i="11"/>
  <c r="AB135" i="11"/>
  <c r="P126" i="11"/>
  <c r="W125" i="11"/>
  <c r="U127" i="11"/>
  <c r="Q130" i="11"/>
  <c r="AF131" i="11"/>
  <c r="AF124" i="11"/>
  <c r="W129" i="11"/>
  <c r="G122" i="11"/>
  <c r="X130" i="11"/>
  <c r="Q126" i="11"/>
  <c r="Y127" i="11"/>
  <c r="M122" i="11"/>
  <c r="AD130" i="11"/>
  <c r="J125" i="11"/>
  <c r="J134" i="11"/>
  <c r="AA135" i="11"/>
  <c r="F131" i="11"/>
  <c r="O124" i="11"/>
  <c r="AB123" i="11"/>
  <c r="J133" i="11"/>
  <c r="W124" i="11"/>
  <c r="AJ123" i="11"/>
  <c r="K123" i="11"/>
  <c r="X127" i="11"/>
  <c r="AL135" i="11"/>
  <c r="N134" i="11"/>
  <c r="H125" i="11"/>
  <c r="N127" i="11"/>
  <c r="U130" i="11"/>
  <c r="Q123" i="11"/>
  <c r="J122" i="11"/>
  <c r="L129" i="11"/>
  <c r="AK126" i="11"/>
  <c r="AL127" i="11"/>
  <c r="L126" i="11"/>
  <c r="U123" i="11"/>
  <c r="S127" i="11"/>
  <c r="Y134" i="11"/>
  <c r="AB133" i="11"/>
  <c r="O133" i="11"/>
  <c r="AK123" i="11"/>
  <c r="T132" i="11"/>
  <c r="V124" i="11"/>
  <c r="U129" i="11"/>
  <c r="I124" i="11"/>
  <c r="Z132" i="11"/>
  <c r="X134" i="11"/>
  <c r="G124" i="11"/>
  <c r="P125" i="11"/>
  <c r="X124" i="11"/>
  <c r="G128" i="11"/>
  <c r="T127" i="11"/>
  <c r="AL133" i="11"/>
  <c r="O128" i="11"/>
  <c r="AB127" i="11"/>
  <c r="AC124" i="11"/>
  <c r="L122" i="11"/>
  <c r="T135" i="11"/>
  <c r="AG130" i="11"/>
  <c r="L133" i="11"/>
  <c r="AK130" i="11"/>
  <c r="H130" i="11"/>
  <c r="Q129" i="11"/>
  <c r="AB126" i="11"/>
  <c r="AK128" i="11"/>
  <c r="M123" i="11"/>
  <c r="H128" i="11"/>
  <c r="AL131" i="11"/>
  <c r="AE123" i="11"/>
  <c r="K135" i="11"/>
  <c r="P134" i="11"/>
  <c r="M133" i="11"/>
  <c r="E126" i="11"/>
  <c r="V134" i="11"/>
  <c r="P128" i="11"/>
  <c r="H129" i="11"/>
  <c r="T128" i="11"/>
  <c r="Y135" i="11"/>
  <c r="L131" i="11"/>
  <c r="AG122" i="11"/>
  <c r="AG135" i="11"/>
  <c r="T131" i="11"/>
  <c r="F125" i="11"/>
  <c r="I122" i="11"/>
  <c r="AJ125" i="11"/>
  <c r="AG126" i="11"/>
  <c r="T125" i="11"/>
  <c r="AA126" i="11"/>
  <c r="AH127" i="11"/>
  <c r="AG128" i="11"/>
  <c r="AB131" i="11"/>
  <c r="AA132" i="11"/>
  <c r="Z133" i="11"/>
  <c r="AK132" i="11"/>
  <c r="T129" i="11"/>
  <c r="AA130" i="11"/>
  <c r="AH131" i="11"/>
  <c r="AG132" i="11"/>
  <c r="AF133" i="11"/>
  <c r="AE134" i="11"/>
  <c r="AD135" i="11"/>
  <c r="K131" i="11"/>
  <c r="Y125" i="11"/>
  <c r="P130" i="11"/>
  <c r="M124" i="11"/>
  <c r="X135" i="11"/>
  <c r="AJ122" i="11"/>
  <c r="AI123" i="11"/>
  <c r="AH124" i="11"/>
  <c r="AG125" i="11"/>
  <c r="AB128" i="11"/>
  <c r="AA125" i="11"/>
  <c r="J130" i="11"/>
  <c r="Q131" i="11"/>
  <c r="T134" i="11"/>
  <c r="S135" i="11"/>
  <c r="O122" i="11"/>
  <c r="N123" i="11"/>
  <c r="AK134" i="11"/>
  <c r="M128" i="11"/>
  <c r="K122" i="11"/>
  <c r="R123" i="11"/>
  <c r="M126" i="11"/>
  <c r="L127" i="11"/>
  <c r="K128" i="11"/>
  <c r="J129" i="11"/>
  <c r="G123" i="11"/>
  <c r="AL124" i="11"/>
  <c r="K126" i="11"/>
  <c r="R127" i="11"/>
  <c r="Q128" i="11"/>
  <c r="P129" i="11"/>
  <c r="O130" i="11"/>
  <c r="N131" i="11"/>
  <c r="AK124" i="11"/>
  <c r="L125" i="11"/>
  <c r="S126" i="11"/>
  <c r="Z127" i="11"/>
  <c r="Y128" i="11"/>
  <c r="X129" i="11"/>
  <c r="W130" i="11"/>
  <c r="V131" i="11"/>
  <c r="R133" i="11"/>
  <c r="AJ128" i="11"/>
  <c r="I134" i="11"/>
  <c r="AD124" i="11"/>
  <c r="AK125" i="11"/>
  <c r="J127" i="11"/>
  <c r="E130" i="11"/>
  <c r="AL130" i="11"/>
  <c r="AK131" i="11"/>
  <c r="AJ132" i="11"/>
  <c r="O127" i="11"/>
  <c r="AD128" i="11"/>
  <c r="AK129" i="11"/>
  <c r="J131" i="11"/>
  <c r="I132" i="11"/>
  <c r="H133" i="11"/>
  <c r="G134" i="11"/>
  <c r="F135" i="11"/>
  <c r="K129" i="11"/>
  <c r="AL128" i="11"/>
  <c r="K130" i="11"/>
  <c r="R131" i="11"/>
  <c r="Q132" i="11"/>
  <c r="P133" i="11"/>
  <c r="O134" i="11"/>
  <c r="N135" i="11"/>
  <c r="AL126" i="11"/>
  <c r="AK127" i="11"/>
  <c r="AF130" i="11"/>
  <c r="O123" i="11"/>
  <c r="Z126" i="11"/>
  <c r="AG127" i="11"/>
  <c r="AJ130" i="11"/>
  <c r="AI131" i="11"/>
  <c r="AH132" i="11"/>
  <c r="AG133" i="11"/>
  <c r="AF134" i="11"/>
  <c r="S129" i="11"/>
  <c r="Z130" i="11"/>
  <c r="AG131" i="11"/>
  <c r="F133" i="11"/>
  <c r="E134" i="11"/>
  <c r="AL134" i="11"/>
  <c r="AK135" i="11"/>
  <c r="P135" i="11"/>
  <c r="O131" i="11"/>
  <c r="AH130" i="11"/>
  <c r="G132" i="11"/>
  <c r="N133" i="11"/>
  <c r="M134" i="11"/>
  <c r="L135" i="11"/>
  <c r="H122" i="11"/>
  <c r="F124" i="11"/>
  <c r="Y122" i="11"/>
  <c r="AA134" i="11"/>
  <c r="S133" i="11"/>
  <c r="AL132" i="11"/>
  <c r="K134" i="11"/>
  <c r="R135" i="11"/>
  <c r="N122" i="11"/>
  <c r="I125" i="11"/>
  <c r="H126" i="11"/>
  <c r="R128" i="11"/>
  <c r="AE135" i="11"/>
  <c r="I123" i="11"/>
  <c r="P124" i="11"/>
  <c r="O125" i="11"/>
  <c r="N126" i="11"/>
  <c r="M127" i="11"/>
  <c r="L128" i="11"/>
  <c r="H132" i="11"/>
  <c r="V126" i="11"/>
  <c r="E135" i="11"/>
  <c r="U132" i="11"/>
  <c r="J126" i="11"/>
  <c r="M129" i="11"/>
  <c r="T130" i="11"/>
  <c r="S131" i="11"/>
  <c r="R132" i="11"/>
  <c r="Q133" i="11"/>
  <c r="I133" i="11"/>
  <c r="Z122" i="11"/>
  <c r="AG123" i="11"/>
  <c r="AJ126" i="11"/>
  <c r="AI127" i="11"/>
  <c r="AH128" i="11"/>
  <c r="AG129" i="11"/>
  <c r="AB132" i="11"/>
  <c r="S125" i="11"/>
  <c r="V128" i="11"/>
  <c r="AC129" i="11"/>
  <c r="AF132" i="11"/>
  <c r="AE133" i="11"/>
  <c r="AD134" i="11"/>
  <c r="AC135" i="11"/>
  <c r="M125" i="11"/>
  <c r="AA129" i="11"/>
  <c r="V132" i="11"/>
  <c r="AC133" i="11"/>
  <c r="AJ134" i="11"/>
  <c r="AI135" i="11"/>
  <c r="AE122" i="11"/>
  <c r="AD123" i="11"/>
  <c r="AE132" i="11"/>
  <c r="W131" i="11"/>
  <c r="AD132" i="11"/>
  <c r="AK133" i="11"/>
  <c r="J135" i="11"/>
  <c r="F122" i="11"/>
  <c r="E123" i="11"/>
  <c r="AL123" i="11"/>
  <c r="AH125" i="11"/>
  <c r="AI130" i="11"/>
  <c r="AE127" i="11"/>
  <c r="N132" i="11"/>
  <c r="U133" i="11"/>
  <c r="U122" i="11"/>
  <c r="T123" i="11"/>
  <c r="S124" i="11"/>
  <c r="R125" i="11"/>
  <c r="O129" i="11"/>
  <c r="I130" i="11"/>
  <c r="S122" i="11"/>
  <c r="Z123" i="11"/>
  <c r="Y124" i="11"/>
  <c r="X125" i="11"/>
  <c r="W126" i="11"/>
  <c r="V127" i="11"/>
  <c r="AJ135" i="11"/>
  <c r="E132" i="11"/>
  <c r="AA122" i="11"/>
  <c r="AH123" i="11"/>
  <c r="AG124" i="11"/>
  <c r="AF125" i="11"/>
  <c r="AE126" i="1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IlIa</author>
  </authors>
  <commentList>
    <comment ref="B1" authorId="0" shapeId="0" xr:uid="{3918A722-5DA0-46E7-9636-19AFF6A53BD6}">
      <text>
        <r>
          <rPr>
            <b/>
            <sz val="9"/>
            <color indexed="81"/>
            <rFont val="Tahoma"/>
            <family val="2"/>
            <charset val="204"/>
          </rPr>
          <t>IlIa:</t>
        </r>
        <r>
          <rPr>
            <sz val="9"/>
            <color indexed="81"/>
            <rFont val="Tahoma"/>
            <family val="2"/>
            <charset val="204"/>
          </rPr>
          <t xml:space="preserve">
s</t>
        </r>
      </text>
    </comment>
    <comment ref="C1" authorId="0" shapeId="0" xr:uid="{B7BFF688-8FF7-43E4-8A6E-0410D9C0BB23}">
      <text>
        <r>
          <rPr>
            <b/>
            <sz val="9"/>
            <color indexed="81"/>
            <rFont val="Tahoma"/>
            <family val="2"/>
            <charset val="204"/>
          </rPr>
          <t>IlIa:</t>
        </r>
        <r>
          <rPr>
            <sz val="9"/>
            <color indexed="81"/>
            <rFont val="Tahoma"/>
            <family val="2"/>
            <charset val="204"/>
          </rPr>
          <t xml:space="preserve">
e</t>
        </r>
      </text>
    </comment>
    <comment ref="E1" authorId="0" shapeId="0" xr:uid="{DC0EB8C3-F1F4-4202-81F8-4EF95141A1C7}">
      <text>
        <r>
          <rPr>
            <b/>
            <sz val="9"/>
            <color indexed="81"/>
            <rFont val="Tahoma"/>
            <family val="2"/>
            <charset val="204"/>
          </rPr>
          <t>IlIa:</t>
        </r>
        <r>
          <rPr>
            <sz val="9"/>
            <color indexed="81"/>
            <rFont val="Tahoma"/>
            <family val="2"/>
            <charset val="204"/>
          </rPr>
          <t xml:space="preserve">
n</t>
        </r>
      </text>
    </comment>
    <comment ref="H1" authorId="0" shapeId="0" xr:uid="{A63E3F70-D42B-4D47-A850-448E34E73C5E}">
      <text>
        <r>
          <rPr>
            <b/>
            <sz val="9"/>
            <color indexed="81"/>
            <rFont val="Tahoma"/>
            <family val="2"/>
            <charset val="204"/>
          </rPr>
          <t>IlIa:</t>
        </r>
        <r>
          <rPr>
            <sz val="9"/>
            <color indexed="81"/>
            <rFont val="Tahoma"/>
            <family val="2"/>
            <charset val="204"/>
          </rPr>
          <t xml:space="preserve">
k
ЧЕРНЫЙ ЦВЕТ ВЫДЕЛЯЕТ СТРОЧКУ
С ТАМПЕРАТУРАМИ</t>
        </r>
      </text>
    </comment>
  </commentList>
</comments>
</file>

<file path=xl/sharedStrings.xml><?xml version="1.0" encoding="utf-8"?>
<sst xmlns="http://schemas.openxmlformats.org/spreadsheetml/2006/main" count="211" uniqueCount="73">
  <si>
    <t>Раствор формируется только из жидких, экстраполированных до температуры стеклования (Tg) компонентов. В CTC в поле Solid solutions остаётся раствор 2 - раствор жидких компонентов, а в поле Excluded species вносятся твёрдые компоненты. "Только жидкие комп-ты"</t>
  </si>
  <si>
    <t>Ar</t>
  </si>
  <si>
    <t>Se</t>
  </si>
  <si>
    <t>Ge</t>
  </si>
  <si>
    <t>Ga</t>
  </si>
  <si>
    <t>H (Ga)</t>
  </si>
  <si>
    <t>H (Ge)</t>
  </si>
  <si>
    <t>H (Se)</t>
  </si>
  <si>
    <t>Состав смеси в атомах</t>
  </si>
  <si>
    <t>Сумма</t>
  </si>
  <si>
    <t>Температура</t>
  </si>
  <si>
    <t>Столб/строки</t>
  </si>
  <si>
    <t>Набор фаз</t>
  </si>
  <si>
    <t xml:space="preserve">Раствор (жид): </t>
  </si>
  <si>
    <t xml:space="preserve">Газовая без Ar: </t>
  </si>
  <si>
    <t xml:space="preserve">Газовая: </t>
  </si>
  <si>
    <t xml:space="preserve">Раствор + газовая без Ar: </t>
  </si>
  <si>
    <t xml:space="preserve">Раствор + газовая: </t>
  </si>
  <si>
    <t>Начало/конец=</t>
  </si>
  <si>
    <t xml:space="preserve">Частота= </t>
  </si>
  <si>
    <t>Первоначальные данные</t>
  </si>
  <si>
    <t>Общая энергия гиббса смесей, КДж</t>
  </si>
  <si>
    <t>Удельная энергия Гиббса отдельных веществ из потенциалов. Дж</t>
  </si>
  <si>
    <t>Относительная  концентрация в данной системе</t>
  </si>
  <si>
    <t>Энергия гиббса фаз в данной системе. КДж</t>
  </si>
  <si>
    <t>Конденсированная часть рассматриваемой системы моделируется указанным выше жидким раствором и аналогичным раствором кристаллических компонентов. Графически представленные результаты расчета позволяют определить температурный интервал плавления стеклообразующей системы. В CTC в поле Solid solutions формируются два раствора: 1 – твёрдые компоненты, 2 – жидкие компоненты. «Основные данные (тв и ж р-ы)»</t>
  </si>
  <si>
    <t>Кристаллические компоненты представлены отдельными конденсированными фазами (фактически не смешивающимися) и жидкий раствор. Разница химпотенциалов компонентов, представленными отдельными кристаллическими фазами и компонентов раствора в Варианте 1 L определяет количественную характеристику пересыщения на кристаллизацию сравниваемых компонентов. В CTC в поле Solid solutions остаётся только раствор 2 - раствор жидких компонентов. «Основные данные (без тв раств)»</t>
  </si>
  <si>
    <t>Температура1</t>
  </si>
  <si>
    <t>H (Ar)</t>
  </si>
  <si>
    <t>FLUID</t>
  </si>
  <si>
    <t>SOLID</t>
  </si>
  <si>
    <t>ALL</t>
  </si>
  <si>
    <t>Тип сорт/\ 0E- выбранный столбец, 1 по всей таблице</t>
  </si>
  <si>
    <t xml:space="preserve">Расвор: </t>
  </si>
  <si>
    <t>Раствор + газовая без Ar</t>
  </si>
  <si>
    <t xml:space="preserve">Раствор 1(тв): </t>
  </si>
  <si>
    <t xml:space="preserve">Раствор 1 + газовая без Ar: </t>
  </si>
  <si>
    <t>(l)Ge[l]</t>
  </si>
  <si>
    <t>(l)Ga[l]</t>
  </si>
  <si>
    <t>*Se[m]</t>
  </si>
  <si>
    <t>*Ge[c]</t>
  </si>
  <si>
    <t>*GeSe</t>
  </si>
  <si>
    <t>*Ge</t>
  </si>
  <si>
    <t>(l)Se[r]</t>
  </si>
  <si>
    <t>(l)Se[a]</t>
  </si>
  <si>
    <t>(l)Se</t>
  </si>
  <si>
    <t>(l)Ga</t>
  </si>
  <si>
    <t>(l)Ge</t>
  </si>
  <si>
    <t>(l)GeSe</t>
  </si>
  <si>
    <t>Ga2Se3</t>
  </si>
  <si>
    <t>*GeSe2</t>
  </si>
  <si>
    <t>(l)Se[m]</t>
  </si>
  <si>
    <t>Ga2Se</t>
  </si>
  <si>
    <t>Se3</t>
  </si>
  <si>
    <t>Se4</t>
  </si>
  <si>
    <t>Se5</t>
  </si>
  <si>
    <t>Se6</t>
  </si>
  <si>
    <t>Se8</t>
  </si>
  <si>
    <t>Se2</t>
  </si>
  <si>
    <t>Se7</t>
  </si>
  <si>
    <t>(l)Se[l]</t>
  </si>
  <si>
    <t>(l)Ge[c]</t>
  </si>
  <si>
    <t>(l)GeSe2</t>
  </si>
  <si>
    <t>(l)Ga2Se3</t>
  </si>
  <si>
    <t xml:space="preserve">Раствор 3 (жид): </t>
  </si>
  <si>
    <t>Расвтор 2</t>
  </si>
  <si>
    <t xml:space="preserve">Раствор 3 + газовая без Ar: </t>
  </si>
  <si>
    <t>H (Аг)</t>
  </si>
  <si>
    <t>*Ge[l]</t>
  </si>
  <si>
    <t>*Ga</t>
  </si>
  <si>
    <t>Ge2</t>
  </si>
  <si>
    <t>Темп1 Графики</t>
  </si>
  <si>
    <r>
      <t xml:space="preserve">Состав </t>
    </r>
    <r>
      <rPr>
        <b/>
        <i/>
        <sz val="18"/>
        <color rgb="FFFF0000"/>
        <rFont val="Calibri"/>
        <family val="2"/>
        <charset val="204"/>
        <scheme val="minor"/>
      </rPr>
      <t xml:space="preserve">Ge - 1 </t>
    </r>
    <r>
      <rPr>
        <b/>
        <i/>
        <sz val="18"/>
        <color theme="0" tint="-4.9989318521683403E-2"/>
        <rFont val="Calibri"/>
        <family val="2"/>
        <charset val="204"/>
        <scheme val="minor"/>
      </rPr>
      <t>alltime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</si>
</sst>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"/>
    <numFmt numFmtId="165" formatCode="0.0E+00"/>
    <numFmt numFmtId="166" formatCode="0.000"/>
  </numFmts>
  <fonts count="28" x14ac:knownFonts="1">
    <font>
      <sz val="16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6"/>
      <color theme="1"/>
      <name val="Calibri"/>
      <family val="2"/>
      <charset val="204"/>
      <scheme val="minor"/>
    </font>
    <font>
      <sz val="16"/>
      <name val="Calibri"/>
      <family val="2"/>
      <charset val="204"/>
      <scheme val="minor"/>
    </font>
    <font>
      <b/>
      <sz val="16"/>
      <color theme="1"/>
      <name val="Calibri"/>
      <family val="2"/>
      <charset val="204"/>
      <scheme val="minor"/>
    </font>
    <font>
      <b/>
      <sz val="20"/>
      <color theme="0"/>
      <name val="Calibri"/>
      <family val="2"/>
      <charset val="204"/>
      <scheme val="minor"/>
    </font>
    <font>
      <b/>
      <sz val="16"/>
      <color theme="0"/>
      <name val="Calibri"/>
      <family val="2"/>
      <charset val="204"/>
      <scheme val="minor"/>
    </font>
    <font>
      <b/>
      <sz val="20"/>
      <color theme="1"/>
      <name val="Calibri"/>
      <family val="2"/>
      <charset val="204"/>
      <scheme val="minor"/>
    </font>
    <font>
      <b/>
      <sz val="16"/>
      <color theme="0" tint="-4.9989318521683403E-2"/>
      <name val="Calibri"/>
      <family val="2"/>
      <charset val="204"/>
      <scheme val="minor"/>
    </font>
    <font>
      <b/>
      <sz val="16"/>
      <name val="Calibri"/>
      <family val="2"/>
      <charset val="204"/>
      <scheme val="minor"/>
    </font>
    <font>
      <sz val="14"/>
      <color theme="1"/>
      <name val="Calibri"/>
      <family val="2"/>
      <charset val="204"/>
      <scheme val="minor"/>
    </font>
    <font>
      <b/>
      <sz val="18"/>
      <color theme="0"/>
      <name val="Calibri"/>
      <family val="2"/>
      <charset val="204"/>
      <scheme val="minor"/>
    </font>
    <font>
      <sz val="14"/>
      <name val="Calibri"/>
      <family val="2"/>
      <charset val="204"/>
      <scheme val="minor"/>
    </font>
    <font>
      <sz val="8"/>
      <name val="Arial"/>
      <family val="2"/>
      <charset val="204"/>
    </font>
    <font>
      <b/>
      <sz val="22"/>
      <color theme="0" tint="-4.9989318521683403E-2"/>
      <name val="Calibri"/>
      <family val="2"/>
      <charset val="204"/>
      <scheme val="minor"/>
    </font>
    <font>
      <b/>
      <sz val="18"/>
      <color theme="1"/>
      <name val="Calibri"/>
      <family val="2"/>
      <charset val="204"/>
      <scheme val="minor"/>
    </font>
    <font>
      <b/>
      <i/>
      <sz val="18"/>
      <color theme="0" tint="-4.9989318521683403E-2"/>
      <name val="Calibri"/>
      <family val="2"/>
      <charset val="204"/>
      <scheme val="minor"/>
    </font>
    <font>
      <sz val="16"/>
      <color rgb="FF000000"/>
      <name val="Calibri"/>
      <family val="2"/>
      <charset val="204"/>
    </font>
    <font>
      <b/>
      <sz val="9"/>
      <color indexed="81"/>
      <name val="Tahoma"/>
      <family val="2"/>
      <charset val="204"/>
    </font>
    <font>
      <sz val="9"/>
      <color indexed="81"/>
      <name val="Tahoma"/>
      <family val="2"/>
      <charset val="204"/>
    </font>
    <font>
      <sz val="18"/>
      <color rgb="FFFF0000"/>
      <name val="Calibri"/>
      <family val="2"/>
      <charset val="204"/>
      <scheme val="minor"/>
    </font>
    <font>
      <sz val="22"/>
      <color theme="1"/>
      <name val="Calibri"/>
      <family val="2"/>
      <charset val="204"/>
      <scheme val="minor"/>
    </font>
    <font>
      <sz val="12"/>
      <color theme="1"/>
      <name val="Calibri"/>
      <family val="2"/>
      <charset val="204"/>
      <scheme val="minor"/>
    </font>
    <font>
      <sz val="10"/>
      <name val="Arial"/>
      <family val="2"/>
      <charset val="204"/>
    </font>
    <font>
      <sz val="12"/>
      <name val="Times New Roman"/>
      <family val="1"/>
      <charset val="204"/>
    </font>
    <font>
      <b/>
      <sz val="14"/>
      <color theme="1"/>
      <name val="Calibri"/>
      <family val="2"/>
      <charset val="204"/>
      <scheme val="minor"/>
    </font>
    <font>
      <b/>
      <sz val="16"/>
      <color rgb="FFFF0000"/>
      <name val="Calibri"/>
      <family val="2"/>
      <charset val="204"/>
      <scheme val="minor"/>
    </font>
    <font>
      <b/>
      <i/>
      <sz val="18"/>
      <color rgb="FFFF0000"/>
      <name val="Calibri"/>
      <family val="2"/>
      <charset val="204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9.9948118533890809E-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39997558519241921"/>
        <bgColor indexed="64"/>
      </patternFill>
    </fill>
  </fills>
  <borders count="3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indexed="64"/>
      </left>
      <right/>
      <top style="thick">
        <color indexed="64"/>
      </top>
      <bottom style="thick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ck">
        <color indexed="64"/>
      </left>
      <right/>
      <top/>
      <bottom style="thick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</borders>
  <cellStyleXfs count="8">
    <xf numFmtId="0" fontId="0" fillId="0" borderId="0"/>
    <xf numFmtId="0" fontId="5" fillId="5" borderId="0"/>
    <xf numFmtId="1" fontId="8" fillId="7" borderId="2">
      <alignment horizontal="left" vertical="center"/>
    </xf>
    <xf numFmtId="0" fontId="9" fillId="6" borderId="3" applyNumberFormat="0">
      <alignment horizontal="left" vertical="center"/>
    </xf>
    <xf numFmtId="11" fontId="12" fillId="10" borderId="0">
      <alignment vertical="top"/>
    </xf>
    <xf numFmtId="0" fontId="2" fillId="4" borderId="0">
      <alignment horizontal="center" vertical="center"/>
    </xf>
    <xf numFmtId="0" fontId="20" fillId="3" borderId="1">
      <alignment horizontal="center" vertical="center"/>
    </xf>
    <xf numFmtId="165" fontId="10" fillId="0" borderId="0"/>
  </cellStyleXfs>
  <cellXfs count="97">
    <xf numFmtId="0" fontId="0" fillId="0" borderId="0" xfId="0"/>
    <xf numFmtId="0" fontId="8" fillId="7" borderId="33" xfId="2" applyNumberFormat="1" applyBorder="1">
      <alignment horizontal="left" vertical="center"/>
    </xf>
    <xf numFmtId="0" fontId="7" fillId="6" borderId="1" xfId="0" applyFont="1" applyFill="1" applyBorder="1" applyAlignment="1">
      <alignment horizontal="center" vertical="center"/>
    </xf>
    <xf numFmtId="0" fontId="8" fillId="7" borderId="2" xfId="2" applyNumberFormat="1">
      <alignment horizontal="left" vertical="center"/>
    </xf>
    <xf numFmtId="1" fontId="8" fillId="7" borderId="2" xfId="2">
      <alignment horizontal="left" vertical="center"/>
    </xf>
    <xf numFmtId="0" fontId="3" fillId="8" borderId="0" xfId="0" applyFont="1" applyFill="1"/>
    <xf numFmtId="0" fontId="9" fillId="6" borderId="3" xfId="3" applyNumberFormat="1">
      <alignment horizontal="left" vertical="center"/>
    </xf>
    <xf numFmtId="0" fontId="6" fillId="7" borderId="7" xfId="0" applyFont="1" applyFill="1" applyBorder="1" applyAlignment="1">
      <alignment horizontal="center" vertical="center"/>
    </xf>
    <xf numFmtId="0" fontId="8" fillId="7" borderId="2" xfId="0" applyFont="1" applyFill="1" applyBorder="1"/>
    <xf numFmtId="0" fontId="0" fillId="8" borderId="8" xfId="0" applyFill="1" applyBorder="1"/>
    <xf numFmtId="165" fontId="0" fillId="8" borderId="0" xfId="0" applyNumberFormat="1" applyFill="1"/>
    <xf numFmtId="0" fontId="2" fillId="4" borderId="0" xfId="5">
      <alignment horizontal="center" vertical="center"/>
    </xf>
    <xf numFmtId="0" fontId="7" fillId="6" borderId="10" xfId="0" applyFont="1" applyFill="1" applyBorder="1" applyAlignment="1">
      <alignment horizontal="center" vertical="center"/>
    </xf>
    <xf numFmtId="0" fontId="7" fillId="6" borderId="11" xfId="0" applyFont="1" applyFill="1" applyBorder="1" applyAlignment="1">
      <alignment horizontal="center" vertical="center"/>
    </xf>
    <xf numFmtId="11" fontId="12" fillId="10" borderId="0" xfId="4">
      <alignment vertical="top"/>
    </xf>
    <xf numFmtId="0" fontId="8" fillId="9" borderId="0" xfId="0" applyFont="1" applyFill="1"/>
    <xf numFmtId="1" fontId="12" fillId="10" borderId="0" xfId="4" applyNumberFormat="1">
      <alignment vertical="top"/>
    </xf>
    <xf numFmtId="0" fontId="9" fillId="6" borderId="3" xfId="3" applyAlignment="1">
      <alignment horizontal="right" vertical="center"/>
    </xf>
    <xf numFmtId="0" fontId="9" fillId="6" borderId="3" xfId="3">
      <alignment horizontal="left" vertical="center"/>
    </xf>
    <xf numFmtId="1" fontId="14" fillId="7" borderId="4" xfId="2" applyFont="1" applyBorder="1">
      <alignment horizontal="left" vertical="center"/>
    </xf>
    <xf numFmtId="1" fontId="8" fillId="7" borderId="4" xfId="2" applyBorder="1">
      <alignment horizontal="left" vertical="center"/>
    </xf>
    <xf numFmtId="0" fontId="2" fillId="4" borderId="17" xfId="5" applyBorder="1">
      <alignment horizontal="center" vertical="center"/>
    </xf>
    <xf numFmtId="0" fontId="2" fillId="4" borderId="19" xfId="5" applyBorder="1">
      <alignment horizontal="center" vertical="center"/>
    </xf>
    <xf numFmtId="0" fontId="2" fillId="4" borderId="8" xfId="5" applyBorder="1">
      <alignment horizontal="center" vertical="center"/>
    </xf>
    <xf numFmtId="0" fontId="2" fillId="4" borderId="21" xfId="5" applyBorder="1">
      <alignment horizontal="center" vertical="center"/>
    </xf>
    <xf numFmtId="0" fontId="2" fillId="4" borderId="22" xfId="5" applyBorder="1">
      <alignment horizontal="center" vertical="center"/>
    </xf>
    <xf numFmtId="0" fontId="0" fillId="0" borderId="15" xfId="0" applyBorder="1"/>
    <xf numFmtId="0" fontId="0" fillId="0" borderId="16" xfId="0" applyBorder="1"/>
    <xf numFmtId="0" fontId="0" fillId="0" borderId="24" xfId="0" applyBorder="1"/>
    <xf numFmtId="0" fontId="0" fillId="0" borderId="0" xfId="0" applyBorder="1"/>
    <xf numFmtId="0" fontId="0" fillId="0" borderId="25" xfId="0" applyBorder="1"/>
    <xf numFmtId="0" fontId="0" fillId="0" borderId="13" xfId="0" applyBorder="1"/>
    <xf numFmtId="0" fontId="0" fillId="0" borderId="26" xfId="0" applyBorder="1"/>
    <xf numFmtId="0" fontId="0" fillId="0" borderId="27" xfId="0" applyBorder="1"/>
    <xf numFmtId="0" fontId="4" fillId="11" borderId="3" xfId="0" applyFont="1" applyFill="1" applyBorder="1" applyAlignment="1">
      <alignment horizontal="right" vertical="center"/>
    </xf>
    <xf numFmtId="1" fontId="9" fillId="6" borderId="3" xfId="3" applyNumberFormat="1">
      <alignment horizontal="left" vertical="center"/>
    </xf>
    <xf numFmtId="164" fontId="9" fillId="6" borderId="3" xfId="3" applyNumberFormat="1">
      <alignment horizontal="left" vertical="center"/>
    </xf>
    <xf numFmtId="0" fontId="0" fillId="0" borderId="0" xfId="0"/>
    <xf numFmtId="1" fontId="0" fillId="0" borderId="0" xfId="0" applyNumberFormat="1"/>
    <xf numFmtId="1" fontId="15" fillId="11" borderId="9" xfId="0" applyNumberFormat="1" applyFont="1" applyFill="1" applyBorder="1" applyAlignment="1">
      <alignment horizontal="center" vertical="center"/>
    </xf>
    <xf numFmtId="0" fontId="20" fillId="3" borderId="1" xfId="6">
      <alignment horizontal="center" vertical="center"/>
    </xf>
    <xf numFmtId="0" fontId="9" fillId="6" borderId="12" xfId="3" applyNumberFormat="1" applyBorder="1">
      <alignment horizontal="left" vertical="center"/>
    </xf>
    <xf numFmtId="0" fontId="7" fillId="6" borderId="28" xfId="0" applyFont="1" applyFill="1" applyBorder="1" applyAlignment="1">
      <alignment horizontal="center" vertical="center"/>
    </xf>
    <xf numFmtId="0" fontId="7" fillId="6" borderId="29" xfId="0" applyFont="1" applyFill="1" applyBorder="1" applyAlignment="1">
      <alignment horizontal="center" vertical="center"/>
    </xf>
    <xf numFmtId="0" fontId="3" fillId="8" borderId="9" xfId="0" applyFont="1" applyFill="1" applyBorder="1"/>
    <xf numFmtId="0" fontId="21" fillId="0" borderId="0" xfId="0" applyFont="1" applyAlignment="1">
      <alignment horizontal="center"/>
    </xf>
    <xf numFmtId="11" fontId="0" fillId="0" borderId="0" xfId="0" applyNumberFormat="1" applyAlignment="1">
      <alignment horizontal="left" vertical="top" wrapText="1"/>
    </xf>
    <xf numFmtId="0" fontId="3" fillId="8" borderId="0" xfId="0" applyFont="1" applyFill="1" applyBorder="1"/>
    <xf numFmtId="11" fontId="9" fillId="6" borderId="3" xfId="3" applyNumberFormat="1">
      <alignment horizontal="left" vertical="center"/>
    </xf>
    <xf numFmtId="165" fontId="10" fillId="0" borderId="0" xfId="7"/>
    <xf numFmtId="1" fontId="2" fillId="4" borderId="18" xfId="5" applyNumberFormat="1" applyBorder="1">
      <alignment horizontal="center" vertical="center"/>
    </xf>
    <xf numFmtId="1" fontId="2" fillId="4" borderId="20" xfId="5" applyNumberFormat="1" applyBorder="1">
      <alignment horizontal="center" vertical="center"/>
    </xf>
    <xf numFmtId="11" fontId="12" fillId="10" borderId="0" xfId="4" applyNumberFormat="1">
      <alignment vertical="top"/>
    </xf>
    <xf numFmtId="1" fontId="22" fillId="4" borderId="18" xfId="5" applyNumberFormat="1" applyFont="1" applyBorder="1">
      <alignment horizontal="center" vertical="center"/>
    </xf>
    <xf numFmtId="1" fontId="22" fillId="4" borderId="20" xfId="5" applyNumberFormat="1" applyFont="1" applyBorder="1">
      <alignment horizontal="center" vertical="center"/>
    </xf>
    <xf numFmtId="0" fontId="0" fillId="0" borderId="0" xfId="0"/>
    <xf numFmtId="11" fontId="13" fillId="0" borderId="0" xfId="0" applyNumberFormat="1" applyFont="1" applyFill="1" applyBorder="1" applyAlignment="1" applyProtection="1">
      <alignment vertical="top"/>
    </xf>
    <xf numFmtId="11" fontId="23" fillId="0" borderId="0" xfId="0" applyNumberFormat="1" applyFont="1" applyFill="1" applyBorder="1" applyAlignment="1" applyProtection="1">
      <alignment vertical="top"/>
    </xf>
    <xf numFmtId="11" fontId="24" fillId="0" borderId="0" xfId="0" applyNumberFormat="1" applyFont="1" applyFill="1" applyBorder="1" applyAlignment="1" applyProtection="1">
      <alignment vertical="top"/>
    </xf>
    <xf numFmtId="1" fontId="0" fillId="0" borderId="27" xfId="0" applyNumberFormat="1" applyBorder="1"/>
    <xf numFmtId="0" fontId="8" fillId="7" borderId="4" xfId="2" applyNumberFormat="1" applyBorder="1">
      <alignment horizontal="left" vertical="center"/>
    </xf>
    <xf numFmtId="0" fontId="8" fillId="7" borderId="31" xfId="2" applyNumberFormat="1" applyBorder="1">
      <alignment horizontal="left" vertical="center"/>
    </xf>
    <xf numFmtId="1" fontId="8" fillId="7" borderId="31" xfId="2" applyBorder="1">
      <alignment horizontal="left" vertical="center"/>
    </xf>
    <xf numFmtId="0" fontId="8" fillId="7" borderId="32" xfId="2" applyNumberFormat="1" applyBorder="1">
      <alignment horizontal="left" vertical="center"/>
    </xf>
    <xf numFmtId="0" fontId="8" fillId="7" borderId="2" xfId="2" applyNumberFormat="1" applyBorder="1">
      <alignment horizontal="left" vertical="center"/>
    </xf>
    <xf numFmtId="1" fontId="8" fillId="7" borderId="32" xfId="2" applyBorder="1">
      <alignment horizontal="left" vertical="center"/>
    </xf>
    <xf numFmtId="1" fontId="8" fillId="7" borderId="2" xfId="2" applyBorder="1">
      <alignment horizontal="left" vertical="center"/>
    </xf>
    <xf numFmtId="0" fontId="0" fillId="0" borderId="30" xfId="0" applyBorder="1"/>
    <xf numFmtId="1" fontId="8" fillId="7" borderId="33" xfId="2" applyBorder="1">
      <alignment horizontal="left" vertical="center"/>
    </xf>
    <xf numFmtId="1" fontId="25" fillId="11" borderId="12" xfId="0" applyNumberFormat="1" applyFont="1" applyFill="1" applyBorder="1" applyAlignment="1">
      <alignment horizontal="center" vertical="center"/>
    </xf>
    <xf numFmtId="1" fontId="4" fillId="12" borderId="3" xfId="0" applyNumberFormat="1" applyFont="1" applyFill="1" applyBorder="1" applyAlignment="1">
      <alignment horizontal="right" vertical="center"/>
    </xf>
    <xf numFmtId="1" fontId="15" fillId="12" borderId="12" xfId="0" applyNumberFormat="1" applyFont="1" applyFill="1" applyBorder="1" applyAlignment="1">
      <alignment horizontal="center" vertical="center"/>
    </xf>
    <xf numFmtId="1" fontId="8" fillId="7" borderId="2" xfId="2" applyNumberFormat="1">
      <alignment horizontal="left" vertical="center"/>
    </xf>
    <xf numFmtId="0" fontId="26" fillId="7" borderId="7" xfId="0" applyFont="1" applyFill="1" applyBorder="1" applyAlignment="1">
      <alignment horizontal="center" vertical="center"/>
    </xf>
    <xf numFmtId="0" fontId="5" fillId="9" borderId="0" xfId="1" applyFill="1"/>
    <xf numFmtId="0" fontId="0" fillId="9" borderId="0" xfId="0" applyFill="1"/>
    <xf numFmtId="0" fontId="6" fillId="9" borderId="0" xfId="0" applyFont="1" applyFill="1"/>
    <xf numFmtId="0" fontId="6" fillId="9" borderId="24" xfId="0" applyFont="1" applyFill="1" applyBorder="1"/>
    <xf numFmtId="0" fontId="6" fillId="9" borderId="0" xfId="0" applyFont="1" applyFill="1" applyBorder="1"/>
    <xf numFmtId="0" fontId="6" fillId="9" borderId="30" xfId="0" applyFont="1" applyFill="1" applyBorder="1"/>
    <xf numFmtId="0" fontId="0" fillId="9" borderId="15" xfId="0" applyFill="1" applyBorder="1"/>
    <xf numFmtId="0" fontId="11" fillId="9" borderId="4" xfId="0" applyFont="1" applyFill="1" applyBorder="1"/>
    <xf numFmtId="0" fontId="11" fillId="9" borderId="5" xfId="0" applyFont="1" applyFill="1" applyBorder="1"/>
    <xf numFmtId="0" fontId="11" fillId="9" borderId="6" xfId="0" applyFont="1" applyFill="1" applyBorder="1"/>
    <xf numFmtId="0" fontId="0" fillId="9" borderId="23" xfId="0" applyFill="1" applyBorder="1"/>
    <xf numFmtId="1" fontId="12" fillId="9" borderId="0" xfId="4" applyNumberFormat="1" applyFill="1">
      <alignment vertical="top"/>
    </xf>
    <xf numFmtId="166" fontId="12" fillId="9" borderId="0" xfId="4" applyNumberFormat="1" applyFill="1">
      <alignment vertical="top"/>
    </xf>
    <xf numFmtId="0" fontId="0" fillId="9" borderId="16" xfId="0" applyFill="1" applyBorder="1"/>
    <xf numFmtId="11" fontId="12" fillId="9" borderId="0" xfId="4" applyFill="1">
      <alignment vertical="top"/>
    </xf>
    <xf numFmtId="2" fontId="12" fillId="9" borderId="0" xfId="4" applyNumberFormat="1" applyFill="1">
      <alignment vertical="top"/>
    </xf>
    <xf numFmtId="1" fontId="16" fillId="7" borderId="14" xfId="2" applyFont="1" applyBorder="1" applyAlignment="1">
      <alignment horizontal="center" vertical="center"/>
    </xf>
    <xf numFmtId="1" fontId="16" fillId="7" borderId="6" xfId="2" applyFont="1" applyBorder="1" applyAlignment="1">
      <alignment horizontal="center" vertical="center"/>
    </xf>
    <xf numFmtId="0" fontId="2" fillId="4" borderId="15" xfId="5" applyBorder="1">
      <alignment horizontal="center" vertical="center"/>
    </xf>
    <xf numFmtId="0" fontId="2" fillId="4" borderId="16" xfId="5" applyBorder="1">
      <alignment horizontal="center" vertical="center"/>
    </xf>
    <xf numFmtId="0" fontId="1" fillId="13" borderId="0" xfId="0" applyFont="1" applyFill="1" applyAlignment="1">
      <alignment horizontal="center" vertical="center" wrapText="1"/>
    </xf>
    <xf numFmtId="0" fontId="22" fillId="2" borderId="0" xfId="0" applyFont="1" applyFill="1" applyAlignment="1">
      <alignment horizontal="center" vertical="center" wrapText="1"/>
    </xf>
    <xf numFmtId="0" fontId="22" fillId="6" borderId="0" xfId="0" applyFont="1" applyFill="1" applyAlignment="1">
      <alignment horizontal="center" vertical="center" wrapText="1"/>
    </xf>
  </cellXfs>
  <cellStyles count="8">
    <cellStyle name="Ввод" xfId="6" xr:uid="{A9A7DDE3-643E-4013-945F-2DCD94967680}"/>
    <cellStyle name="Выделение" xfId="5" xr:uid="{37775524-F980-4450-AF6C-9C309192D59A}"/>
    <cellStyle name="Данные" xfId="7" xr:uid="{EEF62ACF-781B-41BC-8B45-3A8C42DFFB61}"/>
    <cellStyle name="Заглавие" xfId="1" xr:uid="{4208A270-18DD-410E-8837-B08A76518C4A}"/>
    <cellStyle name="Заголовок" xfId="2" xr:uid="{9303C5E4-F101-4E3B-B5E9-8F618981352D}"/>
    <cellStyle name="Заголовок2" xfId="3" xr:uid="{DC978976-E92D-4926-BFE4-AB0167FB91D0}"/>
    <cellStyle name="Обычный" xfId="0" builtinId="0"/>
    <cellStyle name="Форм" xfId="4" xr:uid="{810E17FE-2F7B-4E62-B173-29B9F2A26C86}"/>
  </cellStyles>
  <dxfs count="10">
    <dxf>
      <font>
        <color auto="1"/>
      </font>
      <fill>
        <patternFill>
          <bgColor theme="7" tint="0.59996337778862885"/>
        </patternFill>
      </fill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  <numFmt numFmtId="2" formatCode="0.00"/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  <numFmt numFmtId="2" formatCode="0.00"/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  <numFmt numFmtId="2" formatCode="0.0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579004454016617E-2"/>
          <c:y val="9.3034716533807502E-2"/>
          <c:w val="0.92172545969724562"/>
          <c:h val="0.82261080939032938"/>
        </c:manualLayout>
      </c:layout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ALL!$F$40:$AL$40</c:f>
              <c:numCache>
                <c:formatCode>General</c:formatCode>
                <c:ptCount val="33"/>
                <c:pt idx="0">
                  <c:v>298.2</c:v>
                </c:pt>
                <c:pt idx="1">
                  <c:v>331.5</c:v>
                </c:pt>
                <c:pt idx="2">
                  <c:v>364.9</c:v>
                </c:pt>
                <c:pt idx="3">
                  <c:v>398.3</c:v>
                </c:pt>
                <c:pt idx="4">
                  <c:v>431.7</c:v>
                </c:pt>
                <c:pt idx="5">
                  <c:v>465.1</c:v>
                </c:pt>
                <c:pt idx="6">
                  <c:v>498.5</c:v>
                </c:pt>
                <c:pt idx="7">
                  <c:v>531.79999999999995</c:v>
                </c:pt>
                <c:pt idx="8">
                  <c:v>565.20000000000005</c:v>
                </c:pt>
                <c:pt idx="9">
                  <c:v>598.6</c:v>
                </c:pt>
                <c:pt idx="10">
                  <c:v>632</c:v>
                </c:pt>
                <c:pt idx="11">
                  <c:v>665.4</c:v>
                </c:pt>
                <c:pt idx="12">
                  <c:v>698.8</c:v>
                </c:pt>
                <c:pt idx="13">
                  <c:v>832.3</c:v>
                </c:pt>
                <c:pt idx="14">
                  <c:v>965.8</c:v>
                </c:pt>
                <c:pt idx="15">
                  <c:v>1099</c:v>
                </c:pt>
                <c:pt idx="16">
                  <c:v>1133</c:v>
                </c:pt>
                <c:pt idx="17">
                  <c:v>1166</c:v>
                </c:pt>
                <c:pt idx="18">
                  <c:v>1200</c:v>
                </c:pt>
                <c:pt idx="19">
                  <c:v>1233</c:v>
                </c:pt>
                <c:pt idx="20">
                  <c:v>1366</c:v>
                </c:pt>
                <c:pt idx="21">
                  <c:v>1500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xVal>
          <c:yVal>
            <c:numRef>
              <c:f>ALL!$F$41:$AL$41</c:f>
              <c:numCache>
                <c:formatCode>0.0E+00</c:formatCode>
                <c:ptCount val="33"/>
                <c:pt idx="0">
                  <c:v>-510.44729271900002</c:v>
                </c:pt>
                <c:pt idx="1">
                  <c:v>-520.43639953499996</c:v>
                </c:pt>
                <c:pt idx="2">
                  <c:v>-532.30846622249999</c:v>
                </c:pt>
                <c:pt idx="3">
                  <c:v>-545.47323090610018</c:v>
                </c:pt>
                <c:pt idx="4">
                  <c:v>-559.54204891230006</c:v>
                </c:pt>
                <c:pt idx="5">
                  <c:v>-575.38064399585016</c:v>
                </c:pt>
                <c:pt idx="6">
                  <c:v>-594.51041306700006</c:v>
                </c:pt>
                <c:pt idx="7">
                  <c:v>-635.13922895730002</c:v>
                </c:pt>
                <c:pt idx="8">
                  <c:v>-694.62581974020009</c:v>
                </c:pt>
                <c:pt idx="9">
                  <c:v>-756.71547482780011</c:v>
                </c:pt>
                <c:pt idx="10">
                  <c:v>-820.64174864400013</c:v>
                </c:pt>
                <c:pt idx="11">
                  <c:v>-886.60755157260007</c:v>
                </c:pt>
                <c:pt idx="12">
                  <c:v>-954.55131972980007</c:v>
                </c:pt>
                <c:pt idx="13">
                  <c:v>-1241.2434293255499</c:v>
                </c:pt>
                <c:pt idx="14">
                  <c:v>-1548.3322346415</c:v>
                </c:pt>
                <c:pt idx="15">
                  <c:v>-1868.2017614890001</c:v>
                </c:pt>
                <c:pt idx="16">
                  <c:v>-1950.6611422760002</c:v>
                </c:pt>
                <c:pt idx="17">
                  <c:v>-2031.6421883340004</c:v>
                </c:pt>
                <c:pt idx="18">
                  <c:v>-2114.4239112000005</c:v>
                </c:pt>
                <c:pt idx="19">
                  <c:v>-2195.8933648455004</c:v>
                </c:pt>
                <c:pt idx="20">
                  <c:v>-2521.3622529170002</c:v>
                </c:pt>
                <c:pt idx="21">
                  <c:v>-2840.5449937500002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66A-4113-ACE0-B72B89A84C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1620984"/>
        <c:axId val="391622160"/>
      </c:scatterChart>
      <c:valAx>
        <c:axId val="391620984"/>
        <c:scaling>
          <c:orientation val="minMax"/>
          <c:max val="1500"/>
          <c:min val="2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\ \K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91622160"/>
        <c:crosses val="autoZero"/>
        <c:crossBetween val="midCat"/>
      </c:valAx>
      <c:valAx>
        <c:axId val="3916221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\ \J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91620984"/>
        <c:crosses val="autoZero"/>
        <c:crossBetween val="midCat"/>
      </c:valAx>
      <c:spPr>
        <a:noFill/>
        <a:ln>
          <a:noFill/>
        </a:ln>
        <a:effectLst/>
      </c:spPr>
    </c:plotArea>
    <c:plotVisOnly val="0"/>
    <c:dispBlanksAs val="span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 sz="1800"/>
              <a:t>Газовая</a:t>
            </a:r>
            <a:r>
              <a:rPr lang="ru-RU" sz="1800" baseline="0"/>
              <a:t> фаза </a:t>
            </a:r>
            <a:endParaRPr lang="ru-RU" sz="1800"/>
          </a:p>
        </c:rich>
      </c:tx>
      <c:layout>
        <c:manualLayout>
          <c:xMode val="edge"/>
          <c:yMode val="edge"/>
          <c:x val="0.4140374460316642"/>
          <c:y val="1.356608365146274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>
        <c:manualLayout>
          <c:layoutTarget val="inner"/>
          <c:xMode val="edge"/>
          <c:yMode val="edge"/>
          <c:x val="0.12554088184504847"/>
          <c:y val="7.3209491520351416E-2"/>
          <c:w val="0.83553361749524424"/>
          <c:h val="0.77107340657712931"/>
        </c:manualLayout>
      </c:layout>
      <c:scatterChart>
        <c:scatterStyle val="lineMarker"/>
        <c:varyColors val="0"/>
        <c:ser>
          <c:idx val="2"/>
          <c:order val="2"/>
          <c:tx>
            <c:strRef>
              <c:f>ALL!$E$6</c:f>
              <c:strCache>
                <c:ptCount val="1"/>
                <c:pt idx="0">
                  <c:v>Ga2Se3</c:v>
                </c:pt>
              </c:strCache>
              <c:extLst xmlns:c15="http://schemas.microsoft.com/office/drawing/2012/chart"/>
            </c:strRef>
          </c:tx>
          <c:spPr>
            <a:ln w="19050" cap="rnd">
              <a:solidFill>
                <a:schemeClr val="accent4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ALL!$F$3:$AL$3</c:f>
              <c:numCache>
                <c:formatCode>General</c:formatCode>
                <c:ptCount val="33"/>
                <c:pt idx="0">
                  <c:v>298.2</c:v>
                </c:pt>
                <c:pt idx="1">
                  <c:v>331.5</c:v>
                </c:pt>
                <c:pt idx="2">
                  <c:v>364.9</c:v>
                </c:pt>
                <c:pt idx="3">
                  <c:v>398.3</c:v>
                </c:pt>
                <c:pt idx="4">
                  <c:v>431.7</c:v>
                </c:pt>
                <c:pt idx="5">
                  <c:v>465.1</c:v>
                </c:pt>
                <c:pt idx="6">
                  <c:v>498.5</c:v>
                </c:pt>
                <c:pt idx="7">
                  <c:v>531.79999999999995</c:v>
                </c:pt>
                <c:pt idx="8">
                  <c:v>565.20000000000005</c:v>
                </c:pt>
                <c:pt idx="9">
                  <c:v>598.6</c:v>
                </c:pt>
                <c:pt idx="10">
                  <c:v>632</c:v>
                </c:pt>
                <c:pt idx="11">
                  <c:v>665.4</c:v>
                </c:pt>
                <c:pt idx="12">
                  <c:v>698.8</c:v>
                </c:pt>
                <c:pt idx="13">
                  <c:v>832.3</c:v>
                </c:pt>
                <c:pt idx="14">
                  <c:v>965.8</c:v>
                </c:pt>
                <c:pt idx="15">
                  <c:v>1099</c:v>
                </c:pt>
                <c:pt idx="16">
                  <c:v>1133</c:v>
                </c:pt>
                <c:pt idx="17">
                  <c:v>1166</c:v>
                </c:pt>
                <c:pt idx="18">
                  <c:v>1200</c:v>
                </c:pt>
                <c:pt idx="19">
                  <c:v>1233</c:v>
                </c:pt>
                <c:pt idx="20">
                  <c:v>1366</c:v>
                </c:pt>
                <c:pt idx="21">
                  <c:v>1500</c:v>
                </c:pt>
              </c:numCache>
              <c:extLst xmlns:c15="http://schemas.microsoft.com/office/drawing/2012/chart"/>
            </c:numRef>
          </c:xVal>
          <c:yVal>
            <c:numRef>
              <c:f>ALL!$F$6:$AL$6</c:f>
              <c:numCache>
                <c:formatCode>0.0E+00</c:formatCode>
                <c:ptCount val="33"/>
                <c:pt idx="0">
                  <c:v>6.1059000000000002E-2</c:v>
                </c:pt>
                <c:pt idx="1">
                  <c:v>5.6835999999999998E-2</c:v>
                </c:pt>
                <c:pt idx="2">
                  <c:v>5.3668E-2</c:v>
                </c:pt>
                <c:pt idx="3">
                  <c:v>5.2597999999999999E-2</c:v>
                </c:pt>
                <c:pt idx="4">
                  <c:v>5.1083000000000003E-2</c:v>
                </c:pt>
                <c:pt idx="5">
                  <c:v>4.7363000000000002E-2</c:v>
                </c:pt>
                <c:pt idx="6">
                  <c:v>3.9135999999999997E-2</c:v>
                </c:pt>
                <c:pt idx="7">
                  <c:v>2.6801E-4</c:v>
                </c:pt>
                <c:pt idx="8">
                  <c:v>2.7487E-8</c:v>
                </c:pt>
                <c:pt idx="9">
                  <c:v>5.4257999999999998E-12</c:v>
                </c:pt>
                <c:pt idx="10">
                  <c:v>1.9164999999999999E-15</c:v>
                </c:pt>
                <c:pt idx="11">
                  <c:v>1.1293999999999999E-18</c:v>
                </c:pt>
                <c:pt idx="12">
                  <c:v>1.0498000000000001E-21</c:v>
                </c:pt>
                <c:pt idx="13">
                  <c:v>3.3894E-32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DCC3-45FD-9794-5F85E67C14B3}"/>
            </c:ext>
          </c:extLst>
        </c:ser>
        <c:ser>
          <c:idx val="3"/>
          <c:order val="3"/>
          <c:tx>
            <c:strRef>
              <c:f>ALL!$E$7</c:f>
              <c:strCache>
                <c:ptCount val="1"/>
                <c:pt idx="0">
                  <c:v>Ge</c:v>
                </c:pt>
              </c:strCache>
              <c:extLst xmlns:c15="http://schemas.microsoft.com/office/drawing/2012/chart"/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ALL!$F$3:$AL$3</c:f>
              <c:numCache>
                <c:formatCode>General</c:formatCode>
                <c:ptCount val="33"/>
                <c:pt idx="0">
                  <c:v>298.2</c:v>
                </c:pt>
                <c:pt idx="1">
                  <c:v>331.5</c:v>
                </c:pt>
                <c:pt idx="2">
                  <c:v>364.9</c:v>
                </c:pt>
                <c:pt idx="3">
                  <c:v>398.3</c:v>
                </c:pt>
                <c:pt idx="4">
                  <c:v>431.7</c:v>
                </c:pt>
                <c:pt idx="5">
                  <c:v>465.1</c:v>
                </c:pt>
                <c:pt idx="6">
                  <c:v>498.5</c:v>
                </c:pt>
                <c:pt idx="7">
                  <c:v>531.79999999999995</c:v>
                </c:pt>
                <c:pt idx="8">
                  <c:v>565.20000000000005</c:v>
                </c:pt>
                <c:pt idx="9">
                  <c:v>598.6</c:v>
                </c:pt>
                <c:pt idx="10">
                  <c:v>632</c:v>
                </c:pt>
                <c:pt idx="11">
                  <c:v>665.4</c:v>
                </c:pt>
                <c:pt idx="12">
                  <c:v>698.8</c:v>
                </c:pt>
                <c:pt idx="13">
                  <c:v>832.3</c:v>
                </c:pt>
                <c:pt idx="14">
                  <c:v>965.8</c:v>
                </c:pt>
                <c:pt idx="15">
                  <c:v>1099</c:v>
                </c:pt>
                <c:pt idx="16">
                  <c:v>1133</c:v>
                </c:pt>
                <c:pt idx="17">
                  <c:v>1166</c:v>
                </c:pt>
                <c:pt idx="18">
                  <c:v>1200</c:v>
                </c:pt>
                <c:pt idx="19">
                  <c:v>1233</c:v>
                </c:pt>
                <c:pt idx="20">
                  <c:v>1366</c:v>
                </c:pt>
                <c:pt idx="21">
                  <c:v>1500</c:v>
                </c:pt>
              </c:numCache>
              <c:extLst xmlns:c15="http://schemas.microsoft.com/office/drawing/2012/chart"/>
            </c:numRef>
          </c:xVal>
          <c:yVal>
            <c:numRef>
              <c:f>ALL!$F$7:$AL$7</c:f>
              <c:numCache>
                <c:formatCode>0.0E+00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4.7876999999999999E-34</c:v>
                </c:pt>
                <c:pt idx="7">
                  <c:v>6.4196999999999995E-32</c:v>
                </c:pt>
                <c:pt idx="8">
                  <c:v>1.0090000000000001E-29</c:v>
                </c:pt>
                <c:pt idx="9">
                  <c:v>8.6744000000000001E-28</c:v>
                </c:pt>
                <c:pt idx="10">
                  <c:v>4.6054000000000001E-26</c:v>
                </c:pt>
                <c:pt idx="11">
                  <c:v>1.6372E-24</c:v>
                </c:pt>
                <c:pt idx="12">
                  <c:v>4.1365000000000001E-23</c:v>
                </c:pt>
                <c:pt idx="13">
                  <c:v>1.2665E-18</c:v>
                </c:pt>
                <c:pt idx="14">
                  <c:v>2.2310000000000002E-15</c:v>
                </c:pt>
                <c:pt idx="15">
                  <c:v>6.3804999999999999E-13</c:v>
                </c:pt>
                <c:pt idx="16">
                  <c:v>2.1290999999999999E-12</c:v>
                </c:pt>
                <c:pt idx="17">
                  <c:v>6.6288000000000002E-12</c:v>
                </c:pt>
                <c:pt idx="18">
                  <c:v>1.9369000000000001E-11</c:v>
                </c:pt>
                <c:pt idx="19">
                  <c:v>5.3384000000000003E-11</c:v>
                </c:pt>
                <c:pt idx="20">
                  <c:v>1.8718000000000001E-9</c:v>
                </c:pt>
                <c:pt idx="21">
                  <c:v>3.4675999999999999E-8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3-DCC3-45FD-9794-5F85E67C14B3}"/>
            </c:ext>
          </c:extLst>
        </c:ser>
        <c:ser>
          <c:idx val="4"/>
          <c:order val="4"/>
          <c:tx>
            <c:strRef>
              <c:f>ALL!$E$8</c:f>
              <c:strCache>
                <c:ptCount val="1"/>
                <c:pt idx="0">
                  <c:v>Ar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ALL!$F$3:$AL$3</c:f>
              <c:numCache>
                <c:formatCode>General</c:formatCode>
                <c:ptCount val="33"/>
                <c:pt idx="0">
                  <c:v>298.2</c:v>
                </c:pt>
                <c:pt idx="1">
                  <c:v>331.5</c:v>
                </c:pt>
                <c:pt idx="2">
                  <c:v>364.9</c:v>
                </c:pt>
                <c:pt idx="3">
                  <c:v>398.3</c:v>
                </c:pt>
                <c:pt idx="4">
                  <c:v>431.7</c:v>
                </c:pt>
                <c:pt idx="5">
                  <c:v>465.1</c:v>
                </c:pt>
                <c:pt idx="6">
                  <c:v>498.5</c:v>
                </c:pt>
                <c:pt idx="7">
                  <c:v>531.79999999999995</c:v>
                </c:pt>
                <c:pt idx="8">
                  <c:v>565.20000000000005</c:v>
                </c:pt>
                <c:pt idx="9">
                  <c:v>598.6</c:v>
                </c:pt>
                <c:pt idx="10">
                  <c:v>632</c:v>
                </c:pt>
                <c:pt idx="11">
                  <c:v>665.4</c:v>
                </c:pt>
                <c:pt idx="12">
                  <c:v>698.8</c:v>
                </c:pt>
                <c:pt idx="13">
                  <c:v>832.3</c:v>
                </c:pt>
                <c:pt idx="14">
                  <c:v>965.8</c:v>
                </c:pt>
                <c:pt idx="15">
                  <c:v>1099</c:v>
                </c:pt>
                <c:pt idx="16">
                  <c:v>1133</c:v>
                </c:pt>
                <c:pt idx="17">
                  <c:v>1166</c:v>
                </c:pt>
                <c:pt idx="18">
                  <c:v>1200</c:v>
                </c:pt>
                <c:pt idx="19">
                  <c:v>1233</c:v>
                </c:pt>
                <c:pt idx="20">
                  <c:v>1366</c:v>
                </c:pt>
                <c:pt idx="21">
                  <c:v>1500</c:v>
                </c:pt>
              </c:numCache>
            </c:numRef>
          </c:xVal>
          <c:yVal>
            <c:numRef>
              <c:f>ALL!$F$8:$AL$8</c:f>
              <c:numCache>
                <c:formatCode>0.0E+00</c:formatCode>
                <c:ptCount val="33"/>
                <c:pt idx="0">
                  <c:v>0.2</c:v>
                </c:pt>
                <c:pt idx="1">
                  <c:v>0.2</c:v>
                </c:pt>
                <c:pt idx="2">
                  <c:v>0.2</c:v>
                </c:pt>
                <c:pt idx="3">
                  <c:v>0.2</c:v>
                </c:pt>
                <c:pt idx="4">
                  <c:v>0.2</c:v>
                </c:pt>
                <c:pt idx="5">
                  <c:v>0.2</c:v>
                </c:pt>
                <c:pt idx="6">
                  <c:v>0.2</c:v>
                </c:pt>
                <c:pt idx="7">
                  <c:v>0.2</c:v>
                </c:pt>
                <c:pt idx="8">
                  <c:v>0.2</c:v>
                </c:pt>
                <c:pt idx="9">
                  <c:v>0.2</c:v>
                </c:pt>
                <c:pt idx="10">
                  <c:v>0.2</c:v>
                </c:pt>
                <c:pt idx="11">
                  <c:v>0.2</c:v>
                </c:pt>
                <c:pt idx="12">
                  <c:v>0.2</c:v>
                </c:pt>
                <c:pt idx="13">
                  <c:v>0.2</c:v>
                </c:pt>
                <c:pt idx="14">
                  <c:v>0.2</c:v>
                </c:pt>
                <c:pt idx="15">
                  <c:v>0.2</c:v>
                </c:pt>
                <c:pt idx="16">
                  <c:v>0.2</c:v>
                </c:pt>
                <c:pt idx="17">
                  <c:v>0.2</c:v>
                </c:pt>
                <c:pt idx="18">
                  <c:v>0.2</c:v>
                </c:pt>
                <c:pt idx="19">
                  <c:v>0.2</c:v>
                </c:pt>
                <c:pt idx="20">
                  <c:v>0.2</c:v>
                </c:pt>
                <c:pt idx="21">
                  <c:v>0.2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DCC3-45FD-9794-5F85E67C14B3}"/>
            </c:ext>
          </c:extLst>
        </c:ser>
        <c:ser>
          <c:idx val="29"/>
          <c:order val="29"/>
          <c:tx>
            <c:v>temp</c:v>
          </c:tx>
          <c:spPr>
            <a:ln w="19050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dPt>
            <c:idx val="1"/>
            <c:marker>
              <c:symbol val="none"/>
            </c:marker>
            <c:bubble3D val="0"/>
            <c:spPr>
              <a:ln w="19050" cap="rnd">
                <a:solidFill>
                  <a:schemeClr val="tx1">
                    <a:lumMod val="95000"/>
                    <a:lumOff val="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3-F37E-4CC2-8909-AC16E9113193}"/>
              </c:ext>
            </c:extLst>
          </c:dPt>
          <c:xVal>
            <c:numRef>
              <c:f>ALL!$BA$3:$BA$4</c:f>
              <c:numCache>
                <c:formatCode>General</c:formatCode>
                <c:ptCount val="2"/>
                <c:pt idx="0">
                  <c:v>700</c:v>
                </c:pt>
                <c:pt idx="1">
                  <c:v>700</c:v>
                </c:pt>
              </c:numCache>
            </c:numRef>
          </c:xVal>
          <c:yVal>
            <c:numRef>
              <c:f>ALL!$BB$3:$BB$4</c:f>
              <c:numCache>
                <c:formatCode>0</c:formatCode>
                <c:ptCount val="2"/>
                <c:pt idx="0" formatCode="General">
                  <c:v>0</c:v>
                </c:pt>
                <c:pt idx="1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F37E-4CC2-8909-AC16E91131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1619416"/>
        <c:axId val="393215344"/>
        <c:extLst>
          <c:ext xmlns:c15="http://schemas.microsoft.com/office/drawing/2012/chart" uri="{02D57815-91ED-43cb-92C2-25804820EDAC}">
            <c15:filteredScatte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ALL!$E$4</c15:sqref>
                        </c15:formulaRef>
                      </c:ext>
                    </c:extLst>
                    <c:strCache>
                      <c:ptCount val="1"/>
                      <c:pt idx="0">
                        <c:v>*GeSe</c:v>
                      </c:pt>
                    </c:strCache>
                  </c:strRef>
                </c:tx>
                <c:spPr>
                  <a:ln w="19050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ALL!$F$3:$AL$3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298.2</c:v>
                      </c:pt>
                      <c:pt idx="1">
                        <c:v>331.5</c:v>
                      </c:pt>
                      <c:pt idx="2">
                        <c:v>364.9</c:v>
                      </c:pt>
                      <c:pt idx="3">
                        <c:v>398.3</c:v>
                      </c:pt>
                      <c:pt idx="4">
                        <c:v>431.7</c:v>
                      </c:pt>
                      <c:pt idx="5">
                        <c:v>465.1</c:v>
                      </c:pt>
                      <c:pt idx="6">
                        <c:v>498.5</c:v>
                      </c:pt>
                      <c:pt idx="7">
                        <c:v>531.79999999999995</c:v>
                      </c:pt>
                      <c:pt idx="8">
                        <c:v>565.20000000000005</c:v>
                      </c:pt>
                      <c:pt idx="9">
                        <c:v>598.6</c:v>
                      </c:pt>
                      <c:pt idx="10">
                        <c:v>632</c:v>
                      </c:pt>
                      <c:pt idx="11">
                        <c:v>665.4</c:v>
                      </c:pt>
                      <c:pt idx="12">
                        <c:v>698.8</c:v>
                      </c:pt>
                      <c:pt idx="13">
                        <c:v>832.3</c:v>
                      </c:pt>
                      <c:pt idx="14">
                        <c:v>965.8</c:v>
                      </c:pt>
                      <c:pt idx="15">
                        <c:v>1099</c:v>
                      </c:pt>
                      <c:pt idx="16">
                        <c:v>1133</c:v>
                      </c:pt>
                      <c:pt idx="17">
                        <c:v>1166</c:v>
                      </c:pt>
                      <c:pt idx="18">
                        <c:v>1200</c:v>
                      </c:pt>
                      <c:pt idx="19">
                        <c:v>1233</c:v>
                      </c:pt>
                      <c:pt idx="20">
                        <c:v>1366</c:v>
                      </c:pt>
                      <c:pt idx="21">
                        <c:v>1500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ALL!$F$4:$AL$4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3.4126E-9</c:v>
                      </c:pt>
                      <c:pt idx="1">
                        <c:v>6.8971000000000001E-9</c:v>
                      </c:pt>
                      <c:pt idx="2">
                        <c:v>1.2251999999999999E-8</c:v>
                      </c:pt>
                      <c:pt idx="3">
                        <c:v>9.8437000000000007E-9</c:v>
                      </c:pt>
                      <c:pt idx="4">
                        <c:v>7.0928999999999998E-9</c:v>
                      </c:pt>
                      <c:pt idx="5">
                        <c:v>1.4511000000000001E-11</c:v>
                      </c:pt>
                      <c:pt idx="6">
                        <c:v>7.7667000000000001E-23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0-DCC3-45FD-9794-5F85E67C14B3}"/>
                  </c:ext>
                </c:extLst>
              </c15:ser>
            </c15:filteredScatterSeries>
            <c15:filteredScatterSeries>
              <c15:ser>
                <c:idx val="1"/>
                <c:order val="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ALL!$E$5</c15:sqref>
                        </c15:formulaRef>
                      </c:ext>
                    </c:extLst>
                    <c:strCache>
                      <c:ptCount val="1"/>
                      <c:pt idx="0">
                        <c:v>*Se[m]</c:v>
                      </c:pt>
                    </c:strCache>
                  </c:strRef>
                </c:tx>
                <c:spPr>
                  <a:ln w="19050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298.2</c:v>
                      </c:pt>
                      <c:pt idx="1">
                        <c:v>331.5</c:v>
                      </c:pt>
                      <c:pt idx="2">
                        <c:v>364.9</c:v>
                      </c:pt>
                      <c:pt idx="3">
                        <c:v>398.3</c:v>
                      </c:pt>
                      <c:pt idx="4">
                        <c:v>431.7</c:v>
                      </c:pt>
                      <c:pt idx="5">
                        <c:v>465.1</c:v>
                      </c:pt>
                      <c:pt idx="6">
                        <c:v>498.5</c:v>
                      </c:pt>
                      <c:pt idx="7">
                        <c:v>531.79999999999995</c:v>
                      </c:pt>
                      <c:pt idx="8">
                        <c:v>565.20000000000005</c:v>
                      </c:pt>
                      <c:pt idx="9">
                        <c:v>598.6</c:v>
                      </c:pt>
                      <c:pt idx="10">
                        <c:v>632</c:v>
                      </c:pt>
                      <c:pt idx="11">
                        <c:v>665.4</c:v>
                      </c:pt>
                      <c:pt idx="12">
                        <c:v>698.8</c:v>
                      </c:pt>
                      <c:pt idx="13">
                        <c:v>832.3</c:v>
                      </c:pt>
                      <c:pt idx="14">
                        <c:v>965.8</c:v>
                      </c:pt>
                      <c:pt idx="15">
                        <c:v>1099</c:v>
                      </c:pt>
                      <c:pt idx="16">
                        <c:v>1133</c:v>
                      </c:pt>
                      <c:pt idx="17">
                        <c:v>1166</c:v>
                      </c:pt>
                      <c:pt idx="18">
                        <c:v>1200</c:v>
                      </c:pt>
                      <c:pt idx="19">
                        <c:v>1233</c:v>
                      </c:pt>
                      <c:pt idx="20">
                        <c:v>1366</c:v>
                      </c:pt>
                      <c:pt idx="21">
                        <c:v>1500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ALL!$F$5:$AL$5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7.6016999999999998E-31</c:v>
                      </c:pt>
                      <c:pt idx="1">
                        <c:v>2.9062E-21</c:v>
                      </c:pt>
                      <c:pt idx="2">
                        <c:v>1.2167E-17</c:v>
                      </c:pt>
                      <c:pt idx="3">
                        <c:v>3.46E-16</c:v>
                      </c:pt>
                      <c:pt idx="4">
                        <c:v>7.1997000000000001E-13</c:v>
                      </c:pt>
                      <c:pt idx="5">
                        <c:v>1.5125000000000001E-9</c:v>
                      </c:pt>
                      <c:pt idx="6">
                        <c:v>7.1831999999999998E-9</c:v>
                      </c:pt>
                      <c:pt idx="7">
                        <c:v>2.7564000000000001E-8</c:v>
                      </c:pt>
                      <c:pt idx="8">
                        <c:v>2.1766000000000001E-8</c:v>
                      </c:pt>
                      <c:pt idx="9">
                        <c:v>2.3666000000000002E-8</c:v>
                      </c:pt>
                      <c:pt idx="10">
                        <c:v>2.4103000000000001E-8</c:v>
                      </c:pt>
                      <c:pt idx="11">
                        <c:v>2.3997E-8</c:v>
                      </c:pt>
                      <c:pt idx="12">
                        <c:v>2.3738999999999998E-8</c:v>
                      </c:pt>
                      <c:pt idx="13">
                        <c:v>2.1979000000000001E-8</c:v>
                      </c:pt>
                      <c:pt idx="14">
                        <c:v>2.1196E-8</c:v>
                      </c:pt>
                      <c:pt idx="15">
                        <c:v>2.1174999999999999E-8</c:v>
                      </c:pt>
                      <c:pt idx="16">
                        <c:v>2.1165999999999999E-8</c:v>
                      </c:pt>
                      <c:pt idx="17">
                        <c:v>2.1155E-8</c:v>
                      </c:pt>
                      <c:pt idx="18">
                        <c:v>2.1212999999999999E-8</c:v>
                      </c:pt>
                      <c:pt idx="19">
                        <c:v>2.1276999999999999E-8</c:v>
                      </c:pt>
                      <c:pt idx="20">
                        <c:v>2.1562000000000001E-8</c:v>
                      </c:pt>
                      <c:pt idx="21">
                        <c:v>2.1891000000000001E-8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1-DCC3-45FD-9794-5F85E67C14B3}"/>
                  </c:ext>
                </c:extLst>
              </c15:ser>
            </c15:filteredScatterSeries>
            <c15:filteredScatterSeries>
              <c15:ser>
                <c:idx val="5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ALL!$E$9</c15:sqref>
                        </c15:formulaRef>
                      </c:ext>
                    </c:extLst>
                    <c:strCache>
                      <c:ptCount val="1"/>
                      <c:pt idx="0">
                        <c:v>(l)GeSe2</c:v>
                      </c:pt>
                    </c:strCache>
                  </c:strRef>
                </c:tx>
                <c:spPr>
                  <a:ln w="19050" cap="rnd">
                    <a:solidFill>
                      <a:schemeClr val="accent6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298.2</c:v>
                      </c:pt>
                      <c:pt idx="1">
                        <c:v>331.5</c:v>
                      </c:pt>
                      <c:pt idx="2">
                        <c:v>364.9</c:v>
                      </c:pt>
                      <c:pt idx="3">
                        <c:v>398.3</c:v>
                      </c:pt>
                      <c:pt idx="4">
                        <c:v>431.7</c:v>
                      </c:pt>
                      <c:pt idx="5">
                        <c:v>465.1</c:v>
                      </c:pt>
                      <c:pt idx="6">
                        <c:v>498.5</c:v>
                      </c:pt>
                      <c:pt idx="7">
                        <c:v>531.79999999999995</c:v>
                      </c:pt>
                      <c:pt idx="8">
                        <c:v>565.20000000000005</c:v>
                      </c:pt>
                      <c:pt idx="9">
                        <c:v>598.6</c:v>
                      </c:pt>
                      <c:pt idx="10">
                        <c:v>632</c:v>
                      </c:pt>
                      <c:pt idx="11">
                        <c:v>665.4</c:v>
                      </c:pt>
                      <c:pt idx="12">
                        <c:v>698.8</c:v>
                      </c:pt>
                      <c:pt idx="13">
                        <c:v>832.3</c:v>
                      </c:pt>
                      <c:pt idx="14">
                        <c:v>965.8</c:v>
                      </c:pt>
                      <c:pt idx="15">
                        <c:v>1099</c:v>
                      </c:pt>
                      <c:pt idx="16">
                        <c:v>1133</c:v>
                      </c:pt>
                      <c:pt idx="17">
                        <c:v>1166</c:v>
                      </c:pt>
                      <c:pt idx="18">
                        <c:v>1200</c:v>
                      </c:pt>
                      <c:pt idx="19">
                        <c:v>1233</c:v>
                      </c:pt>
                      <c:pt idx="20">
                        <c:v>1366</c:v>
                      </c:pt>
                      <c:pt idx="21">
                        <c:v>1500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ALL!$F$9:$AL$9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5.2450999999999998E-2</c:v>
                      </c:pt>
                      <c:pt idx="1">
                        <c:v>2.8126000000000002E-2</c:v>
                      </c:pt>
                      <c:pt idx="2">
                        <c:v>7.5303999999999996E-3</c:v>
                      </c:pt>
                      <c:pt idx="3">
                        <c:v>1.6239E-3</c:v>
                      </c:pt>
                      <c:pt idx="4">
                        <c:v>3.8434999999999999E-4</c:v>
                      </c:pt>
                      <c:pt idx="5">
                        <c:v>9.1833E-5</c:v>
                      </c:pt>
                      <c:pt idx="6">
                        <c:v>1.6246999999999999E-5</c:v>
                      </c:pt>
                      <c:pt idx="7">
                        <c:v>2.6618999999999999E-6</c:v>
                      </c:pt>
                      <c:pt idx="8">
                        <c:v>2.8435999999999999E-7</c:v>
                      </c:pt>
                      <c:pt idx="9">
                        <c:v>3.3676999999999998E-8</c:v>
                      </c:pt>
                      <c:pt idx="10">
                        <c:v>4.5736E-9</c:v>
                      </c:pt>
                      <c:pt idx="11">
                        <c:v>7.0760000000000002E-10</c:v>
                      </c:pt>
                      <c:pt idx="12">
                        <c:v>1.2301E-10</c:v>
                      </c:pt>
                      <c:pt idx="13">
                        <c:v>2.8091000000000001E-13</c:v>
                      </c:pt>
                      <c:pt idx="14">
                        <c:v>1.8204000000000002E-15</c:v>
                      </c:pt>
                      <c:pt idx="15">
                        <c:v>2.3338E-17</c:v>
                      </c:pt>
                      <c:pt idx="16">
                        <c:v>8.4999999999999995E-18</c:v>
                      </c:pt>
                      <c:pt idx="17">
                        <c:v>3.1781000000000001E-18</c:v>
                      </c:pt>
                      <c:pt idx="18">
                        <c:v>1.2172E-18</c:v>
                      </c:pt>
                      <c:pt idx="19">
                        <c:v>4.7653000000000002E-19</c:v>
                      </c:pt>
                      <c:pt idx="20">
                        <c:v>1.3479000000000001E-20</c:v>
                      </c:pt>
                      <c:pt idx="21">
                        <c:v>4.8049000000000002E-22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5-DCC3-45FD-9794-5F85E67C14B3}"/>
                  </c:ext>
                </c:extLst>
              </c15:ser>
            </c15:filteredScatterSeries>
            <c15:filteredScatterSeries>
              <c15:ser>
                <c:idx val="6"/>
                <c:order val="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ALL!$E$10</c15:sqref>
                        </c15:formulaRef>
                      </c:ext>
                    </c:extLst>
                    <c:strCache>
                      <c:ptCount val="1"/>
                      <c:pt idx="0">
                        <c:v>(l)GeSe</c:v>
                      </c:pt>
                    </c:strCache>
                  </c:strRef>
                </c:tx>
                <c:spPr>
                  <a:ln w="19050" cap="rnd">
                    <a:solidFill>
                      <a:srgbClr val="FF0000"/>
                    </a:solidFill>
                    <a:round/>
                  </a:ln>
                  <a:effectLst/>
                </c:spPr>
                <c:marker>
                  <c:symbol val="none"/>
                </c:marker>
                <c:dPt>
                  <c:idx val="15"/>
                  <c:marker>
                    <c:symbol val="none"/>
                  </c:marker>
                  <c:bubble3D val="0"/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06-DCC3-45FD-9794-5F85E67C14B3}"/>
                    </c:ext>
                  </c:extLst>
                </c:dPt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298.2</c:v>
                      </c:pt>
                      <c:pt idx="1">
                        <c:v>331.5</c:v>
                      </c:pt>
                      <c:pt idx="2">
                        <c:v>364.9</c:v>
                      </c:pt>
                      <c:pt idx="3">
                        <c:v>398.3</c:v>
                      </c:pt>
                      <c:pt idx="4">
                        <c:v>431.7</c:v>
                      </c:pt>
                      <c:pt idx="5">
                        <c:v>465.1</c:v>
                      </c:pt>
                      <c:pt idx="6">
                        <c:v>498.5</c:v>
                      </c:pt>
                      <c:pt idx="7">
                        <c:v>531.79999999999995</c:v>
                      </c:pt>
                      <c:pt idx="8">
                        <c:v>565.20000000000005</c:v>
                      </c:pt>
                      <c:pt idx="9">
                        <c:v>598.6</c:v>
                      </c:pt>
                      <c:pt idx="10">
                        <c:v>632</c:v>
                      </c:pt>
                      <c:pt idx="11">
                        <c:v>665.4</c:v>
                      </c:pt>
                      <c:pt idx="12">
                        <c:v>698.8</c:v>
                      </c:pt>
                      <c:pt idx="13">
                        <c:v>832.3</c:v>
                      </c:pt>
                      <c:pt idx="14">
                        <c:v>965.8</c:v>
                      </c:pt>
                      <c:pt idx="15">
                        <c:v>1099</c:v>
                      </c:pt>
                      <c:pt idx="16">
                        <c:v>1133</c:v>
                      </c:pt>
                      <c:pt idx="17">
                        <c:v>1166</c:v>
                      </c:pt>
                      <c:pt idx="18">
                        <c:v>1200</c:v>
                      </c:pt>
                      <c:pt idx="19">
                        <c:v>1233</c:v>
                      </c:pt>
                      <c:pt idx="20">
                        <c:v>1366</c:v>
                      </c:pt>
                      <c:pt idx="21">
                        <c:v>1500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ALL!$F$10:$AL$10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6.7547999999999997E-2</c:v>
                      </c:pt>
                      <c:pt idx="1">
                        <c:v>9.1858999999999996E-2</c:v>
                      </c:pt>
                      <c:pt idx="2">
                        <c:v>0.11228</c:v>
                      </c:pt>
                      <c:pt idx="3">
                        <c:v>0.11651</c:v>
                      </c:pt>
                      <c:pt idx="4">
                        <c:v>0.10771</c:v>
                      </c:pt>
                      <c:pt idx="5">
                        <c:v>7.7765000000000001E-2</c:v>
                      </c:pt>
                      <c:pt idx="6">
                        <c:v>3.7217E-2</c:v>
                      </c:pt>
                      <c:pt idx="7">
                        <c:v>1.4212000000000001E-2</c:v>
                      </c:pt>
                      <c:pt idx="8">
                        <c:v>4.1484E-3</c:v>
                      </c:pt>
                      <c:pt idx="9">
                        <c:v>1.2566999999999999E-3</c:v>
                      </c:pt>
                      <c:pt idx="10">
                        <c:v>4.1047000000000002E-4</c:v>
                      </c:pt>
                      <c:pt idx="11">
                        <c:v>1.4464999999999999E-4</c:v>
                      </c:pt>
                      <c:pt idx="12">
                        <c:v>5.4611999999999998E-5</c:v>
                      </c:pt>
                      <c:pt idx="13">
                        <c:v>1.9085999999999998E-6</c:v>
                      </c:pt>
                      <c:pt idx="14">
                        <c:v>1.2335E-7</c:v>
                      </c:pt>
                      <c:pt idx="15">
                        <c:v>1.1891E-8</c:v>
                      </c:pt>
                      <c:pt idx="16">
                        <c:v>6.9399E-9</c:v>
                      </c:pt>
                      <c:pt idx="17">
                        <c:v>4.1128000000000001E-9</c:v>
                      </c:pt>
                      <c:pt idx="18">
                        <c:v>2.4718000000000001E-9</c:v>
                      </c:pt>
                      <c:pt idx="19">
                        <c:v>1.5047E-9</c:v>
                      </c:pt>
                      <c:pt idx="20">
                        <c:v>2.3035999999999999E-10</c:v>
                      </c:pt>
                      <c:pt idx="21">
                        <c:v>4.0387000000000002E-11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DCC3-45FD-9794-5F85E67C14B3}"/>
                  </c:ext>
                </c:extLst>
              </c15:ser>
            </c15:filteredScatterSeries>
            <c15:filteredScatterSeries>
              <c15:ser>
                <c:idx val="7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ALL!$E$11</c15:sqref>
                        </c15:formulaRef>
                      </c:ext>
                    </c:extLst>
                    <c:strCache>
                      <c:ptCount val="1"/>
                      <c:pt idx="0">
                        <c:v>(l)Ga2Se3</c:v>
                      </c:pt>
                    </c:strCache>
                  </c:strRef>
                </c:tx>
                <c:spPr>
                  <a:ln w="19050" cap="rnd">
                    <a:solidFill>
                      <a:schemeClr val="accent2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298.2</c:v>
                      </c:pt>
                      <c:pt idx="1">
                        <c:v>331.5</c:v>
                      </c:pt>
                      <c:pt idx="2">
                        <c:v>364.9</c:v>
                      </c:pt>
                      <c:pt idx="3">
                        <c:v>398.3</c:v>
                      </c:pt>
                      <c:pt idx="4">
                        <c:v>431.7</c:v>
                      </c:pt>
                      <c:pt idx="5">
                        <c:v>465.1</c:v>
                      </c:pt>
                      <c:pt idx="6">
                        <c:v>498.5</c:v>
                      </c:pt>
                      <c:pt idx="7">
                        <c:v>531.79999999999995</c:v>
                      </c:pt>
                      <c:pt idx="8">
                        <c:v>565.20000000000005</c:v>
                      </c:pt>
                      <c:pt idx="9">
                        <c:v>598.6</c:v>
                      </c:pt>
                      <c:pt idx="10">
                        <c:v>632</c:v>
                      </c:pt>
                      <c:pt idx="11">
                        <c:v>665.4</c:v>
                      </c:pt>
                      <c:pt idx="12">
                        <c:v>698.8</c:v>
                      </c:pt>
                      <c:pt idx="13">
                        <c:v>832.3</c:v>
                      </c:pt>
                      <c:pt idx="14">
                        <c:v>965.8</c:v>
                      </c:pt>
                      <c:pt idx="15">
                        <c:v>1099</c:v>
                      </c:pt>
                      <c:pt idx="16">
                        <c:v>1133</c:v>
                      </c:pt>
                      <c:pt idx="17">
                        <c:v>1166</c:v>
                      </c:pt>
                      <c:pt idx="18">
                        <c:v>1200</c:v>
                      </c:pt>
                      <c:pt idx="19">
                        <c:v>1233</c:v>
                      </c:pt>
                      <c:pt idx="20">
                        <c:v>1366</c:v>
                      </c:pt>
                      <c:pt idx="21">
                        <c:v>1500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ALL!$F$11:$AL$11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3.8941000000000003E-2</c:v>
                      </c:pt>
                      <c:pt idx="1">
                        <c:v>4.3164000000000001E-2</c:v>
                      </c:pt>
                      <c:pt idx="2">
                        <c:v>4.6331999999999998E-2</c:v>
                      </c:pt>
                      <c:pt idx="3">
                        <c:v>4.7402E-2</c:v>
                      </c:pt>
                      <c:pt idx="4">
                        <c:v>4.8917000000000002E-2</c:v>
                      </c:pt>
                      <c:pt idx="5">
                        <c:v>5.2613E-2</c:v>
                      </c:pt>
                      <c:pt idx="6">
                        <c:v>5.6087999999999999E-2</c:v>
                      </c:pt>
                      <c:pt idx="7">
                        <c:v>1.0441999999999999E-3</c:v>
                      </c:pt>
                      <c:pt idx="8">
                        <c:v>1.0938E-7</c:v>
                      </c:pt>
                      <c:pt idx="9">
                        <c:v>2.1668999999999999E-11</c:v>
                      </c:pt>
                      <c:pt idx="10">
                        <c:v>7.6620999999999996E-15</c:v>
                      </c:pt>
                      <c:pt idx="11">
                        <c:v>4.5167E-18</c:v>
                      </c:pt>
                      <c:pt idx="12">
                        <c:v>4.1988000000000002E-21</c:v>
                      </c:pt>
                      <c:pt idx="13">
                        <c:v>1.3557999999999999E-31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DCC3-45FD-9794-5F85E67C14B3}"/>
                  </c:ext>
                </c:extLst>
              </c15:ser>
            </c15:filteredScatterSeries>
            <c15:filteredScatterSeries>
              <c15:ser>
                <c:idx val="8"/>
                <c:order val="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ALL!$E$12</c15:sqref>
                        </c15:formulaRef>
                      </c:ext>
                    </c:extLst>
                    <c:strCache>
                      <c:ptCount val="1"/>
                      <c:pt idx="0">
                        <c:v>(l)Ge</c:v>
                      </c:pt>
                    </c:strCache>
                  </c:strRef>
                </c:tx>
                <c:spPr>
                  <a:ln w="19050" cap="rnd">
                    <a:solidFill>
                      <a:schemeClr val="accent6">
                        <a:lumMod val="75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298.2</c:v>
                      </c:pt>
                      <c:pt idx="1">
                        <c:v>331.5</c:v>
                      </c:pt>
                      <c:pt idx="2">
                        <c:v>364.9</c:v>
                      </c:pt>
                      <c:pt idx="3">
                        <c:v>398.3</c:v>
                      </c:pt>
                      <c:pt idx="4">
                        <c:v>431.7</c:v>
                      </c:pt>
                      <c:pt idx="5">
                        <c:v>465.1</c:v>
                      </c:pt>
                      <c:pt idx="6">
                        <c:v>498.5</c:v>
                      </c:pt>
                      <c:pt idx="7">
                        <c:v>531.79999999999995</c:v>
                      </c:pt>
                      <c:pt idx="8">
                        <c:v>565.20000000000005</c:v>
                      </c:pt>
                      <c:pt idx="9">
                        <c:v>598.6</c:v>
                      </c:pt>
                      <c:pt idx="10">
                        <c:v>632</c:v>
                      </c:pt>
                      <c:pt idx="11">
                        <c:v>665.4</c:v>
                      </c:pt>
                      <c:pt idx="12">
                        <c:v>698.8</c:v>
                      </c:pt>
                      <c:pt idx="13">
                        <c:v>832.3</c:v>
                      </c:pt>
                      <c:pt idx="14">
                        <c:v>965.8</c:v>
                      </c:pt>
                      <c:pt idx="15">
                        <c:v>1099</c:v>
                      </c:pt>
                      <c:pt idx="16">
                        <c:v>1133</c:v>
                      </c:pt>
                      <c:pt idx="17">
                        <c:v>1166</c:v>
                      </c:pt>
                      <c:pt idx="18">
                        <c:v>1200</c:v>
                      </c:pt>
                      <c:pt idx="19">
                        <c:v>1233</c:v>
                      </c:pt>
                      <c:pt idx="20">
                        <c:v>1366</c:v>
                      </c:pt>
                      <c:pt idx="21">
                        <c:v>1500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ALL!$F$12:$AL$12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7.8764000000000003E-7</c:v>
                      </c:pt>
                      <c:pt idx="1">
                        <c:v>7.4715999999999998E-6</c:v>
                      </c:pt>
                      <c:pt idx="2">
                        <c:v>9.4738E-5</c:v>
                      </c:pt>
                      <c:pt idx="3">
                        <c:v>9.3227000000000002E-4</c:v>
                      </c:pt>
                      <c:pt idx="4">
                        <c:v>5.9503999999999998E-3</c:v>
                      </c:pt>
                      <c:pt idx="5">
                        <c:v>2.1070999999999999E-2</c:v>
                      </c:pt>
                      <c:pt idx="6">
                        <c:v>4.1383000000000003E-2</c:v>
                      </c:pt>
                      <c:pt idx="7">
                        <c:v>5.2893000000000003E-2</c:v>
                      </c:pt>
                      <c:pt idx="8">
                        <c:v>5.7925999999999998E-2</c:v>
                      </c:pt>
                      <c:pt idx="9">
                        <c:v>5.9372000000000001E-2</c:v>
                      </c:pt>
                      <c:pt idx="10">
                        <c:v>5.9795000000000001E-2</c:v>
                      </c:pt>
                      <c:pt idx="11">
                        <c:v>5.9928000000000002E-2</c:v>
                      </c:pt>
                      <c:pt idx="12">
                        <c:v>5.9972999999999999E-2</c:v>
                      </c:pt>
                      <c:pt idx="13">
                        <c:v>5.9998999999999997E-2</c:v>
                      </c:pt>
                      <c:pt idx="14">
                        <c:v>0.06</c:v>
                      </c:pt>
                      <c:pt idx="15">
                        <c:v>0.06</c:v>
                      </c:pt>
                      <c:pt idx="16">
                        <c:v>0.06</c:v>
                      </c:pt>
                      <c:pt idx="17">
                        <c:v>0.06</c:v>
                      </c:pt>
                      <c:pt idx="18">
                        <c:v>0.06</c:v>
                      </c:pt>
                      <c:pt idx="19">
                        <c:v>0.06</c:v>
                      </c:pt>
                      <c:pt idx="20">
                        <c:v>0.06</c:v>
                      </c:pt>
                      <c:pt idx="21">
                        <c:v>0.06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DCC3-45FD-9794-5F85E67C14B3}"/>
                  </c:ext>
                </c:extLst>
              </c15:ser>
            </c15:filteredScatterSeries>
            <c15:filteredScatterSeries>
              <c15:ser>
                <c:idx val="9"/>
                <c:order val="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ALL!$E$13</c15:sqref>
                        </c15:formulaRef>
                      </c:ext>
                    </c:extLst>
                    <c:strCache>
                      <c:ptCount val="1"/>
                      <c:pt idx="0">
                        <c:v>(l)Ga</c:v>
                      </c:pt>
                    </c:strCache>
                  </c:strRef>
                </c:tx>
                <c:spPr>
                  <a:ln w="19050" cap="rnd">
                    <a:solidFill>
                      <a:srgbClr val="0070C0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298.2</c:v>
                      </c:pt>
                      <c:pt idx="1">
                        <c:v>331.5</c:v>
                      </c:pt>
                      <c:pt idx="2">
                        <c:v>364.9</c:v>
                      </c:pt>
                      <c:pt idx="3">
                        <c:v>398.3</c:v>
                      </c:pt>
                      <c:pt idx="4">
                        <c:v>431.7</c:v>
                      </c:pt>
                      <c:pt idx="5">
                        <c:v>465.1</c:v>
                      </c:pt>
                      <c:pt idx="6">
                        <c:v>498.5</c:v>
                      </c:pt>
                      <c:pt idx="7">
                        <c:v>531.79999999999995</c:v>
                      </c:pt>
                      <c:pt idx="8">
                        <c:v>565.20000000000005</c:v>
                      </c:pt>
                      <c:pt idx="9">
                        <c:v>598.6</c:v>
                      </c:pt>
                      <c:pt idx="10">
                        <c:v>632</c:v>
                      </c:pt>
                      <c:pt idx="11">
                        <c:v>665.4</c:v>
                      </c:pt>
                      <c:pt idx="12">
                        <c:v>698.8</c:v>
                      </c:pt>
                      <c:pt idx="13">
                        <c:v>832.3</c:v>
                      </c:pt>
                      <c:pt idx="14">
                        <c:v>965.8</c:v>
                      </c:pt>
                      <c:pt idx="15">
                        <c:v>1099</c:v>
                      </c:pt>
                      <c:pt idx="16">
                        <c:v>1133</c:v>
                      </c:pt>
                      <c:pt idx="17">
                        <c:v>1166</c:v>
                      </c:pt>
                      <c:pt idx="18">
                        <c:v>1200</c:v>
                      </c:pt>
                      <c:pt idx="19">
                        <c:v>1233</c:v>
                      </c:pt>
                      <c:pt idx="20">
                        <c:v>1366</c:v>
                      </c:pt>
                      <c:pt idx="21">
                        <c:v>1500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ALL!$F$13:$AL$13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6.9119E-21</c:v>
                      </c:pt>
                      <c:pt idx="1">
                        <c:v>3.1046E-17</c:v>
                      </c:pt>
                      <c:pt idx="2">
                        <c:v>1.1613000000000001E-13</c:v>
                      </c:pt>
                      <c:pt idx="3">
                        <c:v>2.0468999999999999E-10</c:v>
                      </c:pt>
                      <c:pt idx="4">
                        <c:v>1.4782000000000001E-7</c:v>
                      </c:pt>
                      <c:pt idx="5">
                        <c:v>4.8347000000000003E-5</c:v>
                      </c:pt>
                      <c:pt idx="6">
                        <c:v>9.5520999999999991E-3</c:v>
                      </c:pt>
                      <c:pt idx="7">
                        <c:v>0.19738</c:v>
                      </c:pt>
                      <c:pt idx="8">
                        <c:v>0.2</c:v>
                      </c:pt>
                      <c:pt idx="9">
                        <c:v>0.2</c:v>
                      </c:pt>
                      <c:pt idx="10">
                        <c:v>0.2</c:v>
                      </c:pt>
                      <c:pt idx="11">
                        <c:v>0.2</c:v>
                      </c:pt>
                      <c:pt idx="12">
                        <c:v>0.2</c:v>
                      </c:pt>
                      <c:pt idx="13">
                        <c:v>0.2</c:v>
                      </c:pt>
                      <c:pt idx="14">
                        <c:v>0.2</c:v>
                      </c:pt>
                      <c:pt idx="15">
                        <c:v>0.2</c:v>
                      </c:pt>
                      <c:pt idx="16">
                        <c:v>0.2</c:v>
                      </c:pt>
                      <c:pt idx="17">
                        <c:v>0.2</c:v>
                      </c:pt>
                      <c:pt idx="18">
                        <c:v>0.2</c:v>
                      </c:pt>
                      <c:pt idx="19">
                        <c:v>0.2</c:v>
                      </c:pt>
                      <c:pt idx="20">
                        <c:v>0.2</c:v>
                      </c:pt>
                      <c:pt idx="21">
                        <c:v>0.2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A-DCC3-45FD-9794-5F85E67C14B3}"/>
                  </c:ext>
                </c:extLst>
              </c15:ser>
            </c15:filteredScatterSeries>
            <c15:filteredScatterSeries>
              <c15:ser>
                <c:idx val="10"/>
                <c:order val="1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ALL!$E$14</c15:sqref>
                        </c15:formulaRef>
                      </c:ext>
                    </c:extLst>
                    <c:strCache>
                      <c:ptCount val="1"/>
                      <c:pt idx="0">
                        <c:v>(l)Se</c:v>
                      </c:pt>
                    </c:strCache>
                  </c:strRef>
                </c:tx>
                <c:spPr>
                  <a:ln w="19050" cap="rnd">
                    <a:solidFill>
                      <a:schemeClr val="accent5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298.2</c:v>
                      </c:pt>
                      <c:pt idx="1">
                        <c:v>331.5</c:v>
                      </c:pt>
                      <c:pt idx="2">
                        <c:v>364.9</c:v>
                      </c:pt>
                      <c:pt idx="3">
                        <c:v>398.3</c:v>
                      </c:pt>
                      <c:pt idx="4">
                        <c:v>431.7</c:v>
                      </c:pt>
                      <c:pt idx="5">
                        <c:v>465.1</c:v>
                      </c:pt>
                      <c:pt idx="6">
                        <c:v>498.5</c:v>
                      </c:pt>
                      <c:pt idx="7">
                        <c:v>531.79999999999995</c:v>
                      </c:pt>
                      <c:pt idx="8">
                        <c:v>565.20000000000005</c:v>
                      </c:pt>
                      <c:pt idx="9">
                        <c:v>598.6</c:v>
                      </c:pt>
                      <c:pt idx="10">
                        <c:v>632</c:v>
                      </c:pt>
                      <c:pt idx="11">
                        <c:v>665.4</c:v>
                      </c:pt>
                      <c:pt idx="12">
                        <c:v>698.8</c:v>
                      </c:pt>
                      <c:pt idx="13">
                        <c:v>832.3</c:v>
                      </c:pt>
                      <c:pt idx="14">
                        <c:v>965.8</c:v>
                      </c:pt>
                      <c:pt idx="15">
                        <c:v>1099</c:v>
                      </c:pt>
                      <c:pt idx="16">
                        <c:v>1133</c:v>
                      </c:pt>
                      <c:pt idx="17">
                        <c:v>1166</c:v>
                      </c:pt>
                      <c:pt idx="18">
                        <c:v>1200</c:v>
                      </c:pt>
                      <c:pt idx="19">
                        <c:v>1233</c:v>
                      </c:pt>
                      <c:pt idx="20">
                        <c:v>1366</c:v>
                      </c:pt>
                      <c:pt idx="21">
                        <c:v>1500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ALL!$F$14:$AL$14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6.5137E-9</c:v>
                      </c:pt>
                      <c:pt idx="1">
                        <c:v>1.8022999999999999E-8</c:v>
                      </c:pt>
                      <c:pt idx="2">
                        <c:v>1.9216000000000001E-8</c:v>
                      </c:pt>
                      <c:pt idx="3">
                        <c:v>1.4127999999999999E-8</c:v>
                      </c:pt>
                      <c:pt idx="4">
                        <c:v>1.0792E-8</c:v>
                      </c:pt>
                      <c:pt idx="5">
                        <c:v>9.9617999999999992E-9</c:v>
                      </c:pt>
                      <c:pt idx="6">
                        <c:v>1.0096E-8</c:v>
                      </c:pt>
                      <c:pt idx="7">
                        <c:v>2.1419000000000001E-8</c:v>
                      </c:pt>
                      <c:pt idx="8">
                        <c:v>1.5926E-8</c:v>
                      </c:pt>
                      <c:pt idx="9">
                        <c:v>1.1574E-8</c:v>
                      </c:pt>
                      <c:pt idx="10">
                        <c:v>8.3898000000000001E-9</c:v>
                      </c:pt>
                      <c:pt idx="11">
                        <c:v>6.0866000000000001E-9</c:v>
                      </c:pt>
                      <c:pt idx="12">
                        <c:v>4.4243000000000001E-9</c:v>
                      </c:pt>
                      <c:pt idx="13">
                        <c:v>1.2651999999999999E-9</c:v>
                      </c:pt>
                      <c:pt idx="14">
                        <c:v>3.7555000000000001E-10</c:v>
                      </c:pt>
                      <c:pt idx="15">
                        <c:v>1.1495E-10</c:v>
                      </c:pt>
                      <c:pt idx="16">
                        <c:v>8.5818999999999999E-11</c:v>
                      </c:pt>
                      <c:pt idx="17">
                        <c:v>6.4141000000000006E-11</c:v>
                      </c:pt>
                      <c:pt idx="18">
                        <c:v>4.7985000000000003E-11</c:v>
                      </c:pt>
                      <c:pt idx="19">
                        <c:v>3.5928000000000001E-11</c:v>
                      </c:pt>
                      <c:pt idx="20">
                        <c:v>1.135E-11</c:v>
                      </c:pt>
                      <c:pt idx="21">
                        <c:v>3.5938999999999999E-12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C-DCC3-45FD-9794-5F85E67C14B3}"/>
                  </c:ext>
                </c:extLst>
              </c15:ser>
            </c15:filteredScatterSeries>
            <c15:filteredScatterSeries>
              <c15:ser>
                <c:idx val="11"/>
                <c:order val="1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ALL!$E$15</c15:sqref>
                        </c15:formulaRef>
                      </c:ext>
                    </c:extLst>
                    <c:strCache>
                      <c:ptCount val="1"/>
                      <c:pt idx="0">
                        <c:v>(l)Se[a]</c:v>
                      </c:pt>
                    </c:strCache>
                  </c:strRef>
                </c:tx>
                <c:spPr>
                  <a:ln w="19050" cap="rnd">
                    <a:solidFill>
                      <a:schemeClr val="accent6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298.2</c:v>
                      </c:pt>
                      <c:pt idx="1">
                        <c:v>331.5</c:v>
                      </c:pt>
                      <c:pt idx="2">
                        <c:v>364.9</c:v>
                      </c:pt>
                      <c:pt idx="3">
                        <c:v>398.3</c:v>
                      </c:pt>
                      <c:pt idx="4">
                        <c:v>431.7</c:v>
                      </c:pt>
                      <c:pt idx="5">
                        <c:v>465.1</c:v>
                      </c:pt>
                      <c:pt idx="6">
                        <c:v>498.5</c:v>
                      </c:pt>
                      <c:pt idx="7">
                        <c:v>531.79999999999995</c:v>
                      </c:pt>
                      <c:pt idx="8">
                        <c:v>565.20000000000005</c:v>
                      </c:pt>
                      <c:pt idx="9">
                        <c:v>598.6</c:v>
                      </c:pt>
                      <c:pt idx="10">
                        <c:v>632</c:v>
                      </c:pt>
                      <c:pt idx="11">
                        <c:v>665.4</c:v>
                      </c:pt>
                      <c:pt idx="12">
                        <c:v>698.8</c:v>
                      </c:pt>
                      <c:pt idx="13">
                        <c:v>832.3</c:v>
                      </c:pt>
                      <c:pt idx="14">
                        <c:v>965.8</c:v>
                      </c:pt>
                      <c:pt idx="15">
                        <c:v>1099</c:v>
                      </c:pt>
                      <c:pt idx="16">
                        <c:v>1133</c:v>
                      </c:pt>
                      <c:pt idx="17">
                        <c:v>1166</c:v>
                      </c:pt>
                      <c:pt idx="18">
                        <c:v>1200</c:v>
                      </c:pt>
                      <c:pt idx="19">
                        <c:v>1233</c:v>
                      </c:pt>
                      <c:pt idx="20">
                        <c:v>1366</c:v>
                      </c:pt>
                      <c:pt idx="21">
                        <c:v>1500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ALL!$F$15:$AL$15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1.8050999999999999E-9</c:v>
                      </c:pt>
                      <c:pt idx="1">
                        <c:v>6.1321000000000004E-9</c:v>
                      </c:pt>
                      <c:pt idx="2">
                        <c:v>7.7454999999999998E-9</c:v>
                      </c:pt>
                      <c:pt idx="3">
                        <c:v>6.5640999999999997E-9</c:v>
                      </c:pt>
                      <c:pt idx="4">
                        <c:v>5.6573000000000003E-9</c:v>
                      </c:pt>
                      <c:pt idx="5">
                        <c:v>5.7921000000000003E-9</c:v>
                      </c:pt>
                      <c:pt idx="6">
                        <c:v>6.3408999999999999E-9</c:v>
                      </c:pt>
                      <c:pt idx="7">
                        <c:v>1.3219000000000001E-8</c:v>
                      </c:pt>
                      <c:pt idx="8">
                        <c:v>9.6430000000000007E-9</c:v>
                      </c:pt>
                      <c:pt idx="9">
                        <c:v>6.8697E-9</c:v>
                      </c:pt>
                      <c:pt idx="10">
                        <c:v>4.8790000000000002E-9</c:v>
                      </c:pt>
                      <c:pt idx="11">
                        <c:v>3.4675999999999999E-9</c:v>
                      </c:pt>
                      <c:pt idx="12">
                        <c:v>2.4694000000000002E-9</c:v>
                      </c:pt>
                      <c:pt idx="13">
                        <c:v>6.5206000000000002E-10</c:v>
                      </c:pt>
                      <c:pt idx="14">
                        <c:v>1.7954999999999999E-10</c:v>
                      </c:pt>
                      <c:pt idx="15">
                        <c:v>5.1136000000000002E-11</c:v>
                      </c:pt>
                      <c:pt idx="16">
                        <c:v>3.7508999999999999E-11</c:v>
                      </c:pt>
                      <c:pt idx="17">
                        <c:v>2.7548999999999999E-11</c:v>
                      </c:pt>
                      <c:pt idx="18">
                        <c:v>2.0257999999999999E-11</c:v>
                      </c:pt>
                      <c:pt idx="19">
                        <c:v>1.4910999999999999E-11</c:v>
                      </c:pt>
                      <c:pt idx="20">
                        <c:v>4.4090000000000003E-12</c:v>
                      </c:pt>
                      <c:pt idx="21">
                        <c:v>1.311E-12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D-DCC3-45FD-9794-5F85E67C14B3}"/>
                  </c:ext>
                </c:extLst>
              </c15:ser>
            </c15:filteredScatterSeries>
            <c15:filteredScatterSeries>
              <c15:ser>
                <c:idx val="12"/>
                <c:order val="1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ALL!$E$16</c15:sqref>
                        </c15:formulaRef>
                      </c:ext>
                    </c:extLst>
                    <c:strCache>
                      <c:ptCount val="1"/>
                      <c:pt idx="0">
                        <c:v>(l)Se[m]</c:v>
                      </c:pt>
                    </c:strCache>
                  </c:strRef>
                </c:tx>
                <c:spPr>
                  <a:ln w="19050" cap="rnd">
                    <a:solidFill>
                      <a:srgbClr val="FF0000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298.2</c:v>
                      </c:pt>
                      <c:pt idx="1">
                        <c:v>331.5</c:v>
                      </c:pt>
                      <c:pt idx="2">
                        <c:v>364.9</c:v>
                      </c:pt>
                      <c:pt idx="3">
                        <c:v>398.3</c:v>
                      </c:pt>
                      <c:pt idx="4">
                        <c:v>431.7</c:v>
                      </c:pt>
                      <c:pt idx="5">
                        <c:v>465.1</c:v>
                      </c:pt>
                      <c:pt idx="6">
                        <c:v>498.5</c:v>
                      </c:pt>
                      <c:pt idx="7">
                        <c:v>531.79999999999995</c:v>
                      </c:pt>
                      <c:pt idx="8">
                        <c:v>565.20000000000005</c:v>
                      </c:pt>
                      <c:pt idx="9">
                        <c:v>598.6</c:v>
                      </c:pt>
                      <c:pt idx="10">
                        <c:v>632</c:v>
                      </c:pt>
                      <c:pt idx="11">
                        <c:v>665.4</c:v>
                      </c:pt>
                      <c:pt idx="12">
                        <c:v>698.8</c:v>
                      </c:pt>
                      <c:pt idx="13">
                        <c:v>832.3</c:v>
                      </c:pt>
                      <c:pt idx="14">
                        <c:v>965.8</c:v>
                      </c:pt>
                      <c:pt idx="15">
                        <c:v>1099</c:v>
                      </c:pt>
                      <c:pt idx="16">
                        <c:v>1133</c:v>
                      </c:pt>
                      <c:pt idx="17">
                        <c:v>1166</c:v>
                      </c:pt>
                      <c:pt idx="18">
                        <c:v>1200</c:v>
                      </c:pt>
                      <c:pt idx="19">
                        <c:v>1233</c:v>
                      </c:pt>
                      <c:pt idx="20">
                        <c:v>1366</c:v>
                      </c:pt>
                      <c:pt idx="21">
                        <c:v>1500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ALL!$F$16:$AL$16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7.5507999999999999E-3</c:v>
                      </c:pt>
                      <c:pt idx="1">
                        <c:v>3.1889000000000001E-2</c:v>
                      </c:pt>
                      <c:pt idx="2">
                        <c:v>5.2658999999999997E-2</c:v>
                      </c:pt>
                      <c:pt idx="3">
                        <c:v>6.0241000000000003E-2</c:v>
                      </c:pt>
                      <c:pt idx="4">
                        <c:v>7.1516999999999997E-2</c:v>
                      </c:pt>
                      <c:pt idx="5">
                        <c:v>0.10212</c:v>
                      </c:pt>
                      <c:pt idx="6">
                        <c:v>0.15708</c:v>
                      </c:pt>
                      <c:pt idx="7">
                        <c:v>0.46184999999999998</c:v>
                      </c:pt>
                      <c:pt idx="8">
                        <c:v>0.47585</c:v>
                      </c:pt>
                      <c:pt idx="9">
                        <c:v>0.47874</c:v>
                      </c:pt>
                      <c:pt idx="10">
                        <c:v>0.47959000000000002</c:v>
                      </c:pt>
                      <c:pt idx="11">
                        <c:v>0.47986000000000001</c:v>
                      </c:pt>
                      <c:pt idx="12">
                        <c:v>0.47994999999999999</c:v>
                      </c:pt>
                      <c:pt idx="13">
                        <c:v>0.48</c:v>
                      </c:pt>
                      <c:pt idx="14">
                        <c:v>0.48</c:v>
                      </c:pt>
                      <c:pt idx="15">
                        <c:v>0.48</c:v>
                      </c:pt>
                      <c:pt idx="16">
                        <c:v>0.48</c:v>
                      </c:pt>
                      <c:pt idx="17">
                        <c:v>0.48</c:v>
                      </c:pt>
                      <c:pt idx="18">
                        <c:v>0.48</c:v>
                      </c:pt>
                      <c:pt idx="19">
                        <c:v>0.48</c:v>
                      </c:pt>
                      <c:pt idx="20">
                        <c:v>0.48</c:v>
                      </c:pt>
                      <c:pt idx="21">
                        <c:v>0.48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E-DCC3-45FD-9794-5F85E67C14B3}"/>
                  </c:ext>
                </c:extLst>
              </c15:ser>
            </c15:filteredScatterSeries>
            <c15:filteredScatterSeries>
              <c15:ser>
                <c:idx val="13"/>
                <c:order val="1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ALL!$E$17</c15:sqref>
                        </c15:formulaRef>
                      </c:ext>
                    </c:extLst>
                    <c:strCache>
                      <c:ptCount val="1"/>
                      <c:pt idx="0">
                        <c:v>(l)Se[r]</c:v>
                      </c:pt>
                    </c:strCache>
                  </c:strRef>
                </c:tx>
                <c:spPr>
                  <a:ln w="19050" cap="rnd">
                    <a:solidFill>
                      <a:schemeClr val="accent2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298.2</c:v>
                      </c:pt>
                      <c:pt idx="1">
                        <c:v>331.5</c:v>
                      </c:pt>
                      <c:pt idx="2">
                        <c:v>364.9</c:v>
                      </c:pt>
                      <c:pt idx="3">
                        <c:v>398.3</c:v>
                      </c:pt>
                      <c:pt idx="4">
                        <c:v>431.7</c:v>
                      </c:pt>
                      <c:pt idx="5">
                        <c:v>465.1</c:v>
                      </c:pt>
                      <c:pt idx="6">
                        <c:v>498.5</c:v>
                      </c:pt>
                      <c:pt idx="7">
                        <c:v>531.79999999999995</c:v>
                      </c:pt>
                      <c:pt idx="8">
                        <c:v>565.20000000000005</c:v>
                      </c:pt>
                      <c:pt idx="9">
                        <c:v>598.6</c:v>
                      </c:pt>
                      <c:pt idx="10">
                        <c:v>632</c:v>
                      </c:pt>
                      <c:pt idx="11">
                        <c:v>665.4</c:v>
                      </c:pt>
                      <c:pt idx="12">
                        <c:v>698.8</c:v>
                      </c:pt>
                      <c:pt idx="13">
                        <c:v>832.3</c:v>
                      </c:pt>
                      <c:pt idx="14">
                        <c:v>965.8</c:v>
                      </c:pt>
                      <c:pt idx="15">
                        <c:v>1099</c:v>
                      </c:pt>
                      <c:pt idx="16">
                        <c:v>1133</c:v>
                      </c:pt>
                      <c:pt idx="17">
                        <c:v>1166</c:v>
                      </c:pt>
                      <c:pt idx="18">
                        <c:v>1200</c:v>
                      </c:pt>
                      <c:pt idx="19">
                        <c:v>1233</c:v>
                      </c:pt>
                      <c:pt idx="20">
                        <c:v>1366</c:v>
                      </c:pt>
                      <c:pt idx="21">
                        <c:v>1500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ALL!$F$17:$AL$17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3.0203999999999999E-11</c:v>
                      </c:pt>
                      <c:pt idx="1">
                        <c:v>1.6382999999999999E-10</c:v>
                      </c:pt>
                      <c:pt idx="2">
                        <c:v>3.0786000000000001E-10</c:v>
                      </c:pt>
                      <c:pt idx="3">
                        <c:v>3.6768000000000002E-10</c:v>
                      </c:pt>
                      <c:pt idx="4">
                        <c:v>4.2795999999999999E-10</c:v>
                      </c:pt>
                      <c:pt idx="5">
                        <c:v>5.7186000000000003E-10</c:v>
                      </c:pt>
                      <c:pt idx="6">
                        <c:v>7.9461000000000001E-10</c:v>
                      </c:pt>
                      <c:pt idx="7">
                        <c:v>2.0544999999999999E-9</c:v>
                      </c:pt>
                      <c:pt idx="8">
                        <c:v>1.8229E-9</c:v>
                      </c:pt>
                      <c:pt idx="9">
                        <c:v>1.5537999999999999E-9</c:v>
                      </c:pt>
                      <c:pt idx="10">
                        <c:v>1.3017E-9</c:v>
                      </c:pt>
                      <c:pt idx="11">
                        <c:v>1.0779E-9</c:v>
                      </c:pt>
                      <c:pt idx="12">
                        <c:v>8.8486999999999996E-10</c:v>
                      </c:pt>
                      <c:pt idx="13">
                        <c:v>3.7916999999999999E-10</c:v>
                      </c:pt>
                      <c:pt idx="14">
                        <c:v>1.5362999999999999E-10</c:v>
                      </c:pt>
                      <c:pt idx="15">
                        <c:v>6.0235999999999995E-11</c:v>
                      </c:pt>
                      <c:pt idx="16">
                        <c:v>4.7475999999999998E-11</c:v>
                      </c:pt>
                      <c:pt idx="17">
                        <c:v>3.7364999999999998E-11</c:v>
                      </c:pt>
                      <c:pt idx="18">
                        <c:v>2.9366999999999998E-11</c:v>
                      </c:pt>
                      <c:pt idx="19">
                        <c:v>2.3048E-11</c:v>
                      </c:pt>
                      <c:pt idx="20">
                        <c:v>8.6270000000000003E-12</c:v>
                      </c:pt>
                      <c:pt idx="21">
                        <c:v>3.1578000000000001E-12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B-DCC3-45FD-9794-5F85E67C14B3}"/>
                  </c:ext>
                </c:extLst>
              </c15:ser>
            </c15:filteredScatterSeries>
            <c15:filteredScatterSeries>
              <c15:ser>
                <c:idx val="14"/>
                <c:order val="1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ALL!$E$18</c15:sqref>
                        </c15:formulaRef>
                      </c:ext>
                    </c:extLst>
                    <c:strCache>
                      <c:ptCount val="1"/>
                      <c:pt idx="0">
                        <c:v>(l)Ge[c]</c:v>
                      </c:pt>
                    </c:strCache>
                  </c:strRef>
                </c:tx>
                <c:spPr>
                  <a:ln w="19050" cap="rnd">
                    <a:solidFill>
                      <a:schemeClr val="accent3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298.2</c:v>
                      </c:pt>
                      <c:pt idx="1">
                        <c:v>331.5</c:v>
                      </c:pt>
                      <c:pt idx="2">
                        <c:v>364.9</c:v>
                      </c:pt>
                      <c:pt idx="3">
                        <c:v>398.3</c:v>
                      </c:pt>
                      <c:pt idx="4">
                        <c:v>431.7</c:v>
                      </c:pt>
                      <c:pt idx="5">
                        <c:v>465.1</c:v>
                      </c:pt>
                      <c:pt idx="6">
                        <c:v>498.5</c:v>
                      </c:pt>
                      <c:pt idx="7">
                        <c:v>531.79999999999995</c:v>
                      </c:pt>
                      <c:pt idx="8">
                        <c:v>565.20000000000005</c:v>
                      </c:pt>
                      <c:pt idx="9">
                        <c:v>598.6</c:v>
                      </c:pt>
                      <c:pt idx="10">
                        <c:v>632</c:v>
                      </c:pt>
                      <c:pt idx="11">
                        <c:v>665.4</c:v>
                      </c:pt>
                      <c:pt idx="12">
                        <c:v>698.8</c:v>
                      </c:pt>
                      <c:pt idx="13">
                        <c:v>832.3</c:v>
                      </c:pt>
                      <c:pt idx="14">
                        <c:v>965.8</c:v>
                      </c:pt>
                      <c:pt idx="15">
                        <c:v>1099</c:v>
                      </c:pt>
                      <c:pt idx="16">
                        <c:v>1133</c:v>
                      </c:pt>
                      <c:pt idx="17">
                        <c:v>1166</c:v>
                      </c:pt>
                      <c:pt idx="18">
                        <c:v>1200</c:v>
                      </c:pt>
                      <c:pt idx="19">
                        <c:v>1233</c:v>
                      </c:pt>
                      <c:pt idx="20">
                        <c:v>1366</c:v>
                      </c:pt>
                      <c:pt idx="21">
                        <c:v>1500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ALL!$F$18:$AL$18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7.8764000000000003E-7</c:v>
                      </c:pt>
                      <c:pt idx="1">
                        <c:v>7.4715999999999998E-6</c:v>
                      </c:pt>
                      <c:pt idx="2">
                        <c:v>9.4738E-5</c:v>
                      </c:pt>
                      <c:pt idx="3">
                        <c:v>9.3227000000000002E-4</c:v>
                      </c:pt>
                      <c:pt idx="4">
                        <c:v>5.9503999999999998E-3</c:v>
                      </c:pt>
                      <c:pt idx="5">
                        <c:v>2.1070999999999999E-2</c:v>
                      </c:pt>
                      <c:pt idx="6">
                        <c:v>4.1383000000000003E-2</c:v>
                      </c:pt>
                      <c:pt idx="7">
                        <c:v>5.2893000000000003E-2</c:v>
                      </c:pt>
                      <c:pt idx="8">
                        <c:v>5.7925999999999998E-2</c:v>
                      </c:pt>
                      <c:pt idx="9">
                        <c:v>5.9372000000000001E-2</c:v>
                      </c:pt>
                      <c:pt idx="10">
                        <c:v>5.9795000000000001E-2</c:v>
                      </c:pt>
                      <c:pt idx="11">
                        <c:v>5.9928000000000002E-2</c:v>
                      </c:pt>
                      <c:pt idx="12">
                        <c:v>5.9972999999999999E-2</c:v>
                      </c:pt>
                      <c:pt idx="13">
                        <c:v>5.9998999999999997E-2</c:v>
                      </c:pt>
                      <c:pt idx="14">
                        <c:v>0.06</c:v>
                      </c:pt>
                      <c:pt idx="15">
                        <c:v>0.06</c:v>
                      </c:pt>
                      <c:pt idx="16">
                        <c:v>0.06</c:v>
                      </c:pt>
                      <c:pt idx="17">
                        <c:v>0.06</c:v>
                      </c:pt>
                      <c:pt idx="18">
                        <c:v>0.06</c:v>
                      </c:pt>
                      <c:pt idx="19">
                        <c:v>0.06</c:v>
                      </c:pt>
                      <c:pt idx="20">
                        <c:v>0.06</c:v>
                      </c:pt>
                      <c:pt idx="21">
                        <c:v>0.06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2-EA7F-415D-A5BE-37FA2449D171}"/>
                  </c:ext>
                </c:extLst>
              </c15:ser>
            </c15:filteredScatterSeries>
            <c15:filteredScatterSeries>
              <c15:ser>
                <c:idx val="15"/>
                <c:order val="1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ALL!$E$19</c15:sqref>
                        </c15:formulaRef>
                      </c:ext>
                    </c:extLst>
                    <c:strCache>
                      <c:ptCount val="1"/>
                      <c:pt idx="0">
                        <c:v>H (Ar)</c:v>
                      </c:pt>
                    </c:strCache>
                  </c:strRef>
                </c:tx>
                <c:spPr>
                  <a:ln w="19050" cap="rnd">
                    <a:solidFill>
                      <a:schemeClr val="accent4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298.2</c:v>
                      </c:pt>
                      <c:pt idx="1">
                        <c:v>331.5</c:v>
                      </c:pt>
                      <c:pt idx="2">
                        <c:v>364.9</c:v>
                      </c:pt>
                      <c:pt idx="3">
                        <c:v>398.3</c:v>
                      </c:pt>
                      <c:pt idx="4">
                        <c:v>431.7</c:v>
                      </c:pt>
                      <c:pt idx="5">
                        <c:v>465.1</c:v>
                      </c:pt>
                      <c:pt idx="6">
                        <c:v>498.5</c:v>
                      </c:pt>
                      <c:pt idx="7">
                        <c:v>531.79999999999995</c:v>
                      </c:pt>
                      <c:pt idx="8">
                        <c:v>565.20000000000005</c:v>
                      </c:pt>
                      <c:pt idx="9">
                        <c:v>598.6</c:v>
                      </c:pt>
                      <c:pt idx="10">
                        <c:v>632</c:v>
                      </c:pt>
                      <c:pt idx="11">
                        <c:v>665.4</c:v>
                      </c:pt>
                      <c:pt idx="12">
                        <c:v>698.8</c:v>
                      </c:pt>
                      <c:pt idx="13">
                        <c:v>832.3</c:v>
                      </c:pt>
                      <c:pt idx="14">
                        <c:v>965.8</c:v>
                      </c:pt>
                      <c:pt idx="15">
                        <c:v>1099</c:v>
                      </c:pt>
                      <c:pt idx="16">
                        <c:v>1133</c:v>
                      </c:pt>
                      <c:pt idx="17">
                        <c:v>1166</c:v>
                      </c:pt>
                      <c:pt idx="18">
                        <c:v>1200</c:v>
                      </c:pt>
                      <c:pt idx="19">
                        <c:v>1233</c:v>
                      </c:pt>
                      <c:pt idx="20">
                        <c:v>1366</c:v>
                      </c:pt>
                      <c:pt idx="21">
                        <c:v>1500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ALL!$F$19:$AL$19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-18.88</c:v>
                      </c:pt>
                      <c:pt idx="1">
                        <c:v>-18.87</c:v>
                      </c:pt>
                      <c:pt idx="2">
                        <c:v>-18.899999999999999</c:v>
                      </c:pt>
                      <c:pt idx="3">
                        <c:v>-18.940000000000001</c:v>
                      </c:pt>
                      <c:pt idx="4">
                        <c:v>-18.989999999999998</c:v>
                      </c:pt>
                      <c:pt idx="5">
                        <c:v>-19.04</c:v>
                      </c:pt>
                      <c:pt idx="6">
                        <c:v>-19.07</c:v>
                      </c:pt>
                      <c:pt idx="7">
                        <c:v>-18.96</c:v>
                      </c:pt>
                      <c:pt idx="8">
                        <c:v>-19.03</c:v>
                      </c:pt>
                      <c:pt idx="9">
                        <c:v>-19.100000000000001</c:v>
                      </c:pt>
                      <c:pt idx="10">
                        <c:v>-19.170000000000002</c:v>
                      </c:pt>
                      <c:pt idx="11">
                        <c:v>-19.239999999999998</c:v>
                      </c:pt>
                      <c:pt idx="12">
                        <c:v>-19.309999999999999</c:v>
                      </c:pt>
                      <c:pt idx="13">
                        <c:v>-19.57</c:v>
                      </c:pt>
                      <c:pt idx="14">
                        <c:v>-19.82</c:v>
                      </c:pt>
                      <c:pt idx="15">
                        <c:v>-20.05</c:v>
                      </c:pt>
                      <c:pt idx="16">
                        <c:v>-20.11</c:v>
                      </c:pt>
                      <c:pt idx="17">
                        <c:v>-20.16</c:v>
                      </c:pt>
                      <c:pt idx="18">
                        <c:v>-20.21</c:v>
                      </c:pt>
                      <c:pt idx="19">
                        <c:v>-20.260000000000002</c:v>
                      </c:pt>
                      <c:pt idx="20">
                        <c:v>-20.46</c:v>
                      </c:pt>
                      <c:pt idx="21">
                        <c:v>-20.65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3-EA7F-415D-A5BE-37FA2449D171}"/>
                  </c:ext>
                </c:extLst>
              </c15:ser>
            </c15:filteredScatterSeries>
            <c15:filteredScatterSeries>
              <c15:ser>
                <c:idx val="16"/>
                <c:order val="1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ALL!$E$20</c15:sqref>
                        </c15:formulaRef>
                      </c:ext>
                    </c:extLst>
                    <c:strCache>
                      <c:ptCount val="1"/>
                      <c:pt idx="0">
                        <c:v>H (Ga)</c:v>
                      </c:pt>
                    </c:strCache>
                  </c:strRef>
                </c:tx>
                <c:spPr>
                  <a:ln w="19050" cap="rnd">
                    <a:solidFill>
                      <a:schemeClr val="accent5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298.2</c:v>
                      </c:pt>
                      <c:pt idx="1">
                        <c:v>331.5</c:v>
                      </c:pt>
                      <c:pt idx="2">
                        <c:v>364.9</c:v>
                      </c:pt>
                      <c:pt idx="3">
                        <c:v>398.3</c:v>
                      </c:pt>
                      <c:pt idx="4">
                        <c:v>431.7</c:v>
                      </c:pt>
                      <c:pt idx="5">
                        <c:v>465.1</c:v>
                      </c:pt>
                      <c:pt idx="6">
                        <c:v>498.5</c:v>
                      </c:pt>
                      <c:pt idx="7">
                        <c:v>531.79999999999995</c:v>
                      </c:pt>
                      <c:pt idx="8">
                        <c:v>565.20000000000005</c:v>
                      </c:pt>
                      <c:pt idx="9">
                        <c:v>598.6</c:v>
                      </c:pt>
                      <c:pt idx="10">
                        <c:v>632</c:v>
                      </c:pt>
                      <c:pt idx="11">
                        <c:v>665.4</c:v>
                      </c:pt>
                      <c:pt idx="12">
                        <c:v>698.8</c:v>
                      </c:pt>
                      <c:pt idx="13">
                        <c:v>832.3</c:v>
                      </c:pt>
                      <c:pt idx="14">
                        <c:v>965.8</c:v>
                      </c:pt>
                      <c:pt idx="15">
                        <c:v>1099</c:v>
                      </c:pt>
                      <c:pt idx="16">
                        <c:v>1133</c:v>
                      </c:pt>
                      <c:pt idx="17">
                        <c:v>1166</c:v>
                      </c:pt>
                      <c:pt idx="18">
                        <c:v>1200</c:v>
                      </c:pt>
                      <c:pt idx="19">
                        <c:v>1233</c:v>
                      </c:pt>
                      <c:pt idx="20">
                        <c:v>1366</c:v>
                      </c:pt>
                      <c:pt idx="21">
                        <c:v>1500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ALL!$F$20:$AL$20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-60.79</c:v>
                      </c:pt>
                      <c:pt idx="1">
                        <c:v>-53.82</c:v>
                      </c:pt>
                      <c:pt idx="2">
                        <c:v>-47.01</c:v>
                      </c:pt>
                      <c:pt idx="3">
                        <c:v>-40.9</c:v>
                      </c:pt>
                      <c:pt idx="4">
                        <c:v>-35.71</c:v>
                      </c:pt>
                      <c:pt idx="5">
                        <c:v>-31.39</c:v>
                      </c:pt>
                      <c:pt idx="6">
                        <c:v>-27.66</c:v>
                      </c:pt>
                      <c:pt idx="7">
                        <c:v>-26.79</c:v>
                      </c:pt>
                      <c:pt idx="8">
                        <c:v>-28.11</c:v>
                      </c:pt>
                      <c:pt idx="9">
                        <c:v>-29.41</c:v>
                      </c:pt>
                      <c:pt idx="10">
                        <c:v>-30.69</c:v>
                      </c:pt>
                      <c:pt idx="11">
                        <c:v>-31.94</c:v>
                      </c:pt>
                      <c:pt idx="12">
                        <c:v>-33.159999999999997</c:v>
                      </c:pt>
                      <c:pt idx="13">
                        <c:v>-37.67</c:v>
                      </c:pt>
                      <c:pt idx="14">
                        <c:v>-41.43</c:v>
                      </c:pt>
                      <c:pt idx="15">
                        <c:v>-44.33</c:v>
                      </c:pt>
                      <c:pt idx="16">
                        <c:v>-44.9</c:v>
                      </c:pt>
                      <c:pt idx="17">
                        <c:v>-45.42</c:v>
                      </c:pt>
                      <c:pt idx="18">
                        <c:v>-45.86</c:v>
                      </c:pt>
                      <c:pt idx="19">
                        <c:v>-46.25</c:v>
                      </c:pt>
                      <c:pt idx="20">
                        <c:v>-47.11</c:v>
                      </c:pt>
                      <c:pt idx="21">
                        <c:v>-46.85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4-EA7F-415D-A5BE-37FA2449D171}"/>
                  </c:ext>
                </c:extLst>
              </c15:ser>
            </c15:filteredScatterSeries>
            <c15:filteredScatterSeries>
              <c15:ser>
                <c:idx val="17"/>
                <c:order val="1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ALL!$E$21</c15:sqref>
                        </c15:formulaRef>
                      </c:ext>
                    </c:extLst>
                    <c:strCache>
                      <c:ptCount val="1"/>
                      <c:pt idx="0">
                        <c:v>H (Ge)</c:v>
                      </c:pt>
                    </c:strCache>
                  </c:strRef>
                </c:tx>
                <c:spPr>
                  <a:ln w="19050" cap="rnd">
                    <a:solidFill>
                      <a:schemeClr val="accent6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298.2</c:v>
                      </c:pt>
                      <c:pt idx="1">
                        <c:v>331.5</c:v>
                      </c:pt>
                      <c:pt idx="2">
                        <c:v>364.9</c:v>
                      </c:pt>
                      <c:pt idx="3">
                        <c:v>398.3</c:v>
                      </c:pt>
                      <c:pt idx="4">
                        <c:v>431.7</c:v>
                      </c:pt>
                      <c:pt idx="5">
                        <c:v>465.1</c:v>
                      </c:pt>
                      <c:pt idx="6">
                        <c:v>498.5</c:v>
                      </c:pt>
                      <c:pt idx="7">
                        <c:v>531.79999999999995</c:v>
                      </c:pt>
                      <c:pt idx="8">
                        <c:v>565.20000000000005</c:v>
                      </c:pt>
                      <c:pt idx="9">
                        <c:v>598.6</c:v>
                      </c:pt>
                      <c:pt idx="10">
                        <c:v>632</c:v>
                      </c:pt>
                      <c:pt idx="11">
                        <c:v>665.4</c:v>
                      </c:pt>
                      <c:pt idx="12">
                        <c:v>698.8</c:v>
                      </c:pt>
                      <c:pt idx="13">
                        <c:v>832.3</c:v>
                      </c:pt>
                      <c:pt idx="14">
                        <c:v>965.8</c:v>
                      </c:pt>
                      <c:pt idx="15">
                        <c:v>1099</c:v>
                      </c:pt>
                      <c:pt idx="16">
                        <c:v>1133</c:v>
                      </c:pt>
                      <c:pt idx="17">
                        <c:v>1166</c:v>
                      </c:pt>
                      <c:pt idx="18">
                        <c:v>1200</c:v>
                      </c:pt>
                      <c:pt idx="19">
                        <c:v>1233</c:v>
                      </c:pt>
                      <c:pt idx="20">
                        <c:v>1366</c:v>
                      </c:pt>
                      <c:pt idx="21">
                        <c:v>1500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ALL!$F$21:$AL$21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-16</c:v>
                      </c:pt>
                      <c:pt idx="1">
                        <c:v>-13.92</c:v>
                      </c:pt>
                      <c:pt idx="2">
                        <c:v>-11.54</c:v>
                      </c:pt>
                      <c:pt idx="3">
                        <c:v>-9.3460000000000001</c:v>
                      </c:pt>
                      <c:pt idx="4">
                        <c:v>-7.6120000000000001</c:v>
                      </c:pt>
                      <c:pt idx="5">
                        <c:v>-6.5529999999999999</c:v>
                      </c:pt>
                      <c:pt idx="6">
                        <c:v>-6.1760000000000002</c:v>
                      </c:pt>
                      <c:pt idx="7">
                        <c:v>-6.8330000000000002</c:v>
                      </c:pt>
                      <c:pt idx="8">
                        <c:v>-6.843</c:v>
                      </c:pt>
                      <c:pt idx="9">
                        <c:v>-6.9039999999999999</c:v>
                      </c:pt>
                      <c:pt idx="10">
                        <c:v>-6.9809999999999999</c:v>
                      </c:pt>
                      <c:pt idx="11">
                        <c:v>-7.0620000000000003</c:v>
                      </c:pt>
                      <c:pt idx="12">
                        <c:v>-7.1429999999999998</c:v>
                      </c:pt>
                      <c:pt idx="13">
                        <c:v>-7.4630000000000001</c:v>
                      </c:pt>
                      <c:pt idx="14">
                        <c:v>-7.7649999999999997</c:v>
                      </c:pt>
                      <c:pt idx="15">
                        <c:v>-8.048</c:v>
                      </c:pt>
                      <c:pt idx="16">
                        <c:v>-8.1159999999999997</c:v>
                      </c:pt>
                      <c:pt idx="17">
                        <c:v>-8.1820000000000004</c:v>
                      </c:pt>
                      <c:pt idx="18">
                        <c:v>-8.2479999999999993</c:v>
                      </c:pt>
                      <c:pt idx="19">
                        <c:v>-8.3130000000000006</c:v>
                      </c:pt>
                      <c:pt idx="20">
                        <c:v>-8.5609999999999999</c:v>
                      </c:pt>
                      <c:pt idx="21">
                        <c:v>-8.7949999999999999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5-EA7F-415D-A5BE-37FA2449D171}"/>
                  </c:ext>
                </c:extLst>
              </c15:ser>
            </c15:filteredScatterSeries>
            <c15:filteredScatterSeries>
              <c15:ser>
                <c:idx val="18"/>
                <c:order val="1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ALL!$E$22</c15:sqref>
                        </c15:formulaRef>
                      </c:ext>
                    </c:extLst>
                    <c:strCache>
                      <c:ptCount val="1"/>
                      <c:pt idx="0">
                        <c:v>H (Se)</c:v>
                      </c:pt>
                    </c:strCache>
                  </c:strRef>
                </c:tx>
                <c:spPr>
                  <a:ln w="19050" cap="rnd">
                    <a:solidFill>
                      <a:schemeClr val="accent1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298.2</c:v>
                      </c:pt>
                      <c:pt idx="1">
                        <c:v>331.5</c:v>
                      </c:pt>
                      <c:pt idx="2">
                        <c:v>364.9</c:v>
                      </c:pt>
                      <c:pt idx="3">
                        <c:v>398.3</c:v>
                      </c:pt>
                      <c:pt idx="4">
                        <c:v>431.7</c:v>
                      </c:pt>
                      <c:pt idx="5">
                        <c:v>465.1</c:v>
                      </c:pt>
                      <c:pt idx="6">
                        <c:v>498.5</c:v>
                      </c:pt>
                      <c:pt idx="7">
                        <c:v>531.79999999999995</c:v>
                      </c:pt>
                      <c:pt idx="8">
                        <c:v>565.20000000000005</c:v>
                      </c:pt>
                      <c:pt idx="9">
                        <c:v>598.6</c:v>
                      </c:pt>
                      <c:pt idx="10">
                        <c:v>632</c:v>
                      </c:pt>
                      <c:pt idx="11">
                        <c:v>665.4</c:v>
                      </c:pt>
                      <c:pt idx="12">
                        <c:v>698.8</c:v>
                      </c:pt>
                      <c:pt idx="13">
                        <c:v>832.3</c:v>
                      </c:pt>
                      <c:pt idx="14">
                        <c:v>965.8</c:v>
                      </c:pt>
                      <c:pt idx="15">
                        <c:v>1099</c:v>
                      </c:pt>
                      <c:pt idx="16">
                        <c:v>1133</c:v>
                      </c:pt>
                      <c:pt idx="17">
                        <c:v>1166</c:v>
                      </c:pt>
                      <c:pt idx="18">
                        <c:v>1200</c:v>
                      </c:pt>
                      <c:pt idx="19">
                        <c:v>1233</c:v>
                      </c:pt>
                      <c:pt idx="20">
                        <c:v>1366</c:v>
                      </c:pt>
                      <c:pt idx="21">
                        <c:v>1500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ALL!$F$22:$AL$22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-22.14</c:v>
                      </c:pt>
                      <c:pt idx="1">
                        <c:v>-21.3</c:v>
                      </c:pt>
                      <c:pt idx="2">
                        <c:v>-21.39</c:v>
                      </c:pt>
                      <c:pt idx="3">
                        <c:v>-21.8</c:v>
                      </c:pt>
                      <c:pt idx="4">
                        <c:v>-22.19</c:v>
                      </c:pt>
                      <c:pt idx="5">
                        <c:v>-22.48</c:v>
                      </c:pt>
                      <c:pt idx="6">
                        <c:v>-22.79</c:v>
                      </c:pt>
                      <c:pt idx="7">
                        <c:v>-23.04</c:v>
                      </c:pt>
                      <c:pt idx="8">
                        <c:v>-23.53</c:v>
                      </c:pt>
                      <c:pt idx="9">
                        <c:v>-24.03</c:v>
                      </c:pt>
                      <c:pt idx="10">
                        <c:v>-24.51</c:v>
                      </c:pt>
                      <c:pt idx="11">
                        <c:v>-24.99</c:v>
                      </c:pt>
                      <c:pt idx="12">
                        <c:v>-25.47</c:v>
                      </c:pt>
                      <c:pt idx="13">
                        <c:v>-27.28</c:v>
                      </c:pt>
                      <c:pt idx="14">
                        <c:v>-29</c:v>
                      </c:pt>
                      <c:pt idx="15">
                        <c:v>-30.63</c:v>
                      </c:pt>
                      <c:pt idx="16">
                        <c:v>-31.03</c:v>
                      </c:pt>
                      <c:pt idx="17">
                        <c:v>-31.42</c:v>
                      </c:pt>
                      <c:pt idx="18">
                        <c:v>-31.81</c:v>
                      </c:pt>
                      <c:pt idx="19">
                        <c:v>-32.200000000000003</c:v>
                      </c:pt>
                      <c:pt idx="20">
                        <c:v>-33.729999999999997</c:v>
                      </c:pt>
                      <c:pt idx="21">
                        <c:v>-35.22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6-EA7F-415D-A5BE-37FA2449D171}"/>
                  </c:ext>
                </c:extLst>
              </c15:ser>
            </c15:filteredScatterSeries>
            <c15:filteredScatterSeries>
              <c15:ser>
                <c:idx val="19"/>
                <c:order val="1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ALL!$E$23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2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298.2</c:v>
                      </c:pt>
                      <c:pt idx="1">
                        <c:v>331.5</c:v>
                      </c:pt>
                      <c:pt idx="2">
                        <c:v>364.9</c:v>
                      </c:pt>
                      <c:pt idx="3">
                        <c:v>398.3</c:v>
                      </c:pt>
                      <c:pt idx="4">
                        <c:v>431.7</c:v>
                      </c:pt>
                      <c:pt idx="5">
                        <c:v>465.1</c:v>
                      </c:pt>
                      <c:pt idx="6">
                        <c:v>498.5</c:v>
                      </c:pt>
                      <c:pt idx="7">
                        <c:v>531.79999999999995</c:v>
                      </c:pt>
                      <c:pt idx="8">
                        <c:v>565.20000000000005</c:v>
                      </c:pt>
                      <c:pt idx="9">
                        <c:v>598.6</c:v>
                      </c:pt>
                      <c:pt idx="10">
                        <c:v>632</c:v>
                      </c:pt>
                      <c:pt idx="11">
                        <c:v>665.4</c:v>
                      </c:pt>
                      <c:pt idx="12">
                        <c:v>698.8</c:v>
                      </c:pt>
                      <c:pt idx="13">
                        <c:v>832.3</c:v>
                      </c:pt>
                      <c:pt idx="14">
                        <c:v>965.8</c:v>
                      </c:pt>
                      <c:pt idx="15">
                        <c:v>1099</c:v>
                      </c:pt>
                      <c:pt idx="16">
                        <c:v>1133</c:v>
                      </c:pt>
                      <c:pt idx="17">
                        <c:v>1166</c:v>
                      </c:pt>
                      <c:pt idx="18">
                        <c:v>1200</c:v>
                      </c:pt>
                      <c:pt idx="19">
                        <c:v>1233</c:v>
                      </c:pt>
                      <c:pt idx="20">
                        <c:v>1366</c:v>
                      </c:pt>
                      <c:pt idx="21">
                        <c:v>1500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ALL!$F$23:$AL$23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EA7F-415D-A5BE-37FA2449D171}"/>
                  </c:ext>
                </c:extLst>
              </c15:ser>
            </c15:filteredScatterSeries>
            <c15:filteredScatterSeries>
              <c15:ser>
                <c:idx val="20"/>
                <c:order val="2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ALL!$E$24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3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298.2</c:v>
                      </c:pt>
                      <c:pt idx="1">
                        <c:v>331.5</c:v>
                      </c:pt>
                      <c:pt idx="2">
                        <c:v>364.9</c:v>
                      </c:pt>
                      <c:pt idx="3">
                        <c:v>398.3</c:v>
                      </c:pt>
                      <c:pt idx="4">
                        <c:v>431.7</c:v>
                      </c:pt>
                      <c:pt idx="5">
                        <c:v>465.1</c:v>
                      </c:pt>
                      <c:pt idx="6">
                        <c:v>498.5</c:v>
                      </c:pt>
                      <c:pt idx="7">
                        <c:v>531.79999999999995</c:v>
                      </c:pt>
                      <c:pt idx="8">
                        <c:v>565.20000000000005</c:v>
                      </c:pt>
                      <c:pt idx="9">
                        <c:v>598.6</c:v>
                      </c:pt>
                      <c:pt idx="10">
                        <c:v>632</c:v>
                      </c:pt>
                      <c:pt idx="11">
                        <c:v>665.4</c:v>
                      </c:pt>
                      <c:pt idx="12">
                        <c:v>698.8</c:v>
                      </c:pt>
                      <c:pt idx="13">
                        <c:v>832.3</c:v>
                      </c:pt>
                      <c:pt idx="14">
                        <c:v>965.8</c:v>
                      </c:pt>
                      <c:pt idx="15">
                        <c:v>1099</c:v>
                      </c:pt>
                      <c:pt idx="16">
                        <c:v>1133</c:v>
                      </c:pt>
                      <c:pt idx="17">
                        <c:v>1166</c:v>
                      </c:pt>
                      <c:pt idx="18">
                        <c:v>1200</c:v>
                      </c:pt>
                      <c:pt idx="19">
                        <c:v>1233</c:v>
                      </c:pt>
                      <c:pt idx="20">
                        <c:v>1366</c:v>
                      </c:pt>
                      <c:pt idx="21">
                        <c:v>1500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ALL!$F$24:$AL$24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EA7F-415D-A5BE-37FA2449D171}"/>
                  </c:ext>
                </c:extLst>
              </c15:ser>
            </c15:filteredScatterSeries>
            <c15:filteredScatterSeries>
              <c15:ser>
                <c:idx val="21"/>
                <c:order val="2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ALL!$E$25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4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298.2</c:v>
                      </c:pt>
                      <c:pt idx="1">
                        <c:v>331.5</c:v>
                      </c:pt>
                      <c:pt idx="2">
                        <c:v>364.9</c:v>
                      </c:pt>
                      <c:pt idx="3">
                        <c:v>398.3</c:v>
                      </c:pt>
                      <c:pt idx="4">
                        <c:v>431.7</c:v>
                      </c:pt>
                      <c:pt idx="5">
                        <c:v>465.1</c:v>
                      </c:pt>
                      <c:pt idx="6">
                        <c:v>498.5</c:v>
                      </c:pt>
                      <c:pt idx="7">
                        <c:v>531.79999999999995</c:v>
                      </c:pt>
                      <c:pt idx="8">
                        <c:v>565.20000000000005</c:v>
                      </c:pt>
                      <c:pt idx="9">
                        <c:v>598.6</c:v>
                      </c:pt>
                      <c:pt idx="10">
                        <c:v>632</c:v>
                      </c:pt>
                      <c:pt idx="11">
                        <c:v>665.4</c:v>
                      </c:pt>
                      <c:pt idx="12">
                        <c:v>698.8</c:v>
                      </c:pt>
                      <c:pt idx="13">
                        <c:v>832.3</c:v>
                      </c:pt>
                      <c:pt idx="14">
                        <c:v>965.8</c:v>
                      </c:pt>
                      <c:pt idx="15">
                        <c:v>1099</c:v>
                      </c:pt>
                      <c:pt idx="16">
                        <c:v>1133</c:v>
                      </c:pt>
                      <c:pt idx="17">
                        <c:v>1166</c:v>
                      </c:pt>
                      <c:pt idx="18">
                        <c:v>1200</c:v>
                      </c:pt>
                      <c:pt idx="19">
                        <c:v>1233</c:v>
                      </c:pt>
                      <c:pt idx="20">
                        <c:v>1366</c:v>
                      </c:pt>
                      <c:pt idx="21">
                        <c:v>1500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ALL!$F$25:$AL$25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EA7F-415D-A5BE-37FA2449D171}"/>
                  </c:ext>
                </c:extLst>
              </c15:ser>
            </c15:filteredScatterSeries>
            <c15:filteredScatterSeries>
              <c15:ser>
                <c:idx val="22"/>
                <c:order val="2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ALL!$E$26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5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298.2</c:v>
                      </c:pt>
                      <c:pt idx="1">
                        <c:v>331.5</c:v>
                      </c:pt>
                      <c:pt idx="2">
                        <c:v>364.9</c:v>
                      </c:pt>
                      <c:pt idx="3">
                        <c:v>398.3</c:v>
                      </c:pt>
                      <c:pt idx="4">
                        <c:v>431.7</c:v>
                      </c:pt>
                      <c:pt idx="5">
                        <c:v>465.1</c:v>
                      </c:pt>
                      <c:pt idx="6">
                        <c:v>498.5</c:v>
                      </c:pt>
                      <c:pt idx="7">
                        <c:v>531.79999999999995</c:v>
                      </c:pt>
                      <c:pt idx="8">
                        <c:v>565.20000000000005</c:v>
                      </c:pt>
                      <c:pt idx="9">
                        <c:v>598.6</c:v>
                      </c:pt>
                      <c:pt idx="10">
                        <c:v>632</c:v>
                      </c:pt>
                      <c:pt idx="11">
                        <c:v>665.4</c:v>
                      </c:pt>
                      <c:pt idx="12">
                        <c:v>698.8</c:v>
                      </c:pt>
                      <c:pt idx="13">
                        <c:v>832.3</c:v>
                      </c:pt>
                      <c:pt idx="14">
                        <c:v>965.8</c:v>
                      </c:pt>
                      <c:pt idx="15">
                        <c:v>1099</c:v>
                      </c:pt>
                      <c:pt idx="16">
                        <c:v>1133</c:v>
                      </c:pt>
                      <c:pt idx="17">
                        <c:v>1166</c:v>
                      </c:pt>
                      <c:pt idx="18">
                        <c:v>1200</c:v>
                      </c:pt>
                      <c:pt idx="19">
                        <c:v>1233</c:v>
                      </c:pt>
                      <c:pt idx="20">
                        <c:v>1366</c:v>
                      </c:pt>
                      <c:pt idx="21">
                        <c:v>1500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ALL!$F$26:$AL$26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A-EA7F-415D-A5BE-37FA2449D171}"/>
                  </c:ext>
                </c:extLst>
              </c15:ser>
            </c15:filteredScatterSeries>
            <c15:filteredScatterSeries>
              <c15:ser>
                <c:idx val="23"/>
                <c:order val="2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ALL!$E$27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6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298.2</c:v>
                      </c:pt>
                      <c:pt idx="1">
                        <c:v>331.5</c:v>
                      </c:pt>
                      <c:pt idx="2">
                        <c:v>364.9</c:v>
                      </c:pt>
                      <c:pt idx="3">
                        <c:v>398.3</c:v>
                      </c:pt>
                      <c:pt idx="4">
                        <c:v>431.7</c:v>
                      </c:pt>
                      <c:pt idx="5">
                        <c:v>465.1</c:v>
                      </c:pt>
                      <c:pt idx="6">
                        <c:v>498.5</c:v>
                      </c:pt>
                      <c:pt idx="7">
                        <c:v>531.79999999999995</c:v>
                      </c:pt>
                      <c:pt idx="8">
                        <c:v>565.20000000000005</c:v>
                      </c:pt>
                      <c:pt idx="9">
                        <c:v>598.6</c:v>
                      </c:pt>
                      <c:pt idx="10">
                        <c:v>632</c:v>
                      </c:pt>
                      <c:pt idx="11">
                        <c:v>665.4</c:v>
                      </c:pt>
                      <c:pt idx="12">
                        <c:v>698.8</c:v>
                      </c:pt>
                      <c:pt idx="13">
                        <c:v>832.3</c:v>
                      </c:pt>
                      <c:pt idx="14">
                        <c:v>965.8</c:v>
                      </c:pt>
                      <c:pt idx="15">
                        <c:v>1099</c:v>
                      </c:pt>
                      <c:pt idx="16">
                        <c:v>1133</c:v>
                      </c:pt>
                      <c:pt idx="17">
                        <c:v>1166</c:v>
                      </c:pt>
                      <c:pt idx="18">
                        <c:v>1200</c:v>
                      </c:pt>
                      <c:pt idx="19">
                        <c:v>1233</c:v>
                      </c:pt>
                      <c:pt idx="20">
                        <c:v>1366</c:v>
                      </c:pt>
                      <c:pt idx="21">
                        <c:v>1500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ALL!$F$27:$AL$27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B-EA7F-415D-A5BE-37FA2449D171}"/>
                  </c:ext>
                </c:extLst>
              </c15:ser>
            </c15:filteredScatterSeries>
            <c15:filteredScatterSeries>
              <c15:ser>
                <c:idx val="24"/>
                <c:order val="2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ALL!$E$28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1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298.2</c:v>
                      </c:pt>
                      <c:pt idx="1">
                        <c:v>331.5</c:v>
                      </c:pt>
                      <c:pt idx="2">
                        <c:v>364.9</c:v>
                      </c:pt>
                      <c:pt idx="3">
                        <c:v>398.3</c:v>
                      </c:pt>
                      <c:pt idx="4">
                        <c:v>431.7</c:v>
                      </c:pt>
                      <c:pt idx="5">
                        <c:v>465.1</c:v>
                      </c:pt>
                      <c:pt idx="6">
                        <c:v>498.5</c:v>
                      </c:pt>
                      <c:pt idx="7">
                        <c:v>531.79999999999995</c:v>
                      </c:pt>
                      <c:pt idx="8">
                        <c:v>565.20000000000005</c:v>
                      </c:pt>
                      <c:pt idx="9">
                        <c:v>598.6</c:v>
                      </c:pt>
                      <c:pt idx="10">
                        <c:v>632</c:v>
                      </c:pt>
                      <c:pt idx="11">
                        <c:v>665.4</c:v>
                      </c:pt>
                      <c:pt idx="12">
                        <c:v>698.8</c:v>
                      </c:pt>
                      <c:pt idx="13">
                        <c:v>832.3</c:v>
                      </c:pt>
                      <c:pt idx="14">
                        <c:v>965.8</c:v>
                      </c:pt>
                      <c:pt idx="15">
                        <c:v>1099</c:v>
                      </c:pt>
                      <c:pt idx="16">
                        <c:v>1133</c:v>
                      </c:pt>
                      <c:pt idx="17">
                        <c:v>1166</c:v>
                      </c:pt>
                      <c:pt idx="18">
                        <c:v>1200</c:v>
                      </c:pt>
                      <c:pt idx="19">
                        <c:v>1233</c:v>
                      </c:pt>
                      <c:pt idx="20">
                        <c:v>1366</c:v>
                      </c:pt>
                      <c:pt idx="21">
                        <c:v>1500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ALL!$F$28:$AL$28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C-EA7F-415D-A5BE-37FA2449D171}"/>
                  </c:ext>
                </c:extLst>
              </c15:ser>
            </c15:filteredScatterSeries>
            <c15:filteredScatterSeries>
              <c15:ser>
                <c:idx val="25"/>
                <c:order val="2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ALL!$E$29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2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298.2</c:v>
                      </c:pt>
                      <c:pt idx="1">
                        <c:v>331.5</c:v>
                      </c:pt>
                      <c:pt idx="2">
                        <c:v>364.9</c:v>
                      </c:pt>
                      <c:pt idx="3">
                        <c:v>398.3</c:v>
                      </c:pt>
                      <c:pt idx="4">
                        <c:v>431.7</c:v>
                      </c:pt>
                      <c:pt idx="5">
                        <c:v>465.1</c:v>
                      </c:pt>
                      <c:pt idx="6">
                        <c:v>498.5</c:v>
                      </c:pt>
                      <c:pt idx="7">
                        <c:v>531.79999999999995</c:v>
                      </c:pt>
                      <c:pt idx="8">
                        <c:v>565.20000000000005</c:v>
                      </c:pt>
                      <c:pt idx="9">
                        <c:v>598.6</c:v>
                      </c:pt>
                      <c:pt idx="10">
                        <c:v>632</c:v>
                      </c:pt>
                      <c:pt idx="11">
                        <c:v>665.4</c:v>
                      </c:pt>
                      <c:pt idx="12">
                        <c:v>698.8</c:v>
                      </c:pt>
                      <c:pt idx="13">
                        <c:v>832.3</c:v>
                      </c:pt>
                      <c:pt idx="14">
                        <c:v>965.8</c:v>
                      </c:pt>
                      <c:pt idx="15">
                        <c:v>1099</c:v>
                      </c:pt>
                      <c:pt idx="16">
                        <c:v>1133</c:v>
                      </c:pt>
                      <c:pt idx="17">
                        <c:v>1166</c:v>
                      </c:pt>
                      <c:pt idx="18">
                        <c:v>1200</c:v>
                      </c:pt>
                      <c:pt idx="19">
                        <c:v>1233</c:v>
                      </c:pt>
                      <c:pt idx="20">
                        <c:v>1366</c:v>
                      </c:pt>
                      <c:pt idx="21">
                        <c:v>1500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ALL!$F$29:$AL$29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D-EA7F-415D-A5BE-37FA2449D171}"/>
                  </c:ext>
                </c:extLst>
              </c15:ser>
            </c15:filteredScatterSeries>
            <c15:filteredScatterSeries>
              <c15:ser>
                <c:idx val="26"/>
                <c:order val="2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ALL!$E$30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3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298.2</c:v>
                      </c:pt>
                      <c:pt idx="1">
                        <c:v>331.5</c:v>
                      </c:pt>
                      <c:pt idx="2">
                        <c:v>364.9</c:v>
                      </c:pt>
                      <c:pt idx="3">
                        <c:v>398.3</c:v>
                      </c:pt>
                      <c:pt idx="4">
                        <c:v>431.7</c:v>
                      </c:pt>
                      <c:pt idx="5">
                        <c:v>465.1</c:v>
                      </c:pt>
                      <c:pt idx="6">
                        <c:v>498.5</c:v>
                      </c:pt>
                      <c:pt idx="7">
                        <c:v>531.79999999999995</c:v>
                      </c:pt>
                      <c:pt idx="8">
                        <c:v>565.20000000000005</c:v>
                      </c:pt>
                      <c:pt idx="9">
                        <c:v>598.6</c:v>
                      </c:pt>
                      <c:pt idx="10">
                        <c:v>632</c:v>
                      </c:pt>
                      <c:pt idx="11">
                        <c:v>665.4</c:v>
                      </c:pt>
                      <c:pt idx="12">
                        <c:v>698.8</c:v>
                      </c:pt>
                      <c:pt idx="13">
                        <c:v>832.3</c:v>
                      </c:pt>
                      <c:pt idx="14">
                        <c:v>965.8</c:v>
                      </c:pt>
                      <c:pt idx="15">
                        <c:v>1099</c:v>
                      </c:pt>
                      <c:pt idx="16">
                        <c:v>1133</c:v>
                      </c:pt>
                      <c:pt idx="17">
                        <c:v>1166</c:v>
                      </c:pt>
                      <c:pt idx="18">
                        <c:v>1200</c:v>
                      </c:pt>
                      <c:pt idx="19">
                        <c:v>1233</c:v>
                      </c:pt>
                      <c:pt idx="20">
                        <c:v>1366</c:v>
                      </c:pt>
                      <c:pt idx="21">
                        <c:v>1500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ALL!$F$30:$AL$30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E-EA7F-415D-A5BE-37FA2449D171}"/>
                  </c:ext>
                </c:extLst>
              </c15:ser>
            </c15:filteredScatterSeries>
            <c15:filteredScatterSeries>
              <c15:ser>
                <c:idx val="27"/>
                <c:order val="2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ALL!$E$31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4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298.2</c:v>
                      </c:pt>
                      <c:pt idx="1">
                        <c:v>331.5</c:v>
                      </c:pt>
                      <c:pt idx="2">
                        <c:v>364.9</c:v>
                      </c:pt>
                      <c:pt idx="3">
                        <c:v>398.3</c:v>
                      </c:pt>
                      <c:pt idx="4">
                        <c:v>431.7</c:v>
                      </c:pt>
                      <c:pt idx="5">
                        <c:v>465.1</c:v>
                      </c:pt>
                      <c:pt idx="6">
                        <c:v>498.5</c:v>
                      </c:pt>
                      <c:pt idx="7">
                        <c:v>531.79999999999995</c:v>
                      </c:pt>
                      <c:pt idx="8">
                        <c:v>565.20000000000005</c:v>
                      </c:pt>
                      <c:pt idx="9">
                        <c:v>598.6</c:v>
                      </c:pt>
                      <c:pt idx="10">
                        <c:v>632</c:v>
                      </c:pt>
                      <c:pt idx="11">
                        <c:v>665.4</c:v>
                      </c:pt>
                      <c:pt idx="12">
                        <c:v>698.8</c:v>
                      </c:pt>
                      <c:pt idx="13">
                        <c:v>832.3</c:v>
                      </c:pt>
                      <c:pt idx="14">
                        <c:v>965.8</c:v>
                      </c:pt>
                      <c:pt idx="15">
                        <c:v>1099</c:v>
                      </c:pt>
                      <c:pt idx="16">
                        <c:v>1133</c:v>
                      </c:pt>
                      <c:pt idx="17">
                        <c:v>1166</c:v>
                      </c:pt>
                      <c:pt idx="18">
                        <c:v>1200</c:v>
                      </c:pt>
                      <c:pt idx="19">
                        <c:v>1233</c:v>
                      </c:pt>
                      <c:pt idx="20">
                        <c:v>1366</c:v>
                      </c:pt>
                      <c:pt idx="21">
                        <c:v>1500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ALL!$F$31:$AL$31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F-EA7F-415D-A5BE-37FA2449D171}"/>
                  </c:ext>
                </c:extLst>
              </c15:ser>
            </c15:filteredScatterSeries>
            <c15:filteredScatterSeries>
              <c15:ser>
                <c:idx val="28"/>
                <c:order val="2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ALL!$E$32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5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298.2</c:v>
                      </c:pt>
                      <c:pt idx="1">
                        <c:v>331.5</c:v>
                      </c:pt>
                      <c:pt idx="2">
                        <c:v>364.9</c:v>
                      </c:pt>
                      <c:pt idx="3">
                        <c:v>398.3</c:v>
                      </c:pt>
                      <c:pt idx="4">
                        <c:v>431.7</c:v>
                      </c:pt>
                      <c:pt idx="5">
                        <c:v>465.1</c:v>
                      </c:pt>
                      <c:pt idx="6">
                        <c:v>498.5</c:v>
                      </c:pt>
                      <c:pt idx="7">
                        <c:v>531.79999999999995</c:v>
                      </c:pt>
                      <c:pt idx="8">
                        <c:v>565.20000000000005</c:v>
                      </c:pt>
                      <c:pt idx="9">
                        <c:v>598.6</c:v>
                      </c:pt>
                      <c:pt idx="10">
                        <c:v>632</c:v>
                      </c:pt>
                      <c:pt idx="11">
                        <c:v>665.4</c:v>
                      </c:pt>
                      <c:pt idx="12">
                        <c:v>698.8</c:v>
                      </c:pt>
                      <c:pt idx="13">
                        <c:v>832.3</c:v>
                      </c:pt>
                      <c:pt idx="14">
                        <c:v>965.8</c:v>
                      </c:pt>
                      <c:pt idx="15">
                        <c:v>1099</c:v>
                      </c:pt>
                      <c:pt idx="16">
                        <c:v>1133</c:v>
                      </c:pt>
                      <c:pt idx="17">
                        <c:v>1166</c:v>
                      </c:pt>
                      <c:pt idx="18">
                        <c:v>1200</c:v>
                      </c:pt>
                      <c:pt idx="19">
                        <c:v>1233</c:v>
                      </c:pt>
                      <c:pt idx="20">
                        <c:v>1366</c:v>
                      </c:pt>
                      <c:pt idx="21">
                        <c:v>1500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ALL!$F$32:$AL$32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0-EA7F-415D-A5BE-37FA2449D171}"/>
                  </c:ext>
                </c:extLst>
              </c15:ser>
            </c15:filteredScatterSeries>
          </c:ext>
        </c:extLst>
      </c:scatterChart>
      <c:valAx>
        <c:axId val="391619416"/>
        <c:scaling>
          <c:orientation val="minMax"/>
          <c:max val="1500"/>
          <c:min val="3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8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/>
                  <a:t>T</a:t>
                </a:r>
                <a:r>
                  <a:rPr lang="ru-RU" sz="1800"/>
                  <a:t>, К</a:t>
                </a:r>
              </a:p>
            </c:rich>
          </c:tx>
          <c:layout>
            <c:manualLayout>
              <c:xMode val="edge"/>
              <c:yMode val="edge"/>
              <c:x val="0.42423525471841778"/>
              <c:y val="0.9253208458898237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8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#,##0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93215344"/>
        <c:crosses val="autoZero"/>
        <c:crossBetween val="midCat"/>
      </c:valAx>
      <c:valAx>
        <c:axId val="393215344"/>
        <c:scaling>
          <c:orientation val="minMax"/>
          <c:max val="0.2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 sz="1800" b="0" i="0" baseline="0">
                    <a:effectLst/>
                  </a:rPr>
                  <a:t>Концентрация, моль/(моль*атом)</a:t>
                </a:r>
                <a:endParaRPr lang="ru-RU">
                  <a:effectLst/>
                </a:endParaRPr>
              </a:p>
            </c:rich>
          </c:tx>
          <c:layout>
            <c:manualLayout>
              <c:xMode val="edge"/>
              <c:yMode val="edge"/>
              <c:x val="7.8334982535866026E-3"/>
              <c:y val="0.19218689719276424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#,##0.00" sourceLinked="0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91619416"/>
        <c:crosses val="autoZero"/>
        <c:crossBetween val="midCat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xVal>
            <c:numRef>
              <c:f>ALL!$F$122:$AL$122</c:f>
              <c:numCache>
                <c:formatCode>0</c:formatCode>
                <c:ptCount val="33"/>
                <c:pt idx="0">
                  <c:v>298.2</c:v>
                </c:pt>
                <c:pt idx="1">
                  <c:v>331.5</c:v>
                </c:pt>
                <c:pt idx="2">
                  <c:v>364.9</c:v>
                </c:pt>
                <c:pt idx="3">
                  <c:v>398.3</c:v>
                </c:pt>
                <c:pt idx="4">
                  <c:v>431.7</c:v>
                </c:pt>
                <c:pt idx="5">
                  <c:v>465.1</c:v>
                </c:pt>
                <c:pt idx="6">
                  <c:v>498.5</c:v>
                </c:pt>
                <c:pt idx="7">
                  <c:v>531.79999999999995</c:v>
                </c:pt>
                <c:pt idx="8">
                  <c:v>565.20000000000005</c:v>
                </c:pt>
                <c:pt idx="9">
                  <c:v>598.6</c:v>
                </c:pt>
                <c:pt idx="10">
                  <c:v>632</c:v>
                </c:pt>
                <c:pt idx="11">
                  <c:v>665.4</c:v>
                </c:pt>
                <c:pt idx="12">
                  <c:v>698.8</c:v>
                </c:pt>
                <c:pt idx="13">
                  <c:v>832.3</c:v>
                </c:pt>
                <c:pt idx="14">
                  <c:v>965.8</c:v>
                </c:pt>
                <c:pt idx="15">
                  <c:v>1099</c:v>
                </c:pt>
                <c:pt idx="16">
                  <c:v>1133</c:v>
                </c:pt>
                <c:pt idx="17">
                  <c:v>1166</c:v>
                </c:pt>
                <c:pt idx="18">
                  <c:v>1200</c:v>
                </c:pt>
                <c:pt idx="19">
                  <c:v>1233</c:v>
                </c:pt>
                <c:pt idx="20">
                  <c:v>1366</c:v>
                </c:pt>
                <c:pt idx="21">
                  <c:v>1500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</c:numCache>
            </c:numRef>
          </c:xVal>
          <c:yVal>
            <c:numRef>
              <c:f>ALL!$F$123:$AL$123</c:f>
              <c:numCache>
                <c:formatCode>General</c:formatCode>
                <c:ptCount val="33"/>
                <c:pt idx="0">
                  <c:v>-273.27222024545767</c:v>
                </c:pt>
                <c:pt idx="1">
                  <c:v>-296.49863021709274</c:v>
                </c:pt>
                <c:pt idx="2">
                  <c:v>-317.66214266472616</c:v>
                </c:pt>
                <c:pt idx="3">
                  <c:v>-331.802764632736</c:v>
                </c:pt>
                <c:pt idx="4">
                  <c:v>-348.69440401523849</c:v>
                </c:pt>
                <c:pt idx="5">
                  <c:v>-376.62331661032351</c:v>
                </c:pt>
                <c:pt idx="6">
                  <c:v>-427.3135371895176</c:v>
                </c:pt>
                <c:pt idx="7">
                  <c:v>-633.93543623277378</c:v>
                </c:pt>
                <c:pt idx="8">
                  <c:v>-694.62562127335298</c:v>
                </c:pt>
                <c:pt idx="9">
                  <c:v>-756.71248312547812</c:v>
                </c:pt>
                <c:pt idx="10">
                  <c:v>-820.64242361931872</c:v>
                </c:pt>
                <c:pt idx="11">
                  <c:v>-886.61313474869678</c:v>
                </c:pt>
                <c:pt idx="12">
                  <c:v>-954.55722888938931</c:v>
                </c:pt>
                <c:pt idx="13">
                  <c:v>-1241.2463961793101</c:v>
                </c:pt>
                <c:pt idx="14">
                  <c:v>-1548.3325394869191</c:v>
                </c:pt>
                <c:pt idx="15">
                  <c:v>-1868.2017970383879</c:v>
                </c:pt>
                <c:pt idx="16">
                  <c:v>-1950.6611640188546</c:v>
                </c:pt>
                <c:pt idx="17">
                  <c:v>-2031.642201820147</c:v>
                </c:pt>
                <c:pt idx="18">
                  <c:v>-2114.4239196907956</c:v>
                </c:pt>
                <c:pt idx="19">
                  <c:v>-2195.893370256651</c:v>
                </c:pt>
                <c:pt idx="20">
                  <c:v>-2521.3622539169141</c:v>
                </c:pt>
                <c:pt idx="21">
                  <c:v>-2840.5449939642649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74B-47E8-A19D-44B695C09DB0}"/>
            </c:ext>
          </c:extLst>
        </c:ser>
        <c:ser>
          <c:idx val="3"/>
          <c:order val="3"/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ALL!$F$122:$AL$122</c:f>
              <c:numCache>
                <c:formatCode>0</c:formatCode>
                <c:ptCount val="33"/>
                <c:pt idx="0">
                  <c:v>298.2</c:v>
                </c:pt>
                <c:pt idx="1">
                  <c:v>331.5</c:v>
                </c:pt>
                <c:pt idx="2">
                  <c:v>364.9</c:v>
                </c:pt>
                <c:pt idx="3">
                  <c:v>398.3</c:v>
                </c:pt>
                <c:pt idx="4">
                  <c:v>431.7</c:v>
                </c:pt>
                <c:pt idx="5">
                  <c:v>465.1</c:v>
                </c:pt>
                <c:pt idx="6">
                  <c:v>498.5</c:v>
                </c:pt>
                <c:pt idx="7">
                  <c:v>531.79999999999995</c:v>
                </c:pt>
                <c:pt idx="8">
                  <c:v>565.20000000000005</c:v>
                </c:pt>
                <c:pt idx="9">
                  <c:v>598.6</c:v>
                </c:pt>
                <c:pt idx="10">
                  <c:v>632</c:v>
                </c:pt>
                <c:pt idx="11">
                  <c:v>665.4</c:v>
                </c:pt>
                <c:pt idx="12">
                  <c:v>698.8</c:v>
                </c:pt>
                <c:pt idx="13">
                  <c:v>832.3</c:v>
                </c:pt>
                <c:pt idx="14">
                  <c:v>965.8</c:v>
                </c:pt>
                <c:pt idx="15">
                  <c:v>1099</c:v>
                </c:pt>
                <c:pt idx="16">
                  <c:v>1133</c:v>
                </c:pt>
                <c:pt idx="17">
                  <c:v>1166</c:v>
                </c:pt>
                <c:pt idx="18">
                  <c:v>1200</c:v>
                </c:pt>
                <c:pt idx="19">
                  <c:v>1233</c:v>
                </c:pt>
                <c:pt idx="20">
                  <c:v>1366</c:v>
                </c:pt>
                <c:pt idx="21">
                  <c:v>1500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</c:numCache>
              <c:extLst xmlns:c15="http://schemas.microsoft.com/office/drawing/2012/chart"/>
            </c:numRef>
          </c:xVal>
          <c:yVal>
            <c:numRef>
              <c:f>ALL!$F$126:$AL$126</c:f>
              <c:numCache>
                <c:formatCode>General</c:formatCode>
                <c:ptCount val="33"/>
                <c:pt idx="0">
                  <c:v>-237.17563242849008</c:v>
                </c:pt>
                <c:pt idx="1">
                  <c:v>-223.93776305516852</c:v>
                </c:pt>
                <c:pt idx="2">
                  <c:v>-214.64619396559306</c:v>
                </c:pt>
                <c:pt idx="3">
                  <c:v>-213.66935487060803</c:v>
                </c:pt>
                <c:pt idx="4">
                  <c:v>-210.84385565810666</c:v>
                </c:pt>
                <c:pt idx="5">
                  <c:v>-198.75502852807628</c:v>
                </c:pt>
                <c:pt idx="6">
                  <c:v>-167.19800037095402</c:v>
                </c:pt>
                <c:pt idx="7">
                  <c:v>-1.2117102623154976</c:v>
                </c:pt>
                <c:pt idx="8">
                  <c:v>-1.3650164645147869E-4</c:v>
                </c:pt>
                <c:pt idx="9">
                  <c:v>-2.9459692420060309E-8</c:v>
                </c:pt>
                <c:pt idx="10">
                  <c:v>-1.1322046540359577E-11</c:v>
                </c:pt>
                <c:pt idx="11">
                  <c:v>-7.2298849711329807E-15</c:v>
                </c:pt>
                <c:pt idx="12">
                  <c:v>-7.2691758966830498E-18</c:v>
                </c:pt>
                <c:pt idx="13">
                  <c:v>-5.4507143372282674E-16</c:v>
                </c:pt>
                <c:pt idx="14">
                  <c:v>-1.1592660649777627E-12</c:v>
                </c:pt>
                <c:pt idx="15">
                  <c:v>-3.9101666271731005E-10</c:v>
                </c:pt>
                <c:pt idx="16">
                  <c:v>-1.3565096879857052E-9</c:v>
                </c:pt>
                <c:pt idx="17">
                  <c:v>-4.3817523993117614E-9</c:v>
                </c:pt>
                <c:pt idx="18">
                  <c:v>-1.3282872045240003E-8</c:v>
                </c:pt>
                <c:pt idx="19">
                  <c:v>-3.7912887357083108E-8</c:v>
                </c:pt>
                <c:pt idx="20">
                  <c:v>-1.5166645328986553E-6</c:v>
                </c:pt>
                <c:pt idx="21">
                  <c:v>-3.1696476619875006E-5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3-774B-47E8-A19D-44B695C09DB0}"/>
            </c:ext>
          </c:extLst>
        </c:ser>
        <c:ser>
          <c:idx val="5"/>
          <c:order val="5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ALL!$F$122:$AL$122</c:f>
              <c:numCache>
                <c:formatCode>0</c:formatCode>
                <c:ptCount val="33"/>
                <c:pt idx="0">
                  <c:v>298.2</c:v>
                </c:pt>
                <c:pt idx="1">
                  <c:v>331.5</c:v>
                </c:pt>
                <c:pt idx="2">
                  <c:v>364.9</c:v>
                </c:pt>
                <c:pt idx="3">
                  <c:v>398.3</c:v>
                </c:pt>
                <c:pt idx="4">
                  <c:v>431.7</c:v>
                </c:pt>
                <c:pt idx="5">
                  <c:v>465.1</c:v>
                </c:pt>
                <c:pt idx="6">
                  <c:v>498.5</c:v>
                </c:pt>
                <c:pt idx="7">
                  <c:v>531.79999999999995</c:v>
                </c:pt>
                <c:pt idx="8">
                  <c:v>565.20000000000005</c:v>
                </c:pt>
                <c:pt idx="9">
                  <c:v>598.6</c:v>
                </c:pt>
                <c:pt idx="10">
                  <c:v>632</c:v>
                </c:pt>
                <c:pt idx="11">
                  <c:v>665.4</c:v>
                </c:pt>
                <c:pt idx="12">
                  <c:v>698.8</c:v>
                </c:pt>
                <c:pt idx="13">
                  <c:v>832.3</c:v>
                </c:pt>
                <c:pt idx="14">
                  <c:v>965.8</c:v>
                </c:pt>
                <c:pt idx="15">
                  <c:v>1099</c:v>
                </c:pt>
                <c:pt idx="16">
                  <c:v>1133</c:v>
                </c:pt>
                <c:pt idx="17">
                  <c:v>1166</c:v>
                </c:pt>
                <c:pt idx="18">
                  <c:v>1200</c:v>
                </c:pt>
                <c:pt idx="19">
                  <c:v>1233</c:v>
                </c:pt>
                <c:pt idx="20">
                  <c:v>1366</c:v>
                </c:pt>
                <c:pt idx="21">
                  <c:v>1500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</c:numCache>
              <c:extLst xmlns:c15="http://schemas.microsoft.com/office/drawing/2012/chart"/>
            </c:numRef>
          </c:xVal>
          <c:yVal>
            <c:numRef>
              <c:f>ALL!$F$128:$AL$128</c:f>
              <c:numCache>
                <c:formatCode>General</c:formatCode>
                <c:ptCount val="33"/>
                <c:pt idx="0">
                  <c:v>-510.44785267394775</c:v>
                </c:pt>
                <c:pt idx="1">
                  <c:v>-520.43639327226128</c:v>
                </c:pt>
                <c:pt idx="2">
                  <c:v>-532.30833663031922</c:v>
                </c:pt>
                <c:pt idx="3">
                  <c:v>-545.47211950334406</c:v>
                </c:pt>
                <c:pt idx="4">
                  <c:v>-559.53825967334512</c:v>
                </c:pt>
                <c:pt idx="5">
                  <c:v>-575.37834513839982</c:v>
                </c:pt>
                <c:pt idx="6">
                  <c:v>-594.51153756047165</c:v>
                </c:pt>
                <c:pt idx="7">
                  <c:v>-635.14714649508926</c:v>
                </c:pt>
                <c:pt idx="8">
                  <c:v>-694.62575777499944</c:v>
                </c:pt>
                <c:pt idx="9">
                  <c:v>-756.71248315493779</c:v>
                </c:pt>
                <c:pt idx="10">
                  <c:v>-820.64242361933009</c:v>
                </c:pt>
                <c:pt idx="11">
                  <c:v>-886.61313474869678</c:v>
                </c:pt>
                <c:pt idx="12">
                  <c:v>-954.55722888938931</c:v>
                </c:pt>
                <c:pt idx="13">
                  <c:v>-1241.2463961793101</c:v>
                </c:pt>
                <c:pt idx="14">
                  <c:v>-1548.3325394869203</c:v>
                </c:pt>
                <c:pt idx="15">
                  <c:v>-1868.201797038779</c:v>
                </c:pt>
                <c:pt idx="16">
                  <c:v>-1950.6611640202111</c:v>
                </c:pt>
                <c:pt idx="17">
                  <c:v>-2031.6422018245287</c:v>
                </c:pt>
                <c:pt idx="18">
                  <c:v>-2114.4239197040783</c:v>
                </c:pt>
                <c:pt idx="19">
                  <c:v>-2195.8933702945637</c:v>
                </c:pt>
                <c:pt idx="20">
                  <c:v>-2521.3622554335789</c:v>
                </c:pt>
                <c:pt idx="21">
                  <c:v>-2840.5450256607414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5-774B-47E8-A19D-44B695C09DB0}"/>
            </c:ext>
          </c:extLst>
        </c:ser>
        <c:ser>
          <c:idx val="13"/>
          <c:order val="13"/>
          <c:tx>
            <c:v>temp</c:v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ALL!$A$114:$A$115</c:f>
              <c:numCache>
                <c:formatCode>General</c:formatCode>
                <c:ptCount val="2"/>
                <c:pt idx="0">
                  <c:v>700</c:v>
                </c:pt>
                <c:pt idx="1">
                  <c:v>700</c:v>
                </c:pt>
              </c:numCache>
            </c:numRef>
          </c:xVal>
          <c:yVal>
            <c:numRef>
              <c:f>ALL!$B$114:$B$115</c:f>
              <c:numCache>
                <c:formatCode>0</c:formatCode>
                <c:ptCount val="2"/>
                <c:pt idx="0">
                  <c:v>-2840.5449939642649</c:v>
                </c:pt>
                <c:pt idx="1">
                  <c:v>32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6EE-41A8-BB70-4DE407D00146}"/>
            </c:ext>
          </c:extLst>
        </c:ser>
        <c:ser>
          <c:idx val="14"/>
          <c:order val="14"/>
          <c:tx>
            <c:v>gibs</c:v>
          </c:tx>
          <c:spPr>
            <a:ln w="19050" cap="rnd">
              <a:noFill/>
              <a:round/>
            </a:ln>
            <a:effectLst/>
          </c:spPr>
          <c:marker>
            <c:symbol val="square"/>
            <c:size val="5"/>
            <c:spPr>
              <a:solidFill>
                <a:schemeClr val="tx1"/>
              </a:solidFill>
              <a:ln w="9525">
                <a:solidFill>
                  <a:schemeClr val="tx1"/>
                </a:solidFill>
              </a:ln>
              <a:effectLst/>
            </c:spPr>
          </c:marker>
          <c:xVal>
            <c:numRef>
              <c:f>ALL!$F$40:$AL$40</c:f>
              <c:numCache>
                <c:formatCode>General</c:formatCode>
                <c:ptCount val="33"/>
                <c:pt idx="0">
                  <c:v>298.2</c:v>
                </c:pt>
                <c:pt idx="1">
                  <c:v>331.5</c:v>
                </c:pt>
                <c:pt idx="2">
                  <c:v>364.9</c:v>
                </c:pt>
                <c:pt idx="3">
                  <c:v>398.3</c:v>
                </c:pt>
                <c:pt idx="4">
                  <c:v>431.7</c:v>
                </c:pt>
                <c:pt idx="5">
                  <c:v>465.1</c:v>
                </c:pt>
                <c:pt idx="6">
                  <c:v>498.5</c:v>
                </c:pt>
                <c:pt idx="7">
                  <c:v>531.79999999999995</c:v>
                </c:pt>
                <c:pt idx="8">
                  <c:v>565.20000000000005</c:v>
                </c:pt>
                <c:pt idx="9">
                  <c:v>598.6</c:v>
                </c:pt>
                <c:pt idx="10">
                  <c:v>632</c:v>
                </c:pt>
                <c:pt idx="11">
                  <c:v>665.4</c:v>
                </c:pt>
                <c:pt idx="12">
                  <c:v>698.8</c:v>
                </c:pt>
                <c:pt idx="13">
                  <c:v>832.3</c:v>
                </c:pt>
                <c:pt idx="14">
                  <c:v>965.8</c:v>
                </c:pt>
                <c:pt idx="15">
                  <c:v>1099</c:v>
                </c:pt>
                <c:pt idx="16">
                  <c:v>1133</c:v>
                </c:pt>
                <c:pt idx="17">
                  <c:v>1166</c:v>
                </c:pt>
                <c:pt idx="18">
                  <c:v>1200</c:v>
                </c:pt>
                <c:pt idx="19">
                  <c:v>1233</c:v>
                </c:pt>
                <c:pt idx="20">
                  <c:v>1366</c:v>
                </c:pt>
                <c:pt idx="21">
                  <c:v>1500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xVal>
          <c:yVal>
            <c:numRef>
              <c:f>ALL!$F$41:$AL$41</c:f>
              <c:numCache>
                <c:formatCode>0.0E+00</c:formatCode>
                <c:ptCount val="33"/>
                <c:pt idx="0">
                  <c:v>-510.44729271900002</c:v>
                </c:pt>
                <c:pt idx="1">
                  <c:v>-520.43639953499996</c:v>
                </c:pt>
                <c:pt idx="2">
                  <c:v>-532.30846622249999</c:v>
                </c:pt>
                <c:pt idx="3">
                  <c:v>-545.47323090610018</c:v>
                </c:pt>
                <c:pt idx="4">
                  <c:v>-559.54204891230006</c:v>
                </c:pt>
                <c:pt idx="5">
                  <c:v>-575.38064399585016</c:v>
                </c:pt>
                <c:pt idx="6">
                  <c:v>-594.51041306700006</c:v>
                </c:pt>
                <c:pt idx="7">
                  <c:v>-635.13922895730002</c:v>
                </c:pt>
                <c:pt idx="8">
                  <c:v>-694.62581974020009</c:v>
                </c:pt>
                <c:pt idx="9">
                  <c:v>-756.71547482780011</c:v>
                </c:pt>
                <c:pt idx="10">
                  <c:v>-820.64174864400013</c:v>
                </c:pt>
                <c:pt idx="11">
                  <c:v>-886.60755157260007</c:v>
                </c:pt>
                <c:pt idx="12">
                  <c:v>-954.55131972980007</c:v>
                </c:pt>
                <c:pt idx="13">
                  <c:v>-1241.2434293255499</c:v>
                </c:pt>
                <c:pt idx="14">
                  <c:v>-1548.3322346415</c:v>
                </c:pt>
                <c:pt idx="15">
                  <c:v>-1868.2017614890001</c:v>
                </c:pt>
                <c:pt idx="16">
                  <c:v>-1950.6611422760002</c:v>
                </c:pt>
                <c:pt idx="17">
                  <c:v>-2031.6421883340004</c:v>
                </c:pt>
                <c:pt idx="18">
                  <c:v>-2114.4239112000005</c:v>
                </c:pt>
                <c:pt idx="19">
                  <c:v>-2195.8933648455004</c:v>
                </c:pt>
                <c:pt idx="20">
                  <c:v>-2521.3622529170002</c:v>
                </c:pt>
                <c:pt idx="21">
                  <c:v>-2840.5449937500002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16EE-41A8-BB70-4DE407D001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03713984"/>
        <c:axId val="1103702336"/>
        <c:extLst>
          <c:ext xmlns:c15="http://schemas.microsoft.com/office/drawing/2012/chart" uri="{02D57815-91ED-43cb-92C2-25804820EDAC}">
            <c15:filteredScatterSeries>
              <c15:ser>
                <c:idx val="1"/>
                <c:order val="1"/>
                <c:spPr>
                  <a:ln w="19050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ALL!$F$122:$AL$122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298.2</c:v>
                      </c:pt>
                      <c:pt idx="1">
                        <c:v>331.5</c:v>
                      </c:pt>
                      <c:pt idx="2">
                        <c:v>364.9</c:v>
                      </c:pt>
                      <c:pt idx="3">
                        <c:v>398.3</c:v>
                      </c:pt>
                      <c:pt idx="4">
                        <c:v>431.7</c:v>
                      </c:pt>
                      <c:pt idx="5">
                        <c:v>465.1</c:v>
                      </c:pt>
                      <c:pt idx="6">
                        <c:v>498.5</c:v>
                      </c:pt>
                      <c:pt idx="7">
                        <c:v>531.79999999999995</c:v>
                      </c:pt>
                      <c:pt idx="8">
                        <c:v>565.20000000000005</c:v>
                      </c:pt>
                      <c:pt idx="9">
                        <c:v>598.6</c:v>
                      </c:pt>
                      <c:pt idx="10">
                        <c:v>632</c:v>
                      </c:pt>
                      <c:pt idx="11">
                        <c:v>665.4</c:v>
                      </c:pt>
                      <c:pt idx="12">
                        <c:v>698.8</c:v>
                      </c:pt>
                      <c:pt idx="13">
                        <c:v>832.3</c:v>
                      </c:pt>
                      <c:pt idx="14">
                        <c:v>965.8</c:v>
                      </c:pt>
                      <c:pt idx="15">
                        <c:v>1099</c:v>
                      </c:pt>
                      <c:pt idx="16">
                        <c:v>1133</c:v>
                      </c:pt>
                      <c:pt idx="17">
                        <c:v>1166</c:v>
                      </c:pt>
                      <c:pt idx="18">
                        <c:v>1200</c:v>
                      </c:pt>
                      <c:pt idx="19">
                        <c:v>1233</c:v>
                      </c:pt>
                      <c:pt idx="20">
                        <c:v>1366</c:v>
                      </c:pt>
                      <c:pt idx="21">
                        <c:v>1500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ALL!$F$124:$AL$124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1-774B-47E8-A19D-44B695C09DB0}"/>
                  </c:ext>
                </c:extLst>
              </c15:ser>
            </c15:filteredScatterSeries>
            <c15:filteredScatterSeries>
              <c15:ser>
                <c:idx val="2"/>
                <c:order val="2"/>
                <c:spPr>
                  <a:ln w="19050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ALL!$F$122:$AL$122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298.2</c:v>
                      </c:pt>
                      <c:pt idx="1">
                        <c:v>331.5</c:v>
                      </c:pt>
                      <c:pt idx="2">
                        <c:v>364.9</c:v>
                      </c:pt>
                      <c:pt idx="3">
                        <c:v>398.3</c:v>
                      </c:pt>
                      <c:pt idx="4">
                        <c:v>431.7</c:v>
                      </c:pt>
                      <c:pt idx="5">
                        <c:v>465.1</c:v>
                      </c:pt>
                      <c:pt idx="6">
                        <c:v>498.5</c:v>
                      </c:pt>
                      <c:pt idx="7">
                        <c:v>531.79999999999995</c:v>
                      </c:pt>
                      <c:pt idx="8">
                        <c:v>565.20000000000005</c:v>
                      </c:pt>
                      <c:pt idx="9">
                        <c:v>598.6</c:v>
                      </c:pt>
                      <c:pt idx="10">
                        <c:v>632</c:v>
                      </c:pt>
                      <c:pt idx="11">
                        <c:v>665.4</c:v>
                      </c:pt>
                      <c:pt idx="12">
                        <c:v>698.8</c:v>
                      </c:pt>
                      <c:pt idx="13">
                        <c:v>832.3</c:v>
                      </c:pt>
                      <c:pt idx="14">
                        <c:v>965.8</c:v>
                      </c:pt>
                      <c:pt idx="15">
                        <c:v>1099</c:v>
                      </c:pt>
                      <c:pt idx="16">
                        <c:v>1133</c:v>
                      </c:pt>
                      <c:pt idx="17">
                        <c:v>1166</c:v>
                      </c:pt>
                      <c:pt idx="18">
                        <c:v>1200</c:v>
                      </c:pt>
                      <c:pt idx="19">
                        <c:v>1233</c:v>
                      </c:pt>
                      <c:pt idx="20">
                        <c:v>1366</c:v>
                      </c:pt>
                      <c:pt idx="21">
                        <c:v>1500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ALL!$F$125:$AL$125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0</c:v>
                      </c:pt>
                      <c:pt idx="1">
                        <c:v>1</c:v>
                      </c:pt>
                      <c:pt idx="2">
                        <c:v>2</c:v>
                      </c:pt>
                      <c:pt idx="3">
                        <c:v>3</c:v>
                      </c:pt>
                      <c:pt idx="4">
                        <c:v>4</c:v>
                      </c:pt>
                      <c:pt idx="5">
                        <c:v>5</c:v>
                      </c:pt>
                      <c:pt idx="6">
                        <c:v>6</c:v>
                      </c:pt>
                      <c:pt idx="7">
                        <c:v>7</c:v>
                      </c:pt>
                      <c:pt idx="8">
                        <c:v>8</c:v>
                      </c:pt>
                      <c:pt idx="9">
                        <c:v>9</c:v>
                      </c:pt>
                      <c:pt idx="10">
                        <c:v>10</c:v>
                      </c:pt>
                      <c:pt idx="11">
                        <c:v>11</c:v>
                      </c:pt>
                      <c:pt idx="12">
                        <c:v>12</c:v>
                      </c:pt>
                      <c:pt idx="13">
                        <c:v>13</c:v>
                      </c:pt>
                      <c:pt idx="14">
                        <c:v>14</c:v>
                      </c:pt>
                      <c:pt idx="15">
                        <c:v>15</c:v>
                      </c:pt>
                      <c:pt idx="16">
                        <c:v>16</c:v>
                      </c:pt>
                      <c:pt idx="17">
                        <c:v>17</c:v>
                      </c:pt>
                      <c:pt idx="18">
                        <c:v>18</c:v>
                      </c:pt>
                      <c:pt idx="19">
                        <c:v>19</c:v>
                      </c:pt>
                      <c:pt idx="20">
                        <c:v>20</c:v>
                      </c:pt>
                      <c:pt idx="21">
                        <c:v>21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2-774B-47E8-A19D-44B695C09DB0}"/>
                  </c:ext>
                </c:extLst>
              </c15:ser>
            </c15:filteredScatterSeries>
            <c15:filteredScatterSeries>
              <c15:ser>
                <c:idx val="4"/>
                <c:order val="4"/>
                <c:spPr>
                  <a:ln w="19050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ALL!$F$122:$AL$122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298.2</c:v>
                      </c:pt>
                      <c:pt idx="1">
                        <c:v>331.5</c:v>
                      </c:pt>
                      <c:pt idx="2">
                        <c:v>364.9</c:v>
                      </c:pt>
                      <c:pt idx="3">
                        <c:v>398.3</c:v>
                      </c:pt>
                      <c:pt idx="4">
                        <c:v>431.7</c:v>
                      </c:pt>
                      <c:pt idx="5">
                        <c:v>465.1</c:v>
                      </c:pt>
                      <c:pt idx="6">
                        <c:v>498.5</c:v>
                      </c:pt>
                      <c:pt idx="7">
                        <c:v>531.79999999999995</c:v>
                      </c:pt>
                      <c:pt idx="8">
                        <c:v>565.20000000000005</c:v>
                      </c:pt>
                      <c:pt idx="9">
                        <c:v>598.6</c:v>
                      </c:pt>
                      <c:pt idx="10">
                        <c:v>632</c:v>
                      </c:pt>
                      <c:pt idx="11">
                        <c:v>665.4</c:v>
                      </c:pt>
                      <c:pt idx="12">
                        <c:v>698.8</c:v>
                      </c:pt>
                      <c:pt idx="13">
                        <c:v>832.3</c:v>
                      </c:pt>
                      <c:pt idx="14">
                        <c:v>965.8</c:v>
                      </c:pt>
                      <c:pt idx="15">
                        <c:v>1099</c:v>
                      </c:pt>
                      <c:pt idx="16">
                        <c:v>1133</c:v>
                      </c:pt>
                      <c:pt idx="17">
                        <c:v>1166</c:v>
                      </c:pt>
                      <c:pt idx="18">
                        <c:v>1200</c:v>
                      </c:pt>
                      <c:pt idx="19">
                        <c:v>1233</c:v>
                      </c:pt>
                      <c:pt idx="20">
                        <c:v>1366</c:v>
                      </c:pt>
                      <c:pt idx="21">
                        <c:v>1500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ALL!$F$127:$AL$127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-315.19357914849002</c:v>
                      </c:pt>
                      <c:pt idx="1">
                        <c:v>-310.62203784266853</c:v>
                      </c:pt>
                      <c:pt idx="2">
                        <c:v>-310.21596704059306</c:v>
                      </c:pt>
                      <c:pt idx="3">
                        <c:v>-318.20759108560804</c:v>
                      </c:pt>
                      <c:pt idx="4">
                        <c:v>-324.44740508060664</c:v>
                      </c:pt>
                      <c:pt idx="5">
                        <c:v>-321.47017520807628</c:v>
                      </c:pt>
                      <c:pt idx="6">
                        <c:v>-298.93286908345408</c:v>
                      </c:pt>
                      <c:pt idx="7">
                        <c:v>-140.93588502231555</c:v>
                      </c:pt>
                      <c:pt idx="8">
                        <c:v>-149.04802527164651</c:v>
                      </c:pt>
                      <c:pt idx="9">
                        <c:v>-158.43640047945976</c:v>
                      </c:pt>
                      <c:pt idx="10">
                        <c:v>-167.88970980001136</c:v>
                      </c:pt>
                      <c:pt idx="11">
                        <c:v>-177.40781682000005</c:v>
                      </c:pt>
                      <c:pt idx="12">
                        <c:v>-186.99072151000004</c:v>
                      </c:pt>
                      <c:pt idx="13">
                        <c:v>-225.71249818250007</c:v>
                      </c:pt>
                      <c:pt idx="14">
                        <c:v>-265.26242677000118</c:v>
                      </c:pt>
                      <c:pt idx="15">
                        <c:v>-305.34931962539105</c:v>
                      </c:pt>
                      <c:pt idx="16">
                        <c:v>-315.73801022635661</c:v>
                      </c:pt>
                      <c:pt idx="17">
                        <c:v>-325.74215520438185</c:v>
                      </c:pt>
                      <c:pt idx="18">
                        <c:v>-336.072090013283</c:v>
                      </c:pt>
                      <c:pt idx="19">
                        <c:v>-346.16838738791296</c:v>
                      </c:pt>
                      <c:pt idx="20">
                        <c:v>-387.29440021666471</c:v>
                      </c:pt>
                      <c:pt idx="21">
                        <c:v>-429.23609419647676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4-774B-47E8-A19D-44B695C09DB0}"/>
                  </c:ext>
                </c:extLst>
              </c15:ser>
            </c15:filteredScatterSeries>
            <c15:filteredScatterSeries>
              <c15:ser>
                <c:idx val="6"/>
                <c:order val="6"/>
                <c:spPr>
                  <a:ln w="19050" cap="rnd">
                    <a:solidFill>
                      <a:schemeClr val="accent1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ALL!$F$122:$AL$122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298.2</c:v>
                      </c:pt>
                      <c:pt idx="1">
                        <c:v>331.5</c:v>
                      </c:pt>
                      <c:pt idx="2">
                        <c:v>364.9</c:v>
                      </c:pt>
                      <c:pt idx="3">
                        <c:v>398.3</c:v>
                      </c:pt>
                      <c:pt idx="4">
                        <c:v>431.7</c:v>
                      </c:pt>
                      <c:pt idx="5">
                        <c:v>465.1</c:v>
                      </c:pt>
                      <c:pt idx="6">
                        <c:v>498.5</c:v>
                      </c:pt>
                      <c:pt idx="7">
                        <c:v>531.79999999999995</c:v>
                      </c:pt>
                      <c:pt idx="8">
                        <c:v>565.20000000000005</c:v>
                      </c:pt>
                      <c:pt idx="9">
                        <c:v>598.6</c:v>
                      </c:pt>
                      <c:pt idx="10">
                        <c:v>632</c:v>
                      </c:pt>
                      <c:pt idx="11">
                        <c:v>665.4</c:v>
                      </c:pt>
                      <c:pt idx="12">
                        <c:v>698.8</c:v>
                      </c:pt>
                      <c:pt idx="13">
                        <c:v>832.3</c:v>
                      </c:pt>
                      <c:pt idx="14">
                        <c:v>965.8</c:v>
                      </c:pt>
                      <c:pt idx="15">
                        <c:v>1099</c:v>
                      </c:pt>
                      <c:pt idx="16">
                        <c:v>1133</c:v>
                      </c:pt>
                      <c:pt idx="17">
                        <c:v>1166</c:v>
                      </c:pt>
                      <c:pt idx="18">
                        <c:v>1200</c:v>
                      </c:pt>
                      <c:pt idx="19">
                        <c:v>1233</c:v>
                      </c:pt>
                      <c:pt idx="20">
                        <c:v>1366</c:v>
                      </c:pt>
                      <c:pt idx="21">
                        <c:v>1500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ALL!$F$129:$AL$129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-237.17563242849008</c:v>
                      </c:pt>
                      <c:pt idx="1">
                        <c:v>-223.93776305516852</c:v>
                      </c:pt>
                      <c:pt idx="2">
                        <c:v>-214.64619396559306</c:v>
                      </c:pt>
                      <c:pt idx="3">
                        <c:v>-213.66935487060803</c:v>
                      </c:pt>
                      <c:pt idx="4">
                        <c:v>-210.84385565810666</c:v>
                      </c:pt>
                      <c:pt idx="5">
                        <c:v>-198.75502852807628</c:v>
                      </c:pt>
                      <c:pt idx="6">
                        <c:v>-167.19800037095402</c:v>
                      </c:pt>
                      <c:pt idx="7">
                        <c:v>-1.2117102623154976</c:v>
                      </c:pt>
                      <c:pt idx="8">
                        <c:v>-1.3650164645147869E-4</c:v>
                      </c:pt>
                      <c:pt idx="9">
                        <c:v>-2.9459692420060309E-8</c:v>
                      </c:pt>
                      <c:pt idx="10">
                        <c:v>-1.1322046540359577E-11</c:v>
                      </c:pt>
                      <c:pt idx="11">
                        <c:v>-7.2298849711329807E-15</c:v>
                      </c:pt>
                      <c:pt idx="12">
                        <c:v>-7.2691758966830498E-18</c:v>
                      </c:pt>
                      <c:pt idx="13">
                        <c:v>-5.4507143372282674E-16</c:v>
                      </c:pt>
                      <c:pt idx="14">
                        <c:v>-1.1592660649777627E-12</c:v>
                      </c:pt>
                      <c:pt idx="15">
                        <c:v>-3.9101666271731005E-10</c:v>
                      </c:pt>
                      <c:pt idx="16">
                        <c:v>-1.3565096879857052E-9</c:v>
                      </c:pt>
                      <c:pt idx="17">
                        <c:v>-4.3817523993117614E-9</c:v>
                      </c:pt>
                      <c:pt idx="18">
                        <c:v>-1.3282872045240003E-8</c:v>
                      </c:pt>
                      <c:pt idx="19">
                        <c:v>-3.7912887357083108E-8</c:v>
                      </c:pt>
                      <c:pt idx="20">
                        <c:v>-1.5166645328986553E-6</c:v>
                      </c:pt>
                      <c:pt idx="21">
                        <c:v>-3.1696476619875006E-5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6-774B-47E8-A19D-44B695C09DB0}"/>
                  </c:ext>
                </c:extLst>
              </c15:ser>
            </c15:filteredScatterSeries>
            <c15:filteredScatterSeries>
              <c15:ser>
                <c:idx val="7"/>
                <c:order val="7"/>
                <c:spPr>
                  <a:ln w="19050" cap="rnd">
                    <a:solidFill>
                      <a:schemeClr val="accent2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ALL!$F$122:$AL$122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298.2</c:v>
                      </c:pt>
                      <c:pt idx="1">
                        <c:v>331.5</c:v>
                      </c:pt>
                      <c:pt idx="2">
                        <c:v>364.9</c:v>
                      </c:pt>
                      <c:pt idx="3">
                        <c:v>398.3</c:v>
                      </c:pt>
                      <c:pt idx="4">
                        <c:v>431.7</c:v>
                      </c:pt>
                      <c:pt idx="5">
                        <c:v>465.1</c:v>
                      </c:pt>
                      <c:pt idx="6">
                        <c:v>498.5</c:v>
                      </c:pt>
                      <c:pt idx="7">
                        <c:v>531.79999999999995</c:v>
                      </c:pt>
                      <c:pt idx="8">
                        <c:v>565.20000000000005</c:v>
                      </c:pt>
                      <c:pt idx="9">
                        <c:v>598.6</c:v>
                      </c:pt>
                      <c:pt idx="10">
                        <c:v>632</c:v>
                      </c:pt>
                      <c:pt idx="11">
                        <c:v>665.4</c:v>
                      </c:pt>
                      <c:pt idx="12">
                        <c:v>698.8</c:v>
                      </c:pt>
                      <c:pt idx="13">
                        <c:v>832.3</c:v>
                      </c:pt>
                      <c:pt idx="14">
                        <c:v>965.8</c:v>
                      </c:pt>
                      <c:pt idx="15">
                        <c:v>1099</c:v>
                      </c:pt>
                      <c:pt idx="16">
                        <c:v>1133</c:v>
                      </c:pt>
                      <c:pt idx="17">
                        <c:v>1166</c:v>
                      </c:pt>
                      <c:pt idx="18">
                        <c:v>1200</c:v>
                      </c:pt>
                      <c:pt idx="19">
                        <c:v>1233</c:v>
                      </c:pt>
                      <c:pt idx="20">
                        <c:v>1366</c:v>
                      </c:pt>
                      <c:pt idx="21">
                        <c:v>1500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ALL!$F$130:$AL$130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774B-47E8-A19D-44B695C09DB0}"/>
                  </c:ext>
                </c:extLst>
              </c15:ser>
            </c15:filteredScatterSeries>
            <c15:filteredScatterSeries>
              <c15:ser>
                <c:idx val="8"/>
                <c:order val="8"/>
                <c:spPr>
                  <a:ln w="19050" cap="rnd">
                    <a:solidFill>
                      <a:schemeClr val="accent3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ALL!$F$122:$AL$122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298.2</c:v>
                      </c:pt>
                      <c:pt idx="1">
                        <c:v>331.5</c:v>
                      </c:pt>
                      <c:pt idx="2">
                        <c:v>364.9</c:v>
                      </c:pt>
                      <c:pt idx="3">
                        <c:v>398.3</c:v>
                      </c:pt>
                      <c:pt idx="4">
                        <c:v>431.7</c:v>
                      </c:pt>
                      <c:pt idx="5">
                        <c:v>465.1</c:v>
                      </c:pt>
                      <c:pt idx="6">
                        <c:v>498.5</c:v>
                      </c:pt>
                      <c:pt idx="7">
                        <c:v>531.79999999999995</c:v>
                      </c:pt>
                      <c:pt idx="8">
                        <c:v>565.20000000000005</c:v>
                      </c:pt>
                      <c:pt idx="9">
                        <c:v>598.6</c:v>
                      </c:pt>
                      <c:pt idx="10">
                        <c:v>632</c:v>
                      </c:pt>
                      <c:pt idx="11">
                        <c:v>665.4</c:v>
                      </c:pt>
                      <c:pt idx="12">
                        <c:v>698.8</c:v>
                      </c:pt>
                      <c:pt idx="13">
                        <c:v>832.3</c:v>
                      </c:pt>
                      <c:pt idx="14">
                        <c:v>965.8</c:v>
                      </c:pt>
                      <c:pt idx="15">
                        <c:v>1099</c:v>
                      </c:pt>
                      <c:pt idx="16">
                        <c:v>1133</c:v>
                      </c:pt>
                      <c:pt idx="17">
                        <c:v>1166</c:v>
                      </c:pt>
                      <c:pt idx="18">
                        <c:v>1200</c:v>
                      </c:pt>
                      <c:pt idx="19">
                        <c:v>1233</c:v>
                      </c:pt>
                      <c:pt idx="20">
                        <c:v>1366</c:v>
                      </c:pt>
                      <c:pt idx="21">
                        <c:v>1500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ALL!$F$131:$AL$131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774B-47E8-A19D-44B695C09DB0}"/>
                  </c:ext>
                </c:extLst>
              </c15:ser>
            </c15:filteredScatterSeries>
            <c15:filteredScatterSeries>
              <c15:ser>
                <c:idx val="9"/>
                <c:order val="9"/>
                <c:spPr>
                  <a:ln w="19050" cap="rnd">
                    <a:solidFill>
                      <a:schemeClr val="accent4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ALL!$F$122:$AL$122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298.2</c:v>
                      </c:pt>
                      <c:pt idx="1">
                        <c:v>331.5</c:v>
                      </c:pt>
                      <c:pt idx="2">
                        <c:v>364.9</c:v>
                      </c:pt>
                      <c:pt idx="3">
                        <c:v>398.3</c:v>
                      </c:pt>
                      <c:pt idx="4">
                        <c:v>431.7</c:v>
                      </c:pt>
                      <c:pt idx="5">
                        <c:v>465.1</c:v>
                      </c:pt>
                      <c:pt idx="6">
                        <c:v>498.5</c:v>
                      </c:pt>
                      <c:pt idx="7">
                        <c:v>531.79999999999995</c:v>
                      </c:pt>
                      <c:pt idx="8">
                        <c:v>565.20000000000005</c:v>
                      </c:pt>
                      <c:pt idx="9">
                        <c:v>598.6</c:v>
                      </c:pt>
                      <c:pt idx="10">
                        <c:v>632</c:v>
                      </c:pt>
                      <c:pt idx="11">
                        <c:v>665.4</c:v>
                      </c:pt>
                      <c:pt idx="12">
                        <c:v>698.8</c:v>
                      </c:pt>
                      <c:pt idx="13">
                        <c:v>832.3</c:v>
                      </c:pt>
                      <c:pt idx="14">
                        <c:v>965.8</c:v>
                      </c:pt>
                      <c:pt idx="15">
                        <c:v>1099</c:v>
                      </c:pt>
                      <c:pt idx="16">
                        <c:v>1133</c:v>
                      </c:pt>
                      <c:pt idx="17">
                        <c:v>1166</c:v>
                      </c:pt>
                      <c:pt idx="18">
                        <c:v>1200</c:v>
                      </c:pt>
                      <c:pt idx="19">
                        <c:v>1233</c:v>
                      </c:pt>
                      <c:pt idx="20">
                        <c:v>1366</c:v>
                      </c:pt>
                      <c:pt idx="21">
                        <c:v>1500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ALL!$F$132:$AL$132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774B-47E8-A19D-44B695C09DB0}"/>
                  </c:ext>
                </c:extLst>
              </c15:ser>
            </c15:filteredScatterSeries>
            <c15:filteredScatterSeries>
              <c15:ser>
                <c:idx val="10"/>
                <c:order val="10"/>
                <c:spPr>
                  <a:ln w="19050" cap="rnd">
                    <a:solidFill>
                      <a:schemeClr val="accent5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ALL!$F$122:$AL$122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298.2</c:v>
                      </c:pt>
                      <c:pt idx="1">
                        <c:v>331.5</c:v>
                      </c:pt>
                      <c:pt idx="2">
                        <c:v>364.9</c:v>
                      </c:pt>
                      <c:pt idx="3">
                        <c:v>398.3</c:v>
                      </c:pt>
                      <c:pt idx="4">
                        <c:v>431.7</c:v>
                      </c:pt>
                      <c:pt idx="5">
                        <c:v>465.1</c:v>
                      </c:pt>
                      <c:pt idx="6">
                        <c:v>498.5</c:v>
                      </c:pt>
                      <c:pt idx="7">
                        <c:v>531.79999999999995</c:v>
                      </c:pt>
                      <c:pt idx="8">
                        <c:v>565.20000000000005</c:v>
                      </c:pt>
                      <c:pt idx="9">
                        <c:v>598.6</c:v>
                      </c:pt>
                      <c:pt idx="10">
                        <c:v>632</c:v>
                      </c:pt>
                      <c:pt idx="11">
                        <c:v>665.4</c:v>
                      </c:pt>
                      <c:pt idx="12">
                        <c:v>698.8</c:v>
                      </c:pt>
                      <c:pt idx="13">
                        <c:v>832.3</c:v>
                      </c:pt>
                      <c:pt idx="14">
                        <c:v>965.8</c:v>
                      </c:pt>
                      <c:pt idx="15">
                        <c:v>1099</c:v>
                      </c:pt>
                      <c:pt idx="16">
                        <c:v>1133</c:v>
                      </c:pt>
                      <c:pt idx="17">
                        <c:v>1166</c:v>
                      </c:pt>
                      <c:pt idx="18">
                        <c:v>1200</c:v>
                      </c:pt>
                      <c:pt idx="19">
                        <c:v>1233</c:v>
                      </c:pt>
                      <c:pt idx="20">
                        <c:v>1366</c:v>
                      </c:pt>
                      <c:pt idx="21">
                        <c:v>1500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ALL!$F$133:$AL$133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A-774B-47E8-A19D-44B695C09DB0}"/>
                  </c:ext>
                </c:extLst>
              </c15:ser>
            </c15:filteredScatterSeries>
            <c15:filteredScatterSeries>
              <c15:ser>
                <c:idx val="11"/>
                <c:order val="11"/>
                <c:spPr>
                  <a:ln w="19050" cap="rnd">
                    <a:solidFill>
                      <a:schemeClr val="accent6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ALL!$F$122:$AL$122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298.2</c:v>
                      </c:pt>
                      <c:pt idx="1">
                        <c:v>331.5</c:v>
                      </c:pt>
                      <c:pt idx="2">
                        <c:v>364.9</c:v>
                      </c:pt>
                      <c:pt idx="3">
                        <c:v>398.3</c:v>
                      </c:pt>
                      <c:pt idx="4">
                        <c:v>431.7</c:v>
                      </c:pt>
                      <c:pt idx="5">
                        <c:v>465.1</c:v>
                      </c:pt>
                      <c:pt idx="6">
                        <c:v>498.5</c:v>
                      </c:pt>
                      <c:pt idx="7">
                        <c:v>531.79999999999995</c:v>
                      </c:pt>
                      <c:pt idx="8">
                        <c:v>565.20000000000005</c:v>
                      </c:pt>
                      <c:pt idx="9">
                        <c:v>598.6</c:v>
                      </c:pt>
                      <c:pt idx="10">
                        <c:v>632</c:v>
                      </c:pt>
                      <c:pt idx="11">
                        <c:v>665.4</c:v>
                      </c:pt>
                      <c:pt idx="12">
                        <c:v>698.8</c:v>
                      </c:pt>
                      <c:pt idx="13">
                        <c:v>832.3</c:v>
                      </c:pt>
                      <c:pt idx="14">
                        <c:v>965.8</c:v>
                      </c:pt>
                      <c:pt idx="15">
                        <c:v>1099</c:v>
                      </c:pt>
                      <c:pt idx="16">
                        <c:v>1133</c:v>
                      </c:pt>
                      <c:pt idx="17">
                        <c:v>1166</c:v>
                      </c:pt>
                      <c:pt idx="18">
                        <c:v>1200</c:v>
                      </c:pt>
                      <c:pt idx="19">
                        <c:v>1233</c:v>
                      </c:pt>
                      <c:pt idx="20">
                        <c:v>1366</c:v>
                      </c:pt>
                      <c:pt idx="21">
                        <c:v>1500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ALL!$F$134:$AL$134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B-774B-47E8-A19D-44B695C09DB0}"/>
                  </c:ext>
                </c:extLst>
              </c15:ser>
            </c15:filteredScatterSeries>
            <c15:filteredScatterSeries>
              <c15:ser>
                <c:idx val="12"/>
                <c:order val="12"/>
                <c:spPr>
                  <a:ln w="19050" cap="rnd">
                    <a:solidFill>
                      <a:schemeClr val="accent1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ALL!$F$122:$AL$122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298.2</c:v>
                      </c:pt>
                      <c:pt idx="1">
                        <c:v>331.5</c:v>
                      </c:pt>
                      <c:pt idx="2">
                        <c:v>364.9</c:v>
                      </c:pt>
                      <c:pt idx="3">
                        <c:v>398.3</c:v>
                      </c:pt>
                      <c:pt idx="4">
                        <c:v>431.7</c:v>
                      </c:pt>
                      <c:pt idx="5">
                        <c:v>465.1</c:v>
                      </c:pt>
                      <c:pt idx="6">
                        <c:v>498.5</c:v>
                      </c:pt>
                      <c:pt idx="7">
                        <c:v>531.79999999999995</c:v>
                      </c:pt>
                      <c:pt idx="8">
                        <c:v>565.20000000000005</c:v>
                      </c:pt>
                      <c:pt idx="9">
                        <c:v>598.6</c:v>
                      </c:pt>
                      <c:pt idx="10">
                        <c:v>632</c:v>
                      </c:pt>
                      <c:pt idx="11">
                        <c:v>665.4</c:v>
                      </c:pt>
                      <c:pt idx="12">
                        <c:v>698.8</c:v>
                      </c:pt>
                      <c:pt idx="13">
                        <c:v>832.3</c:v>
                      </c:pt>
                      <c:pt idx="14">
                        <c:v>965.8</c:v>
                      </c:pt>
                      <c:pt idx="15">
                        <c:v>1099</c:v>
                      </c:pt>
                      <c:pt idx="16">
                        <c:v>1133</c:v>
                      </c:pt>
                      <c:pt idx="17">
                        <c:v>1166</c:v>
                      </c:pt>
                      <c:pt idx="18">
                        <c:v>1200</c:v>
                      </c:pt>
                      <c:pt idx="19">
                        <c:v>1233</c:v>
                      </c:pt>
                      <c:pt idx="20">
                        <c:v>1366</c:v>
                      </c:pt>
                      <c:pt idx="21">
                        <c:v>1500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ALL!$F$135:$AL$135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C-774B-47E8-A19D-44B695C09DB0}"/>
                  </c:ext>
                </c:extLst>
              </c15:ser>
            </c15:filteredScatterSeries>
          </c:ext>
        </c:extLst>
      </c:scatterChart>
      <c:valAx>
        <c:axId val="1103713984"/>
        <c:scaling>
          <c:orientation val="minMax"/>
          <c:max val="1000"/>
          <c:min val="3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103702336"/>
        <c:crosses val="autoZero"/>
        <c:crossBetween val="midCat"/>
      </c:valAx>
      <c:valAx>
        <c:axId val="1103702336"/>
        <c:scaling>
          <c:orientation val="minMax"/>
          <c:max val="1"/>
          <c:min val="-10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103713984"/>
        <c:crosses val="autoZero"/>
        <c:crossBetween val="midCat"/>
        <c:majorUnit val="200"/>
      </c:valAx>
      <c:spPr>
        <a:noFill/>
        <a:ln>
          <a:noFill/>
        </a:ln>
        <a:effectLst/>
      </c:spPr>
    </c:plotArea>
    <c:plotVisOnly val="0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2554091312569232"/>
          <c:y val="8.2117355881280038E-2"/>
          <c:w val="0.83553361749524424"/>
          <c:h val="0.77107340657712931"/>
        </c:manualLayout>
      </c:layout>
      <c:scatterChart>
        <c:scatterStyle val="lineMarker"/>
        <c:varyColors val="0"/>
        <c:ser>
          <c:idx val="0"/>
          <c:order val="0"/>
          <c:tx>
            <c:strRef>
              <c:f>ALL!$E$4</c:f>
              <c:strCache>
                <c:ptCount val="1"/>
                <c:pt idx="0">
                  <c:v>*GeSe</c:v>
                </c:pt>
              </c:strCache>
              <c:extLst xmlns:c15="http://schemas.microsoft.com/office/drawing/2012/chart"/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ALL!$F$3:$AL$3</c:f>
              <c:numCache>
                <c:formatCode>General</c:formatCode>
                <c:ptCount val="33"/>
                <c:pt idx="0">
                  <c:v>298.2</c:v>
                </c:pt>
                <c:pt idx="1">
                  <c:v>331.5</c:v>
                </c:pt>
                <c:pt idx="2">
                  <c:v>364.9</c:v>
                </c:pt>
                <c:pt idx="3">
                  <c:v>398.3</c:v>
                </c:pt>
                <c:pt idx="4">
                  <c:v>431.7</c:v>
                </c:pt>
                <c:pt idx="5">
                  <c:v>465.1</c:v>
                </c:pt>
                <c:pt idx="6">
                  <c:v>498.5</c:v>
                </c:pt>
                <c:pt idx="7">
                  <c:v>531.79999999999995</c:v>
                </c:pt>
                <c:pt idx="8">
                  <c:v>565.20000000000005</c:v>
                </c:pt>
                <c:pt idx="9">
                  <c:v>598.6</c:v>
                </c:pt>
                <c:pt idx="10">
                  <c:v>632</c:v>
                </c:pt>
                <c:pt idx="11">
                  <c:v>665.4</c:v>
                </c:pt>
                <c:pt idx="12">
                  <c:v>698.8</c:v>
                </c:pt>
                <c:pt idx="13">
                  <c:v>832.3</c:v>
                </c:pt>
                <c:pt idx="14">
                  <c:v>965.8</c:v>
                </c:pt>
                <c:pt idx="15">
                  <c:v>1099</c:v>
                </c:pt>
                <c:pt idx="16">
                  <c:v>1133</c:v>
                </c:pt>
                <c:pt idx="17">
                  <c:v>1166</c:v>
                </c:pt>
                <c:pt idx="18">
                  <c:v>1200</c:v>
                </c:pt>
                <c:pt idx="19">
                  <c:v>1233</c:v>
                </c:pt>
                <c:pt idx="20">
                  <c:v>1366</c:v>
                </c:pt>
                <c:pt idx="21">
                  <c:v>1500</c:v>
                </c:pt>
              </c:numCache>
              <c:extLst xmlns:c15="http://schemas.microsoft.com/office/drawing/2012/chart"/>
            </c:numRef>
          </c:xVal>
          <c:yVal>
            <c:numRef>
              <c:f>ALL!$F$4:$AL$4</c:f>
              <c:numCache>
                <c:formatCode>0.0E+00</c:formatCode>
                <c:ptCount val="33"/>
                <c:pt idx="0">
                  <c:v>3.4126E-9</c:v>
                </c:pt>
                <c:pt idx="1">
                  <c:v>6.8971000000000001E-9</c:v>
                </c:pt>
                <c:pt idx="2">
                  <c:v>1.2251999999999999E-8</c:v>
                </c:pt>
                <c:pt idx="3">
                  <c:v>9.8437000000000007E-9</c:v>
                </c:pt>
                <c:pt idx="4">
                  <c:v>7.0928999999999998E-9</c:v>
                </c:pt>
                <c:pt idx="5">
                  <c:v>1.4511000000000001E-11</c:v>
                </c:pt>
                <c:pt idx="6">
                  <c:v>7.7667000000000001E-23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0-AE7A-412E-BBF5-89E233391AB6}"/>
            </c:ext>
          </c:extLst>
        </c:ser>
        <c:ser>
          <c:idx val="1"/>
          <c:order val="1"/>
          <c:tx>
            <c:strRef>
              <c:f>ALL!$E$5</c:f>
              <c:strCache>
                <c:ptCount val="1"/>
                <c:pt idx="0">
                  <c:v>*Se[m]</c:v>
                </c:pt>
              </c:strCache>
              <c:extLst xmlns:c15="http://schemas.microsoft.com/office/drawing/2012/chart"/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ALL!$F$3:$AL$3</c:f>
              <c:numCache>
                <c:formatCode>General</c:formatCode>
                <c:ptCount val="33"/>
                <c:pt idx="0">
                  <c:v>298.2</c:v>
                </c:pt>
                <c:pt idx="1">
                  <c:v>331.5</c:v>
                </c:pt>
                <c:pt idx="2">
                  <c:v>364.9</c:v>
                </c:pt>
                <c:pt idx="3">
                  <c:v>398.3</c:v>
                </c:pt>
                <c:pt idx="4">
                  <c:v>431.7</c:v>
                </c:pt>
                <c:pt idx="5">
                  <c:v>465.1</c:v>
                </c:pt>
                <c:pt idx="6">
                  <c:v>498.5</c:v>
                </c:pt>
                <c:pt idx="7">
                  <c:v>531.79999999999995</c:v>
                </c:pt>
                <c:pt idx="8">
                  <c:v>565.20000000000005</c:v>
                </c:pt>
                <c:pt idx="9">
                  <c:v>598.6</c:v>
                </c:pt>
                <c:pt idx="10">
                  <c:v>632</c:v>
                </c:pt>
                <c:pt idx="11">
                  <c:v>665.4</c:v>
                </c:pt>
                <c:pt idx="12">
                  <c:v>698.8</c:v>
                </c:pt>
                <c:pt idx="13">
                  <c:v>832.3</c:v>
                </c:pt>
                <c:pt idx="14">
                  <c:v>965.8</c:v>
                </c:pt>
                <c:pt idx="15">
                  <c:v>1099</c:v>
                </c:pt>
                <c:pt idx="16">
                  <c:v>1133</c:v>
                </c:pt>
                <c:pt idx="17">
                  <c:v>1166</c:v>
                </c:pt>
                <c:pt idx="18">
                  <c:v>1200</c:v>
                </c:pt>
                <c:pt idx="19">
                  <c:v>1233</c:v>
                </c:pt>
                <c:pt idx="20">
                  <c:v>1366</c:v>
                </c:pt>
                <c:pt idx="21">
                  <c:v>1500</c:v>
                </c:pt>
              </c:numCache>
              <c:extLst xmlns:c15="http://schemas.microsoft.com/office/drawing/2012/chart"/>
            </c:numRef>
          </c:xVal>
          <c:yVal>
            <c:numRef>
              <c:f>ALL!$F$5:$AL$5</c:f>
              <c:numCache>
                <c:formatCode>0.0E+00</c:formatCode>
                <c:ptCount val="33"/>
                <c:pt idx="0">
                  <c:v>7.6016999999999998E-31</c:v>
                </c:pt>
                <c:pt idx="1">
                  <c:v>2.9062E-21</c:v>
                </c:pt>
                <c:pt idx="2">
                  <c:v>1.2167E-17</c:v>
                </c:pt>
                <c:pt idx="3">
                  <c:v>3.46E-16</c:v>
                </c:pt>
                <c:pt idx="4">
                  <c:v>7.1997000000000001E-13</c:v>
                </c:pt>
                <c:pt idx="5">
                  <c:v>1.5125000000000001E-9</c:v>
                </c:pt>
                <c:pt idx="6">
                  <c:v>7.1831999999999998E-9</c:v>
                </c:pt>
                <c:pt idx="7">
                  <c:v>2.7564000000000001E-8</c:v>
                </c:pt>
                <c:pt idx="8">
                  <c:v>2.1766000000000001E-8</c:v>
                </c:pt>
                <c:pt idx="9">
                  <c:v>2.3666000000000002E-8</c:v>
                </c:pt>
                <c:pt idx="10">
                  <c:v>2.4103000000000001E-8</c:v>
                </c:pt>
                <c:pt idx="11">
                  <c:v>2.3997E-8</c:v>
                </c:pt>
                <c:pt idx="12">
                  <c:v>2.3738999999999998E-8</c:v>
                </c:pt>
                <c:pt idx="13">
                  <c:v>2.1979000000000001E-8</c:v>
                </c:pt>
                <c:pt idx="14">
                  <c:v>2.1196E-8</c:v>
                </c:pt>
                <c:pt idx="15">
                  <c:v>2.1174999999999999E-8</c:v>
                </c:pt>
                <c:pt idx="16">
                  <c:v>2.1165999999999999E-8</c:v>
                </c:pt>
                <c:pt idx="17">
                  <c:v>2.1155E-8</c:v>
                </c:pt>
                <c:pt idx="18">
                  <c:v>2.1212999999999999E-8</c:v>
                </c:pt>
                <c:pt idx="19">
                  <c:v>2.1276999999999999E-8</c:v>
                </c:pt>
                <c:pt idx="20">
                  <c:v>2.1562000000000001E-8</c:v>
                </c:pt>
                <c:pt idx="21">
                  <c:v>2.1891000000000001E-8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AE7A-412E-BBF5-89E233391AB6}"/>
            </c:ext>
          </c:extLst>
        </c:ser>
        <c:ser>
          <c:idx val="2"/>
          <c:order val="2"/>
          <c:tx>
            <c:strRef>
              <c:f>ALL!$E$6</c:f>
              <c:strCache>
                <c:ptCount val="1"/>
                <c:pt idx="0">
                  <c:v>Ga2Se3</c:v>
                </c:pt>
              </c:strCache>
              <c:extLst xmlns:c15="http://schemas.microsoft.com/office/drawing/2012/chart"/>
            </c:strRef>
          </c:tx>
          <c:spPr>
            <a:ln w="19050" cap="rnd">
              <a:solidFill>
                <a:schemeClr val="accent4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ALL!$F$3:$AL$3</c:f>
              <c:numCache>
                <c:formatCode>General</c:formatCode>
                <c:ptCount val="33"/>
                <c:pt idx="0">
                  <c:v>298.2</c:v>
                </c:pt>
                <c:pt idx="1">
                  <c:v>331.5</c:v>
                </c:pt>
                <c:pt idx="2">
                  <c:v>364.9</c:v>
                </c:pt>
                <c:pt idx="3">
                  <c:v>398.3</c:v>
                </c:pt>
                <c:pt idx="4">
                  <c:v>431.7</c:v>
                </c:pt>
                <c:pt idx="5">
                  <c:v>465.1</c:v>
                </c:pt>
                <c:pt idx="6">
                  <c:v>498.5</c:v>
                </c:pt>
                <c:pt idx="7">
                  <c:v>531.79999999999995</c:v>
                </c:pt>
                <c:pt idx="8">
                  <c:v>565.20000000000005</c:v>
                </c:pt>
                <c:pt idx="9">
                  <c:v>598.6</c:v>
                </c:pt>
                <c:pt idx="10">
                  <c:v>632</c:v>
                </c:pt>
                <c:pt idx="11">
                  <c:v>665.4</c:v>
                </c:pt>
                <c:pt idx="12">
                  <c:v>698.8</c:v>
                </c:pt>
                <c:pt idx="13">
                  <c:v>832.3</c:v>
                </c:pt>
                <c:pt idx="14">
                  <c:v>965.8</c:v>
                </c:pt>
                <c:pt idx="15">
                  <c:v>1099</c:v>
                </c:pt>
                <c:pt idx="16">
                  <c:v>1133</c:v>
                </c:pt>
                <c:pt idx="17">
                  <c:v>1166</c:v>
                </c:pt>
                <c:pt idx="18">
                  <c:v>1200</c:v>
                </c:pt>
                <c:pt idx="19">
                  <c:v>1233</c:v>
                </c:pt>
                <c:pt idx="20">
                  <c:v>1366</c:v>
                </c:pt>
                <c:pt idx="21">
                  <c:v>1500</c:v>
                </c:pt>
              </c:numCache>
              <c:extLst xmlns:c15="http://schemas.microsoft.com/office/drawing/2012/chart"/>
            </c:numRef>
          </c:xVal>
          <c:yVal>
            <c:numRef>
              <c:f>ALL!$F$6:$AL$6</c:f>
              <c:numCache>
                <c:formatCode>0.0E+00</c:formatCode>
                <c:ptCount val="33"/>
                <c:pt idx="0">
                  <c:v>6.1059000000000002E-2</c:v>
                </c:pt>
                <c:pt idx="1">
                  <c:v>5.6835999999999998E-2</c:v>
                </c:pt>
                <c:pt idx="2">
                  <c:v>5.3668E-2</c:v>
                </c:pt>
                <c:pt idx="3">
                  <c:v>5.2597999999999999E-2</c:v>
                </c:pt>
                <c:pt idx="4">
                  <c:v>5.1083000000000003E-2</c:v>
                </c:pt>
                <c:pt idx="5">
                  <c:v>4.7363000000000002E-2</c:v>
                </c:pt>
                <c:pt idx="6">
                  <c:v>3.9135999999999997E-2</c:v>
                </c:pt>
                <c:pt idx="7">
                  <c:v>2.6801E-4</c:v>
                </c:pt>
                <c:pt idx="8">
                  <c:v>2.7487E-8</c:v>
                </c:pt>
                <c:pt idx="9">
                  <c:v>5.4257999999999998E-12</c:v>
                </c:pt>
                <c:pt idx="10">
                  <c:v>1.9164999999999999E-15</c:v>
                </c:pt>
                <c:pt idx="11">
                  <c:v>1.1293999999999999E-18</c:v>
                </c:pt>
                <c:pt idx="12">
                  <c:v>1.0498000000000001E-21</c:v>
                </c:pt>
                <c:pt idx="13">
                  <c:v>3.3894E-32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AE7A-412E-BBF5-89E233391AB6}"/>
            </c:ext>
          </c:extLst>
        </c:ser>
        <c:ser>
          <c:idx val="5"/>
          <c:order val="5"/>
          <c:tx>
            <c:strRef>
              <c:f>ALL!$E$9</c:f>
              <c:strCache>
                <c:ptCount val="1"/>
                <c:pt idx="0">
                  <c:v>(l)GeSe2</c:v>
                </c:pt>
              </c:strCache>
              <c:extLst xmlns:c15="http://schemas.microsoft.com/office/drawing/2012/chart"/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ALL!$F$3:$AL$3</c:f>
              <c:numCache>
                <c:formatCode>General</c:formatCode>
                <c:ptCount val="33"/>
                <c:pt idx="0">
                  <c:v>298.2</c:v>
                </c:pt>
                <c:pt idx="1">
                  <c:v>331.5</c:v>
                </c:pt>
                <c:pt idx="2">
                  <c:v>364.9</c:v>
                </c:pt>
                <c:pt idx="3">
                  <c:v>398.3</c:v>
                </c:pt>
                <c:pt idx="4">
                  <c:v>431.7</c:v>
                </c:pt>
                <c:pt idx="5">
                  <c:v>465.1</c:v>
                </c:pt>
                <c:pt idx="6">
                  <c:v>498.5</c:v>
                </c:pt>
                <c:pt idx="7">
                  <c:v>531.79999999999995</c:v>
                </c:pt>
                <c:pt idx="8">
                  <c:v>565.20000000000005</c:v>
                </c:pt>
                <c:pt idx="9">
                  <c:v>598.6</c:v>
                </c:pt>
                <c:pt idx="10">
                  <c:v>632</c:v>
                </c:pt>
                <c:pt idx="11">
                  <c:v>665.4</c:v>
                </c:pt>
                <c:pt idx="12">
                  <c:v>698.8</c:v>
                </c:pt>
                <c:pt idx="13">
                  <c:v>832.3</c:v>
                </c:pt>
                <c:pt idx="14">
                  <c:v>965.8</c:v>
                </c:pt>
                <c:pt idx="15">
                  <c:v>1099</c:v>
                </c:pt>
                <c:pt idx="16">
                  <c:v>1133</c:v>
                </c:pt>
                <c:pt idx="17">
                  <c:v>1166</c:v>
                </c:pt>
                <c:pt idx="18">
                  <c:v>1200</c:v>
                </c:pt>
                <c:pt idx="19">
                  <c:v>1233</c:v>
                </c:pt>
                <c:pt idx="20">
                  <c:v>1366</c:v>
                </c:pt>
                <c:pt idx="21">
                  <c:v>1500</c:v>
                </c:pt>
              </c:numCache>
              <c:extLst xmlns:c15="http://schemas.microsoft.com/office/drawing/2012/chart"/>
            </c:numRef>
          </c:xVal>
          <c:yVal>
            <c:numRef>
              <c:f>ALL!$F$9:$AL$9</c:f>
              <c:numCache>
                <c:formatCode>0.0E+00</c:formatCode>
                <c:ptCount val="33"/>
                <c:pt idx="0">
                  <c:v>5.2450999999999998E-2</c:v>
                </c:pt>
                <c:pt idx="1">
                  <c:v>2.8126000000000002E-2</c:v>
                </c:pt>
                <c:pt idx="2">
                  <c:v>7.5303999999999996E-3</c:v>
                </c:pt>
                <c:pt idx="3">
                  <c:v>1.6239E-3</c:v>
                </c:pt>
                <c:pt idx="4">
                  <c:v>3.8434999999999999E-4</c:v>
                </c:pt>
                <c:pt idx="5">
                  <c:v>9.1833E-5</c:v>
                </c:pt>
                <c:pt idx="6">
                  <c:v>1.6246999999999999E-5</c:v>
                </c:pt>
                <c:pt idx="7">
                  <c:v>2.6618999999999999E-6</c:v>
                </c:pt>
                <c:pt idx="8">
                  <c:v>2.8435999999999999E-7</c:v>
                </c:pt>
                <c:pt idx="9">
                  <c:v>3.3676999999999998E-8</c:v>
                </c:pt>
                <c:pt idx="10">
                  <c:v>4.5736E-9</c:v>
                </c:pt>
                <c:pt idx="11">
                  <c:v>7.0760000000000002E-10</c:v>
                </c:pt>
                <c:pt idx="12">
                  <c:v>1.2301E-10</c:v>
                </c:pt>
                <c:pt idx="13">
                  <c:v>2.8091000000000001E-13</c:v>
                </c:pt>
                <c:pt idx="14">
                  <c:v>1.8204000000000002E-15</c:v>
                </c:pt>
                <c:pt idx="15">
                  <c:v>2.3338E-17</c:v>
                </c:pt>
                <c:pt idx="16">
                  <c:v>8.4999999999999995E-18</c:v>
                </c:pt>
                <c:pt idx="17">
                  <c:v>3.1781000000000001E-18</c:v>
                </c:pt>
                <c:pt idx="18">
                  <c:v>1.2172E-18</c:v>
                </c:pt>
                <c:pt idx="19">
                  <c:v>4.7653000000000002E-19</c:v>
                </c:pt>
                <c:pt idx="20">
                  <c:v>1.3479000000000001E-20</c:v>
                </c:pt>
                <c:pt idx="21">
                  <c:v>4.8049000000000002E-22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5-AE7A-412E-BBF5-89E233391AB6}"/>
            </c:ext>
          </c:extLst>
        </c:ser>
        <c:ser>
          <c:idx val="6"/>
          <c:order val="6"/>
          <c:tx>
            <c:strRef>
              <c:f>ALL!$E$10</c:f>
              <c:strCache>
                <c:ptCount val="1"/>
                <c:pt idx="0">
                  <c:v>(l)GeSe</c:v>
                </c:pt>
              </c:strCache>
              <c:extLst xmlns:c15="http://schemas.microsoft.com/office/drawing/2012/chart"/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dPt>
            <c:idx val="15"/>
            <c:marker>
              <c:symbol val="none"/>
            </c:marker>
            <c:bubble3D val="0"/>
            <c:extLst xmlns:c15="http://schemas.microsoft.com/office/drawing/2012/chart">
              <c:ext xmlns:c16="http://schemas.microsoft.com/office/drawing/2014/chart" uri="{C3380CC4-5D6E-409C-BE32-E72D297353CC}">
                <c16:uniqueId val="{00000006-AE7A-412E-BBF5-89E233391AB6}"/>
              </c:ext>
            </c:extLst>
          </c:dPt>
          <c:xVal>
            <c:numRef>
              <c:f>ALL!$F$3:$AL$3</c:f>
              <c:numCache>
                <c:formatCode>General</c:formatCode>
                <c:ptCount val="33"/>
                <c:pt idx="0">
                  <c:v>298.2</c:v>
                </c:pt>
                <c:pt idx="1">
                  <c:v>331.5</c:v>
                </c:pt>
                <c:pt idx="2">
                  <c:v>364.9</c:v>
                </c:pt>
                <c:pt idx="3">
                  <c:v>398.3</c:v>
                </c:pt>
                <c:pt idx="4">
                  <c:v>431.7</c:v>
                </c:pt>
                <c:pt idx="5">
                  <c:v>465.1</c:v>
                </c:pt>
                <c:pt idx="6">
                  <c:v>498.5</c:v>
                </c:pt>
                <c:pt idx="7">
                  <c:v>531.79999999999995</c:v>
                </c:pt>
                <c:pt idx="8">
                  <c:v>565.20000000000005</c:v>
                </c:pt>
                <c:pt idx="9">
                  <c:v>598.6</c:v>
                </c:pt>
                <c:pt idx="10">
                  <c:v>632</c:v>
                </c:pt>
                <c:pt idx="11">
                  <c:v>665.4</c:v>
                </c:pt>
                <c:pt idx="12">
                  <c:v>698.8</c:v>
                </c:pt>
                <c:pt idx="13">
                  <c:v>832.3</c:v>
                </c:pt>
                <c:pt idx="14">
                  <c:v>965.8</c:v>
                </c:pt>
                <c:pt idx="15">
                  <c:v>1099</c:v>
                </c:pt>
                <c:pt idx="16">
                  <c:v>1133</c:v>
                </c:pt>
                <c:pt idx="17">
                  <c:v>1166</c:v>
                </c:pt>
                <c:pt idx="18">
                  <c:v>1200</c:v>
                </c:pt>
                <c:pt idx="19">
                  <c:v>1233</c:v>
                </c:pt>
                <c:pt idx="20">
                  <c:v>1366</c:v>
                </c:pt>
                <c:pt idx="21">
                  <c:v>1500</c:v>
                </c:pt>
              </c:numCache>
              <c:extLst xmlns:c15="http://schemas.microsoft.com/office/drawing/2012/chart"/>
            </c:numRef>
          </c:xVal>
          <c:yVal>
            <c:numRef>
              <c:f>ALL!$F$10:$AL$10</c:f>
              <c:numCache>
                <c:formatCode>0.0E+00</c:formatCode>
                <c:ptCount val="33"/>
                <c:pt idx="0">
                  <c:v>6.7547999999999997E-2</c:v>
                </c:pt>
                <c:pt idx="1">
                  <c:v>9.1858999999999996E-2</c:v>
                </c:pt>
                <c:pt idx="2">
                  <c:v>0.11228</c:v>
                </c:pt>
                <c:pt idx="3">
                  <c:v>0.11651</c:v>
                </c:pt>
                <c:pt idx="4">
                  <c:v>0.10771</c:v>
                </c:pt>
                <c:pt idx="5">
                  <c:v>7.7765000000000001E-2</c:v>
                </c:pt>
                <c:pt idx="6">
                  <c:v>3.7217E-2</c:v>
                </c:pt>
                <c:pt idx="7">
                  <c:v>1.4212000000000001E-2</c:v>
                </c:pt>
                <c:pt idx="8">
                  <c:v>4.1484E-3</c:v>
                </c:pt>
                <c:pt idx="9">
                  <c:v>1.2566999999999999E-3</c:v>
                </c:pt>
                <c:pt idx="10">
                  <c:v>4.1047000000000002E-4</c:v>
                </c:pt>
                <c:pt idx="11">
                  <c:v>1.4464999999999999E-4</c:v>
                </c:pt>
                <c:pt idx="12">
                  <c:v>5.4611999999999998E-5</c:v>
                </c:pt>
                <c:pt idx="13">
                  <c:v>1.9085999999999998E-6</c:v>
                </c:pt>
                <c:pt idx="14">
                  <c:v>1.2335E-7</c:v>
                </c:pt>
                <c:pt idx="15">
                  <c:v>1.1891E-8</c:v>
                </c:pt>
                <c:pt idx="16">
                  <c:v>6.9399E-9</c:v>
                </c:pt>
                <c:pt idx="17">
                  <c:v>4.1128000000000001E-9</c:v>
                </c:pt>
                <c:pt idx="18">
                  <c:v>2.4718000000000001E-9</c:v>
                </c:pt>
                <c:pt idx="19">
                  <c:v>1.5047E-9</c:v>
                </c:pt>
                <c:pt idx="20">
                  <c:v>2.3035999999999999E-10</c:v>
                </c:pt>
                <c:pt idx="21">
                  <c:v>4.0387000000000002E-11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7-AE7A-412E-BBF5-89E233391AB6}"/>
            </c:ext>
          </c:extLst>
        </c:ser>
        <c:ser>
          <c:idx val="7"/>
          <c:order val="7"/>
          <c:tx>
            <c:strRef>
              <c:f>ALL!$E$11</c:f>
              <c:strCache>
                <c:ptCount val="1"/>
                <c:pt idx="0">
                  <c:v>(l)Ga2Se3</c:v>
                </c:pt>
              </c:strCache>
              <c:extLst xmlns:c15="http://schemas.microsoft.com/office/drawing/2012/chart"/>
            </c:strRef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ALL!$F$3:$AL$3</c:f>
              <c:numCache>
                <c:formatCode>General</c:formatCode>
                <c:ptCount val="33"/>
                <c:pt idx="0">
                  <c:v>298.2</c:v>
                </c:pt>
                <c:pt idx="1">
                  <c:v>331.5</c:v>
                </c:pt>
                <c:pt idx="2">
                  <c:v>364.9</c:v>
                </c:pt>
                <c:pt idx="3">
                  <c:v>398.3</c:v>
                </c:pt>
                <c:pt idx="4">
                  <c:v>431.7</c:v>
                </c:pt>
                <c:pt idx="5">
                  <c:v>465.1</c:v>
                </c:pt>
                <c:pt idx="6">
                  <c:v>498.5</c:v>
                </c:pt>
                <c:pt idx="7">
                  <c:v>531.79999999999995</c:v>
                </c:pt>
                <c:pt idx="8">
                  <c:v>565.20000000000005</c:v>
                </c:pt>
                <c:pt idx="9">
                  <c:v>598.6</c:v>
                </c:pt>
                <c:pt idx="10">
                  <c:v>632</c:v>
                </c:pt>
                <c:pt idx="11">
                  <c:v>665.4</c:v>
                </c:pt>
                <c:pt idx="12">
                  <c:v>698.8</c:v>
                </c:pt>
                <c:pt idx="13">
                  <c:v>832.3</c:v>
                </c:pt>
                <c:pt idx="14">
                  <c:v>965.8</c:v>
                </c:pt>
                <c:pt idx="15">
                  <c:v>1099</c:v>
                </c:pt>
                <c:pt idx="16">
                  <c:v>1133</c:v>
                </c:pt>
                <c:pt idx="17">
                  <c:v>1166</c:v>
                </c:pt>
                <c:pt idx="18">
                  <c:v>1200</c:v>
                </c:pt>
                <c:pt idx="19">
                  <c:v>1233</c:v>
                </c:pt>
                <c:pt idx="20">
                  <c:v>1366</c:v>
                </c:pt>
                <c:pt idx="21">
                  <c:v>1500</c:v>
                </c:pt>
              </c:numCache>
              <c:extLst xmlns:c15="http://schemas.microsoft.com/office/drawing/2012/chart"/>
            </c:numRef>
          </c:xVal>
          <c:yVal>
            <c:numRef>
              <c:f>ALL!$F$11:$AL$11</c:f>
              <c:numCache>
                <c:formatCode>0.0E+00</c:formatCode>
                <c:ptCount val="33"/>
                <c:pt idx="0">
                  <c:v>3.8941000000000003E-2</c:v>
                </c:pt>
                <c:pt idx="1">
                  <c:v>4.3164000000000001E-2</c:v>
                </c:pt>
                <c:pt idx="2">
                  <c:v>4.6331999999999998E-2</c:v>
                </c:pt>
                <c:pt idx="3">
                  <c:v>4.7402E-2</c:v>
                </c:pt>
                <c:pt idx="4">
                  <c:v>4.8917000000000002E-2</c:v>
                </c:pt>
                <c:pt idx="5">
                  <c:v>5.2613E-2</c:v>
                </c:pt>
                <c:pt idx="6">
                  <c:v>5.6087999999999999E-2</c:v>
                </c:pt>
                <c:pt idx="7">
                  <c:v>1.0441999999999999E-3</c:v>
                </c:pt>
                <c:pt idx="8">
                  <c:v>1.0938E-7</c:v>
                </c:pt>
                <c:pt idx="9">
                  <c:v>2.1668999999999999E-11</c:v>
                </c:pt>
                <c:pt idx="10">
                  <c:v>7.6620999999999996E-15</c:v>
                </c:pt>
                <c:pt idx="11">
                  <c:v>4.5167E-18</c:v>
                </c:pt>
                <c:pt idx="12">
                  <c:v>4.1988000000000002E-21</c:v>
                </c:pt>
                <c:pt idx="13">
                  <c:v>1.3557999999999999E-31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8-AE7A-412E-BBF5-89E233391AB6}"/>
            </c:ext>
          </c:extLst>
        </c:ser>
        <c:ser>
          <c:idx val="8"/>
          <c:order val="8"/>
          <c:tx>
            <c:strRef>
              <c:f>ALL!$E$12</c:f>
              <c:strCache>
                <c:ptCount val="1"/>
                <c:pt idx="0">
                  <c:v>(l)Ge</c:v>
                </c:pt>
              </c:strCache>
            </c:strRef>
          </c:tx>
          <c:spPr>
            <a:ln w="19050" cap="rnd">
              <a:solidFill>
                <a:schemeClr val="accent6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ALL!$F$3:$AL$3</c:f>
              <c:numCache>
                <c:formatCode>General</c:formatCode>
                <c:ptCount val="33"/>
                <c:pt idx="0">
                  <c:v>298.2</c:v>
                </c:pt>
                <c:pt idx="1">
                  <c:v>331.5</c:v>
                </c:pt>
                <c:pt idx="2">
                  <c:v>364.9</c:v>
                </c:pt>
                <c:pt idx="3">
                  <c:v>398.3</c:v>
                </c:pt>
                <c:pt idx="4">
                  <c:v>431.7</c:v>
                </c:pt>
                <c:pt idx="5">
                  <c:v>465.1</c:v>
                </c:pt>
                <c:pt idx="6">
                  <c:v>498.5</c:v>
                </c:pt>
                <c:pt idx="7">
                  <c:v>531.79999999999995</c:v>
                </c:pt>
                <c:pt idx="8">
                  <c:v>565.20000000000005</c:v>
                </c:pt>
                <c:pt idx="9">
                  <c:v>598.6</c:v>
                </c:pt>
                <c:pt idx="10">
                  <c:v>632</c:v>
                </c:pt>
                <c:pt idx="11">
                  <c:v>665.4</c:v>
                </c:pt>
                <c:pt idx="12">
                  <c:v>698.8</c:v>
                </c:pt>
                <c:pt idx="13">
                  <c:v>832.3</c:v>
                </c:pt>
                <c:pt idx="14">
                  <c:v>965.8</c:v>
                </c:pt>
                <c:pt idx="15">
                  <c:v>1099</c:v>
                </c:pt>
                <c:pt idx="16">
                  <c:v>1133</c:v>
                </c:pt>
                <c:pt idx="17">
                  <c:v>1166</c:v>
                </c:pt>
                <c:pt idx="18">
                  <c:v>1200</c:v>
                </c:pt>
                <c:pt idx="19">
                  <c:v>1233</c:v>
                </c:pt>
                <c:pt idx="20">
                  <c:v>1366</c:v>
                </c:pt>
                <c:pt idx="21">
                  <c:v>1500</c:v>
                </c:pt>
              </c:numCache>
            </c:numRef>
          </c:xVal>
          <c:yVal>
            <c:numRef>
              <c:f>ALL!$F$12:$AL$12</c:f>
              <c:numCache>
                <c:formatCode>0.0E+00</c:formatCode>
                <c:ptCount val="33"/>
                <c:pt idx="0">
                  <c:v>7.8764000000000003E-7</c:v>
                </c:pt>
                <c:pt idx="1">
                  <c:v>7.4715999999999998E-6</c:v>
                </c:pt>
                <c:pt idx="2">
                  <c:v>9.4738E-5</c:v>
                </c:pt>
                <c:pt idx="3">
                  <c:v>9.3227000000000002E-4</c:v>
                </c:pt>
                <c:pt idx="4">
                  <c:v>5.9503999999999998E-3</c:v>
                </c:pt>
                <c:pt idx="5">
                  <c:v>2.1070999999999999E-2</c:v>
                </c:pt>
                <c:pt idx="6">
                  <c:v>4.1383000000000003E-2</c:v>
                </c:pt>
                <c:pt idx="7">
                  <c:v>5.2893000000000003E-2</c:v>
                </c:pt>
                <c:pt idx="8">
                  <c:v>5.7925999999999998E-2</c:v>
                </c:pt>
                <c:pt idx="9">
                  <c:v>5.9372000000000001E-2</c:v>
                </c:pt>
                <c:pt idx="10">
                  <c:v>5.9795000000000001E-2</c:v>
                </c:pt>
                <c:pt idx="11">
                  <c:v>5.9928000000000002E-2</c:v>
                </c:pt>
                <c:pt idx="12">
                  <c:v>5.9972999999999999E-2</c:v>
                </c:pt>
                <c:pt idx="13">
                  <c:v>5.9998999999999997E-2</c:v>
                </c:pt>
                <c:pt idx="14">
                  <c:v>0.06</c:v>
                </c:pt>
                <c:pt idx="15">
                  <c:v>0.06</c:v>
                </c:pt>
                <c:pt idx="16">
                  <c:v>0.06</c:v>
                </c:pt>
                <c:pt idx="17">
                  <c:v>0.06</c:v>
                </c:pt>
                <c:pt idx="18">
                  <c:v>0.06</c:v>
                </c:pt>
                <c:pt idx="19">
                  <c:v>0.06</c:v>
                </c:pt>
                <c:pt idx="20">
                  <c:v>0.06</c:v>
                </c:pt>
                <c:pt idx="21">
                  <c:v>0.06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9-AE7A-412E-BBF5-89E233391AB6}"/>
            </c:ext>
          </c:extLst>
        </c:ser>
        <c:ser>
          <c:idx val="9"/>
          <c:order val="9"/>
          <c:tx>
            <c:strRef>
              <c:f>ALL!$E$13</c:f>
              <c:strCache>
                <c:ptCount val="1"/>
                <c:pt idx="0">
                  <c:v>(l)Ga</c:v>
                </c:pt>
              </c:strCache>
            </c:strRef>
          </c:tx>
          <c:spPr>
            <a:ln w="19050" cap="rnd">
              <a:solidFill>
                <a:srgbClr val="0070C0"/>
              </a:solidFill>
              <a:round/>
            </a:ln>
            <a:effectLst/>
          </c:spPr>
          <c:marker>
            <c:symbol val="none"/>
          </c:marker>
          <c:xVal>
            <c:numRef>
              <c:f>ALL!$F$3:$AL$3</c:f>
              <c:numCache>
                <c:formatCode>General</c:formatCode>
                <c:ptCount val="33"/>
                <c:pt idx="0">
                  <c:v>298.2</c:v>
                </c:pt>
                <c:pt idx="1">
                  <c:v>331.5</c:v>
                </c:pt>
                <c:pt idx="2">
                  <c:v>364.9</c:v>
                </c:pt>
                <c:pt idx="3">
                  <c:v>398.3</c:v>
                </c:pt>
                <c:pt idx="4">
                  <c:v>431.7</c:v>
                </c:pt>
                <c:pt idx="5">
                  <c:v>465.1</c:v>
                </c:pt>
                <c:pt idx="6">
                  <c:v>498.5</c:v>
                </c:pt>
                <c:pt idx="7">
                  <c:v>531.79999999999995</c:v>
                </c:pt>
                <c:pt idx="8">
                  <c:v>565.20000000000005</c:v>
                </c:pt>
                <c:pt idx="9">
                  <c:v>598.6</c:v>
                </c:pt>
                <c:pt idx="10">
                  <c:v>632</c:v>
                </c:pt>
                <c:pt idx="11">
                  <c:v>665.4</c:v>
                </c:pt>
                <c:pt idx="12">
                  <c:v>698.8</c:v>
                </c:pt>
                <c:pt idx="13">
                  <c:v>832.3</c:v>
                </c:pt>
                <c:pt idx="14">
                  <c:v>965.8</c:v>
                </c:pt>
                <c:pt idx="15">
                  <c:v>1099</c:v>
                </c:pt>
                <c:pt idx="16">
                  <c:v>1133</c:v>
                </c:pt>
                <c:pt idx="17">
                  <c:v>1166</c:v>
                </c:pt>
                <c:pt idx="18">
                  <c:v>1200</c:v>
                </c:pt>
                <c:pt idx="19">
                  <c:v>1233</c:v>
                </c:pt>
                <c:pt idx="20">
                  <c:v>1366</c:v>
                </c:pt>
                <c:pt idx="21">
                  <c:v>1500</c:v>
                </c:pt>
              </c:numCache>
            </c:numRef>
          </c:xVal>
          <c:yVal>
            <c:numRef>
              <c:f>ALL!$F$13:$AL$13</c:f>
              <c:numCache>
                <c:formatCode>0.0E+00</c:formatCode>
                <c:ptCount val="33"/>
                <c:pt idx="0">
                  <c:v>6.9119E-21</c:v>
                </c:pt>
                <c:pt idx="1">
                  <c:v>3.1046E-17</c:v>
                </c:pt>
                <c:pt idx="2">
                  <c:v>1.1613000000000001E-13</c:v>
                </c:pt>
                <c:pt idx="3">
                  <c:v>2.0468999999999999E-10</c:v>
                </c:pt>
                <c:pt idx="4">
                  <c:v>1.4782000000000001E-7</c:v>
                </c:pt>
                <c:pt idx="5">
                  <c:v>4.8347000000000003E-5</c:v>
                </c:pt>
                <c:pt idx="6">
                  <c:v>9.5520999999999991E-3</c:v>
                </c:pt>
                <c:pt idx="7">
                  <c:v>0.19738</c:v>
                </c:pt>
                <c:pt idx="8">
                  <c:v>0.2</c:v>
                </c:pt>
                <c:pt idx="9">
                  <c:v>0.2</c:v>
                </c:pt>
                <c:pt idx="10">
                  <c:v>0.2</c:v>
                </c:pt>
                <c:pt idx="11">
                  <c:v>0.2</c:v>
                </c:pt>
                <c:pt idx="12">
                  <c:v>0.2</c:v>
                </c:pt>
                <c:pt idx="13">
                  <c:v>0.2</c:v>
                </c:pt>
                <c:pt idx="14">
                  <c:v>0.2</c:v>
                </c:pt>
                <c:pt idx="15">
                  <c:v>0.2</c:v>
                </c:pt>
                <c:pt idx="16">
                  <c:v>0.2</c:v>
                </c:pt>
                <c:pt idx="17">
                  <c:v>0.2</c:v>
                </c:pt>
                <c:pt idx="18">
                  <c:v>0.2</c:v>
                </c:pt>
                <c:pt idx="19">
                  <c:v>0.2</c:v>
                </c:pt>
                <c:pt idx="20">
                  <c:v>0.2</c:v>
                </c:pt>
                <c:pt idx="21">
                  <c:v>0.2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AE7A-412E-BBF5-89E233391AB6}"/>
            </c:ext>
          </c:extLst>
        </c:ser>
        <c:ser>
          <c:idx val="10"/>
          <c:order val="10"/>
          <c:tx>
            <c:strRef>
              <c:f>ALL!$E$14</c:f>
              <c:strCache>
                <c:ptCount val="1"/>
                <c:pt idx="0">
                  <c:v>(l)Se</c:v>
                </c:pt>
              </c:strCache>
            </c:strRef>
          </c:tx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ALL!$F$3:$AL$3</c:f>
              <c:numCache>
                <c:formatCode>General</c:formatCode>
                <c:ptCount val="33"/>
                <c:pt idx="0">
                  <c:v>298.2</c:v>
                </c:pt>
                <c:pt idx="1">
                  <c:v>331.5</c:v>
                </c:pt>
                <c:pt idx="2">
                  <c:v>364.9</c:v>
                </c:pt>
                <c:pt idx="3">
                  <c:v>398.3</c:v>
                </c:pt>
                <c:pt idx="4">
                  <c:v>431.7</c:v>
                </c:pt>
                <c:pt idx="5">
                  <c:v>465.1</c:v>
                </c:pt>
                <c:pt idx="6">
                  <c:v>498.5</c:v>
                </c:pt>
                <c:pt idx="7">
                  <c:v>531.79999999999995</c:v>
                </c:pt>
                <c:pt idx="8">
                  <c:v>565.20000000000005</c:v>
                </c:pt>
                <c:pt idx="9">
                  <c:v>598.6</c:v>
                </c:pt>
                <c:pt idx="10">
                  <c:v>632</c:v>
                </c:pt>
                <c:pt idx="11">
                  <c:v>665.4</c:v>
                </c:pt>
                <c:pt idx="12">
                  <c:v>698.8</c:v>
                </c:pt>
                <c:pt idx="13">
                  <c:v>832.3</c:v>
                </c:pt>
                <c:pt idx="14">
                  <c:v>965.8</c:v>
                </c:pt>
                <c:pt idx="15">
                  <c:v>1099</c:v>
                </c:pt>
                <c:pt idx="16">
                  <c:v>1133</c:v>
                </c:pt>
                <c:pt idx="17">
                  <c:v>1166</c:v>
                </c:pt>
                <c:pt idx="18">
                  <c:v>1200</c:v>
                </c:pt>
                <c:pt idx="19">
                  <c:v>1233</c:v>
                </c:pt>
                <c:pt idx="20">
                  <c:v>1366</c:v>
                </c:pt>
                <c:pt idx="21">
                  <c:v>1500</c:v>
                </c:pt>
              </c:numCache>
            </c:numRef>
          </c:xVal>
          <c:yVal>
            <c:numRef>
              <c:f>ALL!$F$14:$AL$14</c:f>
              <c:numCache>
                <c:formatCode>0.0E+00</c:formatCode>
                <c:ptCount val="33"/>
                <c:pt idx="0">
                  <c:v>6.5137E-9</c:v>
                </c:pt>
                <c:pt idx="1">
                  <c:v>1.8022999999999999E-8</c:v>
                </c:pt>
                <c:pt idx="2">
                  <c:v>1.9216000000000001E-8</c:v>
                </c:pt>
                <c:pt idx="3">
                  <c:v>1.4127999999999999E-8</c:v>
                </c:pt>
                <c:pt idx="4">
                  <c:v>1.0792E-8</c:v>
                </c:pt>
                <c:pt idx="5">
                  <c:v>9.9617999999999992E-9</c:v>
                </c:pt>
                <c:pt idx="6">
                  <c:v>1.0096E-8</c:v>
                </c:pt>
                <c:pt idx="7">
                  <c:v>2.1419000000000001E-8</c:v>
                </c:pt>
                <c:pt idx="8">
                  <c:v>1.5926E-8</c:v>
                </c:pt>
                <c:pt idx="9">
                  <c:v>1.1574E-8</c:v>
                </c:pt>
                <c:pt idx="10">
                  <c:v>8.3898000000000001E-9</c:v>
                </c:pt>
                <c:pt idx="11">
                  <c:v>6.0866000000000001E-9</c:v>
                </c:pt>
                <c:pt idx="12">
                  <c:v>4.4243000000000001E-9</c:v>
                </c:pt>
                <c:pt idx="13">
                  <c:v>1.2651999999999999E-9</c:v>
                </c:pt>
                <c:pt idx="14">
                  <c:v>3.7555000000000001E-10</c:v>
                </c:pt>
                <c:pt idx="15">
                  <c:v>1.1495E-10</c:v>
                </c:pt>
                <c:pt idx="16">
                  <c:v>8.5818999999999999E-11</c:v>
                </c:pt>
                <c:pt idx="17">
                  <c:v>6.4141000000000006E-11</c:v>
                </c:pt>
                <c:pt idx="18">
                  <c:v>4.7985000000000003E-11</c:v>
                </c:pt>
                <c:pt idx="19">
                  <c:v>3.5928000000000001E-11</c:v>
                </c:pt>
                <c:pt idx="20">
                  <c:v>1.135E-11</c:v>
                </c:pt>
                <c:pt idx="21">
                  <c:v>3.5938999999999999E-12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B-AE7A-412E-BBF5-89E233391AB6}"/>
            </c:ext>
          </c:extLst>
        </c:ser>
        <c:ser>
          <c:idx val="11"/>
          <c:order val="11"/>
          <c:tx>
            <c:strRef>
              <c:f>ALL!$E$15</c:f>
              <c:strCache>
                <c:ptCount val="1"/>
                <c:pt idx="0">
                  <c:v>(l)Se[a]</c:v>
                </c:pt>
              </c:strCache>
            </c:strRef>
          </c:tx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ALL!$F$3:$AL$3</c:f>
              <c:numCache>
                <c:formatCode>General</c:formatCode>
                <c:ptCount val="33"/>
                <c:pt idx="0">
                  <c:v>298.2</c:v>
                </c:pt>
                <c:pt idx="1">
                  <c:v>331.5</c:v>
                </c:pt>
                <c:pt idx="2">
                  <c:v>364.9</c:v>
                </c:pt>
                <c:pt idx="3">
                  <c:v>398.3</c:v>
                </c:pt>
                <c:pt idx="4">
                  <c:v>431.7</c:v>
                </c:pt>
                <c:pt idx="5">
                  <c:v>465.1</c:v>
                </c:pt>
                <c:pt idx="6">
                  <c:v>498.5</c:v>
                </c:pt>
                <c:pt idx="7">
                  <c:v>531.79999999999995</c:v>
                </c:pt>
                <c:pt idx="8">
                  <c:v>565.20000000000005</c:v>
                </c:pt>
                <c:pt idx="9">
                  <c:v>598.6</c:v>
                </c:pt>
                <c:pt idx="10">
                  <c:v>632</c:v>
                </c:pt>
                <c:pt idx="11">
                  <c:v>665.4</c:v>
                </c:pt>
                <c:pt idx="12">
                  <c:v>698.8</c:v>
                </c:pt>
                <c:pt idx="13">
                  <c:v>832.3</c:v>
                </c:pt>
                <c:pt idx="14">
                  <c:v>965.8</c:v>
                </c:pt>
                <c:pt idx="15">
                  <c:v>1099</c:v>
                </c:pt>
                <c:pt idx="16">
                  <c:v>1133</c:v>
                </c:pt>
                <c:pt idx="17">
                  <c:v>1166</c:v>
                </c:pt>
                <c:pt idx="18">
                  <c:v>1200</c:v>
                </c:pt>
                <c:pt idx="19">
                  <c:v>1233</c:v>
                </c:pt>
                <c:pt idx="20">
                  <c:v>1366</c:v>
                </c:pt>
                <c:pt idx="21">
                  <c:v>1500</c:v>
                </c:pt>
              </c:numCache>
            </c:numRef>
          </c:xVal>
          <c:yVal>
            <c:numRef>
              <c:f>ALL!$F$15:$AL$15</c:f>
              <c:numCache>
                <c:formatCode>0.0E+00</c:formatCode>
                <c:ptCount val="33"/>
                <c:pt idx="0">
                  <c:v>1.8050999999999999E-9</c:v>
                </c:pt>
                <c:pt idx="1">
                  <c:v>6.1321000000000004E-9</c:v>
                </c:pt>
                <c:pt idx="2">
                  <c:v>7.7454999999999998E-9</c:v>
                </c:pt>
                <c:pt idx="3">
                  <c:v>6.5640999999999997E-9</c:v>
                </c:pt>
                <c:pt idx="4">
                  <c:v>5.6573000000000003E-9</c:v>
                </c:pt>
                <c:pt idx="5">
                  <c:v>5.7921000000000003E-9</c:v>
                </c:pt>
                <c:pt idx="6">
                  <c:v>6.3408999999999999E-9</c:v>
                </c:pt>
                <c:pt idx="7">
                  <c:v>1.3219000000000001E-8</c:v>
                </c:pt>
                <c:pt idx="8">
                  <c:v>9.6430000000000007E-9</c:v>
                </c:pt>
                <c:pt idx="9">
                  <c:v>6.8697E-9</c:v>
                </c:pt>
                <c:pt idx="10">
                  <c:v>4.8790000000000002E-9</c:v>
                </c:pt>
                <c:pt idx="11">
                  <c:v>3.4675999999999999E-9</c:v>
                </c:pt>
                <c:pt idx="12">
                  <c:v>2.4694000000000002E-9</c:v>
                </c:pt>
                <c:pt idx="13">
                  <c:v>6.5206000000000002E-10</c:v>
                </c:pt>
                <c:pt idx="14">
                  <c:v>1.7954999999999999E-10</c:v>
                </c:pt>
                <c:pt idx="15">
                  <c:v>5.1136000000000002E-11</c:v>
                </c:pt>
                <c:pt idx="16">
                  <c:v>3.7508999999999999E-11</c:v>
                </c:pt>
                <c:pt idx="17">
                  <c:v>2.7548999999999999E-11</c:v>
                </c:pt>
                <c:pt idx="18">
                  <c:v>2.0257999999999999E-11</c:v>
                </c:pt>
                <c:pt idx="19">
                  <c:v>1.4910999999999999E-11</c:v>
                </c:pt>
                <c:pt idx="20">
                  <c:v>4.4090000000000003E-12</c:v>
                </c:pt>
                <c:pt idx="21">
                  <c:v>1.311E-12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C-AE7A-412E-BBF5-89E233391AB6}"/>
            </c:ext>
          </c:extLst>
        </c:ser>
        <c:ser>
          <c:idx val="12"/>
          <c:order val="12"/>
          <c:tx>
            <c:strRef>
              <c:f>ALL!$E$16</c:f>
              <c:strCache>
                <c:ptCount val="1"/>
                <c:pt idx="0">
                  <c:v>(l)Se[m]</c:v>
                </c:pt>
              </c:strCache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ALL!$F$3:$AL$3</c:f>
              <c:numCache>
                <c:formatCode>General</c:formatCode>
                <c:ptCount val="33"/>
                <c:pt idx="0">
                  <c:v>298.2</c:v>
                </c:pt>
                <c:pt idx="1">
                  <c:v>331.5</c:v>
                </c:pt>
                <c:pt idx="2">
                  <c:v>364.9</c:v>
                </c:pt>
                <c:pt idx="3">
                  <c:v>398.3</c:v>
                </c:pt>
                <c:pt idx="4">
                  <c:v>431.7</c:v>
                </c:pt>
                <c:pt idx="5">
                  <c:v>465.1</c:v>
                </c:pt>
                <c:pt idx="6">
                  <c:v>498.5</c:v>
                </c:pt>
                <c:pt idx="7">
                  <c:v>531.79999999999995</c:v>
                </c:pt>
                <c:pt idx="8">
                  <c:v>565.20000000000005</c:v>
                </c:pt>
                <c:pt idx="9">
                  <c:v>598.6</c:v>
                </c:pt>
                <c:pt idx="10">
                  <c:v>632</c:v>
                </c:pt>
                <c:pt idx="11">
                  <c:v>665.4</c:v>
                </c:pt>
                <c:pt idx="12">
                  <c:v>698.8</c:v>
                </c:pt>
                <c:pt idx="13">
                  <c:v>832.3</c:v>
                </c:pt>
                <c:pt idx="14">
                  <c:v>965.8</c:v>
                </c:pt>
                <c:pt idx="15">
                  <c:v>1099</c:v>
                </c:pt>
                <c:pt idx="16">
                  <c:v>1133</c:v>
                </c:pt>
                <c:pt idx="17">
                  <c:v>1166</c:v>
                </c:pt>
                <c:pt idx="18">
                  <c:v>1200</c:v>
                </c:pt>
                <c:pt idx="19">
                  <c:v>1233</c:v>
                </c:pt>
                <c:pt idx="20">
                  <c:v>1366</c:v>
                </c:pt>
                <c:pt idx="21">
                  <c:v>1500</c:v>
                </c:pt>
              </c:numCache>
            </c:numRef>
          </c:xVal>
          <c:yVal>
            <c:numRef>
              <c:f>ALL!$F$16:$AL$16</c:f>
              <c:numCache>
                <c:formatCode>0.0E+00</c:formatCode>
                <c:ptCount val="33"/>
                <c:pt idx="0">
                  <c:v>7.5507999999999999E-3</c:v>
                </c:pt>
                <c:pt idx="1">
                  <c:v>3.1889000000000001E-2</c:v>
                </c:pt>
                <c:pt idx="2">
                  <c:v>5.2658999999999997E-2</c:v>
                </c:pt>
                <c:pt idx="3">
                  <c:v>6.0241000000000003E-2</c:v>
                </c:pt>
                <c:pt idx="4">
                  <c:v>7.1516999999999997E-2</c:v>
                </c:pt>
                <c:pt idx="5">
                  <c:v>0.10212</c:v>
                </c:pt>
                <c:pt idx="6">
                  <c:v>0.15708</c:v>
                </c:pt>
                <c:pt idx="7">
                  <c:v>0.46184999999999998</c:v>
                </c:pt>
                <c:pt idx="8">
                  <c:v>0.47585</c:v>
                </c:pt>
                <c:pt idx="9">
                  <c:v>0.47874</c:v>
                </c:pt>
                <c:pt idx="10">
                  <c:v>0.47959000000000002</c:v>
                </c:pt>
                <c:pt idx="11">
                  <c:v>0.47986000000000001</c:v>
                </c:pt>
                <c:pt idx="12">
                  <c:v>0.47994999999999999</c:v>
                </c:pt>
                <c:pt idx="13">
                  <c:v>0.48</c:v>
                </c:pt>
                <c:pt idx="14">
                  <c:v>0.48</c:v>
                </c:pt>
                <c:pt idx="15">
                  <c:v>0.48</c:v>
                </c:pt>
                <c:pt idx="16">
                  <c:v>0.48</c:v>
                </c:pt>
                <c:pt idx="17">
                  <c:v>0.48</c:v>
                </c:pt>
                <c:pt idx="18">
                  <c:v>0.48</c:v>
                </c:pt>
                <c:pt idx="19">
                  <c:v>0.48</c:v>
                </c:pt>
                <c:pt idx="20">
                  <c:v>0.48</c:v>
                </c:pt>
                <c:pt idx="21">
                  <c:v>0.48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D-AE7A-412E-BBF5-89E233391AB6}"/>
            </c:ext>
          </c:extLst>
        </c:ser>
        <c:ser>
          <c:idx val="13"/>
          <c:order val="13"/>
          <c:tx>
            <c:strRef>
              <c:f>ALL!$E$17</c:f>
              <c:strCache>
                <c:ptCount val="1"/>
                <c:pt idx="0">
                  <c:v>(l)Se[r]</c:v>
                </c:pt>
              </c:strCache>
            </c:strRef>
          </c:tx>
          <c:spPr>
            <a:ln w="1905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ALL!$F$3:$AL$3</c:f>
              <c:numCache>
                <c:formatCode>General</c:formatCode>
                <c:ptCount val="33"/>
                <c:pt idx="0">
                  <c:v>298.2</c:v>
                </c:pt>
                <c:pt idx="1">
                  <c:v>331.5</c:v>
                </c:pt>
                <c:pt idx="2">
                  <c:v>364.9</c:v>
                </c:pt>
                <c:pt idx="3">
                  <c:v>398.3</c:v>
                </c:pt>
                <c:pt idx="4">
                  <c:v>431.7</c:v>
                </c:pt>
                <c:pt idx="5">
                  <c:v>465.1</c:v>
                </c:pt>
                <c:pt idx="6">
                  <c:v>498.5</c:v>
                </c:pt>
                <c:pt idx="7">
                  <c:v>531.79999999999995</c:v>
                </c:pt>
                <c:pt idx="8">
                  <c:v>565.20000000000005</c:v>
                </c:pt>
                <c:pt idx="9">
                  <c:v>598.6</c:v>
                </c:pt>
                <c:pt idx="10">
                  <c:v>632</c:v>
                </c:pt>
                <c:pt idx="11">
                  <c:v>665.4</c:v>
                </c:pt>
                <c:pt idx="12">
                  <c:v>698.8</c:v>
                </c:pt>
                <c:pt idx="13">
                  <c:v>832.3</c:v>
                </c:pt>
                <c:pt idx="14">
                  <c:v>965.8</c:v>
                </c:pt>
                <c:pt idx="15">
                  <c:v>1099</c:v>
                </c:pt>
                <c:pt idx="16">
                  <c:v>1133</c:v>
                </c:pt>
                <c:pt idx="17">
                  <c:v>1166</c:v>
                </c:pt>
                <c:pt idx="18">
                  <c:v>1200</c:v>
                </c:pt>
                <c:pt idx="19">
                  <c:v>1233</c:v>
                </c:pt>
                <c:pt idx="20">
                  <c:v>1366</c:v>
                </c:pt>
                <c:pt idx="21">
                  <c:v>1500</c:v>
                </c:pt>
              </c:numCache>
            </c:numRef>
          </c:xVal>
          <c:yVal>
            <c:numRef>
              <c:f>ALL!$F$17:$AL$17</c:f>
              <c:numCache>
                <c:formatCode>0.0E+00</c:formatCode>
                <c:ptCount val="33"/>
                <c:pt idx="0">
                  <c:v>3.0203999999999999E-11</c:v>
                </c:pt>
                <c:pt idx="1">
                  <c:v>1.6382999999999999E-10</c:v>
                </c:pt>
                <c:pt idx="2">
                  <c:v>3.0786000000000001E-10</c:v>
                </c:pt>
                <c:pt idx="3">
                  <c:v>3.6768000000000002E-10</c:v>
                </c:pt>
                <c:pt idx="4">
                  <c:v>4.2795999999999999E-10</c:v>
                </c:pt>
                <c:pt idx="5">
                  <c:v>5.7186000000000003E-10</c:v>
                </c:pt>
                <c:pt idx="6">
                  <c:v>7.9461000000000001E-10</c:v>
                </c:pt>
                <c:pt idx="7">
                  <c:v>2.0544999999999999E-9</c:v>
                </c:pt>
                <c:pt idx="8">
                  <c:v>1.8229E-9</c:v>
                </c:pt>
                <c:pt idx="9">
                  <c:v>1.5537999999999999E-9</c:v>
                </c:pt>
                <c:pt idx="10">
                  <c:v>1.3017E-9</c:v>
                </c:pt>
                <c:pt idx="11">
                  <c:v>1.0779E-9</c:v>
                </c:pt>
                <c:pt idx="12">
                  <c:v>8.8486999999999996E-10</c:v>
                </c:pt>
                <c:pt idx="13">
                  <c:v>3.7916999999999999E-10</c:v>
                </c:pt>
                <c:pt idx="14">
                  <c:v>1.5362999999999999E-10</c:v>
                </c:pt>
                <c:pt idx="15">
                  <c:v>6.0235999999999995E-11</c:v>
                </c:pt>
                <c:pt idx="16">
                  <c:v>4.7475999999999998E-11</c:v>
                </c:pt>
                <c:pt idx="17">
                  <c:v>3.7364999999999998E-11</c:v>
                </c:pt>
                <c:pt idx="18">
                  <c:v>2.9366999999999998E-11</c:v>
                </c:pt>
                <c:pt idx="19">
                  <c:v>2.3048E-11</c:v>
                </c:pt>
                <c:pt idx="20">
                  <c:v>8.6270000000000003E-12</c:v>
                </c:pt>
                <c:pt idx="21">
                  <c:v>3.1578000000000001E-12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AE7A-412E-BBF5-89E233391AB6}"/>
            </c:ext>
          </c:extLst>
        </c:ser>
        <c:ser>
          <c:idx val="14"/>
          <c:order val="14"/>
          <c:tx>
            <c:strRef>
              <c:f>ALL!$E$18</c:f>
              <c:strCache>
                <c:ptCount val="1"/>
                <c:pt idx="0">
                  <c:v>(l)Ge[c]</c:v>
                </c:pt>
              </c:strCache>
            </c:strRef>
          </c:tx>
          <c:spPr>
            <a:ln w="19050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ALL!$F$3:$AL$3</c:f>
              <c:numCache>
                <c:formatCode>General</c:formatCode>
                <c:ptCount val="33"/>
                <c:pt idx="0">
                  <c:v>298.2</c:v>
                </c:pt>
                <c:pt idx="1">
                  <c:v>331.5</c:v>
                </c:pt>
                <c:pt idx="2">
                  <c:v>364.9</c:v>
                </c:pt>
                <c:pt idx="3">
                  <c:v>398.3</c:v>
                </c:pt>
                <c:pt idx="4">
                  <c:v>431.7</c:v>
                </c:pt>
                <c:pt idx="5">
                  <c:v>465.1</c:v>
                </c:pt>
                <c:pt idx="6">
                  <c:v>498.5</c:v>
                </c:pt>
                <c:pt idx="7">
                  <c:v>531.79999999999995</c:v>
                </c:pt>
                <c:pt idx="8">
                  <c:v>565.20000000000005</c:v>
                </c:pt>
                <c:pt idx="9">
                  <c:v>598.6</c:v>
                </c:pt>
                <c:pt idx="10">
                  <c:v>632</c:v>
                </c:pt>
                <c:pt idx="11">
                  <c:v>665.4</c:v>
                </c:pt>
                <c:pt idx="12">
                  <c:v>698.8</c:v>
                </c:pt>
                <c:pt idx="13">
                  <c:v>832.3</c:v>
                </c:pt>
                <c:pt idx="14">
                  <c:v>965.8</c:v>
                </c:pt>
                <c:pt idx="15">
                  <c:v>1099</c:v>
                </c:pt>
                <c:pt idx="16">
                  <c:v>1133</c:v>
                </c:pt>
                <c:pt idx="17">
                  <c:v>1166</c:v>
                </c:pt>
                <c:pt idx="18">
                  <c:v>1200</c:v>
                </c:pt>
                <c:pt idx="19">
                  <c:v>1233</c:v>
                </c:pt>
                <c:pt idx="20">
                  <c:v>1366</c:v>
                </c:pt>
                <c:pt idx="21">
                  <c:v>1500</c:v>
                </c:pt>
              </c:numCache>
            </c:numRef>
          </c:xVal>
          <c:yVal>
            <c:numRef>
              <c:f>ALL!$F$18:$AL$18</c:f>
              <c:numCache>
                <c:formatCode>0.0E+00</c:formatCode>
                <c:ptCount val="33"/>
                <c:pt idx="0">
                  <c:v>7.8764000000000003E-7</c:v>
                </c:pt>
                <c:pt idx="1">
                  <c:v>7.4715999999999998E-6</c:v>
                </c:pt>
                <c:pt idx="2">
                  <c:v>9.4738E-5</c:v>
                </c:pt>
                <c:pt idx="3">
                  <c:v>9.3227000000000002E-4</c:v>
                </c:pt>
                <c:pt idx="4">
                  <c:v>5.9503999999999998E-3</c:v>
                </c:pt>
                <c:pt idx="5">
                  <c:v>2.1070999999999999E-2</c:v>
                </c:pt>
                <c:pt idx="6">
                  <c:v>4.1383000000000003E-2</c:v>
                </c:pt>
                <c:pt idx="7">
                  <c:v>5.2893000000000003E-2</c:v>
                </c:pt>
                <c:pt idx="8">
                  <c:v>5.7925999999999998E-2</c:v>
                </c:pt>
                <c:pt idx="9">
                  <c:v>5.9372000000000001E-2</c:v>
                </c:pt>
                <c:pt idx="10">
                  <c:v>5.9795000000000001E-2</c:v>
                </c:pt>
                <c:pt idx="11">
                  <c:v>5.9928000000000002E-2</c:v>
                </c:pt>
                <c:pt idx="12">
                  <c:v>5.9972999999999999E-2</c:v>
                </c:pt>
                <c:pt idx="13">
                  <c:v>5.9998999999999997E-2</c:v>
                </c:pt>
                <c:pt idx="14">
                  <c:v>0.06</c:v>
                </c:pt>
                <c:pt idx="15">
                  <c:v>0.06</c:v>
                </c:pt>
                <c:pt idx="16">
                  <c:v>0.06</c:v>
                </c:pt>
                <c:pt idx="17">
                  <c:v>0.06</c:v>
                </c:pt>
                <c:pt idx="18">
                  <c:v>0.06</c:v>
                </c:pt>
                <c:pt idx="19">
                  <c:v>0.06</c:v>
                </c:pt>
                <c:pt idx="20">
                  <c:v>0.06</c:v>
                </c:pt>
                <c:pt idx="21">
                  <c:v>0.06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AE7A-412E-BBF5-89E233391AB6}"/>
            </c:ext>
          </c:extLst>
        </c:ser>
        <c:ser>
          <c:idx val="29"/>
          <c:order val="29"/>
          <c:tx>
            <c:v>temp</c:v>
          </c:tx>
          <c:spPr>
            <a:ln w="19050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dPt>
            <c:idx val="1"/>
            <c:marker>
              <c:symbol val="none"/>
            </c:marker>
            <c:bubble3D val="0"/>
            <c:spPr>
              <a:ln w="19050" cap="rnd">
                <a:solidFill>
                  <a:schemeClr val="tx1">
                    <a:lumMod val="95000"/>
                    <a:lumOff val="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F-AE7A-412E-BBF5-89E233391AB6}"/>
              </c:ext>
            </c:extLst>
          </c:dPt>
          <c:xVal>
            <c:numRef>
              <c:f>ALL!$BA$3:$BA$4</c:f>
              <c:numCache>
                <c:formatCode>General</c:formatCode>
                <c:ptCount val="2"/>
                <c:pt idx="0">
                  <c:v>700</c:v>
                </c:pt>
                <c:pt idx="1">
                  <c:v>700</c:v>
                </c:pt>
              </c:numCache>
            </c:numRef>
          </c:xVal>
          <c:yVal>
            <c:numRef>
              <c:f>ALL!$BB$3:$BB$4</c:f>
              <c:numCache>
                <c:formatCode>0</c:formatCode>
                <c:ptCount val="2"/>
                <c:pt idx="0" formatCode="General">
                  <c:v>0</c:v>
                </c:pt>
                <c:pt idx="1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0-AE7A-412E-BBF5-89E233391A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1619416"/>
        <c:axId val="393215344"/>
        <c:extLst>
          <c:ext xmlns:c15="http://schemas.microsoft.com/office/drawing/2012/chart" uri="{02D57815-91ED-43cb-92C2-25804820EDAC}">
            <c15:filteredScatterSeries>
              <c15:ser>
                <c:idx val="3"/>
                <c:order val="3"/>
                <c:tx>
                  <c:strRef>
                    <c:extLst>
                      <c:ext uri="{02D57815-91ED-43cb-92C2-25804820EDAC}">
                        <c15:formulaRef>
                          <c15:sqref>ALL!$E$7</c15:sqref>
                        </c15:formulaRef>
                      </c:ext>
                    </c:extLst>
                    <c:strCache>
                      <c:ptCount val="1"/>
                      <c:pt idx="0">
                        <c:v>Ge</c:v>
                      </c:pt>
                    </c:strCache>
                  </c:strRef>
                </c:tx>
                <c:spPr>
                  <a:ln w="19050" cap="rnd">
                    <a:solidFill>
                      <a:schemeClr val="accent4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ALL!$F$3:$AL$3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298.2</c:v>
                      </c:pt>
                      <c:pt idx="1">
                        <c:v>331.5</c:v>
                      </c:pt>
                      <c:pt idx="2">
                        <c:v>364.9</c:v>
                      </c:pt>
                      <c:pt idx="3">
                        <c:v>398.3</c:v>
                      </c:pt>
                      <c:pt idx="4">
                        <c:v>431.7</c:v>
                      </c:pt>
                      <c:pt idx="5">
                        <c:v>465.1</c:v>
                      </c:pt>
                      <c:pt idx="6">
                        <c:v>498.5</c:v>
                      </c:pt>
                      <c:pt idx="7">
                        <c:v>531.79999999999995</c:v>
                      </c:pt>
                      <c:pt idx="8">
                        <c:v>565.20000000000005</c:v>
                      </c:pt>
                      <c:pt idx="9">
                        <c:v>598.6</c:v>
                      </c:pt>
                      <c:pt idx="10">
                        <c:v>632</c:v>
                      </c:pt>
                      <c:pt idx="11">
                        <c:v>665.4</c:v>
                      </c:pt>
                      <c:pt idx="12">
                        <c:v>698.8</c:v>
                      </c:pt>
                      <c:pt idx="13">
                        <c:v>832.3</c:v>
                      </c:pt>
                      <c:pt idx="14">
                        <c:v>965.8</c:v>
                      </c:pt>
                      <c:pt idx="15">
                        <c:v>1099</c:v>
                      </c:pt>
                      <c:pt idx="16">
                        <c:v>1133</c:v>
                      </c:pt>
                      <c:pt idx="17">
                        <c:v>1166</c:v>
                      </c:pt>
                      <c:pt idx="18">
                        <c:v>1200</c:v>
                      </c:pt>
                      <c:pt idx="19">
                        <c:v>1233</c:v>
                      </c:pt>
                      <c:pt idx="20">
                        <c:v>1366</c:v>
                      </c:pt>
                      <c:pt idx="21">
                        <c:v>1500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ALL!$F$7:$AL$7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4.7876999999999999E-34</c:v>
                      </c:pt>
                      <c:pt idx="7">
                        <c:v>6.4196999999999995E-32</c:v>
                      </c:pt>
                      <c:pt idx="8">
                        <c:v>1.0090000000000001E-29</c:v>
                      </c:pt>
                      <c:pt idx="9">
                        <c:v>8.6744000000000001E-28</c:v>
                      </c:pt>
                      <c:pt idx="10">
                        <c:v>4.6054000000000001E-26</c:v>
                      </c:pt>
                      <c:pt idx="11">
                        <c:v>1.6372E-24</c:v>
                      </c:pt>
                      <c:pt idx="12">
                        <c:v>4.1365000000000001E-23</c:v>
                      </c:pt>
                      <c:pt idx="13">
                        <c:v>1.2665E-18</c:v>
                      </c:pt>
                      <c:pt idx="14">
                        <c:v>2.2310000000000002E-15</c:v>
                      </c:pt>
                      <c:pt idx="15">
                        <c:v>6.3804999999999999E-13</c:v>
                      </c:pt>
                      <c:pt idx="16">
                        <c:v>2.1290999999999999E-12</c:v>
                      </c:pt>
                      <c:pt idx="17">
                        <c:v>6.6288000000000002E-12</c:v>
                      </c:pt>
                      <c:pt idx="18">
                        <c:v>1.9369000000000001E-11</c:v>
                      </c:pt>
                      <c:pt idx="19">
                        <c:v>5.3384000000000003E-11</c:v>
                      </c:pt>
                      <c:pt idx="20">
                        <c:v>1.8718000000000001E-9</c:v>
                      </c:pt>
                      <c:pt idx="21">
                        <c:v>3.4675999999999999E-8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3-AE7A-412E-BBF5-89E233391AB6}"/>
                  </c:ext>
                </c:extLst>
              </c15:ser>
            </c15:filteredScatterSeries>
            <c15:filteredScatterSeries>
              <c15:ser>
                <c:idx val="4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ALL!$E$8</c15:sqref>
                        </c15:formulaRef>
                      </c:ext>
                    </c:extLst>
                    <c:strCache>
                      <c:ptCount val="1"/>
                      <c:pt idx="0">
                        <c:v>Ar</c:v>
                      </c:pt>
                    </c:strCache>
                  </c:strRef>
                </c:tx>
                <c:spPr>
                  <a:ln w="19050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298.2</c:v>
                      </c:pt>
                      <c:pt idx="1">
                        <c:v>331.5</c:v>
                      </c:pt>
                      <c:pt idx="2">
                        <c:v>364.9</c:v>
                      </c:pt>
                      <c:pt idx="3">
                        <c:v>398.3</c:v>
                      </c:pt>
                      <c:pt idx="4">
                        <c:v>431.7</c:v>
                      </c:pt>
                      <c:pt idx="5">
                        <c:v>465.1</c:v>
                      </c:pt>
                      <c:pt idx="6">
                        <c:v>498.5</c:v>
                      </c:pt>
                      <c:pt idx="7">
                        <c:v>531.79999999999995</c:v>
                      </c:pt>
                      <c:pt idx="8">
                        <c:v>565.20000000000005</c:v>
                      </c:pt>
                      <c:pt idx="9">
                        <c:v>598.6</c:v>
                      </c:pt>
                      <c:pt idx="10">
                        <c:v>632</c:v>
                      </c:pt>
                      <c:pt idx="11">
                        <c:v>665.4</c:v>
                      </c:pt>
                      <c:pt idx="12">
                        <c:v>698.8</c:v>
                      </c:pt>
                      <c:pt idx="13">
                        <c:v>832.3</c:v>
                      </c:pt>
                      <c:pt idx="14">
                        <c:v>965.8</c:v>
                      </c:pt>
                      <c:pt idx="15">
                        <c:v>1099</c:v>
                      </c:pt>
                      <c:pt idx="16">
                        <c:v>1133</c:v>
                      </c:pt>
                      <c:pt idx="17">
                        <c:v>1166</c:v>
                      </c:pt>
                      <c:pt idx="18">
                        <c:v>1200</c:v>
                      </c:pt>
                      <c:pt idx="19">
                        <c:v>1233</c:v>
                      </c:pt>
                      <c:pt idx="20">
                        <c:v>1366</c:v>
                      </c:pt>
                      <c:pt idx="21">
                        <c:v>1500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ALL!$F$8:$AL$8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0.2</c:v>
                      </c:pt>
                      <c:pt idx="1">
                        <c:v>0.2</c:v>
                      </c:pt>
                      <c:pt idx="2">
                        <c:v>0.2</c:v>
                      </c:pt>
                      <c:pt idx="3">
                        <c:v>0.2</c:v>
                      </c:pt>
                      <c:pt idx="4">
                        <c:v>0.2</c:v>
                      </c:pt>
                      <c:pt idx="5">
                        <c:v>0.2</c:v>
                      </c:pt>
                      <c:pt idx="6">
                        <c:v>0.2</c:v>
                      </c:pt>
                      <c:pt idx="7">
                        <c:v>0.2</c:v>
                      </c:pt>
                      <c:pt idx="8">
                        <c:v>0.2</c:v>
                      </c:pt>
                      <c:pt idx="9">
                        <c:v>0.2</c:v>
                      </c:pt>
                      <c:pt idx="10">
                        <c:v>0.2</c:v>
                      </c:pt>
                      <c:pt idx="11">
                        <c:v>0.2</c:v>
                      </c:pt>
                      <c:pt idx="12">
                        <c:v>0.2</c:v>
                      </c:pt>
                      <c:pt idx="13">
                        <c:v>0.2</c:v>
                      </c:pt>
                      <c:pt idx="14">
                        <c:v>0.2</c:v>
                      </c:pt>
                      <c:pt idx="15">
                        <c:v>0.2</c:v>
                      </c:pt>
                      <c:pt idx="16">
                        <c:v>0.2</c:v>
                      </c:pt>
                      <c:pt idx="17">
                        <c:v>0.2</c:v>
                      </c:pt>
                      <c:pt idx="18">
                        <c:v>0.2</c:v>
                      </c:pt>
                      <c:pt idx="19">
                        <c:v>0.2</c:v>
                      </c:pt>
                      <c:pt idx="20">
                        <c:v>0.2</c:v>
                      </c:pt>
                      <c:pt idx="21">
                        <c:v>0.2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4-AE7A-412E-BBF5-89E233391AB6}"/>
                  </c:ext>
                </c:extLst>
              </c15:ser>
            </c15:filteredScatterSeries>
            <c15:filteredScatterSeries>
              <c15:ser>
                <c:idx val="15"/>
                <c:order val="1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ALL!$E$19</c15:sqref>
                        </c15:formulaRef>
                      </c:ext>
                    </c:extLst>
                    <c:strCache>
                      <c:ptCount val="1"/>
                      <c:pt idx="0">
                        <c:v>H (Ar)</c:v>
                      </c:pt>
                    </c:strCache>
                  </c:strRef>
                </c:tx>
                <c:spPr>
                  <a:ln w="19050" cap="rnd">
                    <a:solidFill>
                      <a:schemeClr val="accent4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298.2</c:v>
                      </c:pt>
                      <c:pt idx="1">
                        <c:v>331.5</c:v>
                      </c:pt>
                      <c:pt idx="2">
                        <c:v>364.9</c:v>
                      </c:pt>
                      <c:pt idx="3">
                        <c:v>398.3</c:v>
                      </c:pt>
                      <c:pt idx="4">
                        <c:v>431.7</c:v>
                      </c:pt>
                      <c:pt idx="5">
                        <c:v>465.1</c:v>
                      </c:pt>
                      <c:pt idx="6">
                        <c:v>498.5</c:v>
                      </c:pt>
                      <c:pt idx="7">
                        <c:v>531.79999999999995</c:v>
                      </c:pt>
                      <c:pt idx="8">
                        <c:v>565.20000000000005</c:v>
                      </c:pt>
                      <c:pt idx="9">
                        <c:v>598.6</c:v>
                      </c:pt>
                      <c:pt idx="10">
                        <c:v>632</c:v>
                      </c:pt>
                      <c:pt idx="11">
                        <c:v>665.4</c:v>
                      </c:pt>
                      <c:pt idx="12">
                        <c:v>698.8</c:v>
                      </c:pt>
                      <c:pt idx="13">
                        <c:v>832.3</c:v>
                      </c:pt>
                      <c:pt idx="14">
                        <c:v>965.8</c:v>
                      </c:pt>
                      <c:pt idx="15">
                        <c:v>1099</c:v>
                      </c:pt>
                      <c:pt idx="16">
                        <c:v>1133</c:v>
                      </c:pt>
                      <c:pt idx="17">
                        <c:v>1166</c:v>
                      </c:pt>
                      <c:pt idx="18">
                        <c:v>1200</c:v>
                      </c:pt>
                      <c:pt idx="19">
                        <c:v>1233</c:v>
                      </c:pt>
                      <c:pt idx="20">
                        <c:v>1366</c:v>
                      </c:pt>
                      <c:pt idx="21">
                        <c:v>1500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ALL!$F$19:$AL$19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-18.88</c:v>
                      </c:pt>
                      <c:pt idx="1">
                        <c:v>-18.87</c:v>
                      </c:pt>
                      <c:pt idx="2">
                        <c:v>-18.899999999999999</c:v>
                      </c:pt>
                      <c:pt idx="3">
                        <c:v>-18.940000000000001</c:v>
                      </c:pt>
                      <c:pt idx="4">
                        <c:v>-18.989999999999998</c:v>
                      </c:pt>
                      <c:pt idx="5">
                        <c:v>-19.04</c:v>
                      </c:pt>
                      <c:pt idx="6">
                        <c:v>-19.07</c:v>
                      </c:pt>
                      <c:pt idx="7">
                        <c:v>-18.96</c:v>
                      </c:pt>
                      <c:pt idx="8">
                        <c:v>-19.03</c:v>
                      </c:pt>
                      <c:pt idx="9">
                        <c:v>-19.100000000000001</c:v>
                      </c:pt>
                      <c:pt idx="10">
                        <c:v>-19.170000000000002</c:v>
                      </c:pt>
                      <c:pt idx="11">
                        <c:v>-19.239999999999998</c:v>
                      </c:pt>
                      <c:pt idx="12">
                        <c:v>-19.309999999999999</c:v>
                      </c:pt>
                      <c:pt idx="13">
                        <c:v>-19.57</c:v>
                      </c:pt>
                      <c:pt idx="14">
                        <c:v>-19.82</c:v>
                      </c:pt>
                      <c:pt idx="15">
                        <c:v>-20.05</c:v>
                      </c:pt>
                      <c:pt idx="16">
                        <c:v>-20.11</c:v>
                      </c:pt>
                      <c:pt idx="17">
                        <c:v>-20.16</c:v>
                      </c:pt>
                      <c:pt idx="18">
                        <c:v>-20.21</c:v>
                      </c:pt>
                      <c:pt idx="19">
                        <c:v>-20.260000000000002</c:v>
                      </c:pt>
                      <c:pt idx="20">
                        <c:v>-20.46</c:v>
                      </c:pt>
                      <c:pt idx="21">
                        <c:v>-20.65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0-AE7A-412E-BBF5-89E233391AB6}"/>
                  </c:ext>
                </c:extLst>
              </c15:ser>
            </c15:filteredScatterSeries>
            <c15:filteredScatterSeries>
              <c15:ser>
                <c:idx val="16"/>
                <c:order val="1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ALL!$E$20</c15:sqref>
                        </c15:formulaRef>
                      </c:ext>
                    </c:extLst>
                    <c:strCache>
                      <c:ptCount val="1"/>
                      <c:pt idx="0">
                        <c:v>H (Ga)</c:v>
                      </c:pt>
                    </c:strCache>
                  </c:strRef>
                </c:tx>
                <c:spPr>
                  <a:ln w="19050" cap="rnd">
                    <a:solidFill>
                      <a:schemeClr val="accent5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298.2</c:v>
                      </c:pt>
                      <c:pt idx="1">
                        <c:v>331.5</c:v>
                      </c:pt>
                      <c:pt idx="2">
                        <c:v>364.9</c:v>
                      </c:pt>
                      <c:pt idx="3">
                        <c:v>398.3</c:v>
                      </c:pt>
                      <c:pt idx="4">
                        <c:v>431.7</c:v>
                      </c:pt>
                      <c:pt idx="5">
                        <c:v>465.1</c:v>
                      </c:pt>
                      <c:pt idx="6">
                        <c:v>498.5</c:v>
                      </c:pt>
                      <c:pt idx="7">
                        <c:v>531.79999999999995</c:v>
                      </c:pt>
                      <c:pt idx="8">
                        <c:v>565.20000000000005</c:v>
                      </c:pt>
                      <c:pt idx="9">
                        <c:v>598.6</c:v>
                      </c:pt>
                      <c:pt idx="10">
                        <c:v>632</c:v>
                      </c:pt>
                      <c:pt idx="11">
                        <c:v>665.4</c:v>
                      </c:pt>
                      <c:pt idx="12">
                        <c:v>698.8</c:v>
                      </c:pt>
                      <c:pt idx="13">
                        <c:v>832.3</c:v>
                      </c:pt>
                      <c:pt idx="14">
                        <c:v>965.8</c:v>
                      </c:pt>
                      <c:pt idx="15">
                        <c:v>1099</c:v>
                      </c:pt>
                      <c:pt idx="16">
                        <c:v>1133</c:v>
                      </c:pt>
                      <c:pt idx="17">
                        <c:v>1166</c:v>
                      </c:pt>
                      <c:pt idx="18">
                        <c:v>1200</c:v>
                      </c:pt>
                      <c:pt idx="19">
                        <c:v>1233</c:v>
                      </c:pt>
                      <c:pt idx="20">
                        <c:v>1366</c:v>
                      </c:pt>
                      <c:pt idx="21">
                        <c:v>1500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ALL!$F$20:$AL$20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-60.79</c:v>
                      </c:pt>
                      <c:pt idx="1">
                        <c:v>-53.82</c:v>
                      </c:pt>
                      <c:pt idx="2">
                        <c:v>-47.01</c:v>
                      </c:pt>
                      <c:pt idx="3">
                        <c:v>-40.9</c:v>
                      </c:pt>
                      <c:pt idx="4">
                        <c:v>-35.71</c:v>
                      </c:pt>
                      <c:pt idx="5">
                        <c:v>-31.39</c:v>
                      </c:pt>
                      <c:pt idx="6">
                        <c:v>-27.66</c:v>
                      </c:pt>
                      <c:pt idx="7">
                        <c:v>-26.79</c:v>
                      </c:pt>
                      <c:pt idx="8">
                        <c:v>-28.11</c:v>
                      </c:pt>
                      <c:pt idx="9">
                        <c:v>-29.41</c:v>
                      </c:pt>
                      <c:pt idx="10">
                        <c:v>-30.69</c:v>
                      </c:pt>
                      <c:pt idx="11">
                        <c:v>-31.94</c:v>
                      </c:pt>
                      <c:pt idx="12">
                        <c:v>-33.159999999999997</c:v>
                      </c:pt>
                      <c:pt idx="13">
                        <c:v>-37.67</c:v>
                      </c:pt>
                      <c:pt idx="14">
                        <c:v>-41.43</c:v>
                      </c:pt>
                      <c:pt idx="15">
                        <c:v>-44.33</c:v>
                      </c:pt>
                      <c:pt idx="16">
                        <c:v>-44.9</c:v>
                      </c:pt>
                      <c:pt idx="17">
                        <c:v>-45.42</c:v>
                      </c:pt>
                      <c:pt idx="18">
                        <c:v>-45.86</c:v>
                      </c:pt>
                      <c:pt idx="19">
                        <c:v>-46.25</c:v>
                      </c:pt>
                      <c:pt idx="20">
                        <c:v>-47.11</c:v>
                      </c:pt>
                      <c:pt idx="21">
                        <c:v>-46.85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1-AE7A-412E-BBF5-89E233391AB6}"/>
                  </c:ext>
                </c:extLst>
              </c15:ser>
            </c15:filteredScatterSeries>
            <c15:filteredScatterSeries>
              <c15:ser>
                <c:idx val="17"/>
                <c:order val="1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ALL!$E$21</c15:sqref>
                        </c15:formulaRef>
                      </c:ext>
                    </c:extLst>
                    <c:strCache>
                      <c:ptCount val="1"/>
                      <c:pt idx="0">
                        <c:v>H (Ge)</c:v>
                      </c:pt>
                    </c:strCache>
                  </c:strRef>
                </c:tx>
                <c:spPr>
                  <a:ln w="19050" cap="rnd">
                    <a:solidFill>
                      <a:schemeClr val="accent6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298.2</c:v>
                      </c:pt>
                      <c:pt idx="1">
                        <c:v>331.5</c:v>
                      </c:pt>
                      <c:pt idx="2">
                        <c:v>364.9</c:v>
                      </c:pt>
                      <c:pt idx="3">
                        <c:v>398.3</c:v>
                      </c:pt>
                      <c:pt idx="4">
                        <c:v>431.7</c:v>
                      </c:pt>
                      <c:pt idx="5">
                        <c:v>465.1</c:v>
                      </c:pt>
                      <c:pt idx="6">
                        <c:v>498.5</c:v>
                      </c:pt>
                      <c:pt idx="7">
                        <c:v>531.79999999999995</c:v>
                      </c:pt>
                      <c:pt idx="8">
                        <c:v>565.20000000000005</c:v>
                      </c:pt>
                      <c:pt idx="9">
                        <c:v>598.6</c:v>
                      </c:pt>
                      <c:pt idx="10">
                        <c:v>632</c:v>
                      </c:pt>
                      <c:pt idx="11">
                        <c:v>665.4</c:v>
                      </c:pt>
                      <c:pt idx="12">
                        <c:v>698.8</c:v>
                      </c:pt>
                      <c:pt idx="13">
                        <c:v>832.3</c:v>
                      </c:pt>
                      <c:pt idx="14">
                        <c:v>965.8</c:v>
                      </c:pt>
                      <c:pt idx="15">
                        <c:v>1099</c:v>
                      </c:pt>
                      <c:pt idx="16">
                        <c:v>1133</c:v>
                      </c:pt>
                      <c:pt idx="17">
                        <c:v>1166</c:v>
                      </c:pt>
                      <c:pt idx="18">
                        <c:v>1200</c:v>
                      </c:pt>
                      <c:pt idx="19">
                        <c:v>1233</c:v>
                      </c:pt>
                      <c:pt idx="20">
                        <c:v>1366</c:v>
                      </c:pt>
                      <c:pt idx="21">
                        <c:v>1500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ALL!$F$21:$AL$21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-16</c:v>
                      </c:pt>
                      <c:pt idx="1">
                        <c:v>-13.92</c:v>
                      </c:pt>
                      <c:pt idx="2">
                        <c:v>-11.54</c:v>
                      </c:pt>
                      <c:pt idx="3">
                        <c:v>-9.3460000000000001</c:v>
                      </c:pt>
                      <c:pt idx="4">
                        <c:v>-7.6120000000000001</c:v>
                      </c:pt>
                      <c:pt idx="5">
                        <c:v>-6.5529999999999999</c:v>
                      </c:pt>
                      <c:pt idx="6">
                        <c:v>-6.1760000000000002</c:v>
                      </c:pt>
                      <c:pt idx="7">
                        <c:v>-6.8330000000000002</c:v>
                      </c:pt>
                      <c:pt idx="8">
                        <c:v>-6.843</c:v>
                      </c:pt>
                      <c:pt idx="9">
                        <c:v>-6.9039999999999999</c:v>
                      </c:pt>
                      <c:pt idx="10">
                        <c:v>-6.9809999999999999</c:v>
                      </c:pt>
                      <c:pt idx="11">
                        <c:v>-7.0620000000000003</c:v>
                      </c:pt>
                      <c:pt idx="12">
                        <c:v>-7.1429999999999998</c:v>
                      </c:pt>
                      <c:pt idx="13">
                        <c:v>-7.4630000000000001</c:v>
                      </c:pt>
                      <c:pt idx="14">
                        <c:v>-7.7649999999999997</c:v>
                      </c:pt>
                      <c:pt idx="15">
                        <c:v>-8.048</c:v>
                      </c:pt>
                      <c:pt idx="16">
                        <c:v>-8.1159999999999997</c:v>
                      </c:pt>
                      <c:pt idx="17">
                        <c:v>-8.1820000000000004</c:v>
                      </c:pt>
                      <c:pt idx="18">
                        <c:v>-8.2479999999999993</c:v>
                      </c:pt>
                      <c:pt idx="19">
                        <c:v>-8.3130000000000006</c:v>
                      </c:pt>
                      <c:pt idx="20">
                        <c:v>-8.5609999999999999</c:v>
                      </c:pt>
                      <c:pt idx="21">
                        <c:v>-8.7949999999999999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2-AE7A-412E-BBF5-89E233391AB6}"/>
                  </c:ext>
                </c:extLst>
              </c15:ser>
            </c15:filteredScatterSeries>
            <c15:filteredScatterSeries>
              <c15:ser>
                <c:idx val="18"/>
                <c:order val="1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ALL!$E$22</c15:sqref>
                        </c15:formulaRef>
                      </c:ext>
                    </c:extLst>
                    <c:strCache>
                      <c:ptCount val="1"/>
                      <c:pt idx="0">
                        <c:v>H (Se)</c:v>
                      </c:pt>
                    </c:strCache>
                  </c:strRef>
                </c:tx>
                <c:spPr>
                  <a:ln w="19050" cap="rnd">
                    <a:solidFill>
                      <a:schemeClr val="accent1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298.2</c:v>
                      </c:pt>
                      <c:pt idx="1">
                        <c:v>331.5</c:v>
                      </c:pt>
                      <c:pt idx="2">
                        <c:v>364.9</c:v>
                      </c:pt>
                      <c:pt idx="3">
                        <c:v>398.3</c:v>
                      </c:pt>
                      <c:pt idx="4">
                        <c:v>431.7</c:v>
                      </c:pt>
                      <c:pt idx="5">
                        <c:v>465.1</c:v>
                      </c:pt>
                      <c:pt idx="6">
                        <c:v>498.5</c:v>
                      </c:pt>
                      <c:pt idx="7">
                        <c:v>531.79999999999995</c:v>
                      </c:pt>
                      <c:pt idx="8">
                        <c:v>565.20000000000005</c:v>
                      </c:pt>
                      <c:pt idx="9">
                        <c:v>598.6</c:v>
                      </c:pt>
                      <c:pt idx="10">
                        <c:v>632</c:v>
                      </c:pt>
                      <c:pt idx="11">
                        <c:v>665.4</c:v>
                      </c:pt>
                      <c:pt idx="12">
                        <c:v>698.8</c:v>
                      </c:pt>
                      <c:pt idx="13">
                        <c:v>832.3</c:v>
                      </c:pt>
                      <c:pt idx="14">
                        <c:v>965.8</c:v>
                      </c:pt>
                      <c:pt idx="15">
                        <c:v>1099</c:v>
                      </c:pt>
                      <c:pt idx="16">
                        <c:v>1133</c:v>
                      </c:pt>
                      <c:pt idx="17">
                        <c:v>1166</c:v>
                      </c:pt>
                      <c:pt idx="18">
                        <c:v>1200</c:v>
                      </c:pt>
                      <c:pt idx="19">
                        <c:v>1233</c:v>
                      </c:pt>
                      <c:pt idx="20">
                        <c:v>1366</c:v>
                      </c:pt>
                      <c:pt idx="21">
                        <c:v>1500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ALL!$F$22:$AL$22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-22.14</c:v>
                      </c:pt>
                      <c:pt idx="1">
                        <c:v>-21.3</c:v>
                      </c:pt>
                      <c:pt idx="2">
                        <c:v>-21.39</c:v>
                      </c:pt>
                      <c:pt idx="3">
                        <c:v>-21.8</c:v>
                      </c:pt>
                      <c:pt idx="4">
                        <c:v>-22.19</c:v>
                      </c:pt>
                      <c:pt idx="5">
                        <c:v>-22.48</c:v>
                      </c:pt>
                      <c:pt idx="6">
                        <c:v>-22.79</c:v>
                      </c:pt>
                      <c:pt idx="7">
                        <c:v>-23.04</c:v>
                      </c:pt>
                      <c:pt idx="8">
                        <c:v>-23.53</c:v>
                      </c:pt>
                      <c:pt idx="9">
                        <c:v>-24.03</c:v>
                      </c:pt>
                      <c:pt idx="10">
                        <c:v>-24.51</c:v>
                      </c:pt>
                      <c:pt idx="11">
                        <c:v>-24.99</c:v>
                      </c:pt>
                      <c:pt idx="12">
                        <c:v>-25.47</c:v>
                      </c:pt>
                      <c:pt idx="13">
                        <c:v>-27.28</c:v>
                      </c:pt>
                      <c:pt idx="14">
                        <c:v>-29</c:v>
                      </c:pt>
                      <c:pt idx="15">
                        <c:v>-30.63</c:v>
                      </c:pt>
                      <c:pt idx="16">
                        <c:v>-31.03</c:v>
                      </c:pt>
                      <c:pt idx="17">
                        <c:v>-31.42</c:v>
                      </c:pt>
                      <c:pt idx="18">
                        <c:v>-31.81</c:v>
                      </c:pt>
                      <c:pt idx="19">
                        <c:v>-32.200000000000003</c:v>
                      </c:pt>
                      <c:pt idx="20">
                        <c:v>-33.729999999999997</c:v>
                      </c:pt>
                      <c:pt idx="21">
                        <c:v>-35.22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3-AE7A-412E-BBF5-89E233391AB6}"/>
                  </c:ext>
                </c:extLst>
              </c15:ser>
            </c15:filteredScatterSeries>
            <c15:filteredScatterSeries>
              <c15:ser>
                <c:idx val="19"/>
                <c:order val="1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ALL!$E$23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2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298.2</c:v>
                      </c:pt>
                      <c:pt idx="1">
                        <c:v>331.5</c:v>
                      </c:pt>
                      <c:pt idx="2">
                        <c:v>364.9</c:v>
                      </c:pt>
                      <c:pt idx="3">
                        <c:v>398.3</c:v>
                      </c:pt>
                      <c:pt idx="4">
                        <c:v>431.7</c:v>
                      </c:pt>
                      <c:pt idx="5">
                        <c:v>465.1</c:v>
                      </c:pt>
                      <c:pt idx="6">
                        <c:v>498.5</c:v>
                      </c:pt>
                      <c:pt idx="7">
                        <c:v>531.79999999999995</c:v>
                      </c:pt>
                      <c:pt idx="8">
                        <c:v>565.20000000000005</c:v>
                      </c:pt>
                      <c:pt idx="9">
                        <c:v>598.6</c:v>
                      </c:pt>
                      <c:pt idx="10">
                        <c:v>632</c:v>
                      </c:pt>
                      <c:pt idx="11">
                        <c:v>665.4</c:v>
                      </c:pt>
                      <c:pt idx="12">
                        <c:v>698.8</c:v>
                      </c:pt>
                      <c:pt idx="13">
                        <c:v>832.3</c:v>
                      </c:pt>
                      <c:pt idx="14">
                        <c:v>965.8</c:v>
                      </c:pt>
                      <c:pt idx="15">
                        <c:v>1099</c:v>
                      </c:pt>
                      <c:pt idx="16">
                        <c:v>1133</c:v>
                      </c:pt>
                      <c:pt idx="17">
                        <c:v>1166</c:v>
                      </c:pt>
                      <c:pt idx="18">
                        <c:v>1200</c:v>
                      </c:pt>
                      <c:pt idx="19">
                        <c:v>1233</c:v>
                      </c:pt>
                      <c:pt idx="20">
                        <c:v>1366</c:v>
                      </c:pt>
                      <c:pt idx="21">
                        <c:v>1500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ALL!$F$23:$AL$23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4-AE7A-412E-BBF5-89E233391AB6}"/>
                  </c:ext>
                </c:extLst>
              </c15:ser>
            </c15:filteredScatterSeries>
            <c15:filteredScatterSeries>
              <c15:ser>
                <c:idx val="20"/>
                <c:order val="2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ALL!$E$24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3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298.2</c:v>
                      </c:pt>
                      <c:pt idx="1">
                        <c:v>331.5</c:v>
                      </c:pt>
                      <c:pt idx="2">
                        <c:v>364.9</c:v>
                      </c:pt>
                      <c:pt idx="3">
                        <c:v>398.3</c:v>
                      </c:pt>
                      <c:pt idx="4">
                        <c:v>431.7</c:v>
                      </c:pt>
                      <c:pt idx="5">
                        <c:v>465.1</c:v>
                      </c:pt>
                      <c:pt idx="6">
                        <c:v>498.5</c:v>
                      </c:pt>
                      <c:pt idx="7">
                        <c:v>531.79999999999995</c:v>
                      </c:pt>
                      <c:pt idx="8">
                        <c:v>565.20000000000005</c:v>
                      </c:pt>
                      <c:pt idx="9">
                        <c:v>598.6</c:v>
                      </c:pt>
                      <c:pt idx="10">
                        <c:v>632</c:v>
                      </c:pt>
                      <c:pt idx="11">
                        <c:v>665.4</c:v>
                      </c:pt>
                      <c:pt idx="12">
                        <c:v>698.8</c:v>
                      </c:pt>
                      <c:pt idx="13">
                        <c:v>832.3</c:v>
                      </c:pt>
                      <c:pt idx="14">
                        <c:v>965.8</c:v>
                      </c:pt>
                      <c:pt idx="15">
                        <c:v>1099</c:v>
                      </c:pt>
                      <c:pt idx="16">
                        <c:v>1133</c:v>
                      </c:pt>
                      <c:pt idx="17">
                        <c:v>1166</c:v>
                      </c:pt>
                      <c:pt idx="18">
                        <c:v>1200</c:v>
                      </c:pt>
                      <c:pt idx="19">
                        <c:v>1233</c:v>
                      </c:pt>
                      <c:pt idx="20">
                        <c:v>1366</c:v>
                      </c:pt>
                      <c:pt idx="21">
                        <c:v>1500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ALL!$F$24:$AL$24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5-AE7A-412E-BBF5-89E233391AB6}"/>
                  </c:ext>
                </c:extLst>
              </c15:ser>
            </c15:filteredScatterSeries>
            <c15:filteredScatterSeries>
              <c15:ser>
                <c:idx val="21"/>
                <c:order val="2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ALL!$E$25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4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298.2</c:v>
                      </c:pt>
                      <c:pt idx="1">
                        <c:v>331.5</c:v>
                      </c:pt>
                      <c:pt idx="2">
                        <c:v>364.9</c:v>
                      </c:pt>
                      <c:pt idx="3">
                        <c:v>398.3</c:v>
                      </c:pt>
                      <c:pt idx="4">
                        <c:v>431.7</c:v>
                      </c:pt>
                      <c:pt idx="5">
                        <c:v>465.1</c:v>
                      </c:pt>
                      <c:pt idx="6">
                        <c:v>498.5</c:v>
                      </c:pt>
                      <c:pt idx="7">
                        <c:v>531.79999999999995</c:v>
                      </c:pt>
                      <c:pt idx="8">
                        <c:v>565.20000000000005</c:v>
                      </c:pt>
                      <c:pt idx="9">
                        <c:v>598.6</c:v>
                      </c:pt>
                      <c:pt idx="10">
                        <c:v>632</c:v>
                      </c:pt>
                      <c:pt idx="11">
                        <c:v>665.4</c:v>
                      </c:pt>
                      <c:pt idx="12">
                        <c:v>698.8</c:v>
                      </c:pt>
                      <c:pt idx="13">
                        <c:v>832.3</c:v>
                      </c:pt>
                      <c:pt idx="14">
                        <c:v>965.8</c:v>
                      </c:pt>
                      <c:pt idx="15">
                        <c:v>1099</c:v>
                      </c:pt>
                      <c:pt idx="16">
                        <c:v>1133</c:v>
                      </c:pt>
                      <c:pt idx="17">
                        <c:v>1166</c:v>
                      </c:pt>
                      <c:pt idx="18">
                        <c:v>1200</c:v>
                      </c:pt>
                      <c:pt idx="19">
                        <c:v>1233</c:v>
                      </c:pt>
                      <c:pt idx="20">
                        <c:v>1366</c:v>
                      </c:pt>
                      <c:pt idx="21">
                        <c:v>1500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ALL!$F$25:$AL$25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6-AE7A-412E-BBF5-89E233391AB6}"/>
                  </c:ext>
                </c:extLst>
              </c15:ser>
            </c15:filteredScatterSeries>
            <c15:filteredScatterSeries>
              <c15:ser>
                <c:idx val="22"/>
                <c:order val="2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ALL!$E$26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5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298.2</c:v>
                      </c:pt>
                      <c:pt idx="1">
                        <c:v>331.5</c:v>
                      </c:pt>
                      <c:pt idx="2">
                        <c:v>364.9</c:v>
                      </c:pt>
                      <c:pt idx="3">
                        <c:v>398.3</c:v>
                      </c:pt>
                      <c:pt idx="4">
                        <c:v>431.7</c:v>
                      </c:pt>
                      <c:pt idx="5">
                        <c:v>465.1</c:v>
                      </c:pt>
                      <c:pt idx="6">
                        <c:v>498.5</c:v>
                      </c:pt>
                      <c:pt idx="7">
                        <c:v>531.79999999999995</c:v>
                      </c:pt>
                      <c:pt idx="8">
                        <c:v>565.20000000000005</c:v>
                      </c:pt>
                      <c:pt idx="9">
                        <c:v>598.6</c:v>
                      </c:pt>
                      <c:pt idx="10">
                        <c:v>632</c:v>
                      </c:pt>
                      <c:pt idx="11">
                        <c:v>665.4</c:v>
                      </c:pt>
                      <c:pt idx="12">
                        <c:v>698.8</c:v>
                      </c:pt>
                      <c:pt idx="13">
                        <c:v>832.3</c:v>
                      </c:pt>
                      <c:pt idx="14">
                        <c:v>965.8</c:v>
                      </c:pt>
                      <c:pt idx="15">
                        <c:v>1099</c:v>
                      </c:pt>
                      <c:pt idx="16">
                        <c:v>1133</c:v>
                      </c:pt>
                      <c:pt idx="17">
                        <c:v>1166</c:v>
                      </c:pt>
                      <c:pt idx="18">
                        <c:v>1200</c:v>
                      </c:pt>
                      <c:pt idx="19">
                        <c:v>1233</c:v>
                      </c:pt>
                      <c:pt idx="20">
                        <c:v>1366</c:v>
                      </c:pt>
                      <c:pt idx="21">
                        <c:v>1500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ALL!$F$26:$AL$26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7-AE7A-412E-BBF5-89E233391AB6}"/>
                  </c:ext>
                </c:extLst>
              </c15:ser>
            </c15:filteredScatterSeries>
            <c15:filteredScatterSeries>
              <c15:ser>
                <c:idx val="23"/>
                <c:order val="2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ALL!$E$27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6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298.2</c:v>
                      </c:pt>
                      <c:pt idx="1">
                        <c:v>331.5</c:v>
                      </c:pt>
                      <c:pt idx="2">
                        <c:v>364.9</c:v>
                      </c:pt>
                      <c:pt idx="3">
                        <c:v>398.3</c:v>
                      </c:pt>
                      <c:pt idx="4">
                        <c:v>431.7</c:v>
                      </c:pt>
                      <c:pt idx="5">
                        <c:v>465.1</c:v>
                      </c:pt>
                      <c:pt idx="6">
                        <c:v>498.5</c:v>
                      </c:pt>
                      <c:pt idx="7">
                        <c:v>531.79999999999995</c:v>
                      </c:pt>
                      <c:pt idx="8">
                        <c:v>565.20000000000005</c:v>
                      </c:pt>
                      <c:pt idx="9">
                        <c:v>598.6</c:v>
                      </c:pt>
                      <c:pt idx="10">
                        <c:v>632</c:v>
                      </c:pt>
                      <c:pt idx="11">
                        <c:v>665.4</c:v>
                      </c:pt>
                      <c:pt idx="12">
                        <c:v>698.8</c:v>
                      </c:pt>
                      <c:pt idx="13">
                        <c:v>832.3</c:v>
                      </c:pt>
                      <c:pt idx="14">
                        <c:v>965.8</c:v>
                      </c:pt>
                      <c:pt idx="15">
                        <c:v>1099</c:v>
                      </c:pt>
                      <c:pt idx="16">
                        <c:v>1133</c:v>
                      </c:pt>
                      <c:pt idx="17">
                        <c:v>1166</c:v>
                      </c:pt>
                      <c:pt idx="18">
                        <c:v>1200</c:v>
                      </c:pt>
                      <c:pt idx="19">
                        <c:v>1233</c:v>
                      </c:pt>
                      <c:pt idx="20">
                        <c:v>1366</c:v>
                      </c:pt>
                      <c:pt idx="21">
                        <c:v>1500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ALL!$F$27:$AL$27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8-AE7A-412E-BBF5-89E233391AB6}"/>
                  </c:ext>
                </c:extLst>
              </c15:ser>
            </c15:filteredScatterSeries>
            <c15:filteredScatterSeries>
              <c15:ser>
                <c:idx val="24"/>
                <c:order val="2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ALL!$E$28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1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298.2</c:v>
                      </c:pt>
                      <c:pt idx="1">
                        <c:v>331.5</c:v>
                      </c:pt>
                      <c:pt idx="2">
                        <c:v>364.9</c:v>
                      </c:pt>
                      <c:pt idx="3">
                        <c:v>398.3</c:v>
                      </c:pt>
                      <c:pt idx="4">
                        <c:v>431.7</c:v>
                      </c:pt>
                      <c:pt idx="5">
                        <c:v>465.1</c:v>
                      </c:pt>
                      <c:pt idx="6">
                        <c:v>498.5</c:v>
                      </c:pt>
                      <c:pt idx="7">
                        <c:v>531.79999999999995</c:v>
                      </c:pt>
                      <c:pt idx="8">
                        <c:v>565.20000000000005</c:v>
                      </c:pt>
                      <c:pt idx="9">
                        <c:v>598.6</c:v>
                      </c:pt>
                      <c:pt idx="10">
                        <c:v>632</c:v>
                      </c:pt>
                      <c:pt idx="11">
                        <c:v>665.4</c:v>
                      </c:pt>
                      <c:pt idx="12">
                        <c:v>698.8</c:v>
                      </c:pt>
                      <c:pt idx="13">
                        <c:v>832.3</c:v>
                      </c:pt>
                      <c:pt idx="14">
                        <c:v>965.8</c:v>
                      </c:pt>
                      <c:pt idx="15">
                        <c:v>1099</c:v>
                      </c:pt>
                      <c:pt idx="16">
                        <c:v>1133</c:v>
                      </c:pt>
                      <c:pt idx="17">
                        <c:v>1166</c:v>
                      </c:pt>
                      <c:pt idx="18">
                        <c:v>1200</c:v>
                      </c:pt>
                      <c:pt idx="19">
                        <c:v>1233</c:v>
                      </c:pt>
                      <c:pt idx="20">
                        <c:v>1366</c:v>
                      </c:pt>
                      <c:pt idx="21">
                        <c:v>1500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ALL!$F$28:$AL$28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9-AE7A-412E-BBF5-89E233391AB6}"/>
                  </c:ext>
                </c:extLst>
              </c15:ser>
            </c15:filteredScatterSeries>
            <c15:filteredScatterSeries>
              <c15:ser>
                <c:idx val="25"/>
                <c:order val="2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ALL!$E$29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2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298.2</c:v>
                      </c:pt>
                      <c:pt idx="1">
                        <c:v>331.5</c:v>
                      </c:pt>
                      <c:pt idx="2">
                        <c:v>364.9</c:v>
                      </c:pt>
                      <c:pt idx="3">
                        <c:v>398.3</c:v>
                      </c:pt>
                      <c:pt idx="4">
                        <c:v>431.7</c:v>
                      </c:pt>
                      <c:pt idx="5">
                        <c:v>465.1</c:v>
                      </c:pt>
                      <c:pt idx="6">
                        <c:v>498.5</c:v>
                      </c:pt>
                      <c:pt idx="7">
                        <c:v>531.79999999999995</c:v>
                      </c:pt>
                      <c:pt idx="8">
                        <c:v>565.20000000000005</c:v>
                      </c:pt>
                      <c:pt idx="9">
                        <c:v>598.6</c:v>
                      </c:pt>
                      <c:pt idx="10">
                        <c:v>632</c:v>
                      </c:pt>
                      <c:pt idx="11">
                        <c:v>665.4</c:v>
                      </c:pt>
                      <c:pt idx="12">
                        <c:v>698.8</c:v>
                      </c:pt>
                      <c:pt idx="13">
                        <c:v>832.3</c:v>
                      </c:pt>
                      <c:pt idx="14">
                        <c:v>965.8</c:v>
                      </c:pt>
                      <c:pt idx="15">
                        <c:v>1099</c:v>
                      </c:pt>
                      <c:pt idx="16">
                        <c:v>1133</c:v>
                      </c:pt>
                      <c:pt idx="17">
                        <c:v>1166</c:v>
                      </c:pt>
                      <c:pt idx="18">
                        <c:v>1200</c:v>
                      </c:pt>
                      <c:pt idx="19">
                        <c:v>1233</c:v>
                      </c:pt>
                      <c:pt idx="20">
                        <c:v>1366</c:v>
                      </c:pt>
                      <c:pt idx="21">
                        <c:v>1500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ALL!$F$29:$AL$29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A-AE7A-412E-BBF5-89E233391AB6}"/>
                  </c:ext>
                </c:extLst>
              </c15:ser>
            </c15:filteredScatterSeries>
            <c15:filteredScatterSeries>
              <c15:ser>
                <c:idx val="26"/>
                <c:order val="2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ALL!$E$30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3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298.2</c:v>
                      </c:pt>
                      <c:pt idx="1">
                        <c:v>331.5</c:v>
                      </c:pt>
                      <c:pt idx="2">
                        <c:v>364.9</c:v>
                      </c:pt>
                      <c:pt idx="3">
                        <c:v>398.3</c:v>
                      </c:pt>
                      <c:pt idx="4">
                        <c:v>431.7</c:v>
                      </c:pt>
                      <c:pt idx="5">
                        <c:v>465.1</c:v>
                      </c:pt>
                      <c:pt idx="6">
                        <c:v>498.5</c:v>
                      </c:pt>
                      <c:pt idx="7">
                        <c:v>531.79999999999995</c:v>
                      </c:pt>
                      <c:pt idx="8">
                        <c:v>565.20000000000005</c:v>
                      </c:pt>
                      <c:pt idx="9">
                        <c:v>598.6</c:v>
                      </c:pt>
                      <c:pt idx="10">
                        <c:v>632</c:v>
                      </c:pt>
                      <c:pt idx="11">
                        <c:v>665.4</c:v>
                      </c:pt>
                      <c:pt idx="12">
                        <c:v>698.8</c:v>
                      </c:pt>
                      <c:pt idx="13">
                        <c:v>832.3</c:v>
                      </c:pt>
                      <c:pt idx="14">
                        <c:v>965.8</c:v>
                      </c:pt>
                      <c:pt idx="15">
                        <c:v>1099</c:v>
                      </c:pt>
                      <c:pt idx="16">
                        <c:v>1133</c:v>
                      </c:pt>
                      <c:pt idx="17">
                        <c:v>1166</c:v>
                      </c:pt>
                      <c:pt idx="18">
                        <c:v>1200</c:v>
                      </c:pt>
                      <c:pt idx="19">
                        <c:v>1233</c:v>
                      </c:pt>
                      <c:pt idx="20">
                        <c:v>1366</c:v>
                      </c:pt>
                      <c:pt idx="21">
                        <c:v>1500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ALL!$F$30:$AL$30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B-AE7A-412E-BBF5-89E233391AB6}"/>
                  </c:ext>
                </c:extLst>
              </c15:ser>
            </c15:filteredScatterSeries>
            <c15:filteredScatterSeries>
              <c15:ser>
                <c:idx val="27"/>
                <c:order val="2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ALL!$E$31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4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298.2</c:v>
                      </c:pt>
                      <c:pt idx="1">
                        <c:v>331.5</c:v>
                      </c:pt>
                      <c:pt idx="2">
                        <c:v>364.9</c:v>
                      </c:pt>
                      <c:pt idx="3">
                        <c:v>398.3</c:v>
                      </c:pt>
                      <c:pt idx="4">
                        <c:v>431.7</c:v>
                      </c:pt>
                      <c:pt idx="5">
                        <c:v>465.1</c:v>
                      </c:pt>
                      <c:pt idx="6">
                        <c:v>498.5</c:v>
                      </c:pt>
                      <c:pt idx="7">
                        <c:v>531.79999999999995</c:v>
                      </c:pt>
                      <c:pt idx="8">
                        <c:v>565.20000000000005</c:v>
                      </c:pt>
                      <c:pt idx="9">
                        <c:v>598.6</c:v>
                      </c:pt>
                      <c:pt idx="10">
                        <c:v>632</c:v>
                      </c:pt>
                      <c:pt idx="11">
                        <c:v>665.4</c:v>
                      </c:pt>
                      <c:pt idx="12">
                        <c:v>698.8</c:v>
                      </c:pt>
                      <c:pt idx="13">
                        <c:v>832.3</c:v>
                      </c:pt>
                      <c:pt idx="14">
                        <c:v>965.8</c:v>
                      </c:pt>
                      <c:pt idx="15">
                        <c:v>1099</c:v>
                      </c:pt>
                      <c:pt idx="16">
                        <c:v>1133</c:v>
                      </c:pt>
                      <c:pt idx="17">
                        <c:v>1166</c:v>
                      </c:pt>
                      <c:pt idx="18">
                        <c:v>1200</c:v>
                      </c:pt>
                      <c:pt idx="19">
                        <c:v>1233</c:v>
                      </c:pt>
                      <c:pt idx="20">
                        <c:v>1366</c:v>
                      </c:pt>
                      <c:pt idx="21">
                        <c:v>1500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ALL!$F$31:$AL$31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C-AE7A-412E-BBF5-89E233391AB6}"/>
                  </c:ext>
                </c:extLst>
              </c15:ser>
            </c15:filteredScatterSeries>
            <c15:filteredScatterSeries>
              <c15:ser>
                <c:idx val="28"/>
                <c:order val="2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ALL!$E$32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5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298.2</c:v>
                      </c:pt>
                      <c:pt idx="1">
                        <c:v>331.5</c:v>
                      </c:pt>
                      <c:pt idx="2">
                        <c:v>364.9</c:v>
                      </c:pt>
                      <c:pt idx="3">
                        <c:v>398.3</c:v>
                      </c:pt>
                      <c:pt idx="4">
                        <c:v>431.7</c:v>
                      </c:pt>
                      <c:pt idx="5">
                        <c:v>465.1</c:v>
                      </c:pt>
                      <c:pt idx="6">
                        <c:v>498.5</c:v>
                      </c:pt>
                      <c:pt idx="7">
                        <c:v>531.79999999999995</c:v>
                      </c:pt>
                      <c:pt idx="8">
                        <c:v>565.20000000000005</c:v>
                      </c:pt>
                      <c:pt idx="9">
                        <c:v>598.6</c:v>
                      </c:pt>
                      <c:pt idx="10">
                        <c:v>632</c:v>
                      </c:pt>
                      <c:pt idx="11">
                        <c:v>665.4</c:v>
                      </c:pt>
                      <c:pt idx="12">
                        <c:v>698.8</c:v>
                      </c:pt>
                      <c:pt idx="13">
                        <c:v>832.3</c:v>
                      </c:pt>
                      <c:pt idx="14">
                        <c:v>965.8</c:v>
                      </c:pt>
                      <c:pt idx="15">
                        <c:v>1099</c:v>
                      </c:pt>
                      <c:pt idx="16">
                        <c:v>1133</c:v>
                      </c:pt>
                      <c:pt idx="17">
                        <c:v>1166</c:v>
                      </c:pt>
                      <c:pt idx="18">
                        <c:v>1200</c:v>
                      </c:pt>
                      <c:pt idx="19">
                        <c:v>1233</c:v>
                      </c:pt>
                      <c:pt idx="20">
                        <c:v>1366</c:v>
                      </c:pt>
                      <c:pt idx="21">
                        <c:v>1500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ALL!$F$32:$AL$32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D-AE7A-412E-BBF5-89E233391AB6}"/>
                  </c:ext>
                </c:extLst>
              </c15:ser>
            </c15:filteredScatterSeries>
          </c:ext>
        </c:extLst>
      </c:scatterChart>
      <c:valAx>
        <c:axId val="391619416"/>
        <c:scaling>
          <c:orientation val="minMax"/>
          <c:max val="1000"/>
          <c:min val="3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8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/>
                  <a:t>T</a:t>
                </a:r>
                <a:r>
                  <a:rPr lang="ru-RU" sz="1800"/>
                  <a:t>, К</a:t>
                </a:r>
              </a:p>
            </c:rich>
          </c:tx>
          <c:layout>
            <c:manualLayout>
              <c:xMode val="edge"/>
              <c:yMode val="edge"/>
              <c:x val="0.42423525471841778"/>
              <c:y val="0.9253208458898237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8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#,##0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93215344"/>
        <c:crosses val="autoZero"/>
        <c:crossBetween val="midCat"/>
      </c:valAx>
      <c:valAx>
        <c:axId val="393215344"/>
        <c:scaling>
          <c:orientation val="minMax"/>
          <c:max val="0.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 sz="1800" b="0" i="0" baseline="0">
                    <a:effectLst/>
                  </a:rPr>
                  <a:t>Концентрация, моль/(моль*атом)</a:t>
                </a:r>
                <a:endParaRPr lang="ru-RU">
                  <a:effectLst/>
                </a:endParaRPr>
              </a:p>
            </c:rich>
          </c:tx>
          <c:layout>
            <c:manualLayout>
              <c:xMode val="edge"/>
              <c:yMode val="edge"/>
              <c:x val="7.8334982535866026E-3"/>
              <c:y val="0.19218689719276424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#,##0.00" sourceLinked="0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91619416"/>
        <c:crosses val="autoZero"/>
        <c:crossBetween val="midCat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579004454016617E-2"/>
          <c:y val="9.3034716533807502E-2"/>
          <c:w val="0.92172545969724562"/>
          <c:h val="0.82261080939032938"/>
        </c:manualLayout>
      </c:layout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FLUID!$F$40:$AL$40</c:f>
              <c:numCache>
                <c:formatCode>General</c:formatCode>
                <c:ptCount val="33"/>
                <c:pt idx="0">
                  <c:v>298.2</c:v>
                </c:pt>
                <c:pt idx="1">
                  <c:v>431.7</c:v>
                </c:pt>
                <c:pt idx="2">
                  <c:v>465.1</c:v>
                </c:pt>
                <c:pt idx="3">
                  <c:v>498.5</c:v>
                </c:pt>
                <c:pt idx="4">
                  <c:v>531.79999999999995</c:v>
                </c:pt>
                <c:pt idx="5">
                  <c:v>565.20000000000005</c:v>
                </c:pt>
                <c:pt idx="6">
                  <c:v>698.8</c:v>
                </c:pt>
                <c:pt idx="7">
                  <c:v>732.2</c:v>
                </c:pt>
                <c:pt idx="8">
                  <c:v>765.5</c:v>
                </c:pt>
                <c:pt idx="9">
                  <c:v>798.9</c:v>
                </c:pt>
                <c:pt idx="10">
                  <c:v>832.3</c:v>
                </c:pt>
                <c:pt idx="11">
                  <c:v>965.8</c:v>
                </c:pt>
                <c:pt idx="12">
                  <c:v>999.2</c:v>
                </c:pt>
                <c:pt idx="13">
                  <c:v>1033</c:v>
                </c:pt>
                <c:pt idx="14">
                  <c:v>1066</c:v>
                </c:pt>
                <c:pt idx="15">
                  <c:v>1099</c:v>
                </c:pt>
                <c:pt idx="16">
                  <c:v>1233</c:v>
                </c:pt>
                <c:pt idx="17">
                  <c:v>1366</c:v>
                </c:pt>
                <c:pt idx="18">
                  <c:v>1500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xVal>
          <c:yVal>
            <c:numRef>
              <c:f>FLUID!$F$41:$AL$41</c:f>
              <c:numCache>
                <c:formatCode>0.0E+00</c:formatCode>
                <c:ptCount val="33"/>
                <c:pt idx="0">
                  <c:v>-60.345724742100003</c:v>
                </c:pt>
                <c:pt idx="1">
                  <c:v>-120.44752017981</c:v>
                </c:pt>
                <c:pt idx="2">
                  <c:v>-137.07748511079299</c:v>
                </c:pt>
                <c:pt idx="3">
                  <c:v>-154.21586962194999</c:v>
                </c:pt>
                <c:pt idx="4">
                  <c:v>-171.81651844380005</c:v>
                </c:pt>
                <c:pt idx="5">
                  <c:v>-189.91191687660006</c:v>
                </c:pt>
                <c:pt idx="6">
                  <c:v>-267.49840977980006</c:v>
                </c:pt>
                <c:pt idx="7">
                  <c:v>-288.62827312130008</c:v>
                </c:pt>
                <c:pt idx="8">
                  <c:v>-310.33458989375004</c:v>
                </c:pt>
                <c:pt idx="9">
                  <c:v>-332.60095919160005</c:v>
                </c:pt>
                <c:pt idx="10">
                  <c:v>-355.3086103224</c:v>
                </c:pt>
                <c:pt idx="11">
                  <c:v>-451.55909317530006</c:v>
                </c:pt>
                <c:pt idx="12">
                  <c:v>-477.72620654520006</c:v>
                </c:pt>
                <c:pt idx="13">
                  <c:v>-504.80560791850002</c:v>
                </c:pt>
                <c:pt idx="14">
                  <c:v>-532.58720429200002</c:v>
                </c:pt>
                <c:pt idx="15">
                  <c:v>-561.19702186800009</c:v>
                </c:pt>
                <c:pt idx="16">
                  <c:v>-681.6475869840001</c:v>
                </c:pt>
                <c:pt idx="17">
                  <c:v>-805.91686337500016</c:v>
                </c:pt>
                <c:pt idx="18">
                  <c:v>-932.94094425000003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F37-45DC-B3E4-270B1B08CC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1620984"/>
        <c:axId val="391622160"/>
      </c:scatterChart>
      <c:valAx>
        <c:axId val="391620984"/>
        <c:scaling>
          <c:orientation val="minMax"/>
          <c:max val="1500"/>
          <c:min val="2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\ \K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91622160"/>
        <c:crosses val="autoZero"/>
        <c:crossBetween val="midCat"/>
      </c:valAx>
      <c:valAx>
        <c:axId val="3916221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\ \J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91620984"/>
        <c:crosses val="autoZero"/>
        <c:crossBetween val="midCat"/>
      </c:valAx>
      <c:spPr>
        <a:noFill/>
        <a:ln>
          <a:noFill/>
        </a:ln>
        <a:effectLst/>
      </c:spPr>
    </c:plotArea>
    <c:plotVisOnly val="0"/>
    <c:dispBlanksAs val="span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 sz="1800"/>
              <a:t>Газовая</a:t>
            </a:r>
            <a:r>
              <a:rPr lang="ru-RU" sz="1800" baseline="0"/>
              <a:t> фаза </a:t>
            </a:r>
            <a:endParaRPr lang="ru-RU" sz="1800"/>
          </a:p>
        </c:rich>
      </c:tx>
      <c:layout>
        <c:manualLayout>
          <c:xMode val="edge"/>
          <c:yMode val="edge"/>
          <c:x val="0.4140374460316642"/>
          <c:y val="1.356608365146274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>
        <c:manualLayout>
          <c:layoutTarget val="inner"/>
          <c:xMode val="edge"/>
          <c:yMode val="edge"/>
          <c:x val="0.12554088184504847"/>
          <c:y val="7.3209491520351416E-2"/>
          <c:w val="0.83553361749524424"/>
          <c:h val="0.77107340657712931"/>
        </c:manualLayout>
      </c:layout>
      <c:scatterChart>
        <c:scatterStyle val="lineMarker"/>
        <c:varyColors val="0"/>
        <c:ser>
          <c:idx val="0"/>
          <c:order val="0"/>
          <c:tx>
            <c:strRef>
              <c:f>FLUID!$E$4</c:f>
              <c:strCache>
                <c:ptCount val="1"/>
                <c:pt idx="0">
                  <c:v>Se3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FLUID!$F$3:$AL$3</c:f>
              <c:numCache>
                <c:formatCode>General</c:formatCode>
                <c:ptCount val="33"/>
                <c:pt idx="0">
                  <c:v>298.2</c:v>
                </c:pt>
                <c:pt idx="1">
                  <c:v>431.7</c:v>
                </c:pt>
                <c:pt idx="2">
                  <c:v>465.1</c:v>
                </c:pt>
                <c:pt idx="3">
                  <c:v>498.5</c:v>
                </c:pt>
                <c:pt idx="4">
                  <c:v>531.79999999999995</c:v>
                </c:pt>
                <c:pt idx="5">
                  <c:v>565.20000000000005</c:v>
                </c:pt>
                <c:pt idx="6">
                  <c:v>698.8</c:v>
                </c:pt>
                <c:pt idx="7">
                  <c:v>732.2</c:v>
                </c:pt>
                <c:pt idx="8">
                  <c:v>765.5</c:v>
                </c:pt>
                <c:pt idx="9">
                  <c:v>798.9</c:v>
                </c:pt>
                <c:pt idx="10">
                  <c:v>832.3</c:v>
                </c:pt>
                <c:pt idx="11">
                  <c:v>965.8</c:v>
                </c:pt>
                <c:pt idx="12">
                  <c:v>999.2</c:v>
                </c:pt>
                <c:pt idx="13">
                  <c:v>1033</c:v>
                </c:pt>
                <c:pt idx="14">
                  <c:v>1066</c:v>
                </c:pt>
                <c:pt idx="15">
                  <c:v>1099</c:v>
                </c:pt>
                <c:pt idx="16">
                  <c:v>1233</c:v>
                </c:pt>
                <c:pt idx="17">
                  <c:v>1366</c:v>
                </c:pt>
                <c:pt idx="18">
                  <c:v>1500</c:v>
                </c:pt>
              </c:numCache>
            </c:numRef>
          </c:xVal>
          <c:yVal>
            <c:numRef>
              <c:f>FLUID!$F$4:$AL$4</c:f>
              <c:numCache>
                <c:formatCode>0.0E+00</c:formatCode>
                <c:ptCount val="33"/>
                <c:pt idx="0">
                  <c:v>1.3056000000000001E-22</c:v>
                </c:pt>
                <c:pt idx="1">
                  <c:v>8.4706E-14</c:v>
                </c:pt>
                <c:pt idx="2">
                  <c:v>1.9731000000000001E-12</c:v>
                </c:pt>
                <c:pt idx="3">
                  <c:v>2.9366000000000002E-11</c:v>
                </c:pt>
                <c:pt idx="4">
                  <c:v>3.0681999999999998E-10</c:v>
                </c:pt>
                <c:pt idx="5">
                  <c:v>2.4323E-9</c:v>
                </c:pt>
                <c:pt idx="6">
                  <c:v>1.6574E-6</c:v>
                </c:pt>
                <c:pt idx="7">
                  <c:v>5.8046000000000003E-6</c:v>
                </c:pt>
                <c:pt idx="8">
                  <c:v>1.7708999999999999E-5</c:v>
                </c:pt>
                <c:pt idx="9">
                  <c:v>4.7824000000000002E-5</c:v>
                </c:pt>
                <c:pt idx="10">
                  <c:v>1.1595E-4</c:v>
                </c:pt>
                <c:pt idx="11">
                  <c:v>1.4264E-3</c:v>
                </c:pt>
                <c:pt idx="12">
                  <c:v>1.9935999999999999E-3</c:v>
                </c:pt>
                <c:pt idx="13">
                  <c:v>2.4840000000000001E-3</c:v>
                </c:pt>
                <c:pt idx="14">
                  <c:v>2.7785000000000002E-3</c:v>
                </c:pt>
                <c:pt idx="15">
                  <c:v>2.8771000000000001E-3</c:v>
                </c:pt>
                <c:pt idx="16">
                  <c:v>2.3430999999999999E-3</c:v>
                </c:pt>
                <c:pt idx="17">
                  <c:v>1.7071E-3</c:v>
                </c:pt>
                <c:pt idx="18">
                  <c:v>1.2738999999999999E-3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6-5F8F-421C-B882-6FC6CED20D0E}"/>
            </c:ext>
          </c:extLst>
        </c:ser>
        <c:ser>
          <c:idx val="1"/>
          <c:order val="1"/>
          <c:tx>
            <c:strRef>
              <c:f>FLUID!$E$5</c:f>
              <c:strCache>
                <c:ptCount val="1"/>
                <c:pt idx="0">
                  <c:v>Se4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FLUID!$F$3:$AL$3</c:f>
              <c:numCache>
                <c:formatCode>General</c:formatCode>
                <c:ptCount val="33"/>
                <c:pt idx="0">
                  <c:v>298.2</c:v>
                </c:pt>
                <c:pt idx="1">
                  <c:v>431.7</c:v>
                </c:pt>
                <c:pt idx="2">
                  <c:v>465.1</c:v>
                </c:pt>
                <c:pt idx="3">
                  <c:v>498.5</c:v>
                </c:pt>
                <c:pt idx="4">
                  <c:v>531.79999999999995</c:v>
                </c:pt>
                <c:pt idx="5">
                  <c:v>565.20000000000005</c:v>
                </c:pt>
                <c:pt idx="6">
                  <c:v>698.8</c:v>
                </c:pt>
                <c:pt idx="7">
                  <c:v>732.2</c:v>
                </c:pt>
                <c:pt idx="8">
                  <c:v>765.5</c:v>
                </c:pt>
                <c:pt idx="9">
                  <c:v>798.9</c:v>
                </c:pt>
                <c:pt idx="10">
                  <c:v>832.3</c:v>
                </c:pt>
                <c:pt idx="11">
                  <c:v>965.8</c:v>
                </c:pt>
                <c:pt idx="12">
                  <c:v>999.2</c:v>
                </c:pt>
                <c:pt idx="13">
                  <c:v>1033</c:v>
                </c:pt>
                <c:pt idx="14">
                  <c:v>1066</c:v>
                </c:pt>
                <c:pt idx="15">
                  <c:v>1099</c:v>
                </c:pt>
                <c:pt idx="16">
                  <c:v>1233</c:v>
                </c:pt>
                <c:pt idx="17">
                  <c:v>1366</c:v>
                </c:pt>
                <c:pt idx="18">
                  <c:v>1500</c:v>
                </c:pt>
              </c:numCache>
            </c:numRef>
          </c:xVal>
          <c:yVal>
            <c:numRef>
              <c:f>FLUID!$F$5:$AL$5</c:f>
              <c:numCache>
                <c:formatCode>0.0E+00</c:formatCode>
                <c:ptCount val="33"/>
                <c:pt idx="0">
                  <c:v>7.6378999999999993E-21</c:v>
                </c:pt>
                <c:pt idx="1">
                  <c:v>5.8909999999999998E-13</c:v>
                </c:pt>
                <c:pt idx="2">
                  <c:v>9.5009000000000004E-12</c:v>
                </c:pt>
                <c:pt idx="3">
                  <c:v>1.0218E-10</c:v>
                </c:pt>
                <c:pt idx="4">
                  <c:v>8.0013999999999999E-10</c:v>
                </c:pt>
                <c:pt idx="5">
                  <c:v>4.9136000000000001E-9</c:v>
                </c:pt>
                <c:pt idx="6">
                  <c:v>1.6022000000000001E-6</c:v>
                </c:pt>
                <c:pt idx="7">
                  <c:v>4.8679999999999998E-6</c:v>
                </c:pt>
                <c:pt idx="8">
                  <c:v>1.2958E-5</c:v>
                </c:pt>
                <c:pt idx="9">
                  <c:v>3.0632000000000001E-5</c:v>
                </c:pt>
                <c:pt idx="10">
                  <c:v>6.5072000000000003E-5</c:v>
                </c:pt>
                <c:pt idx="11">
                  <c:v>4.3741E-4</c:v>
                </c:pt>
                <c:pt idx="12">
                  <c:v>5.0403000000000004E-4</c:v>
                </c:pt>
                <c:pt idx="13">
                  <c:v>5.0903999999999999E-4</c:v>
                </c:pt>
                <c:pt idx="14">
                  <c:v>4.5489E-4</c:v>
                </c:pt>
                <c:pt idx="15">
                  <c:v>3.7399999999999998E-4</c:v>
                </c:pt>
                <c:pt idx="16">
                  <c:v>1.2596999999999999E-4</c:v>
                </c:pt>
                <c:pt idx="17">
                  <c:v>4.3619999999999999E-5</c:v>
                </c:pt>
                <c:pt idx="18">
                  <c:v>1.7612999999999999E-5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7-5F8F-421C-B882-6FC6CED20D0E}"/>
            </c:ext>
          </c:extLst>
        </c:ser>
        <c:ser>
          <c:idx val="2"/>
          <c:order val="2"/>
          <c:tx>
            <c:strRef>
              <c:f>FLUID!$E$6</c:f>
              <c:strCache>
                <c:ptCount val="1"/>
                <c:pt idx="0">
                  <c:v>Se5</c:v>
                </c:pt>
              </c:strCache>
            </c:strRef>
          </c:tx>
          <c:spPr>
            <a:ln w="19050" cap="rnd">
              <a:solidFill>
                <a:schemeClr val="accent4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FLUID!$F$3:$AL$3</c:f>
              <c:numCache>
                <c:formatCode>General</c:formatCode>
                <c:ptCount val="33"/>
                <c:pt idx="0">
                  <c:v>298.2</c:v>
                </c:pt>
                <c:pt idx="1">
                  <c:v>431.7</c:v>
                </c:pt>
                <c:pt idx="2">
                  <c:v>465.1</c:v>
                </c:pt>
                <c:pt idx="3">
                  <c:v>498.5</c:v>
                </c:pt>
                <c:pt idx="4">
                  <c:v>531.79999999999995</c:v>
                </c:pt>
                <c:pt idx="5">
                  <c:v>565.20000000000005</c:v>
                </c:pt>
                <c:pt idx="6">
                  <c:v>698.8</c:v>
                </c:pt>
                <c:pt idx="7">
                  <c:v>732.2</c:v>
                </c:pt>
                <c:pt idx="8">
                  <c:v>765.5</c:v>
                </c:pt>
                <c:pt idx="9">
                  <c:v>798.9</c:v>
                </c:pt>
                <c:pt idx="10">
                  <c:v>832.3</c:v>
                </c:pt>
                <c:pt idx="11">
                  <c:v>965.8</c:v>
                </c:pt>
                <c:pt idx="12">
                  <c:v>999.2</c:v>
                </c:pt>
                <c:pt idx="13">
                  <c:v>1033</c:v>
                </c:pt>
                <c:pt idx="14">
                  <c:v>1066</c:v>
                </c:pt>
                <c:pt idx="15">
                  <c:v>1099</c:v>
                </c:pt>
                <c:pt idx="16">
                  <c:v>1233</c:v>
                </c:pt>
                <c:pt idx="17">
                  <c:v>1366</c:v>
                </c:pt>
                <c:pt idx="18">
                  <c:v>1500</c:v>
                </c:pt>
              </c:numCache>
            </c:numRef>
          </c:xVal>
          <c:yVal>
            <c:numRef>
              <c:f>FLUID!$F$6:$AL$6</c:f>
              <c:numCache>
                <c:formatCode>0.0E+00</c:formatCode>
                <c:ptCount val="33"/>
                <c:pt idx="0">
                  <c:v>1.3752E-17</c:v>
                </c:pt>
                <c:pt idx="1">
                  <c:v>1.9065000000000001E-10</c:v>
                </c:pt>
                <c:pt idx="2">
                  <c:v>2.2833000000000002E-9</c:v>
                </c:pt>
                <c:pt idx="3">
                  <c:v>1.8868999999999998E-8</c:v>
                </c:pt>
                <c:pt idx="4">
                  <c:v>1.1695E-7</c:v>
                </c:pt>
                <c:pt idx="5">
                  <c:v>5.8406999999999996E-7</c:v>
                </c:pt>
                <c:pt idx="6">
                  <c:v>1.0599000000000001E-4</c:v>
                </c:pt>
                <c:pt idx="7">
                  <c:v>2.8779000000000001E-4</c:v>
                </c:pt>
                <c:pt idx="8">
                  <c:v>6.8687999999999996E-4</c:v>
                </c:pt>
                <c:pt idx="9">
                  <c:v>1.4574E-3</c:v>
                </c:pt>
                <c:pt idx="10">
                  <c:v>2.7763000000000002E-3</c:v>
                </c:pt>
                <c:pt idx="11">
                  <c:v>1.1018999999999999E-2</c:v>
                </c:pt>
                <c:pt idx="12">
                  <c:v>1.064E-2</c:v>
                </c:pt>
                <c:pt idx="13">
                  <c:v>8.8444000000000005E-3</c:v>
                </c:pt>
                <c:pt idx="14">
                  <c:v>6.4056E-3</c:v>
                </c:pt>
                <c:pt idx="15">
                  <c:v>4.2385000000000001E-3</c:v>
                </c:pt>
                <c:pt idx="16">
                  <c:v>6.1879999999999997E-4</c:v>
                </c:pt>
                <c:pt idx="17">
                  <c:v>1.0581000000000001E-4</c:v>
                </c:pt>
                <c:pt idx="18">
                  <c:v>2.3858000000000001E-5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0-5F8F-421C-B882-6FC6CED20D0E}"/>
            </c:ext>
          </c:extLst>
        </c:ser>
        <c:ser>
          <c:idx val="3"/>
          <c:order val="3"/>
          <c:tx>
            <c:strRef>
              <c:f>FLUID!$E$7</c:f>
              <c:strCache>
                <c:ptCount val="1"/>
                <c:pt idx="0">
                  <c:v>Se6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FLUID!$F$3:$AL$3</c:f>
              <c:numCache>
                <c:formatCode>General</c:formatCode>
                <c:ptCount val="33"/>
                <c:pt idx="0">
                  <c:v>298.2</c:v>
                </c:pt>
                <c:pt idx="1">
                  <c:v>431.7</c:v>
                </c:pt>
                <c:pt idx="2">
                  <c:v>465.1</c:v>
                </c:pt>
                <c:pt idx="3">
                  <c:v>498.5</c:v>
                </c:pt>
                <c:pt idx="4">
                  <c:v>531.79999999999995</c:v>
                </c:pt>
                <c:pt idx="5">
                  <c:v>565.20000000000005</c:v>
                </c:pt>
                <c:pt idx="6">
                  <c:v>698.8</c:v>
                </c:pt>
                <c:pt idx="7">
                  <c:v>732.2</c:v>
                </c:pt>
                <c:pt idx="8">
                  <c:v>765.5</c:v>
                </c:pt>
                <c:pt idx="9">
                  <c:v>798.9</c:v>
                </c:pt>
                <c:pt idx="10">
                  <c:v>832.3</c:v>
                </c:pt>
                <c:pt idx="11">
                  <c:v>965.8</c:v>
                </c:pt>
                <c:pt idx="12">
                  <c:v>999.2</c:v>
                </c:pt>
                <c:pt idx="13">
                  <c:v>1033</c:v>
                </c:pt>
                <c:pt idx="14">
                  <c:v>1066</c:v>
                </c:pt>
                <c:pt idx="15">
                  <c:v>1099</c:v>
                </c:pt>
                <c:pt idx="16">
                  <c:v>1233</c:v>
                </c:pt>
                <c:pt idx="17">
                  <c:v>1366</c:v>
                </c:pt>
                <c:pt idx="18">
                  <c:v>1500</c:v>
                </c:pt>
              </c:numCache>
            </c:numRef>
          </c:xVal>
          <c:yVal>
            <c:numRef>
              <c:f>FLUID!$F$7:$AL$7</c:f>
              <c:numCache>
                <c:formatCode>0.0E+00</c:formatCode>
                <c:ptCount val="33"/>
                <c:pt idx="0">
                  <c:v>2.3151999999999998E-15</c:v>
                </c:pt>
                <c:pt idx="1">
                  <c:v>1.7347E-9</c:v>
                </c:pt>
                <c:pt idx="2">
                  <c:v>1.2705E-8</c:v>
                </c:pt>
                <c:pt idx="3">
                  <c:v>6.8158999999999995E-8</c:v>
                </c:pt>
                <c:pt idx="4">
                  <c:v>2.8845000000000002E-7</c:v>
                </c:pt>
                <c:pt idx="5">
                  <c:v>1.0280999999999999E-6</c:v>
                </c:pt>
                <c:pt idx="6">
                  <c:v>6.9690999999999994E-5</c:v>
                </c:pt>
                <c:pt idx="7">
                  <c:v>1.5655000000000001E-4</c:v>
                </c:pt>
                <c:pt idx="8">
                  <c:v>3.1220999999999999E-4</c:v>
                </c:pt>
                <c:pt idx="9">
                  <c:v>5.5734999999999997E-4</c:v>
                </c:pt>
                <c:pt idx="10">
                  <c:v>8.9707000000000003E-4</c:v>
                </c:pt>
                <c:pt idx="11">
                  <c:v>1.7256999999999999E-3</c:v>
                </c:pt>
                <c:pt idx="12">
                  <c:v>1.3401999999999999E-3</c:v>
                </c:pt>
                <c:pt idx="13">
                  <c:v>8.8225E-4</c:v>
                </c:pt>
                <c:pt idx="14">
                  <c:v>4.9950000000000005E-4</c:v>
                </c:pt>
                <c:pt idx="15">
                  <c:v>2.5712E-4</c:v>
                </c:pt>
                <c:pt idx="16">
                  <c:v>1.4467999999999999E-5</c:v>
                </c:pt>
                <c:pt idx="17">
                  <c:v>1.1112000000000001E-6</c:v>
                </c:pt>
                <c:pt idx="18">
                  <c:v>1.2944E-7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5F8F-421C-B882-6FC6CED20D0E}"/>
            </c:ext>
          </c:extLst>
        </c:ser>
        <c:ser>
          <c:idx val="4"/>
          <c:order val="4"/>
          <c:tx>
            <c:strRef>
              <c:f>FLUID!$E$8</c:f>
              <c:strCache>
                <c:ptCount val="1"/>
                <c:pt idx="0">
                  <c:v>Se7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FLUID!$F$3:$AL$3</c:f>
              <c:numCache>
                <c:formatCode>General</c:formatCode>
                <c:ptCount val="33"/>
                <c:pt idx="0">
                  <c:v>298.2</c:v>
                </c:pt>
                <c:pt idx="1">
                  <c:v>431.7</c:v>
                </c:pt>
                <c:pt idx="2">
                  <c:v>465.1</c:v>
                </c:pt>
                <c:pt idx="3">
                  <c:v>498.5</c:v>
                </c:pt>
                <c:pt idx="4">
                  <c:v>531.79999999999995</c:v>
                </c:pt>
                <c:pt idx="5">
                  <c:v>565.20000000000005</c:v>
                </c:pt>
                <c:pt idx="6">
                  <c:v>698.8</c:v>
                </c:pt>
                <c:pt idx="7">
                  <c:v>732.2</c:v>
                </c:pt>
                <c:pt idx="8">
                  <c:v>765.5</c:v>
                </c:pt>
                <c:pt idx="9">
                  <c:v>798.9</c:v>
                </c:pt>
                <c:pt idx="10">
                  <c:v>832.3</c:v>
                </c:pt>
                <c:pt idx="11">
                  <c:v>965.8</c:v>
                </c:pt>
                <c:pt idx="12">
                  <c:v>999.2</c:v>
                </c:pt>
                <c:pt idx="13">
                  <c:v>1033</c:v>
                </c:pt>
                <c:pt idx="14">
                  <c:v>1066</c:v>
                </c:pt>
                <c:pt idx="15">
                  <c:v>1099</c:v>
                </c:pt>
                <c:pt idx="16">
                  <c:v>1233</c:v>
                </c:pt>
                <c:pt idx="17">
                  <c:v>1366</c:v>
                </c:pt>
                <c:pt idx="18">
                  <c:v>1500</c:v>
                </c:pt>
              </c:numCache>
            </c:numRef>
          </c:xVal>
          <c:yVal>
            <c:numRef>
              <c:f>FLUID!$F$8:$AL$8</c:f>
              <c:numCache>
                <c:formatCode>0.0E+00</c:formatCode>
                <c:ptCount val="33"/>
                <c:pt idx="0">
                  <c:v>2.5534000000000002E-16</c:v>
                </c:pt>
                <c:pt idx="1">
                  <c:v>3.8947999999999998E-10</c:v>
                </c:pt>
                <c:pt idx="2">
                  <c:v>3.1175E-9</c:v>
                </c:pt>
                <c:pt idx="3">
                  <c:v>1.7949999999999999E-8</c:v>
                </c:pt>
                <c:pt idx="4">
                  <c:v>8.0486999999999998E-8</c:v>
                </c:pt>
                <c:pt idx="5">
                  <c:v>3.0162000000000002E-7</c:v>
                </c:pt>
                <c:pt idx="6">
                  <c:v>2.4817999999999999E-5</c:v>
                </c:pt>
                <c:pt idx="7">
                  <c:v>5.7896999999999998E-5</c:v>
                </c:pt>
                <c:pt idx="8">
                  <c:v>1.1872E-4</c:v>
                </c:pt>
                <c:pt idx="9">
                  <c:v>2.1565000000000001E-4</c:v>
                </c:pt>
                <c:pt idx="10">
                  <c:v>3.4928999999999998E-4</c:v>
                </c:pt>
                <c:pt idx="11">
                  <c:v>5.8067999999999998E-4</c:v>
                </c:pt>
                <c:pt idx="12">
                  <c:v>4.0905999999999999E-4</c:v>
                </c:pt>
                <c:pt idx="13">
                  <c:v>2.3866999999999999E-4</c:v>
                </c:pt>
                <c:pt idx="14">
                  <c:v>1.1739E-4</c:v>
                </c:pt>
                <c:pt idx="15">
                  <c:v>5.1907000000000003E-5</c:v>
                </c:pt>
                <c:pt idx="16">
                  <c:v>1.5858999999999999E-6</c:v>
                </c:pt>
                <c:pt idx="17">
                  <c:v>7.2071999999999998E-8</c:v>
                </c:pt>
                <c:pt idx="18">
                  <c:v>5.4396000000000001E-9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F8F-421C-B882-6FC6CED20D0E}"/>
            </c:ext>
          </c:extLst>
        </c:ser>
        <c:ser>
          <c:idx val="5"/>
          <c:order val="5"/>
          <c:tx>
            <c:strRef>
              <c:f>FLUID!$E$9</c:f>
              <c:strCache>
                <c:ptCount val="1"/>
                <c:pt idx="0">
                  <c:v>Se8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FLUID!$F$3:$AL$3</c:f>
              <c:numCache>
                <c:formatCode>General</c:formatCode>
                <c:ptCount val="33"/>
                <c:pt idx="0">
                  <c:v>298.2</c:v>
                </c:pt>
                <c:pt idx="1">
                  <c:v>431.7</c:v>
                </c:pt>
                <c:pt idx="2">
                  <c:v>465.1</c:v>
                </c:pt>
                <c:pt idx="3">
                  <c:v>498.5</c:v>
                </c:pt>
                <c:pt idx="4">
                  <c:v>531.79999999999995</c:v>
                </c:pt>
                <c:pt idx="5">
                  <c:v>565.20000000000005</c:v>
                </c:pt>
                <c:pt idx="6">
                  <c:v>698.8</c:v>
                </c:pt>
                <c:pt idx="7">
                  <c:v>732.2</c:v>
                </c:pt>
                <c:pt idx="8">
                  <c:v>765.5</c:v>
                </c:pt>
                <c:pt idx="9">
                  <c:v>798.9</c:v>
                </c:pt>
                <c:pt idx="10">
                  <c:v>832.3</c:v>
                </c:pt>
                <c:pt idx="11">
                  <c:v>965.8</c:v>
                </c:pt>
                <c:pt idx="12">
                  <c:v>999.2</c:v>
                </c:pt>
                <c:pt idx="13">
                  <c:v>1033</c:v>
                </c:pt>
                <c:pt idx="14">
                  <c:v>1066</c:v>
                </c:pt>
                <c:pt idx="15">
                  <c:v>1099</c:v>
                </c:pt>
                <c:pt idx="16">
                  <c:v>1233</c:v>
                </c:pt>
                <c:pt idx="17">
                  <c:v>1366</c:v>
                </c:pt>
                <c:pt idx="18">
                  <c:v>1500</c:v>
                </c:pt>
              </c:numCache>
            </c:numRef>
          </c:xVal>
          <c:yVal>
            <c:numRef>
              <c:f>FLUID!$F$9:$AL$9</c:f>
              <c:numCache>
                <c:formatCode>0.0E+00</c:formatCode>
                <c:ptCount val="33"/>
                <c:pt idx="0">
                  <c:v>5.6206999999999997E-18</c:v>
                </c:pt>
                <c:pt idx="1">
                  <c:v>1.4855E-11</c:v>
                </c:pt>
                <c:pt idx="2">
                  <c:v>1.2668E-10</c:v>
                </c:pt>
                <c:pt idx="3">
                  <c:v>7.6573E-10</c:v>
                </c:pt>
                <c:pt idx="4">
                  <c:v>3.5687999999999999E-9</c:v>
                </c:pt>
                <c:pt idx="5">
                  <c:v>1.3825999999999999E-8</c:v>
                </c:pt>
                <c:pt idx="6">
                  <c:v>1.3120000000000001E-6</c:v>
                </c:pt>
                <c:pt idx="7">
                  <c:v>3.1472999999999999E-6</c:v>
                </c:pt>
                <c:pt idx="8">
                  <c:v>6.5763E-6</c:v>
                </c:pt>
                <c:pt idx="9">
                  <c:v>1.2055999999999999E-5</c:v>
                </c:pt>
                <c:pt idx="10">
                  <c:v>1.9502000000000001E-5</c:v>
                </c:pt>
                <c:pt idx="11">
                  <c:v>2.7330000000000001E-5</c:v>
                </c:pt>
                <c:pt idx="12">
                  <c:v>1.7374E-5</c:v>
                </c:pt>
                <c:pt idx="13">
                  <c:v>8.9414000000000005E-6</c:v>
                </c:pt>
                <c:pt idx="14">
                  <c:v>3.8031999999999999E-6</c:v>
                </c:pt>
                <c:pt idx="15">
                  <c:v>1.4384000000000001E-6</c:v>
                </c:pt>
                <c:pt idx="16">
                  <c:v>2.3513E-8</c:v>
                </c:pt>
                <c:pt idx="17">
                  <c:v>6.2489999999999998E-10</c:v>
                </c:pt>
                <c:pt idx="18">
                  <c:v>3.0264000000000003E-11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8-5F8F-421C-B882-6FC6CED20D0E}"/>
            </c:ext>
          </c:extLst>
        </c:ser>
        <c:ser>
          <c:idx val="6"/>
          <c:order val="6"/>
          <c:tx>
            <c:strRef>
              <c:f>FLUID!$E$10</c:f>
              <c:strCache>
                <c:ptCount val="1"/>
                <c:pt idx="0">
                  <c:v>Se2</c:v>
                </c:pt>
              </c:strCache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dPt>
            <c:idx val="15"/>
            <c:marker>
              <c:symbol val="none"/>
            </c:marker>
            <c:bubble3D val="0"/>
            <c:extLst xmlns:c15="http://schemas.microsoft.com/office/drawing/2012/chart">
              <c:ext xmlns:c16="http://schemas.microsoft.com/office/drawing/2014/chart" uri="{C3380CC4-5D6E-409C-BE32-E72D297353CC}">
                <c16:uniqueId val="{00000009-5F8F-421C-B882-6FC6CED20D0E}"/>
              </c:ext>
            </c:extLst>
          </c:dPt>
          <c:xVal>
            <c:numRef>
              <c:f>FLUID!$F$3:$AL$3</c:f>
              <c:numCache>
                <c:formatCode>General</c:formatCode>
                <c:ptCount val="33"/>
                <c:pt idx="0">
                  <c:v>298.2</c:v>
                </c:pt>
                <c:pt idx="1">
                  <c:v>431.7</c:v>
                </c:pt>
                <c:pt idx="2">
                  <c:v>465.1</c:v>
                </c:pt>
                <c:pt idx="3">
                  <c:v>498.5</c:v>
                </c:pt>
                <c:pt idx="4">
                  <c:v>531.79999999999995</c:v>
                </c:pt>
                <c:pt idx="5">
                  <c:v>565.20000000000005</c:v>
                </c:pt>
                <c:pt idx="6">
                  <c:v>698.8</c:v>
                </c:pt>
                <c:pt idx="7">
                  <c:v>732.2</c:v>
                </c:pt>
                <c:pt idx="8">
                  <c:v>765.5</c:v>
                </c:pt>
                <c:pt idx="9">
                  <c:v>798.9</c:v>
                </c:pt>
                <c:pt idx="10">
                  <c:v>832.3</c:v>
                </c:pt>
                <c:pt idx="11">
                  <c:v>965.8</c:v>
                </c:pt>
                <c:pt idx="12">
                  <c:v>999.2</c:v>
                </c:pt>
                <c:pt idx="13">
                  <c:v>1033</c:v>
                </c:pt>
                <c:pt idx="14">
                  <c:v>1066</c:v>
                </c:pt>
                <c:pt idx="15">
                  <c:v>1099</c:v>
                </c:pt>
                <c:pt idx="16">
                  <c:v>1233</c:v>
                </c:pt>
                <c:pt idx="17">
                  <c:v>1366</c:v>
                </c:pt>
                <c:pt idx="18">
                  <c:v>1500</c:v>
                </c:pt>
              </c:numCache>
            </c:numRef>
          </c:xVal>
          <c:yVal>
            <c:numRef>
              <c:f>FLUID!$F$10:$AL$10</c:f>
              <c:numCache>
                <c:formatCode>0.0E+00</c:formatCode>
                <c:ptCount val="33"/>
                <c:pt idx="0">
                  <c:v>5.9567000000000001E-18</c:v>
                </c:pt>
                <c:pt idx="1">
                  <c:v>1.1197E-10</c:v>
                </c:pt>
                <c:pt idx="2">
                  <c:v>1.5425E-9</c:v>
                </c:pt>
                <c:pt idx="3">
                  <c:v>1.4734E-8</c:v>
                </c:pt>
                <c:pt idx="4">
                  <c:v>1.0530999999999999E-7</c:v>
                </c:pt>
                <c:pt idx="5">
                  <c:v>5.9993000000000005E-7</c:v>
                </c:pt>
                <c:pt idx="6">
                  <c:v>1.4694E-4</c:v>
                </c:pt>
                <c:pt idx="7">
                  <c:v>4.2429000000000002E-4</c:v>
                </c:pt>
                <c:pt idx="8">
                  <c:v>1.0943000000000001E-3</c:v>
                </c:pt>
                <c:pt idx="9">
                  <c:v>2.5579000000000001E-3</c:v>
                </c:pt>
                <c:pt idx="10">
                  <c:v>5.4903E-3</c:v>
                </c:pt>
                <c:pt idx="11">
                  <c:v>5.3856000000000001E-2</c:v>
                </c:pt>
                <c:pt idx="12">
                  <c:v>7.6957999999999999E-2</c:v>
                </c:pt>
                <c:pt idx="13">
                  <c:v>0.1009</c:v>
                </c:pt>
                <c:pt idx="14">
                  <c:v>0.12180000000000001</c:v>
                </c:pt>
                <c:pt idx="15">
                  <c:v>0.13827999999999999</c:v>
                </c:pt>
                <c:pt idx="16">
                  <c:v>0.16958000000000001</c:v>
                </c:pt>
                <c:pt idx="17">
                  <c:v>0.17902000000000001</c:v>
                </c:pt>
                <c:pt idx="18">
                  <c:v>0.18295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A-5F8F-421C-B882-6FC6CED20D0E}"/>
            </c:ext>
          </c:extLst>
        </c:ser>
        <c:ser>
          <c:idx val="7"/>
          <c:order val="7"/>
          <c:tx>
            <c:strRef>
              <c:f>FLUID!$E$11</c:f>
              <c:strCache>
                <c:ptCount val="1"/>
                <c:pt idx="0">
                  <c:v>Se</c:v>
                </c:pt>
              </c:strCache>
            </c:strRef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FLUID!$F$3:$AL$3</c:f>
              <c:numCache>
                <c:formatCode>General</c:formatCode>
                <c:ptCount val="33"/>
                <c:pt idx="0">
                  <c:v>298.2</c:v>
                </c:pt>
                <c:pt idx="1">
                  <c:v>431.7</c:v>
                </c:pt>
                <c:pt idx="2">
                  <c:v>465.1</c:v>
                </c:pt>
                <c:pt idx="3">
                  <c:v>498.5</c:v>
                </c:pt>
                <c:pt idx="4">
                  <c:v>531.79999999999995</c:v>
                </c:pt>
                <c:pt idx="5">
                  <c:v>565.20000000000005</c:v>
                </c:pt>
                <c:pt idx="6">
                  <c:v>698.8</c:v>
                </c:pt>
                <c:pt idx="7">
                  <c:v>732.2</c:v>
                </c:pt>
                <c:pt idx="8">
                  <c:v>765.5</c:v>
                </c:pt>
                <c:pt idx="9">
                  <c:v>798.9</c:v>
                </c:pt>
                <c:pt idx="10">
                  <c:v>832.3</c:v>
                </c:pt>
                <c:pt idx="11">
                  <c:v>965.8</c:v>
                </c:pt>
                <c:pt idx="12">
                  <c:v>999.2</c:v>
                </c:pt>
                <c:pt idx="13">
                  <c:v>1033</c:v>
                </c:pt>
                <c:pt idx="14">
                  <c:v>1066</c:v>
                </c:pt>
                <c:pt idx="15">
                  <c:v>1099</c:v>
                </c:pt>
                <c:pt idx="16">
                  <c:v>1233</c:v>
                </c:pt>
                <c:pt idx="17">
                  <c:v>1366</c:v>
                </c:pt>
                <c:pt idx="18">
                  <c:v>1500</c:v>
                </c:pt>
              </c:numCache>
            </c:numRef>
          </c:xVal>
          <c:yVal>
            <c:numRef>
              <c:f>FLUID!$F$11:$AL$11</c:f>
              <c:numCache>
                <c:formatCode>0.0E+00</c:formatCode>
                <c:ptCount val="33"/>
                <c:pt idx="0">
                  <c:v>6.4033E-36</c:v>
                </c:pt>
                <c:pt idx="1">
                  <c:v>2.5945999999999999E-23</c:v>
                </c:pt>
                <c:pt idx="2">
                  <c:v>2.6408000000000001E-21</c:v>
                </c:pt>
                <c:pt idx="3">
                  <c:v>1.4384E-19</c:v>
                </c:pt>
                <c:pt idx="4">
                  <c:v>4.7421000000000004E-18</c:v>
                </c:pt>
                <c:pt idx="5">
                  <c:v>1.0437E-16</c:v>
                </c:pt>
                <c:pt idx="6">
                  <c:v>1.5332999999999999E-12</c:v>
                </c:pt>
                <c:pt idx="7">
                  <c:v>9.8017999999999997E-12</c:v>
                </c:pt>
                <c:pt idx="8">
                  <c:v>5.2666000000000002E-11</c:v>
                </c:pt>
                <c:pt idx="9">
                  <c:v>2.4358E-10</c:v>
                </c:pt>
                <c:pt idx="10">
                  <c:v>9.9060000000000007E-10</c:v>
                </c:pt>
                <c:pt idx="11">
                  <c:v>9.6452999999999997E-8</c:v>
                </c:pt>
                <c:pt idx="12">
                  <c:v>2.3846999999999999E-7</c:v>
                </c:pt>
                <c:pt idx="13">
                  <c:v>5.384E-7</c:v>
                </c:pt>
                <c:pt idx="14">
                  <c:v>1.1132E-6</c:v>
                </c:pt>
                <c:pt idx="15">
                  <c:v>2.1393E-6</c:v>
                </c:pt>
                <c:pt idx="16">
                  <c:v>1.7793000000000001E-5</c:v>
                </c:pt>
                <c:pt idx="17">
                  <c:v>9.1658999999999998E-5</c:v>
                </c:pt>
                <c:pt idx="18">
                  <c:v>3.4886999999999999E-4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B-5F8F-421C-B882-6FC6CED20D0E}"/>
            </c:ext>
          </c:extLst>
        </c:ser>
        <c:ser>
          <c:idx val="8"/>
          <c:order val="8"/>
          <c:tx>
            <c:strRef>
              <c:f>FLUID!$E$12</c:f>
              <c:strCache>
                <c:ptCount val="1"/>
                <c:pt idx="0">
                  <c:v>Ga2Se</c:v>
                </c:pt>
              </c:strCache>
            </c:strRef>
          </c:tx>
          <c:spPr>
            <a:ln w="19050" cap="rnd">
              <a:solidFill>
                <a:schemeClr val="accent6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FLUID!$F$3:$AL$3</c:f>
              <c:numCache>
                <c:formatCode>General</c:formatCode>
                <c:ptCount val="33"/>
                <c:pt idx="0">
                  <c:v>298.2</c:v>
                </c:pt>
                <c:pt idx="1">
                  <c:v>431.7</c:v>
                </c:pt>
                <c:pt idx="2">
                  <c:v>465.1</c:v>
                </c:pt>
                <c:pt idx="3">
                  <c:v>498.5</c:v>
                </c:pt>
                <c:pt idx="4">
                  <c:v>531.79999999999995</c:v>
                </c:pt>
                <c:pt idx="5">
                  <c:v>565.20000000000005</c:v>
                </c:pt>
                <c:pt idx="6">
                  <c:v>698.8</c:v>
                </c:pt>
                <c:pt idx="7">
                  <c:v>732.2</c:v>
                </c:pt>
                <c:pt idx="8">
                  <c:v>765.5</c:v>
                </c:pt>
                <c:pt idx="9">
                  <c:v>798.9</c:v>
                </c:pt>
                <c:pt idx="10">
                  <c:v>832.3</c:v>
                </c:pt>
                <c:pt idx="11">
                  <c:v>965.8</c:v>
                </c:pt>
                <c:pt idx="12">
                  <c:v>999.2</c:v>
                </c:pt>
                <c:pt idx="13">
                  <c:v>1033</c:v>
                </c:pt>
                <c:pt idx="14">
                  <c:v>1066</c:v>
                </c:pt>
                <c:pt idx="15">
                  <c:v>1099</c:v>
                </c:pt>
                <c:pt idx="16">
                  <c:v>1233</c:v>
                </c:pt>
                <c:pt idx="17">
                  <c:v>1366</c:v>
                </c:pt>
                <c:pt idx="18">
                  <c:v>1500</c:v>
                </c:pt>
              </c:numCache>
            </c:numRef>
          </c:xVal>
          <c:yVal>
            <c:numRef>
              <c:f>FLUID!$F$12:$AL$12</c:f>
              <c:numCache>
                <c:formatCode>0.0E+00</c:formatCode>
                <c:ptCount val="33"/>
                <c:pt idx="0">
                  <c:v>2.555E-9</c:v>
                </c:pt>
                <c:pt idx="1">
                  <c:v>4.7712E-5</c:v>
                </c:pt>
                <c:pt idx="2">
                  <c:v>2.1557E-4</c:v>
                </c:pt>
                <c:pt idx="3">
                  <c:v>7.7851000000000005E-4</c:v>
                </c:pt>
                <c:pt idx="4">
                  <c:v>2.3381000000000001E-3</c:v>
                </c:pt>
                <c:pt idx="5">
                  <c:v>5.9845999999999996E-3</c:v>
                </c:pt>
                <c:pt idx="6">
                  <c:v>5.2388999999999998E-2</c:v>
                </c:pt>
                <c:pt idx="7">
                  <c:v>6.318E-2</c:v>
                </c:pt>
                <c:pt idx="8">
                  <c:v>7.1395E-2</c:v>
                </c:pt>
                <c:pt idx="9">
                  <c:v>7.7561000000000005E-2</c:v>
                </c:pt>
                <c:pt idx="10">
                  <c:v>8.2317000000000001E-2</c:v>
                </c:pt>
                <c:pt idx="11">
                  <c:v>9.3668000000000001E-2</c:v>
                </c:pt>
                <c:pt idx="12">
                  <c:v>9.5077999999999996E-2</c:v>
                </c:pt>
                <c:pt idx="13">
                  <c:v>9.6074000000000007E-2</c:v>
                </c:pt>
                <c:pt idx="14">
                  <c:v>9.6721000000000001E-2</c:v>
                </c:pt>
                <c:pt idx="15">
                  <c:v>9.7151000000000001E-2</c:v>
                </c:pt>
                <c:pt idx="16">
                  <c:v>9.7881999999999997E-2</c:v>
                </c:pt>
                <c:pt idx="17">
                  <c:v>9.8086999999999994E-2</c:v>
                </c:pt>
                <c:pt idx="18">
                  <c:v>9.8153000000000004E-2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C-5F8F-421C-B882-6FC6CED20D0E}"/>
            </c:ext>
          </c:extLst>
        </c:ser>
        <c:ser>
          <c:idx val="9"/>
          <c:order val="9"/>
          <c:tx>
            <c:strRef>
              <c:f>FLUID!$E$13</c:f>
              <c:strCache>
                <c:ptCount val="1"/>
                <c:pt idx="0">
                  <c:v>Ar</c:v>
                </c:pt>
              </c:strCache>
            </c:strRef>
          </c:tx>
          <c:spPr>
            <a:ln w="19050" cap="rnd">
              <a:solidFill>
                <a:srgbClr val="0070C0"/>
              </a:solidFill>
              <a:round/>
            </a:ln>
            <a:effectLst/>
          </c:spPr>
          <c:marker>
            <c:symbol val="none"/>
          </c:marker>
          <c:xVal>
            <c:numRef>
              <c:f>FLUID!$F$3:$AL$3</c:f>
              <c:numCache>
                <c:formatCode>General</c:formatCode>
                <c:ptCount val="33"/>
                <c:pt idx="0">
                  <c:v>298.2</c:v>
                </c:pt>
                <c:pt idx="1">
                  <c:v>431.7</c:v>
                </c:pt>
                <c:pt idx="2">
                  <c:v>465.1</c:v>
                </c:pt>
                <c:pt idx="3">
                  <c:v>498.5</c:v>
                </c:pt>
                <c:pt idx="4">
                  <c:v>531.79999999999995</c:v>
                </c:pt>
                <c:pt idx="5">
                  <c:v>565.20000000000005</c:v>
                </c:pt>
                <c:pt idx="6">
                  <c:v>698.8</c:v>
                </c:pt>
                <c:pt idx="7">
                  <c:v>732.2</c:v>
                </c:pt>
                <c:pt idx="8">
                  <c:v>765.5</c:v>
                </c:pt>
                <c:pt idx="9">
                  <c:v>798.9</c:v>
                </c:pt>
                <c:pt idx="10">
                  <c:v>832.3</c:v>
                </c:pt>
                <c:pt idx="11">
                  <c:v>965.8</c:v>
                </c:pt>
                <c:pt idx="12">
                  <c:v>999.2</c:v>
                </c:pt>
                <c:pt idx="13">
                  <c:v>1033</c:v>
                </c:pt>
                <c:pt idx="14">
                  <c:v>1066</c:v>
                </c:pt>
                <c:pt idx="15">
                  <c:v>1099</c:v>
                </c:pt>
                <c:pt idx="16">
                  <c:v>1233</c:v>
                </c:pt>
                <c:pt idx="17">
                  <c:v>1366</c:v>
                </c:pt>
                <c:pt idx="18">
                  <c:v>1500</c:v>
                </c:pt>
              </c:numCache>
            </c:numRef>
          </c:xVal>
          <c:yVal>
            <c:numRef>
              <c:f>FLUID!$F$13:$AL$13</c:f>
              <c:numCache>
                <c:formatCode>0.0E+00</c:formatCode>
                <c:ptCount val="33"/>
                <c:pt idx="0">
                  <c:v>0.2</c:v>
                </c:pt>
                <c:pt idx="1">
                  <c:v>0.2</c:v>
                </c:pt>
                <c:pt idx="2">
                  <c:v>0.2</c:v>
                </c:pt>
                <c:pt idx="3">
                  <c:v>0.2</c:v>
                </c:pt>
                <c:pt idx="4">
                  <c:v>0.2</c:v>
                </c:pt>
                <c:pt idx="5">
                  <c:v>0.2</c:v>
                </c:pt>
                <c:pt idx="6">
                  <c:v>0.2</c:v>
                </c:pt>
                <c:pt idx="7">
                  <c:v>0.2</c:v>
                </c:pt>
                <c:pt idx="8">
                  <c:v>0.2</c:v>
                </c:pt>
                <c:pt idx="9">
                  <c:v>0.2</c:v>
                </c:pt>
                <c:pt idx="10">
                  <c:v>0.2</c:v>
                </c:pt>
                <c:pt idx="11">
                  <c:v>0.2</c:v>
                </c:pt>
                <c:pt idx="12">
                  <c:v>0.2</c:v>
                </c:pt>
                <c:pt idx="13">
                  <c:v>0.2</c:v>
                </c:pt>
                <c:pt idx="14">
                  <c:v>0.2</c:v>
                </c:pt>
                <c:pt idx="15">
                  <c:v>0.2</c:v>
                </c:pt>
                <c:pt idx="16">
                  <c:v>0.2</c:v>
                </c:pt>
                <c:pt idx="17">
                  <c:v>0.2</c:v>
                </c:pt>
                <c:pt idx="18">
                  <c:v>0.2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D-5F8F-421C-B882-6FC6CED20D0E}"/>
            </c:ext>
          </c:extLst>
        </c:ser>
        <c:ser>
          <c:idx val="29"/>
          <c:order val="29"/>
          <c:tx>
            <c:v>temp</c:v>
          </c:tx>
          <c:spPr>
            <a:ln w="19050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dPt>
            <c:idx val="1"/>
            <c:marker>
              <c:symbol val="none"/>
            </c:marker>
            <c:bubble3D val="0"/>
            <c:spPr>
              <a:ln w="19050" cap="rnd">
                <a:solidFill>
                  <a:schemeClr val="tx1">
                    <a:lumMod val="95000"/>
                    <a:lumOff val="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4-5F8F-421C-B882-6FC6CED20D0E}"/>
              </c:ext>
            </c:extLst>
          </c:dPt>
          <c:xVal>
            <c:numRef>
              <c:f>FLUID!$BA$3:$BA$4</c:f>
              <c:numCache>
                <c:formatCode>General</c:formatCode>
                <c:ptCount val="2"/>
                <c:pt idx="0">
                  <c:v>700</c:v>
                </c:pt>
                <c:pt idx="1">
                  <c:v>700</c:v>
                </c:pt>
              </c:numCache>
            </c:numRef>
          </c:xVal>
          <c:yVal>
            <c:numRef>
              <c:f>FLUID!$BB$3:$BB$4</c:f>
              <c:numCache>
                <c:formatCode>0</c:formatCode>
                <c:ptCount val="2"/>
                <c:pt idx="0" formatCode="General">
                  <c:v>0</c:v>
                </c:pt>
                <c:pt idx="1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5F8F-421C-B882-6FC6CED20D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1619416"/>
        <c:axId val="393215344"/>
        <c:extLst>
          <c:ext xmlns:c15="http://schemas.microsoft.com/office/drawing/2012/chart" uri="{02D57815-91ED-43cb-92C2-25804820EDAC}">
            <c15:filteredScatterSeries>
              <c15:ser>
                <c:idx val="10"/>
                <c:order val="10"/>
                <c:tx>
                  <c:strRef>
                    <c:extLst>
                      <c:ext uri="{02D57815-91ED-43cb-92C2-25804820EDAC}">
                        <c15:formulaRef>
                          <c15:sqref>FLUID!$E$14</c15:sqref>
                        </c15:formulaRef>
                      </c:ext>
                    </c:extLst>
                    <c:strCache>
                      <c:ptCount val="1"/>
                      <c:pt idx="0">
                        <c:v>(l)Ga[l]</c:v>
                      </c:pt>
                    </c:strCache>
                  </c:strRef>
                </c:tx>
                <c:spPr>
                  <a:ln w="19050" cap="rnd">
                    <a:solidFill>
                      <a:schemeClr val="accent5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FLUID!$F$3:$AL$3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298.2</c:v>
                      </c:pt>
                      <c:pt idx="1">
                        <c:v>431.7</c:v>
                      </c:pt>
                      <c:pt idx="2">
                        <c:v>465.1</c:v>
                      </c:pt>
                      <c:pt idx="3">
                        <c:v>498.5</c:v>
                      </c:pt>
                      <c:pt idx="4">
                        <c:v>531.79999999999995</c:v>
                      </c:pt>
                      <c:pt idx="5">
                        <c:v>565.20000000000005</c:v>
                      </c:pt>
                      <c:pt idx="6">
                        <c:v>698.8</c:v>
                      </c:pt>
                      <c:pt idx="7">
                        <c:v>732.2</c:v>
                      </c:pt>
                      <c:pt idx="8">
                        <c:v>765.5</c:v>
                      </c:pt>
                      <c:pt idx="9">
                        <c:v>798.9</c:v>
                      </c:pt>
                      <c:pt idx="10">
                        <c:v>832.3</c:v>
                      </c:pt>
                      <c:pt idx="11">
                        <c:v>965.8</c:v>
                      </c:pt>
                      <c:pt idx="12">
                        <c:v>999.2</c:v>
                      </c:pt>
                      <c:pt idx="13">
                        <c:v>1033</c:v>
                      </c:pt>
                      <c:pt idx="14">
                        <c:v>1066</c:v>
                      </c:pt>
                      <c:pt idx="15">
                        <c:v>1099</c:v>
                      </c:pt>
                      <c:pt idx="16">
                        <c:v>1233</c:v>
                      </c:pt>
                      <c:pt idx="17">
                        <c:v>1366</c:v>
                      </c:pt>
                      <c:pt idx="18">
                        <c:v>1500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FLUID!$F$14:$AL$14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0.2</c:v>
                      </c:pt>
                      <c:pt idx="1">
                        <c:v>0.19989999999999999</c:v>
                      </c:pt>
                      <c:pt idx="2">
                        <c:v>0.19957</c:v>
                      </c:pt>
                      <c:pt idx="3">
                        <c:v>0.19844000000000001</c:v>
                      </c:pt>
                      <c:pt idx="4">
                        <c:v>0.19531999999999999</c:v>
                      </c:pt>
                      <c:pt idx="5">
                        <c:v>0.18803</c:v>
                      </c:pt>
                      <c:pt idx="6">
                        <c:v>9.5223000000000002E-2</c:v>
                      </c:pt>
                      <c:pt idx="7">
                        <c:v>7.3639999999999997E-2</c:v>
                      </c:pt>
                      <c:pt idx="8">
                        <c:v>5.7209999999999997E-2</c:v>
                      </c:pt>
                      <c:pt idx="9">
                        <c:v>4.4878000000000001E-2</c:v>
                      </c:pt>
                      <c:pt idx="10">
                        <c:v>3.5367000000000003E-2</c:v>
                      </c:pt>
                      <c:pt idx="11">
                        <c:v>1.2664999999999999E-2</c:v>
                      </c:pt>
                      <c:pt idx="12">
                        <c:v>9.8434999999999998E-3</c:v>
                      </c:pt>
                      <c:pt idx="13">
                        <c:v>7.8524000000000007E-3</c:v>
                      </c:pt>
                      <c:pt idx="14">
                        <c:v>6.5586999999999998E-3</c:v>
                      </c:pt>
                      <c:pt idx="15">
                        <c:v>5.6974E-3</c:v>
                      </c:pt>
                      <c:pt idx="16">
                        <c:v>4.2364000000000004E-3</c:v>
                      </c:pt>
                      <c:pt idx="17">
                        <c:v>3.8252E-3</c:v>
                      </c:pt>
                      <c:pt idx="18">
                        <c:v>3.6916000000000002E-3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E-5F8F-421C-B882-6FC6CED20D0E}"/>
                  </c:ext>
                </c:extLst>
              </c15:ser>
            </c15:filteredScatterSeries>
            <c15:filteredScatterSeries>
              <c15:ser>
                <c:idx val="11"/>
                <c:order val="1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FLUID!$E$15</c15:sqref>
                        </c15:formulaRef>
                      </c:ext>
                    </c:extLst>
                    <c:strCache>
                      <c:ptCount val="1"/>
                      <c:pt idx="0">
                        <c:v>(l)Ge[l]</c:v>
                      </c:pt>
                    </c:strCache>
                  </c:strRef>
                </c:tx>
                <c:spPr>
                  <a:ln w="19050" cap="rnd">
                    <a:solidFill>
                      <a:schemeClr val="accent6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298.2</c:v>
                      </c:pt>
                      <c:pt idx="1">
                        <c:v>431.7</c:v>
                      </c:pt>
                      <c:pt idx="2">
                        <c:v>465.1</c:v>
                      </c:pt>
                      <c:pt idx="3">
                        <c:v>498.5</c:v>
                      </c:pt>
                      <c:pt idx="4">
                        <c:v>531.79999999999995</c:v>
                      </c:pt>
                      <c:pt idx="5">
                        <c:v>565.20000000000005</c:v>
                      </c:pt>
                      <c:pt idx="6">
                        <c:v>698.8</c:v>
                      </c:pt>
                      <c:pt idx="7">
                        <c:v>732.2</c:v>
                      </c:pt>
                      <c:pt idx="8">
                        <c:v>765.5</c:v>
                      </c:pt>
                      <c:pt idx="9">
                        <c:v>798.9</c:v>
                      </c:pt>
                      <c:pt idx="10">
                        <c:v>832.3</c:v>
                      </c:pt>
                      <c:pt idx="11">
                        <c:v>965.8</c:v>
                      </c:pt>
                      <c:pt idx="12">
                        <c:v>999.2</c:v>
                      </c:pt>
                      <c:pt idx="13">
                        <c:v>1033</c:v>
                      </c:pt>
                      <c:pt idx="14">
                        <c:v>1066</c:v>
                      </c:pt>
                      <c:pt idx="15">
                        <c:v>1099</c:v>
                      </c:pt>
                      <c:pt idx="16">
                        <c:v>1233</c:v>
                      </c:pt>
                      <c:pt idx="17">
                        <c:v>1366</c:v>
                      </c:pt>
                      <c:pt idx="18">
                        <c:v>1500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FLUID!$F$15:$AL$15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0.12</c:v>
                      </c:pt>
                      <c:pt idx="1">
                        <c:v>0.12</c:v>
                      </c:pt>
                      <c:pt idx="2">
                        <c:v>0.12</c:v>
                      </c:pt>
                      <c:pt idx="3">
                        <c:v>0.12</c:v>
                      </c:pt>
                      <c:pt idx="4">
                        <c:v>0.12</c:v>
                      </c:pt>
                      <c:pt idx="5">
                        <c:v>0.12</c:v>
                      </c:pt>
                      <c:pt idx="6">
                        <c:v>0.12</c:v>
                      </c:pt>
                      <c:pt idx="7">
                        <c:v>0.12</c:v>
                      </c:pt>
                      <c:pt idx="8">
                        <c:v>0.12</c:v>
                      </c:pt>
                      <c:pt idx="9">
                        <c:v>0.12</c:v>
                      </c:pt>
                      <c:pt idx="10">
                        <c:v>0.12</c:v>
                      </c:pt>
                      <c:pt idx="11">
                        <c:v>0.12</c:v>
                      </c:pt>
                      <c:pt idx="12">
                        <c:v>0.12</c:v>
                      </c:pt>
                      <c:pt idx="13">
                        <c:v>0.12</c:v>
                      </c:pt>
                      <c:pt idx="14">
                        <c:v>0.12</c:v>
                      </c:pt>
                      <c:pt idx="15">
                        <c:v>0.12</c:v>
                      </c:pt>
                      <c:pt idx="16">
                        <c:v>0.12</c:v>
                      </c:pt>
                      <c:pt idx="17">
                        <c:v>0.12</c:v>
                      </c:pt>
                      <c:pt idx="18">
                        <c:v>0.12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F-5F8F-421C-B882-6FC6CED20D0E}"/>
                  </c:ext>
                </c:extLst>
              </c15:ser>
            </c15:filteredScatterSeries>
            <c15:filteredScatterSeries>
              <c15:ser>
                <c:idx val="12"/>
                <c:order val="1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FLUID!$E$16</c15:sqref>
                        </c15:formulaRef>
                      </c:ext>
                    </c:extLst>
                    <c:strCache>
                      <c:ptCount val="1"/>
                      <c:pt idx="0">
                        <c:v>(l)Se[l]</c:v>
                      </c:pt>
                    </c:strCache>
                  </c:strRef>
                </c:tx>
                <c:spPr>
                  <a:ln w="19050" cap="rnd">
                    <a:solidFill>
                      <a:srgbClr val="FF0000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298.2</c:v>
                      </c:pt>
                      <c:pt idx="1">
                        <c:v>431.7</c:v>
                      </c:pt>
                      <c:pt idx="2">
                        <c:v>465.1</c:v>
                      </c:pt>
                      <c:pt idx="3">
                        <c:v>498.5</c:v>
                      </c:pt>
                      <c:pt idx="4">
                        <c:v>531.79999999999995</c:v>
                      </c:pt>
                      <c:pt idx="5">
                        <c:v>565.20000000000005</c:v>
                      </c:pt>
                      <c:pt idx="6">
                        <c:v>698.8</c:v>
                      </c:pt>
                      <c:pt idx="7">
                        <c:v>732.2</c:v>
                      </c:pt>
                      <c:pt idx="8">
                        <c:v>765.5</c:v>
                      </c:pt>
                      <c:pt idx="9">
                        <c:v>798.9</c:v>
                      </c:pt>
                      <c:pt idx="10">
                        <c:v>832.3</c:v>
                      </c:pt>
                      <c:pt idx="11">
                        <c:v>965.8</c:v>
                      </c:pt>
                      <c:pt idx="12">
                        <c:v>999.2</c:v>
                      </c:pt>
                      <c:pt idx="13">
                        <c:v>1033</c:v>
                      </c:pt>
                      <c:pt idx="14">
                        <c:v>1066</c:v>
                      </c:pt>
                      <c:pt idx="15">
                        <c:v>1099</c:v>
                      </c:pt>
                      <c:pt idx="16">
                        <c:v>1233</c:v>
                      </c:pt>
                      <c:pt idx="17">
                        <c:v>1366</c:v>
                      </c:pt>
                      <c:pt idx="18">
                        <c:v>1500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FLUID!$F$16:$AL$16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0.48</c:v>
                      </c:pt>
                      <c:pt idx="1">
                        <c:v>0.47994999999999999</c:v>
                      </c:pt>
                      <c:pt idx="2">
                        <c:v>0.47977999999999998</c:v>
                      </c:pt>
                      <c:pt idx="3">
                        <c:v>0.47921999999999998</c:v>
                      </c:pt>
                      <c:pt idx="4">
                        <c:v>0.47765999999999997</c:v>
                      </c:pt>
                      <c:pt idx="5">
                        <c:v>0.47399999999999998</c:v>
                      </c:pt>
                      <c:pt idx="6">
                        <c:v>0.42616999999999999</c:v>
                      </c:pt>
                      <c:pt idx="7">
                        <c:v>0.41313</c:v>
                      </c:pt>
                      <c:pt idx="8">
                        <c:v>0.40011999999999998</c:v>
                      </c:pt>
                      <c:pt idx="9">
                        <c:v>0.38482</c:v>
                      </c:pt>
                      <c:pt idx="10">
                        <c:v>0.36423</c:v>
                      </c:pt>
                      <c:pt idx="11">
                        <c:v>0.20286000000000001</c:v>
                      </c:pt>
                      <c:pt idx="12">
                        <c:v>0.15876999999999999</c:v>
                      </c:pt>
                      <c:pt idx="13">
                        <c:v>0.12138</c:v>
                      </c:pt>
                      <c:pt idx="14">
                        <c:v>9.3656000000000003E-2</c:v>
                      </c:pt>
                      <c:pt idx="15">
                        <c:v>7.3054999999999995E-2</c:v>
                      </c:pt>
                      <c:pt idx="16">
                        <c:v>3.2212999999999999E-2</c:v>
                      </c:pt>
                      <c:pt idx="17">
                        <c:v>1.7951000000000002E-2</c:v>
                      </c:pt>
                      <c:pt idx="18">
                        <c:v>1.1579000000000001E-2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0-5F8F-421C-B882-6FC6CED20D0E}"/>
                  </c:ext>
                </c:extLst>
              </c15:ser>
            </c15:filteredScatterSeries>
            <c15:filteredScatterSeries>
              <c15:ser>
                <c:idx val="13"/>
                <c:order val="1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FLUID!$E$17</c15:sqref>
                        </c15:formulaRef>
                      </c:ext>
                    </c:extLst>
                    <c:strCache>
                      <c:ptCount val="1"/>
                      <c:pt idx="0">
                        <c:v>H (Аг)</c:v>
                      </c:pt>
                    </c:strCache>
                  </c:strRef>
                </c:tx>
                <c:spPr>
                  <a:ln w="19050" cap="rnd">
                    <a:solidFill>
                      <a:schemeClr val="accent2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298.2</c:v>
                      </c:pt>
                      <c:pt idx="1">
                        <c:v>431.7</c:v>
                      </c:pt>
                      <c:pt idx="2">
                        <c:v>465.1</c:v>
                      </c:pt>
                      <c:pt idx="3">
                        <c:v>498.5</c:v>
                      </c:pt>
                      <c:pt idx="4">
                        <c:v>531.79999999999995</c:v>
                      </c:pt>
                      <c:pt idx="5">
                        <c:v>565.20000000000005</c:v>
                      </c:pt>
                      <c:pt idx="6">
                        <c:v>698.8</c:v>
                      </c:pt>
                      <c:pt idx="7">
                        <c:v>732.2</c:v>
                      </c:pt>
                      <c:pt idx="8">
                        <c:v>765.5</c:v>
                      </c:pt>
                      <c:pt idx="9">
                        <c:v>798.9</c:v>
                      </c:pt>
                      <c:pt idx="10">
                        <c:v>832.3</c:v>
                      </c:pt>
                      <c:pt idx="11">
                        <c:v>965.8</c:v>
                      </c:pt>
                      <c:pt idx="12">
                        <c:v>999.2</c:v>
                      </c:pt>
                      <c:pt idx="13">
                        <c:v>1033</c:v>
                      </c:pt>
                      <c:pt idx="14">
                        <c:v>1066</c:v>
                      </c:pt>
                      <c:pt idx="15">
                        <c:v>1099</c:v>
                      </c:pt>
                      <c:pt idx="16">
                        <c:v>1233</c:v>
                      </c:pt>
                      <c:pt idx="17">
                        <c:v>1366</c:v>
                      </c:pt>
                      <c:pt idx="18">
                        <c:v>1500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FLUID!$F$17:$AL$17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-18.61</c:v>
                      </c:pt>
                      <c:pt idx="1">
                        <c:v>-18.760000000000002</c:v>
                      </c:pt>
                      <c:pt idx="2">
                        <c:v>-18.829999999999998</c:v>
                      </c:pt>
                      <c:pt idx="3">
                        <c:v>-18.899999999999999</c:v>
                      </c:pt>
                      <c:pt idx="4">
                        <c:v>-18.97</c:v>
                      </c:pt>
                      <c:pt idx="5">
                        <c:v>-19.059999999999999</c:v>
                      </c:pt>
                      <c:pt idx="6">
                        <c:v>-19.54</c:v>
                      </c:pt>
                      <c:pt idx="7">
                        <c:v>-19.649999999999999</c:v>
                      </c:pt>
                      <c:pt idx="8">
                        <c:v>-19.760000000000002</c:v>
                      </c:pt>
                      <c:pt idx="9">
                        <c:v>-19.850000000000001</c:v>
                      </c:pt>
                      <c:pt idx="10">
                        <c:v>-19.95</c:v>
                      </c:pt>
                      <c:pt idx="11">
                        <c:v>-20.420000000000002</c:v>
                      </c:pt>
                      <c:pt idx="12">
                        <c:v>-20.54</c:v>
                      </c:pt>
                      <c:pt idx="13">
                        <c:v>-20.66</c:v>
                      </c:pt>
                      <c:pt idx="14">
                        <c:v>-20.76</c:v>
                      </c:pt>
                      <c:pt idx="15">
                        <c:v>-20.85</c:v>
                      </c:pt>
                      <c:pt idx="16">
                        <c:v>-21.12</c:v>
                      </c:pt>
                      <c:pt idx="17">
                        <c:v>-21.34</c:v>
                      </c:pt>
                      <c:pt idx="18">
                        <c:v>-21.53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1-5F8F-421C-B882-6FC6CED20D0E}"/>
                  </c:ext>
                </c:extLst>
              </c15:ser>
            </c15:filteredScatterSeries>
            <c15:filteredScatterSeries>
              <c15:ser>
                <c:idx val="14"/>
                <c:order val="1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FLUID!$E$18</c15:sqref>
                        </c15:formulaRef>
                      </c:ext>
                    </c:extLst>
                    <c:strCache>
                      <c:ptCount val="1"/>
                      <c:pt idx="0">
                        <c:v>H (Ga)</c:v>
                      </c:pt>
                    </c:strCache>
                  </c:strRef>
                </c:tx>
                <c:spPr>
                  <a:ln w="19050" cap="rnd">
                    <a:solidFill>
                      <a:schemeClr val="accent3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298.2</c:v>
                      </c:pt>
                      <c:pt idx="1">
                        <c:v>431.7</c:v>
                      </c:pt>
                      <c:pt idx="2">
                        <c:v>465.1</c:v>
                      </c:pt>
                      <c:pt idx="3">
                        <c:v>498.5</c:v>
                      </c:pt>
                      <c:pt idx="4">
                        <c:v>531.79999999999995</c:v>
                      </c:pt>
                      <c:pt idx="5">
                        <c:v>565.20000000000005</c:v>
                      </c:pt>
                      <c:pt idx="6">
                        <c:v>698.8</c:v>
                      </c:pt>
                      <c:pt idx="7">
                        <c:v>732.2</c:v>
                      </c:pt>
                      <c:pt idx="8">
                        <c:v>765.5</c:v>
                      </c:pt>
                      <c:pt idx="9">
                        <c:v>798.9</c:v>
                      </c:pt>
                      <c:pt idx="10">
                        <c:v>832.3</c:v>
                      </c:pt>
                      <c:pt idx="11">
                        <c:v>965.8</c:v>
                      </c:pt>
                      <c:pt idx="12">
                        <c:v>999.2</c:v>
                      </c:pt>
                      <c:pt idx="13">
                        <c:v>1033</c:v>
                      </c:pt>
                      <c:pt idx="14">
                        <c:v>1066</c:v>
                      </c:pt>
                      <c:pt idx="15">
                        <c:v>1099</c:v>
                      </c:pt>
                      <c:pt idx="16">
                        <c:v>1233</c:v>
                      </c:pt>
                      <c:pt idx="17">
                        <c:v>1366</c:v>
                      </c:pt>
                      <c:pt idx="18">
                        <c:v>1500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FLUID!$F$18:$AL$18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-6.2460000000000004</c:v>
                      </c:pt>
                      <c:pt idx="1">
                        <c:v>-7.1479999999999997</c:v>
                      </c:pt>
                      <c:pt idx="2">
                        <c:v>-7.3440000000000003</c:v>
                      </c:pt>
                      <c:pt idx="3">
                        <c:v>-7.5309999999999997</c:v>
                      </c:pt>
                      <c:pt idx="4">
                        <c:v>-7.7160000000000002</c:v>
                      </c:pt>
                      <c:pt idx="5">
                        <c:v>-7.907</c:v>
                      </c:pt>
                      <c:pt idx="6">
                        <c:v>-8.98</c:v>
                      </c:pt>
                      <c:pt idx="7">
                        <c:v>-9.3170000000000002</c:v>
                      </c:pt>
                      <c:pt idx="8">
                        <c:v>-9.6470000000000002</c:v>
                      </c:pt>
                      <c:pt idx="9">
                        <c:v>-9.9629999999999992</c:v>
                      </c:pt>
                      <c:pt idx="10">
                        <c:v>-10.26</c:v>
                      </c:pt>
                      <c:pt idx="11">
                        <c:v>-11.28</c:v>
                      </c:pt>
                      <c:pt idx="12">
                        <c:v>-11.49</c:v>
                      </c:pt>
                      <c:pt idx="13">
                        <c:v>-11.66</c:v>
                      </c:pt>
                      <c:pt idx="14">
                        <c:v>-11.81</c:v>
                      </c:pt>
                      <c:pt idx="15">
                        <c:v>-11.94</c:v>
                      </c:pt>
                      <c:pt idx="16">
                        <c:v>-12.34</c:v>
                      </c:pt>
                      <c:pt idx="17">
                        <c:v>-12.65</c:v>
                      </c:pt>
                      <c:pt idx="18">
                        <c:v>-12.92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2-5F8F-421C-B882-6FC6CED20D0E}"/>
                  </c:ext>
                </c:extLst>
              </c15:ser>
            </c15:filteredScatterSeries>
            <c15:filteredScatterSeries>
              <c15:ser>
                <c:idx val="15"/>
                <c:order val="1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FLUID!$E$19</c15:sqref>
                        </c15:formulaRef>
                      </c:ext>
                    </c:extLst>
                    <c:strCache>
                      <c:ptCount val="1"/>
                      <c:pt idx="0">
                        <c:v>H (Ge)</c:v>
                      </c:pt>
                    </c:strCache>
                  </c:strRef>
                </c:tx>
                <c:spPr>
                  <a:ln w="19050" cap="rnd">
                    <a:solidFill>
                      <a:schemeClr val="accent4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298.2</c:v>
                      </c:pt>
                      <c:pt idx="1">
                        <c:v>431.7</c:v>
                      </c:pt>
                      <c:pt idx="2">
                        <c:v>465.1</c:v>
                      </c:pt>
                      <c:pt idx="3">
                        <c:v>498.5</c:v>
                      </c:pt>
                      <c:pt idx="4">
                        <c:v>531.79999999999995</c:v>
                      </c:pt>
                      <c:pt idx="5">
                        <c:v>565.20000000000005</c:v>
                      </c:pt>
                      <c:pt idx="6">
                        <c:v>698.8</c:v>
                      </c:pt>
                      <c:pt idx="7">
                        <c:v>732.2</c:v>
                      </c:pt>
                      <c:pt idx="8">
                        <c:v>765.5</c:v>
                      </c:pt>
                      <c:pt idx="9">
                        <c:v>798.9</c:v>
                      </c:pt>
                      <c:pt idx="10">
                        <c:v>832.3</c:v>
                      </c:pt>
                      <c:pt idx="11">
                        <c:v>965.8</c:v>
                      </c:pt>
                      <c:pt idx="12">
                        <c:v>999.2</c:v>
                      </c:pt>
                      <c:pt idx="13">
                        <c:v>1033</c:v>
                      </c:pt>
                      <c:pt idx="14">
                        <c:v>1066</c:v>
                      </c:pt>
                      <c:pt idx="15">
                        <c:v>1099</c:v>
                      </c:pt>
                      <c:pt idx="16">
                        <c:v>1233</c:v>
                      </c:pt>
                      <c:pt idx="17">
                        <c:v>1366</c:v>
                      </c:pt>
                      <c:pt idx="18">
                        <c:v>1500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FLUID!$F$19:$AL$19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5.367</c:v>
                      </c:pt>
                      <c:pt idx="1">
                        <c:v>0.73660000000000003</c:v>
                      </c:pt>
                      <c:pt idx="2">
                        <c:v>-5.534E-2</c:v>
                      </c:pt>
                      <c:pt idx="3">
                        <c:v>-0.75560000000000005</c:v>
                      </c:pt>
                      <c:pt idx="4">
                        <c:v>-1.3779999999999999</c:v>
                      </c:pt>
                      <c:pt idx="5">
                        <c:v>-1.93</c:v>
                      </c:pt>
                      <c:pt idx="6">
                        <c:v>-3.5449999999999999</c:v>
                      </c:pt>
                      <c:pt idx="7">
                        <c:v>-3.8580000000000001</c:v>
                      </c:pt>
                      <c:pt idx="8">
                        <c:v>-4.1520000000000001</c:v>
                      </c:pt>
                      <c:pt idx="9">
                        <c:v>-4.423</c:v>
                      </c:pt>
                      <c:pt idx="10">
                        <c:v>-4.6680000000000001</c:v>
                      </c:pt>
                      <c:pt idx="11">
                        <c:v>-5.2690000000000001</c:v>
                      </c:pt>
                      <c:pt idx="12">
                        <c:v>-5.3449999999999998</c:v>
                      </c:pt>
                      <c:pt idx="13">
                        <c:v>-5.4130000000000003</c:v>
                      </c:pt>
                      <c:pt idx="14">
                        <c:v>-5.4939999999999998</c:v>
                      </c:pt>
                      <c:pt idx="15">
                        <c:v>-5.5880000000000001</c:v>
                      </c:pt>
                      <c:pt idx="16">
                        <c:v>-6.0519999999999996</c:v>
                      </c:pt>
                      <c:pt idx="17">
                        <c:v>-6.5549999999999997</c:v>
                      </c:pt>
                      <c:pt idx="18">
                        <c:v>-7.0309999999999997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3-5F8F-421C-B882-6FC6CED20D0E}"/>
                  </c:ext>
                </c:extLst>
              </c15:ser>
            </c15:filteredScatterSeries>
            <c15:filteredScatterSeries>
              <c15:ser>
                <c:idx val="16"/>
                <c:order val="1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FLUID!$E$20</c15:sqref>
                        </c15:formulaRef>
                      </c:ext>
                    </c:extLst>
                    <c:strCache>
                      <c:ptCount val="1"/>
                      <c:pt idx="0">
                        <c:v>H (Se)</c:v>
                      </c:pt>
                    </c:strCache>
                  </c:strRef>
                </c:tx>
                <c:spPr>
                  <a:ln w="19050" cap="rnd">
                    <a:solidFill>
                      <a:schemeClr val="accent5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298.2</c:v>
                      </c:pt>
                      <c:pt idx="1">
                        <c:v>431.7</c:v>
                      </c:pt>
                      <c:pt idx="2">
                        <c:v>465.1</c:v>
                      </c:pt>
                      <c:pt idx="3">
                        <c:v>498.5</c:v>
                      </c:pt>
                      <c:pt idx="4">
                        <c:v>531.79999999999995</c:v>
                      </c:pt>
                      <c:pt idx="5">
                        <c:v>565.20000000000005</c:v>
                      </c:pt>
                      <c:pt idx="6">
                        <c:v>698.8</c:v>
                      </c:pt>
                      <c:pt idx="7">
                        <c:v>732.2</c:v>
                      </c:pt>
                      <c:pt idx="8">
                        <c:v>765.5</c:v>
                      </c:pt>
                      <c:pt idx="9">
                        <c:v>798.9</c:v>
                      </c:pt>
                      <c:pt idx="10">
                        <c:v>832.3</c:v>
                      </c:pt>
                      <c:pt idx="11">
                        <c:v>965.8</c:v>
                      </c:pt>
                      <c:pt idx="12">
                        <c:v>999.2</c:v>
                      </c:pt>
                      <c:pt idx="13">
                        <c:v>1033</c:v>
                      </c:pt>
                      <c:pt idx="14">
                        <c:v>1066</c:v>
                      </c:pt>
                      <c:pt idx="15">
                        <c:v>1099</c:v>
                      </c:pt>
                      <c:pt idx="16">
                        <c:v>1233</c:v>
                      </c:pt>
                      <c:pt idx="17">
                        <c:v>1366</c:v>
                      </c:pt>
                      <c:pt idx="18">
                        <c:v>1500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FLUID!$F$20:$AL$20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-4.8239999999999998</c:v>
                      </c:pt>
                      <c:pt idx="1">
                        <c:v>-5.5949999999999998</c:v>
                      </c:pt>
                      <c:pt idx="2">
                        <c:v>-5.7880000000000003</c:v>
                      </c:pt>
                      <c:pt idx="3">
                        <c:v>-5.9749999999999996</c:v>
                      </c:pt>
                      <c:pt idx="4">
                        <c:v>-6.1550000000000002</c:v>
                      </c:pt>
                      <c:pt idx="5">
                        <c:v>-6.3259999999999996</c:v>
                      </c:pt>
                      <c:pt idx="6">
                        <c:v>-6.8819999999999997</c:v>
                      </c:pt>
                      <c:pt idx="7">
                        <c:v>-7.0060000000000002</c:v>
                      </c:pt>
                      <c:pt idx="8">
                        <c:v>-7.1319999999999997</c:v>
                      </c:pt>
                      <c:pt idx="9">
                        <c:v>-7.2610000000000001</c:v>
                      </c:pt>
                      <c:pt idx="10">
                        <c:v>-7.3940000000000001</c:v>
                      </c:pt>
                      <c:pt idx="11">
                        <c:v>-8.0410000000000004</c:v>
                      </c:pt>
                      <c:pt idx="12">
                        <c:v>-8.2520000000000007</c:v>
                      </c:pt>
                      <c:pt idx="13">
                        <c:v>-8.4819999999999993</c:v>
                      </c:pt>
                      <c:pt idx="14">
                        <c:v>-8.7279999999999998</c:v>
                      </c:pt>
                      <c:pt idx="15">
                        <c:v>-8.9819999999999993</c:v>
                      </c:pt>
                      <c:pt idx="16">
                        <c:v>-9.968</c:v>
                      </c:pt>
                      <c:pt idx="17">
                        <c:v>-10.83</c:v>
                      </c:pt>
                      <c:pt idx="18">
                        <c:v>-11.56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4-5F8F-421C-B882-6FC6CED20D0E}"/>
                  </c:ext>
                </c:extLst>
              </c15:ser>
            </c15:filteredScatterSeries>
            <c15:filteredScatterSeries>
              <c15:ser>
                <c:idx val="17"/>
                <c:order val="1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FLUID!$E$21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6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298.2</c:v>
                      </c:pt>
                      <c:pt idx="1">
                        <c:v>431.7</c:v>
                      </c:pt>
                      <c:pt idx="2">
                        <c:v>465.1</c:v>
                      </c:pt>
                      <c:pt idx="3">
                        <c:v>498.5</c:v>
                      </c:pt>
                      <c:pt idx="4">
                        <c:v>531.79999999999995</c:v>
                      </c:pt>
                      <c:pt idx="5">
                        <c:v>565.20000000000005</c:v>
                      </c:pt>
                      <c:pt idx="6">
                        <c:v>698.8</c:v>
                      </c:pt>
                      <c:pt idx="7">
                        <c:v>732.2</c:v>
                      </c:pt>
                      <c:pt idx="8">
                        <c:v>765.5</c:v>
                      </c:pt>
                      <c:pt idx="9">
                        <c:v>798.9</c:v>
                      </c:pt>
                      <c:pt idx="10">
                        <c:v>832.3</c:v>
                      </c:pt>
                      <c:pt idx="11">
                        <c:v>965.8</c:v>
                      </c:pt>
                      <c:pt idx="12">
                        <c:v>999.2</c:v>
                      </c:pt>
                      <c:pt idx="13">
                        <c:v>1033</c:v>
                      </c:pt>
                      <c:pt idx="14">
                        <c:v>1066</c:v>
                      </c:pt>
                      <c:pt idx="15">
                        <c:v>1099</c:v>
                      </c:pt>
                      <c:pt idx="16">
                        <c:v>1233</c:v>
                      </c:pt>
                      <c:pt idx="17">
                        <c:v>1366</c:v>
                      </c:pt>
                      <c:pt idx="18">
                        <c:v>1500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FLUID!$F$21:$AL$21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5-5F8F-421C-B882-6FC6CED20D0E}"/>
                  </c:ext>
                </c:extLst>
              </c15:ser>
            </c15:filteredScatterSeries>
            <c15:filteredScatterSeries>
              <c15:ser>
                <c:idx val="18"/>
                <c:order val="1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FLUID!$E$22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1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298.2</c:v>
                      </c:pt>
                      <c:pt idx="1">
                        <c:v>431.7</c:v>
                      </c:pt>
                      <c:pt idx="2">
                        <c:v>465.1</c:v>
                      </c:pt>
                      <c:pt idx="3">
                        <c:v>498.5</c:v>
                      </c:pt>
                      <c:pt idx="4">
                        <c:v>531.79999999999995</c:v>
                      </c:pt>
                      <c:pt idx="5">
                        <c:v>565.20000000000005</c:v>
                      </c:pt>
                      <c:pt idx="6">
                        <c:v>698.8</c:v>
                      </c:pt>
                      <c:pt idx="7">
                        <c:v>732.2</c:v>
                      </c:pt>
                      <c:pt idx="8">
                        <c:v>765.5</c:v>
                      </c:pt>
                      <c:pt idx="9">
                        <c:v>798.9</c:v>
                      </c:pt>
                      <c:pt idx="10">
                        <c:v>832.3</c:v>
                      </c:pt>
                      <c:pt idx="11">
                        <c:v>965.8</c:v>
                      </c:pt>
                      <c:pt idx="12">
                        <c:v>999.2</c:v>
                      </c:pt>
                      <c:pt idx="13">
                        <c:v>1033</c:v>
                      </c:pt>
                      <c:pt idx="14">
                        <c:v>1066</c:v>
                      </c:pt>
                      <c:pt idx="15">
                        <c:v>1099</c:v>
                      </c:pt>
                      <c:pt idx="16">
                        <c:v>1233</c:v>
                      </c:pt>
                      <c:pt idx="17">
                        <c:v>1366</c:v>
                      </c:pt>
                      <c:pt idx="18">
                        <c:v>1500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FLUID!$F$22:$AL$22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6-5F8F-421C-B882-6FC6CED20D0E}"/>
                  </c:ext>
                </c:extLst>
              </c15:ser>
            </c15:filteredScatterSeries>
            <c15:filteredScatterSeries>
              <c15:ser>
                <c:idx val="19"/>
                <c:order val="1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FLUID!$E$23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2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298.2</c:v>
                      </c:pt>
                      <c:pt idx="1">
                        <c:v>431.7</c:v>
                      </c:pt>
                      <c:pt idx="2">
                        <c:v>465.1</c:v>
                      </c:pt>
                      <c:pt idx="3">
                        <c:v>498.5</c:v>
                      </c:pt>
                      <c:pt idx="4">
                        <c:v>531.79999999999995</c:v>
                      </c:pt>
                      <c:pt idx="5">
                        <c:v>565.20000000000005</c:v>
                      </c:pt>
                      <c:pt idx="6">
                        <c:v>698.8</c:v>
                      </c:pt>
                      <c:pt idx="7">
                        <c:v>732.2</c:v>
                      </c:pt>
                      <c:pt idx="8">
                        <c:v>765.5</c:v>
                      </c:pt>
                      <c:pt idx="9">
                        <c:v>798.9</c:v>
                      </c:pt>
                      <c:pt idx="10">
                        <c:v>832.3</c:v>
                      </c:pt>
                      <c:pt idx="11">
                        <c:v>965.8</c:v>
                      </c:pt>
                      <c:pt idx="12">
                        <c:v>999.2</c:v>
                      </c:pt>
                      <c:pt idx="13">
                        <c:v>1033</c:v>
                      </c:pt>
                      <c:pt idx="14">
                        <c:v>1066</c:v>
                      </c:pt>
                      <c:pt idx="15">
                        <c:v>1099</c:v>
                      </c:pt>
                      <c:pt idx="16">
                        <c:v>1233</c:v>
                      </c:pt>
                      <c:pt idx="17">
                        <c:v>1366</c:v>
                      </c:pt>
                      <c:pt idx="18">
                        <c:v>1500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FLUID!$F$23:$AL$23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7-5F8F-421C-B882-6FC6CED20D0E}"/>
                  </c:ext>
                </c:extLst>
              </c15:ser>
            </c15:filteredScatterSeries>
            <c15:filteredScatterSeries>
              <c15:ser>
                <c:idx val="20"/>
                <c:order val="2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FLUID!$E$24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3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298.2</c:v>
                      </c:pt>
                      <c:pt idx="1">
                        <c:v>431.7</c:v>
                      </c:pt>
                      <c:pt idx="2">
                        <c:v>465.1</c:v>
                      </c:pt>
                      <c:pt idx="3">
                        <c:v>498.5</c:v>
                      </c:pt>
                      <c:pt idx="4">
                        <c:v>531.79999999999995</c:v>
                      </c:pt>
                      <c:pt idx="5">
                        <c:v>565.20000000000005</c:v>
                      </c:pt>
                      <c:pt idx="6">
                        <c:v>698.8</c:v>
                      </c:pt>
                      <c:pt idx="7">
                        <c:v>732.2</c:v>
                      </c:pt>
                      <c:pt idx="8">
                        <c:v>765.5</c:v>
                      </c:pt>
                      <c:pt idx="9">
                        <c:v>798.9</c:v>
                      </c:pt>
                      <c:pt idx="10">
                        <c:v>832.3</c:v>
                      </c:pt>
                      <c:pt idx="11">
                        <c:v>965.8</c:v>
                      </c:pt>
                      <c:pt idx="12">
                        <c:v>999.2</c:v>
                      </c:pt>
                      <c:pt idx="13">
                        <c:v>1033</c:v>
                      </c:pt>
                      <c:pt idx="14">
                        <c:v>1066</c:v>
                      </c:pt>
                      <c:pt idx="15">
                        <c:v>1099</c:v>
                      </c:pt>
                      <c:pt idx="16">
                        <c:v>1233</c:v>
                      </c:pt>
                      <c:pt idx="17">
                        <c:v>1366</c:v>
                      </c:pt>
                      <c:pt idx="18">
                        <c:v>1500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FLUID!$F$24:$AL$24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8-5F8F-421C-B882-6FC6CED20D0E}"/>
                  </c:ext>
                </c:extLst>
              </c15:ser>
            </c15:filteredScatterSeries>
            <c15:filteredScatterSeries>
              <c15:ser>
                <c:idx val="21"/>
                <c:order val="2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FLUID!$E$25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4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298.2</c:v>
                      </c:pt>
                      <c:pt idx="1">
                        <c:v>431.7</c:v>
                      </c:pt>
                      <c:pt idx="2">
                        <c:v>465.1</c:v>
                      </c:pt>
                      <c:pt idx="3">
                        <c:v>498.5</c:v>
                      </c:pt>
                      <c:pt idx="4">
                        <c:v>531.79999999999995</c:v>
                      </c:pt>
                      <c:pt idx="5">
                        <c:v>565.20000000000005</c:v>
                      </c:pt>
                      <c:pt idx="6">
                        <c:v>698.8</c:v>
                      </c:pt>
                      <c:pt idx="7">
                        <c:v>732.2</c:v>
                      </c:pt>
                      <c:pt idx="8">
                        <c:v>765.5</c:v>
                      </c:pt>
                      <c:pt idx="9">
                        <c:v>798.9</c:v>
                      </c:pt>
                      <c:pt idx="10">
                        <c:v>832.3</c:v>
                      </c:pt>
                      <c:pt idx="11">
                        <c:v>965.8</c:v>
                      </c:pt>
                      <c:pt idx="12">
                        <c:v>999.2</c:v>
                      </c:pt>
                      <c:pt idx="13">
                        <c:v>1033</c:v>
                      </c:pt>
                      <c:pt idx="14">
                        <c:v>1066</c:v>
                      </c:pt>
                      <c:pt idx="15">
                        <c:v>1099</c:v>
                      </c:pt>
                      <c:pt idx="16">
                        <c:v>1233</c:v>
                      </c:pt>
                      <c:pt idx="17">
                        <c:v>1366</c:v>
                      </c:pt>
                      <c:pt idx="18">
                        <c:v>1500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FLUID!$F$25:$AL$25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9-5F8F-421C-B882-6FC6CED20D0E}"/>
                  </c:ext>
                </c:extLst>
              </c15:ser>
            </c15:filteredScatterSeries>
            <c15:filteredScatterSeries>
              <c15:ser>
                <c:idx val="22"/>
                <c:order val="2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FLUID!$E$26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5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298.2</c:v>
                      </c:pt>
                      <c:pt idx="1">
                        <c:v>431.7</c:v>
                      </c:pt>
                      <c:pt idx="2">
                        <c:v>465.1</c:v>
                      </c:pt>
                      <c:pt idx="3">
                        <c:v>498.5</c:v>
                      </c:pt>
                      <c:pt idx="4">
                        <c:v>531.79999999999995</c:v>
                      </c:pt>
                      <c:pt idx="5">
                        <c:v>565.20000000000005</c:v>
                      </c:pt>
                      <c:pt idx="6">
                        <c:v>698.8</c:v>
                      </c:pt>
                      <c:pt idx="7">
                        <c:v>732.2</c:v>
                      </c:pt>
                      <c:pt idx="8">
                        <c:v>765.5</c:v>
                      </c:pt>
                      <c:pt idx="9">
                        <c:v>798.9</c:v>
                      </c:pt>
                      <c:pt idx="10">
                        <c:v>832.3</c:v>
                      </c:pt>
                      <c:pt idx="11">
                        <c:v>965.8</c:v>
                      </c:pt>
                      <c:pt idx="12">
                        <c:v>999.2</c:v>
                      </c:pt>
                      <c:pt idx="13">
                        <c:v>1033</c:v>
                      </c:pt>
                      <c:pt idx="14">
                        <c:v>1066</c:v>
                      </c:pt>
                      <c:pt idx="15">
                        <c:v>1099</c:v>
                      </c:pt>
                      <c:pt idx="16">
                        <c:v>1233</c:v>
                      </c:pt>
                      <c:pt idx="17">
                        <c:v>1366</c:v>
                      </c:pt>
                      <c:pt idx="18">
                        <c:v>1500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FLUID!$F$26:$AL$26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A-5F8F-421C-B882-6FC6CED20D0E}"/>
                  </c:ext>
                </c:extLst>
              </c15:ser>
            </c15:filteredScatterSeries>
            <c15:filteredScatterSeries>
              <c15:ser>
                <c:idx val="23"/>
                <c:order val="2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FLUID!$E$27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6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298.2</c:v>
                      </c:pt>
                      <c:pt idx="1">
                        <c:v>431.7</c:v>
                      </c:pt>
                      <c:pt idx="2">
                        <c:v>465.1</c:v>
                      </c:pt>
                      <c:pt idx="3">
                        <c:v>498.5</c:v>
                      </c:pt>
                      <c:pt idx="4">
                        <c:v>531.79999999999995</c:v>
                      </c:pt>
                      <c:pt idx="5">
                        <c:v>565.20000000000005</c:v>
                      </c:pt>
                      <c:pt idx="6">
                        <c:v>698.8</c:v>
                      </c:pt>
                      <c:pt idx="7">
                        <c:v>732.2</c:v>
                      </c:pt>
                      <c:pt idx="8">
                        <c:v>765.5</c:v>
                      </c:pt>
                      <c:pt idx="9">
                        <c:v>798.9</c:v>
                      </c:pt>
                      <c:pt idx="10">
                        <c:v>832.3</c:v>
                      </c:pt>
                      <c:pt idx="11">
                        <c:v>965.8</c:v>
                      </c:pt>
                      <c:pt idx="12">
                        <c:v>999.2</c:v>
                      </c:pt>
                      <c:pt idx="13">
                        <c:v>1033</c:v>
                      </c:pt>
                      <c:pt idx="14">
                        <c:v>1066</c:v>
                      </c:pt>
                      <c:pt idx="15">
                        <c:v>1099</c:v>
                      </c:pt>
                      <c:pt idx="16">
                        <c:v>1233</c:v>
                      </c:pt>
                      <c:pt idx="17">
                        <c:v>1366</c:v>
                      </c:pt>
                      <c:pt idx="18">
                        <c:v>1500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FLUID!$F$27:$AL$27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B-5F8F-421C-B882-6FC6CED20D0E}"/>
                  </c:ext>
                </c:extLst>
              </c15:ser>
            </c15:filteredScatterSeries>
            <c15:filteredScatterSeries>
              <c15:ser>
                <c:idx val="24"/>
                <c:order val="2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FLUID!$E$28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1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298.2</c:v>
                      </c:pt>
                      <c:pt idx="1">
                        <c:v>431.7</c:v>
                      </c:pt>
                      <c:pt idx="2">
                        <c:v>465.1</c:v>
                      </c:pt>
                      <c:pt idx="3">
                        <c:v>498.5</c:v>
                      </c:pt>
                      <c:pt idx="4">
                        <c:v>531.79999999999995</c:v>
                      </c:pt>
                      <c:pt idx="5">
                        <c:v>565.20000000000005</c:v>
                      </c:pt>
                      <c:pt idx="6">
                        <c:v>698.8</c:v>
                      </c:pt>
                      <c:pt idx="7">
                        <c:v>732.2</c:v>
                      </c:pt>
                      <c:pt idx="8">
                        <c:v>765.5</c:v>
                      </c:pt>
                      <c:pt idx="9">
                        <c:v>798.9</c:v>
                      </c:pt>
                      <c:pt idx="10">
                        <c:v>832.3</c:v>
                      </c:pt>
                      <c:pt idx="11">
                        <c:v>965.8</c:v>
                      </c:pt>
                      <c:pt idx="12">
                        <c:v>999.2</c:v>
                      </c:pt>
                      <c:pt idx="13">
                        <c:v>1033</c:v>
                      </c:pt>
                      <c:pt idx="14">
                        <c:v>1066</c:v>
                      </c:pt>
                      <c:pt idx="15">
                        <c:v>1099</c:v>
                      </c:pt>
                      <c:pt idx="16">
                        <c:v>1233</c:v>
                      </c:pt>
                      <c:pt idx="17">
                        <c:v>1366</c:v>
                      </c:pt>
                      <c:pt idx="18">
                        <c:v>1500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FLUID!$F$28:$AL$28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C-5F8F-421C-B882-6FC6CED20D0E}"/>
                  </c:ext>
                </c:extLst>
              </c15:ser>
            </c15:filteredScatterSeries>
            <c15:filteredScatterSeries>
              <c15:ser>
                <c:idx val="25"/>
                <c:order val="2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FLUID!$E$29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2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298.2</c:v>
                      </c:pt>
                      <c:pt idx="1">
                        <c:v>431.7</c:v>
                      </c:pt>
                      <c:pt idx="2">
                        <c:v>465.1</c:v>
                      </c:pt>
                      <c:pt idx="3">
                        <c:v>498.5</c:v>
                      </c:pt>
                      <c:pt idx="4">
                        <c:v>531.79999999999995</c:v>
                      </c:pt>
                      <c:pt idx="5">
                        <c:v>565.20000000000005</c:v>
                      </c:pt>
                      <c:pt idx="6">
                        <c:v>698.8</c:v>
                      </c:pt>
                      <c:pt idx="7">
                        <c:v>732.2</c:v>
                      </c:pt>
                      <c:pt idx="8">
                        <c:v>765.5</c:v>
                      </c:pt>
                      <c:pt idx="9">
                        <c:v>798.9</c:v>
                      </c:pt>
                      <c:pt idx="10">
                        <c:v>832.3</c:v>
                      </c:pt>
                      <c:pt idx="11">
                        <c:v>965.8</c:v>
                      </c:pt>
                      <c:pt idx="12">
                        <c:v>999.2</c:v>
                      </c:pt>
                      <c:pt idx="13">
                        <c:v>1033</c:v>
                      </c:pt>
                      <c:pt idx="14">
                        <c:v>1066</c:v>
                      </c:pt>
                      <c:pt idx="15">
                        <c:v>1099</c:v>
                      </c:pt>
                      <c:pt idx="16">
                        <c:v>1233</c:v>
                      </c:pt>
                      <c:pt idx="17">
                        <c:v>1366</c:v>
                      </c:pt>
                      <c:pt idx="18">
                        <c:v>1500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FLUID!$F$29:$AL$29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D-5F8F-421C-B882-6FC6CED20D0E}"/>
                  </c:ext>
                </c:extLst>
              </c15:ser>
            </c15:filteredScatterSeries>
            <c15:filteredScatterSeries>
              <c15:ser>
                <c:idx val="26"/>
                <c:order val="2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FLUID!$E$30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3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298.2</c:v>
                      </c:pt>
                      <c:pt idx="1">
                        <c:v>431.7</c:v>
                      </c:pt>
                      <c:pt idx="2">
                        <c:v>465.1</c:v>
                      </c:pt>
                      <c:pt idx="3">
                        <c:v>498.5</c:v>
                      </c:pt>
                      <c:pt idx="4">
                        <c:v>531.79999999999995</c:v>
                      </c:pt>
                      <c:pt idx="5">
                        <c:v>565.20000000000005</c:v>
                      </c:pt>
                      <c:pt idx="6">
                        <c:v>698.8</c:v>
                      </c:pt>
                      <c:pt idx="7">
                        <c:v>732.2</c:v>
                      </c:pt>
                      <c:pt idx="8">
                        <c:v>765.5</c:v>
                      </c:pt>
                      <c:pt idx="9">
                        <c:v>798.9</c:v>
                      </c:pt>
                      <c:pt idx="10">
                        <c:v>832.3</c:v>
                      </c:pt>
                      <c:pt idx="11">
                        <c:v>965.8</c:v>
                      </c:pt>
                      <c:pt idx="12">
                        <c:v>999.2</c:v>
                      </c:pt>
                      <c:pt idx="13">
                        <c:v>1033</c:v>
                      </c:pt>
                      <c:pt idx="14">
                        <c:v>1066</c:v>
                      </c:pt>
                      <c:pt idx="15">
                        <c:v>1099</c:v>
                      </c:pt>
                      <c:pt idx="16">
                        <c:v>1233</c:v>
                      </c:pt>
                      <c:pt idx="17">
                        <c:v>1366</c:v>
                      </c:pt>
                      <c:pt idx="18">
                        <c:v>1500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FLUID!$F$30:$AL$30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E-5F8F-421C-B882-6FC6CED20D0E}"/>
                  </c:ext>
                </c:extLst>
              </c15:ser>
            </c15:filteredScatterSeries>
            <c15:filteredScatterSeries>
              <c15:ser>
                <c:idx val="27"/>
                <c:order val="2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FLUID!$E$31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4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298.2</c:v>
                      </c:pt>
                      <c:pt idx="1">
                        <c:v>431.7</c:v>
                      </c:pt>
                      <c:pt idx="2">
                        <c:v>465.1</c:v>
                      </c:pt>
                      <c:pt idx="3">
                        <c:v>498.5</c:v>
                      </c:pt>
                      <c:pt idx="4">
                        <c:v>531.79999999999995</c:v>
                      </c:pt>
                      <c:pt idx="5">
                        <c:v>565.20000000000005</c:v>
                      </c:pt>
                      <c:pt idx="6">
                        <c:v>698.8</c:v>
                      </c:pt>
                      <c:pt idx="7">
                        <c:v>732.2</c:v>
                      </c:pt>
                      <c:pt idx="8">
                        <c:v>765.5</c:v>
                      </c:pt>
                      <c:pt idx="9">
                        <c:v>798.9</c:v>
                      </c:pt>
                      <c:pt idx="10">
                        <c:v>832.3</c:v>
                      </c:pt>
                      <c:pt idx="11">
                        <c:v>965.8</c:v>
                      </c:pt>
                      <c:pt idx="12">
                        <c:v>999.2</c:v>
                      </c:pt>
                      <c:pt idx="13">
                        <c:v>1033</c:v>
                      </c:pt>
                      <c:pt idx="14">
                        <c:v>1066</c:v>
                      </c:pt>
                      <c:pt idx="15">
                        <c:v>1099</c:v>
                      </c:pt>
                      <c:pt idx="16">
                        <c:v>1233</c:v>
                      </c:pt>
                      <c:pt idx="17">
                        <c:v>1366</c:v>
                      </c:pt>
                      <c:pt idx="18">
                        <c:v>1500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FLUID!$F$31:$AL$31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F-5F8F-421C-B882-6FC6CED20D0E}"/>
                  </c:ext>
                </c:extLst>
              </c15:ser>
            </c15:filteredScatterSeries>
            <c15:filteredScatterSeries>
              <c15:ser>
                <c:idx val="28"/>
                <c:order val="2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FLUID!$E$32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5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298.2</c:v>
                      </c:pt>
                      <c:pt idx="1">
                        <c:v>431.7</c:v>
                      </c:pt>
                      <c:pt idx="2">
                        <c:v>465.1</c:v>
                      </c:pt>
                      <c:pt idx="3">
                        <c:v>498.5</c:v>
                      </c:pt>
                      <c:pt idx="4">
                        <c:v>531.79999999999995</c:v>
                      </c:pt>
                      <c:pt idx="5">
                        <c:v>565.20000000000005</c:v>
                      </c:pt>
                      <c:pt idx="6">
                        <c:v>698.8</c:v>
                      </c:pt>
                      <c:pt idx="7">
                        <c:v>732.2</c:v>
                      </c:pt>
                      <c:pt idx="8">
                        <c:v>765.5</c:v>
                      </c:pt>
                      <c:pt idx="9">
                        <c:v>798.9</c:v>
                      </c:pt>
                      <c:pt idx="10">
                        <c:v>832.3</c:v>
                      </c:pt>
                      <c:pt idx="11">
                        <c:v>965.8</c:v>
                      </c:pt>
                      <c:pt idx="12">
                        <c:v>999.2</c:v>
                      </c:pt>
                      <c:pt idx="13">
                        <c:v>1033</c:v>
                      </c:pt>
                      <c:pt idx="14">
                        <c:v>1066</c:v>
                      </c:pt>
                      <c:pt idx="15">
                        <c:v>1099</c:v>
                      </c:pt>
                      <c:pt idx="16">
                        <c:v>1233</c:v>
                      </c:pt>
                      <c:pt idx="17">
                        <c:v>1366</c:v>
                      </c:pt>
                      <c:pt idx="18">
                        <c:v>1500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FLUID!$F$32:$AL$32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0-5F8F-421C-B882-6FC6CED20D0E}"/>
                  </c:ext>
                </c:extLst>
              </c15:ser>
            </c15:filteredScatterSeries>
          </c:ext>
        </c:extLst>
      </c:scatterChart>
      <c:valAx>
        <c:axId val="391619416"/>
        <c:scaling>
          <c:orientation val="minMax"/>
          <c:max val="1500"/>
          <c:min val="3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8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/>
                  <a:t>T</a:t>
                </a:r>
                <a:r>
                  <a:rPr lang="ru-RU" sz="1800"/>
                  <a:t>, К</a:t>
                </a:r>
              </a:p>
            </c:rich>
          </c:tx>
          <c:layout>
            <c:manualLayout>
              <c:xMode val="edge"/>
              <c:yMode val="edge"/>
              <c:x val="0.42423525471841778"/>
              <c:y val="0.9253208458898237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8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#,##0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93215344"/>
        <c:crosses val="autoZero"/>
        <c:crossBetween val="midCat"/>
      </c:valAx>
      <c:valAx>
        <c:axId val="393215344"/>
        <c:scaling>
          <c:orientation val="minMax"/>
          <c:max val="0.2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 sz="1800" b="0" i="0" baseline="0">
                    <a:effectLst/>
                  </a:rPr>
                  <a:t>Концентрация, моль/(моль*атом)</a:t>
                </a:r>
                <a:endParaRPr lang="ru-RU">
                  <a:effectLst/>
                </a:endParaRPr>
              </a:p>
            </c:rich>
          </c:tx>
          <c:layout>
            <c:manualLayout>
              <c:xMode val="edge"/>
              <c:yMode val="edge"/>
              <c:x val="7.8334982535866026E-3"/>
              <c:y val="0.19218689719276424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#,##0.00" sourceLinked="0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91619416"/>
        <c:crosses val="autoZero"/>
        <c:crossBetween val="midCat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xVal>
            <c:numRef>
              <c:f>FLUID!$F$122:$AL$122</c:f>
              <c:numCache>
                <c:formatCode>0</c:formatCode>
                <c:ptCount val="33"/>
                <c:pt idx="0">
                  <c:v>298.2</c:v>
                </c:pt>
                <c:pt idx="1">
                  <c:v>431.7</c:v>
                </c:pt>
                <c:pt idx="2">
                  <c:v>465.1</c:v>
                </c:pt>
                <c:pt idx="3">
                  <c:v>498.5</c:v>
                </c:pt>
                <c:pt idx="4">
                  <c:v>531.79999999999995</c:v>
                </c:pt>
                <c:pt idx="5">
                  <c:v>565.20000000000005</c:v>
                </c:pt>
                <c:pt idx="6">
                  <c:v>698.8</c:v>
                </c:pt>
                <c:pt idx="7">
                  <c:v>732.2</c:v>
                </c:pt>
                <c:pt idx="8">
                  <c:v>765.5</c:v>
                </c:pt>
                <c:pt idx="9">
                  <c:v>798.9</c:v>
                </c:pt>
                <c:pt idx="10">
                  <c:v>832.3</c:v>
                </c:pt>
                <c:pt idx="11">
                  <c:v>965.8</c:v>
                </c:pt>
                <c:pt idx="12">
                  <c:v>999.2</c:v>
                </c:pt>
                <c:pt idx="13">
                  <c:v>1033</c:v>
                </c:pt>
                <c:pt idx="14">
                  <c:v>1066</c:v>
                </c:pt>
                <c:pt idx="15">
                  <c:v>1099</c:v>
                </c:pt>
                <c:pt idx="16">
                  <c:v>1233</c:v>
                </c:pt>
                <c:pt idx="17">
                  <c:v>1366</c:v>
                </c:pt>
                <c:pt idx="18">
                  <c:v>1500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</c:numCache>
            </c:numRef>
          </c:xVal>
          <c:yVal>
            <c:numRef>
              <c:f>FLUID!$F$123:$AL$123</c:f>
              <c:numCache>
                <c:formatCode>General</c:formatCode>
                <c:ptCount val="33"/>
                <c:pt idx="0">
                  <c:v>-60.34572474210001</c:v>
                </c:pt>
                <c:pt idx="1">
                  <c:v>-120.41777178326494</c:v>
                </c:pt>
                <c:pt idx="2">
                  <c:v>-136.93468438201671</c:v>
                </c:pt>
                <c:pt idx="3">
                  <c:v>-153.64911057165588</c:v>
                </c:pt>
                <c:pt idx="4">
                  <c:v>-169.95523988903386</c:v>
                </c:pt>
                <c:pt idx="5">
                  <c:v>-184.71901989958698</c:v>
                </c:pt>
                <c:pt idx="6">
                  <c:v>-204.00506052011042</c:v>
                </c:pt>
                <c:pt idx="7">
                  <c:v>-205.13368370881298</c:v>
                </c:pt>
                <c:pt idx="8">
                  <c:v>-207.05595494185272</c:v>
                </c:pt>
                <c:pt idx="9">
                  <c:v>-208.79765702959429</c:v>
                </c:pt>
                <c:pt idx="10">
                  <c:v>-208.535629440767</c:v>
                </c:pt>
                <c:pt idx="11">
                  <c:v>-161.02703822643409</c:v>
                </c:pt>
                <c:pt idx="12">
                  <c:v>-142.94150639238987</c:v>
                </c:pt>
                <c:pt idx="13">
                  <c:v>-126.7334933093542</c:v>
                </c:pt>
                <c:pt idx="14">
                  <c:v>-114.79157304561214</c:v>
                </c:pt>
                <c:pt idx="15">
                  <c:v>-106.20726785624076</c:v>
                </c:pt>
                <c:pt idx="16">
                  <c:v>-93.941861314135522</c:v>
                </c:pt>
                <c:pt idx="17">
                  <c:v>-97.429159832689763</c:v>
                </c:pt>
                <c:pt idx="18">
                  <c:v>-106.55745882405002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005-4163-9D9F-2926A5928271}"/>
            </c:ext>
          </c:extLst>
        </c:ser>
        <c:ser>
          <c:idx val="3"/>
          <c:order val="3"/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FLUID!$F$122:$AL$122</c:f>
              <c:numCache>
                <c:formatCode>0</c:formatCode>
                <c:ptCount val="33"/>
                <c:pt idx="0">
                  <c:v>298.2</c:v>
                </c:pt>
                <c:pt idx="1">
                  <c:v>431.7</c:v>
                </c:pt>
                <c:pt idx="2">
                  <c:v>465.1</c:v>
                </c:pt>
                <c:pt idx="3">
                  <c:v>498.5</c:v>
                </c:pt>
                <c:pt idx="4">
                  <c:v>531.79999999999995</c:v>
                </c:pt>
                <c:pt idx="5">
                  <c:v>565.20000000000005</c:v>
                </c:pt>
                <c:pt idx="6">
                  <c:v>698.8</c:v>
                </c:pt>
                <c:pt idx="7">
                  <c:v>732.2</c:v>
                </c:pt>
                <c:pt idx="8">
                  <c:v>765.5</c:v>
                </c:pt>
                <c:pt idx="9">
                  <c:v>798.9</c:v>
                </c:pt>
                <c:pt idx="10">
                  <c:v>832.3</c:v>
                </c:pt>
                <c:pt idx="11">
                  <c:v>965.8</c:v>
                </c:pt>
                <c:pt idx="12">
                  <c:v>999.2</c:v>
                </c:pt>
                <c:pt idx="13">
                  <c:v>1033</c:v>
                </c:pt>
                <c:pt idx="14">
                  <c:v>1066</c:v>
                </c:pt>
                <c:pt idx="15">
                  <c:v>1099</c:v>
                </c:pt>
                <c:pt idx="16">
                  <c:v>1233</c:v>
                </c:pt>
                <c:pt idx="17">
                  <c:v>1366</c:v>
                </c:pt>
                <c:pt idx="18">
                  <c:v>1500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</c:numCache>
            </c:numRef>
          </c:xVal>
          <c:yVal>
            <c:numRef>
              <c:f>FLUID!$F$126:$AL$126</c:f>
              <c:numCache>
                <c:formatCode>General</c:formatCode>
                <c:ptCount val="33"/>
                <c:pt idx="0">
                  <c:v>-60.345725656216956</c:v>
                </c:pt>
                <c:pt idx="1">
                  <c:v>-120.44616130864313</c:v>
                </c:pt>
                <c:pt idx="2">
                  <c:v>-137.0769498079417</c:v>
                </c:pt>
                <c:pt idx="3">
                  <c:v>-154.21492421467786</c:v>
                </c:pt>
                <c:pt idx="4">
                  <c:v>-171.81571523377457</c:v>
                </c:pt>
                <c:pt idx="5">
                  <c:v>-189.91096007018012</c:v>
                </c:pt>
                <c:pt idx="6">
                  <c:v>-267.49770465185719</c:v>
                </c:pt>
                <c:pt idx="7">
                  <c:v>-288.62975640753996</c:v>
                </c:pt>
                <c:pt idx="8">
                  <c:v>-310.33454051052735</c:v>
                </c:pt>
                <c:pt idx="9">
                  <c:v>-332.60091829327058</c:v>
                </c:pt>
                <c:pt idx="10">
                  <c:v>-355.30950260187956</c:v>
                </c:pt>
                <c:pt idx="11">
                  <c:v>-451.56067475357418</c:v>
                </c:pt>
                <c:pt idx="12">
                  <c:v>-477.72853419097896</c:v>
                </c:pt>
                <c:pt idx="13">
                  <c:v>-504.80619647477761</c:v>
                </c:pt>
                <c:pt idx="14">
                  <c:v>-532.59447340111444</c:v>
                </c:pt>
                <c:pt idx="15">
                  <c:v>-561.20024868851135</c:v>
                </c:pt>
                <c:pt idx="16">
                  <c:v>-681.64636546640099</c:v>
                </c:pt>
                <c:pt idx="17">
                  <c:v>-805.91761293595289</c:v>
                </c:pt>
                <c:pt idx="18">
                  <c:v>-932.92946396771265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C005-4163-9D9F-2926A5928271}"/>
            </c:ext>
          </c:extLst>
        </c:ser>
        <c:ser>
          <c:idx val="5"/>
          <c:order val="5"/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FLUID!$F$122:$AL$122</c:f>
              <c:numCache>
                <c:formatCode>0</c:formatCode>
                <c:ptCount val="33"/>
                <c:pt idx="0">
                  <c:v>298.2</c:v>
                </c:pt>
                <c:pt idx="1">
                  <c:v>431.7</c:v>
                </c:pt>
                <c:pt idx="2">
                  <c:v>465.1</c:v>
                </c:pt>
                <c:pt idx="3">
                  <c:v>498.5</c:v>
                </c:pt>
                <c:pt idx="4">
                  <c:v>531.79999999999995</c:v>
                </c:pt>
                <c:pt idx="5">
                  <c:v>565.20000000000005</c:v>
                </c:pt>
                <c:pt idx="6">
                  <c:v>698.8</c:v>
                </c:pt>
                <c:pt idx="7">
                  <c:v>732.2</c:v>
                </c:pt>
                <c:pt idx="8">
                  <c:v>765.5</c:v>
                </c:pt>
                <c:pt idx="9">
                  <c:v>798.9</c:v>
                </c:pt>
                <c:pt idx="10">
                  <c:v>832.3</c:v>
                </c:pt>
                <c:pt idx="11">
                  <c:v>965.8</c:v>
                </c:pt>
                <c:pt idx="12">
                  <c:v>999.2</c:v>
                </c:pt>
                <c:pt idx="13">
                  <c:v>1033</c:v>
                </c:pt>
                <c:pt idx="14">
                  <c:v>1066</c:v>
                </c:pt>
                <c:pt idx="15">
                  <c:v>1099</c:v>
                </c:pt>
                <c:pt idx="16">
                  <c:v>1233</c:v>
                </c:pt>
                <c:pt idx="17">
                  <c:v>1366</c:v>
                </c:pt>
                <c:pt idx="18">
                  <c:v>1500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</c:numCache>
            </c:numRef>
          </c:xVal>
          <c:yVal>
            <c:numRef>
              <c:f>FLUID!$F$128:$AL$128</c:f>
              <c:numCache>
                <c:formatCode>General</c:formatCode>
                <c:ptCount val="3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C005-4163-9D9F-2926A5928271}"/>
            </c:ext>
          </c:extLst>
        </c:ser>
        <c:ser>
          <c:idx val="13"/>
          <c:order val="13"/>
          <c:tx>
            <c:v>temp</c:v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FLUID!$A$114:$A$115</c:f>
              <c:numCache>
                <c:formatCode>General</c:formatCode>
                <c:ptCount val="2"/>
                <c:pt idx="0">
                  <c:v>700</c:v>
                </c:pt>
                <c:pt idx="1">
                  <c:v>700</c:v>
                </c:pt>
              </c:numCache>
            </c:numRef>
          </c:xVal>
          <c:yVal>
            <c:numRef>
              <c:f>FLUID!$B$114:$B$115</c:f>
              <c:numCache>
                <c:formatCode>0</c:formatCode>
                <c:ptCount val="2"/>
                <c:pt idx="0">
                  <c:v>-932.94094425000003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C005-4163-9D9F-2926A5928271}"/>
            </c:ext>
          </c:extLst>
        </c:ser>
        <c:ser>
          <c:idx val="14"/>
          <c:order val="14"/>
          <c:tx>
            <c:v>gibs</c:v>
          </c:tx>
          <c:spPr>
            <a:ln w="19050" cap="rnd">
              <a:noFill/>
              <a:round/>
            </a:ln>
            <a:effectLst/>
          </c:spPr>
          <c:marker>
            <c:symbol val="square"/>
            <c:size val="5"/>
            <c:spPr>
              <a:solidFill>
                <a:schemeClr val="tx1"/>
              </a:solidFill>
              <a:ln w="9525">
                <a:solidFill>
                  <a:schemeClr val="tx1"/>
                </a:solidFill>
              </a:ln>
              <a:effectLst/>
            </c:spPr>
          </c:marker>
          <c:xVal>
            <c:numRef>
              <c:f>FLUID!$F$40:$AL$40</c:f>
              <c:numCache>
                <c:formatCode>General</c:formatCode>
                <c:ptCount val="33"/>
                <c:pt idx="0">
                  <c:v>298.2</c:v>
                </c:pt>
                <c:pt idx="1">
                  <c:v>431.7</c:v>
                </c:pt>
                <c:pt idx="2">
                  <c:v>465.1</c:v>
                </c:pt>
                <c:pt idx="3">
                  <c:v>498.5</c:v>
                </c:pt>
                <c:pt idx="4">
                  <c:v>531.79999999999995</c:v>
                </c:pt>
                <c:pt idx="5">
                  <c:v>565.20000000000005</c:v>
                </c:pt>
                <c:pt idx="6">
                  <c:v>698.8</c:v>
                </c:pt>
                <c:pt idx="7">
                  <c:v>732.2</c:v>
                </c:pt>
                <c:pt idx="8">
                  <c:v>765.5</c:v>
                </c:pt>
                <c:pt idx="9">
                  <c:v>798.9</c:v>
                </c:pt>
                <c:pt idx="10">
                  <c:v>832.3</c:v>
                </c:pt>
                <c:pt idx="11">
                  <c:v>965.8</c:v>
                </c:pt>
                <c:pt idx="12">
                  <c:v>999.2</c:v>
                </c:pt>
                <c:pt idx="13">
                  <c:v>1033</c:v>
                </c:pt>
                <c:pt idx="14">
                  <c:v>1066</c:v>
                </c:pt>
                <c:pt idx="15">
                  <c:v>1099</c:v>
                </c:pt>
                <c:pt idx="16">
                  <c:v>1233</c:v>
                </c:pt>
                <c:pt idx="17">
                  <c:v>1366</c:v>
                </c:pt>
                <c:pt idx="18">
                  <c:v>1500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xVal>
          <c:yVal>
            <c:numRef>
              <c:f>FLUID!$F$41:$AL$41</c:f>
              <c:numCache>
                <c:formatCode>0.0E+00</c:formatCode>
                <c:ptCount val="33"/>
                <c:pt idx="0">
                  <c:v>-60.345724742100003</c:v>
                </c:pt>
                <c:pt idx="1">
                  <c:v>-120.44752017981</c:v>
                </c:pt>
                <c:pt idx="2">
                  <c:v>-137.07748511079299</c:v>
                </c:pt>
                <c:pt idx="3">
                  <c:v>-154.21586962194999</c:v>
                </c:pt>
                <c:pt idx="4">
                  <c:v>-171.81651844380005</c:v>
                </c:pt>
                <c:pt idx="5">
                  <c:v>-189.91191687660006</c:v>
                </c:pt>
                <c:pt idx="6">
                  <c:v>-267.49840977980006</c:v>
                </c:pt>
                <c:pt idx="7">
                  <c:v>-288.62827312130008</c:v>
                </c:pt>
                <c:pt idx="8">
                  <c:v>-310.33458989375004</c:v>
                </c:pt>
                <c:pt idx="9">
                  <c:v>-332.60095919160005</c:v>
                </c:pt>
                <c:pt idx="10">
                  <c:v>-355.3086103224</c:v>
                </c:pt>
                <c:pt idx="11">
                  <c:v>-451.55909317530006</c:v>
                </c:pt>
                <c:pt idx="12">
                  <c:v>-477.72620654520006</c:v>
                </c:pt>
                <c:pt idx="13">
                  <c:v>-504.80560791850002</c:v>
                </c:pt>
                <c:pt idx="14">
                  <c:v>-532.58720429200002</c:v>
                </c:pt>
                <c:pt idx="15">
                  <c:v>-561.19702186800009</c:v>
                </c:pt>
                <c:pt idx="16">
                  <c:v>-681.6475869840001</c:v>
                </c:pt>
                <c:pt idx="17">
                  <c:v>-805.91686337500016</c:v>
                </c:pt>
                <c:pt idx="18">
                  <c:v>-932.94094425000003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C005-4163-9D9F-2926A59282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03713984"/>
        <c:axId val="1103702336"/>
        <c:extLst>
          <c:ext xmlns:c15="http://schemas.microsoft.com/office/drawing/2012/chart" uri="{02D57815-91ED-43cb-92C2-25804820EDAC}">
            <c15:filteredScatterSeries>
              <c15:ser>
                <c:idx val="1"/>
                <c:order val="1"/>
                <c:spPr>
                  <a:ln w="19050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FLUID!$F$122:$AL$122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298.2</c:v>
                      </c:pt>
                      <c:pt idx="1">
                        <c:v>431.7</c:v>
                      </c:pt>
                      <c:pt idx="2">
                        <c:v>465.1</c:v>
                      </c:pt>
                      <c:pt idx="3">
                        <c:v>498.5</c:v>
                      </c:pt>
                      <c:pt idx="4">
                        <c:v>531.79999999999995</c:v>
                      </c:pt>
                      <c:pt idx="5">
                        <c:v>565.20000000000005</c:v>
                      </c:pt>
                      <c:pt idx="6">
                        <c:v>698.8</c:v>
                      </c:pt>
                      <c:pt idx="7">
                        <c:v>732.2</c:v>
                      </c:pt>
                      <c:pt idx="8">
                        <c:v>765.5</c:v>
                      </c:pt>
                      <c:pt idx="9">
                        <c:v>798.9</c:v>
                      </c:pt>
                      <c:pt idx="10">
                        <c:v>832.3</c:v>
                      </c:pt>
                      <c:pt idx="11">
                        <c:v>965.8</c:v>
                      </c:pt>
                      <c:pt idx="12">
                        <c:v>999.2</c:v>
                      </c:pt>
                      <c:pt idx="13">
                        <c:v>1033</c:v>
                      </c:pt>
                      <c:pt idx="14">
                        <c:v>1066</c:v>
                      </c:pt>
                      <c:pt idx="15">
                        <c:v>1099</c:v>
                      </c:pt>
                      <c:pt idx="16">
                        <c:v>1233</c:v>
                      </c:pt>
                      <c:pt idx="17">
                        <c:v>1366</c:v>
                      </c:pt>
                      <c:pt idx="18">
                        <c:v>1500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FLUID!$F$124:$AL$124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-9.1411694747642525E-7</c:v>
                      </c:pt>
                      <c:pt idx="1">
                        <c:v>-2.8389525378194894E-2</c:v>
                      </c:pt>
                      <c:pt idx="2">
                        <c:v>-0.14226542592498001</c:v>
                      </c:pt>
                      <c:pt idx="3">
                        <c:v>-0.56581364302199189</c:v>
                      </c:pt>
                      <c:pt idx="4">
                        <c:v>-1.860475344740709</c:v>
                      </c:pt>
                      <c:pt idx="5">
                        <c:v>-5.1919401705931376</c:v>
                      </c:pt>
                      <c:pt idx="6">
                        <c:v>-63.492644131746765</c:v>
                      </c:pt>
                      <c:pt idx="7">
                        <c:v>-83.496072698726948</c:v>
                      </c:pt>
                      <c:pt idx="8">
                        <c:v>-103.27858556867463</c:v>
                      </c:pt>
                      <c:pt idx="9">
                        <c:v>-123.8032612636763</c:v>
                      </c:pt>
                      <c:pt idx="10">
                        <c:v>-146.77387316111256</c:v>
                      </c:pt>
                      <c:pt idx="11">
                        <c:v>-290.53363652714012</c:v>
                      </c:pt>
                      <c:pt idx="12">
                        <c:v>-334.78702779858907</c:v>
                      </c:pt>
                      <c:pt idx="13">
                        <c:v>-378.07270316542338</c:v>
                      </c:pt>
                      <c:pt idx="14">
                        <c:v>-417.80290035550229</c:v>
                      </c:pt>
                      <c:pt idx="15">
                        <c:v>-454.99298083227058</c:v>
                      </c:pt>
                      <c:pt idx="16">
                        <c:v>-587.70450415226549</c:v>
                      </c:pt>
                      <c:pt idx="17">
                        <c:v>-708.48845310326317</c:v>
                      </c:pt>
                      <c:pt idx="18">
                        <c:v>-826.37200514366259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5-C005-4163-9D9F-2926A5928271}"/>
                  </c:ext>
                </c:extLst>
              </c15:ser>
            </c15:filteredScatterSeries>
            <c15:filteredScatterSeries>
              <c15:ser>
                <c:idx val="2"/>
                <c:order val="2"/>
                <c:spPr>
                  <a:ln w="19050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FLUID!$F$122:$AL$122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298.2</c:v>
                      </c:pt>
                      <c:pt idx="1">
                        <c:v>431.7</c:v>
                      </c:pt>
                      <c:pt idx="2">
                        <c:v>465.1</c:v>
                      </c:pt>
                      <c:pt idx="3">
                        <c:v>498.5</c:v>
                      </c:pt>
                      <c:pt idx="4">
                        <c:v>531.79999999999995</c:v>
                      </c:pt>
                      <c:pt idx="5">
                        <c:v>565.20000000000005</c:v>
                      </c:pt>
                      <c:pt idx="6">
                        <c:v>698.8</c:v>
                      </c:pt>
                      <c:pt idx="7">
                        <c:v>732.2</c:v>
                      </c:pt>
                      <c:pt idx="8">
                        <c:v>765.5</c:v>
                      </c:pt>
                      <c:pt idx="9">
                        <c:v>798.9</c:v>
                      </c:pt>
                      <c:pt idx="10">
                        <c:v>832.3</c:v>
                      </c:pt>
                      <c:pt idx="11">
                        <c:v>965.8</c:v>
                      </c:pt>
                      <c:pt idx="12">
                        <c:v>999.2</c:v>
                      </c:pt>
                      <c:pt idx="13">
                        <c:v>1033</c:v>
                      </c:pt>
                      <c:pt idx="14">
                        <c:v>1066</c:v>
                      </c:pt>
                      <c:pt idx="15">
                        <c:v>1099</c:v>
                      </c:pt>
                      <c:pt idx="16">
                        <c:v>1233</c:v>
                      </c:pt>
                      <c:pt idx="17">
                        <c:v>1366</c:v>
                      </c:pt>
                      <c:pt idx="18">
                        <c:v>1500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FLUID!$F$125:$AL$125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-31.016667580783622</c:v>
                      </c:pt>
                      <c:pt idx="1">
                        <c:v>-31.295056192044871</c:v>
                      </c:pt>
                      <c:pt idx="2">
                        <c:v>-31.525598759258315</c:v>
                      </c:pt>
                      <c:pt idx="3">
                        <c:v>-32.065813643021997</c:v>
                      </c:pt>
                      <c:pt idx="4">
                        <c:v>-33.477142011407381</c:v>
                      </c:pt>
                      <c:pt idx="5">
                        <c:v>-36.958606837259808</c:v>
                      </c:pt>
                      <c:pt idx="6">
                        <c:v>-96.059310798413435</c:v>
                      </c:pt>
                      <c:pt idx="7">
                        <c:v>-116.24607269872695</c:v>
                      </c:pt>
                      <c:pt idx="8">
                        <c:v>-136.21191890200797</c:v>
                      </c:pt>
                      <c:pt idx="9">
                        <c:v>-156.88659459700966</c:v>
                      </c:pt>
                      <c:pt idx="10">
                        <c:v>-180.02387316111256</c:v>
                      </c:pt>
                      <c:pt idx="11">
                        <c:v>-324.56696986047348</c:v>
                      </c:pt>
                      <c:pt idx="12">
                        <c:v>-369.02036113192241</c:v>
                      </c:pt>
                      <c:pt idx="13">
                        <c:v>-412.50603649875671</c:v>
                      </c:pt>
                      <c:pt idx="14">
                        <c:v>-452.40290035550231</c:v>
                      </c:pt>
                      <c:pt idx="15">
                        <c:v>-489.74298083227058</c:v>
                      </c:pt>
                      <c:pt idx="16">
                        <c:v>-622.90450415226553</c:v>
                      </c:pt>
                      <c:pt idx="17">
                        <c:v>-744.05511976992989</c:v>
                      </c:pt>
                      <c:pt idx="18">
                        <c:v>-862.25533847699592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6-C005-4163-9D9F-2926A5928271}"/>
                  </c:ext>
                </c:extLst>
              </c15:ser>
            </c15:filteredScatterSeries>
            <c15:filteredScatterSeries>
              <c15:ser>
                <c:idx val="4"/>
                <c:order val="4"/>
                <c:spPr>
                  <a:ln w="19050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FLUID!$F$122:$AL$122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298.2</c:v>
                      </c:pt>
                      <c:pt idx="1">
                        <c:v>431.7</c:v>
                      </c:pt>
                      <c:pt idx="2">
                        <c:v>465.1</c:v>
                      </c:pt>
                      <c:pt idx="3">
                        <c:v>498.5</c:v>
                      </c:pt>
                      <c:pt idx="4">
                        <c:v>531.79999999999995</c:v>
                      </c:pt>
                      <c:pt idx="5">
                        <c:v>565.20000000000005</c:v>
                      </c:pt>
                      <c:pt idx="6">
                        <c:v>698.8</c:v>
                      </c:pt>
                      <c:pt idx="7">
                        <c:v>732.2</c:v>
                      </c:pt>
                      <c:pt idx="8">
                        <c:v>765.5</c:v>
                      </c:pt>
                      <c:pt idx="9">
                        <c:v>798.9</c:v>
                      </c:pt>
                      <c:pt idx="10">
                        <c:v>832.3</c:v>
                      </c:pt>
                      <c:pt idx="11">
                        <c:v>965.8</c:v>
                      </c:pt>
                      <c:pt idx="12">
                        <c:v>999.2</c:v>
                      </c:pt>
                      <c:pt idx="13">
                        <c:v>1033</c:v>
                      </c:pt>
                      <c:pt idx="14">
                        <c:v>1066</c:v>
                      </c:pt>
                      <c:pt idx="15">
                        <c:v>1099</c:v>
                      </c:pt>
                      <c:pt idx="16">
                        <c:v>1233</c:v>
                      </c:pt>
                      <c:pt idx="17">
                        <c:v>1366</c:v>
                      </c:pt>
                      <c:pt idx="18">
                        <c:v>1500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FLUID!$F$127:$AL$127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-91.362392322883636</c:v>
                      </c:pt>
                      <c:pt idx="1">
                        <c:v>-151.71282797530981</c:v>
                      </c:pt>
                      <c:pt idx="2">
                        <c:v>-168.46028314127503</c:v>
                      </c:pt>
                      <c:pt idx="3">
                        <c:v>-185.71492421467786</c:v>
                      </c:pt>
                      <c:pt idx="4">
                        <c:v>-203.43238190044124</c:v>
                      </c:pt>
                      <c:pt idx="5">
                        <c:v>-221.67762673684678</c:v>
                      </c:pt>
                      <c:pt idx="6">
                        <c:v>-300.06437131852385</c:v>
                      </c:pt>
                      <c:pt idx="7">
                        <c:v>-321.37975640753996</c:v>
                      </c:pt>
                      <c:pt idx="8">
                        <c:v>-343.26787384386068</c:v>
                      </c:pt>
                      <c:pt idx="9">
                        <c:v>-365.68425162660395</c:v>
                      </c:pt>
                      <c:pt idx="10">
                        <c:v>-388.55950260187956</c:v>
                      </c:pt>
                      <c:pt idx="11">
                        <c:v>-485.59400808690759</c:v>
                      </c:pt>
                      <c:pt idx="12">
                        <c:v>-511.96186752431231</c:v>
                      </c:pt>
                      <c:pt idx="13">
                        <c:v>-539.23952980811089</c:v>
                      </c:pt>
                      <c:pt idx="14">
                        <c:v>-567.19447340111446</c:v>
                      </c:pt>
                      <c:pt idx="15">
                        <c:v>-595.95024868851135</c:v>
                      </c:pt>
                      <c:pt idx="16">
                        <c:v>-716.84636546640104</c:v>
                      </c:pt>
                      <c:pt idx="17">
                        <c:v>-841.48427960261961</c:v>
                      </c:pt>
                      <c:pt idx="18">
                        <c:v>-968.81279730104598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C005-4163-9D9F-2926A5928271}"/>
                  </c:ext>
                </c:extLst>
              </c15:ser>
            </c15:filteredScatterSeries>
            <c15:filteredScatterSeries>
              <c15:ser>
                <c:idx val="6"/>
                <c:order val="6"/>
                <c:spPr>
                  <a:ln w="19050" cap="rnd">
                    <a:solidFill>
                      <a:schemeClr val="accent1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FLUID!$F$122:$AL$122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298.2</c:v>
                      </c:pt>
                      <c:pt idx="1">
                        <c:v>431.7</c:v>
                      </c:pt>
                      <c:pt idx="2">
                        <c:v>465.1</c:v>
                      </c:pt>
                      <c:pt idx="3">
                        <c:v>498.5</c:v>
                      </c:pt>
                      <c:pt idx="4">
                        <c:v>531.79999999999995</c:v>
                      </c:pt>
                      <c:pt idx="5">
                        <c:v>565.20000000000005</c:v>
                      </c:pt>
                      <c:pt idx="6">
                        <c:v>698.8</c:v>
                      </c:pt>
                      <c:pt idx="7">
                        <c:v>732.2</c:v>
                      </c:pt>
                      <c:pt idx="8">
                        <c:v>765.5</c:v>
                      </c:pt>
                      <c:pt idx="9">
                        <c:v>798.9</c:v>
                      </c:pt>
                      <c:pt idx="10">
                        <c:v>832.3</c:v>
                      </c:pt>
                      <c:pt idx="11">
                        <c:v>965.8</c:v>
                      </c:pt>
                      <c:pt idx="12">
                        <c:v>999.2</c:v>
                      </c:pt>
                      <c:pt idx="13">
                        <c:v>1033</c:v>
                      </c:pt>
                      <c:pt idx="14">
                        <c:v>1066</c:v>
                      </c:pt>
                      <c:pt idx="15">
                        <c:v>1099</c:v>
                      </c:pt>
                      <c:pt idx="16">
                        <c:v>1233</c:v>
                      </c:pt>
                      <c:pt idx="17">
                        <c:v>1366</c:v>
                      </c:pt>
                      <c:pt idx="18">
                        <c:v>1500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FLUID!$F$129:$AL$129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C005-4163-9D9F-2926A5928271}"/>
                  </c:ext>
                </c:extLst>
              </c15:ser>
            </c15:filteredScatterSeries>
            <c15:filteredScatterSeries>
              <c15:ser>
                <c:idx val="7"/>
                <c:order val="7"/>
                <c:spPr>
                  <a:ln w="19050" cap="rnd">
                    <a:solidFill>
                      <a:schemeClr val="accent2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FLUID!$F$122:$AL$122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298.2</c:v>
                      </c:pt>
                      <c:pt idx="1">
                        <c:v>431.7</c:v>
                      </c:pt>
                      <c:pt idx="2">
                        <c:v>465.1</c:v>
                      </c:pt>
                      <c:pt idx="3">
                        <c:v>498.5</c:v>
                      </c:pt>
                      <c:pt idx="4">
                        <c:v>531.79999999999995</c:v>
                      </c:pt>
                      <c:pt idx="5">
                        <c:v>565.20000000000005</c:v>
                      </c:pt>
                      <c:pt idx="6">
                        <c:v>698.8</c:v>
                      </c:pt>
                      <c:pt idx="7">
                        <c:v>732.2</c:v>
                      </c:pt>
                      <c:pt idx="8">
                        <c:v>765.5</c:v>
                      </c:pt>
                      <c:pt idx="9">
                        <c:v>798.9</c:v>
                      </c:pt>
                      <c:pt idx="10">
                        <c:v>832.3</c:v>
                      </c:pt>
                      <c:pt idx="11">
                        <c:v>965.8</c:v>
                      </c:pt>
                      <c:pt idx="12">
                        <c:v>999.2</c:v>
                      </c:pt>
                      <c:pt idx="13">
                        <c:v>1033</c:v>
                      </c:pt>
                      <c:pt idx="14">
                        <c:v>1066</c:v>
                      </c:pt>
                      <c:pt idx="15">
                        <c:v>1099</c:v>
                      </c:pt>
                      <c:pt idx="16">
                        <c:v>1233</c:v>
                      </c:pt>
                      <c:pt idx="17">
                        <c:v>1366</c:v>
                      </c:pt>
                      <c:pt idx="18">
                        <c:v>1500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FLUID!$F$130:$AL$130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C005-4163-9D9F-2926A5928271}"/>
                  </c:ext>
                </c:extLst>
              </c15:ser>
            </c15:filteredScatterSeries>
            <c15:filteredScatterSeries>
              <c15:ser>
                <c:idx val="8"/>
                <c:order val="8"/>
                <c:spPr>
                  <a:ln w="19050" cap="rnd">
                    <a:solidFill>
                      <a:schemeClr val="accent3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FLUID!$F$122:$AL$122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298.2</c:v>
                      </c:pt>
                      <c:pt idx="1">
                        <c:v>431.7</c:v>
                      </c:pt>
                      <c:pt idx="2">
                        <c:v>465.1</c:v>
                      </c:pt>
                      <c:pt idx="3">
                        <c:v>498.5</c:v>
                      </c:pt>
                      <c:pt idx="4">
                        <c:v>531.79999999999995</c:v>
                      </c:pt>
                      <c:pt idx="5">
                        <c:v>565.20000000000005</c:v>
                      </c:pt>
                      <c:pt idx="6">
                        <c:v>698.8</c:v>
                      </c:pt>
                      <c:pt idx="7">
                        <c:v>732.2</c:v>
                      </c:pt>
                      <c:pt idx="8">
                        <c:v>765.5</c:v>
                      </c:pt>
                      <c:pt idx="9">
                        <c:v>798.9</c:v>
                      </c:pt>
                      <c:pt idx="10">
                        <c:v>832.3</c:v>
                      </c:pt>
                      <c:pt idx="11">
                        <c:v>965.8</c:v>
                      </c:pt>
                      <c:pt idx="12">
                        <c:v>999.2</c:v>
                      </c:pt>
                      <c:pt idx="13">
                        <c:v>1033</c:v>
                      </c:pt>
                      <c:pt idx="14">
                        <c:v>1066</c:v>
                      </c:pt>
                      <c:pt idx="15">
                        <c:v>1099</c:v>
                      </c:pt>
                      <c:pt idx="16">
                        <c:v>1233</c:v>
                      </c:pt>
                      <c:pt idx="17">
                        <c:v>1366</c:v>
                      </c:pt>
                      <c:pt idx="18">
                        <c:v>1500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FLUID!$F$131:$AL$131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A-C005-4163-9D9F-2926A5928271}"/>
                  </c:ext>
                </c:extLst>
              </c15:ser>
            </c15:filteredScatterSeries>
            <c15:filteredScatterSeries>
              <c15:ser>
                <c:idx val="9"/>
                <c:order val="9"/>
                <c:spPr>
                  <a:ln w="19050" cap="rnd">
                    <a:solidFill>
                      <a:schemeClr val="accent4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FLUID!$F$122:$AL$122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298.2</c:v>
                      </c:pt>
                      <c:pt idx="1">
                        <c:v>431.7</c:v>
                      </c:pt>
                      <c:pt idx="2">
                        <c:v>465.1</c:v>
                      </c:pt>
                      <c:pt idx="3">
                        <c:v>498.5</c:v>
                      </c:pt>
                      <c:pt idx="4">
                        <c:v>531.79999999999995</c:v>
                      </c:pt>
                      <c:pt idx="5">
                        <c:v>565.20000000000005</c:v>
                      </c:pt>
                      <c:pt idx="6">
                        <c:v>698.8</c:v>
                      </c:pt>
                      <c:pt idx="7">
                        <c:v>732.2</c:v>
                      </c:pt>
                      <c:pt idx="8">
                        <c:v>765.5</c:v>
                      </c:pt>
                      <c:pt idx="9">
                        <c:v>798.9</c:v>
                      </c:pt>
                      <c:pt idx="10">
                        <c:v>832.3</c:v>
                      </c:pt>
                      <c:pt idx="11">
                        <c:v>965.8</c:v>
                      </c:pt>
                      <c:pt idx="12">
                        <c:v>999.2</c:v>
                      </c:pt>
                      <c:pt idx="13">
                        <c:v>1033</c:v>
                      </c:pt>
                      <c:pt idx="14">
                        <c:v>1066</c:v>
                      </c:pt>
                      <c:pt idx="15">
                        <c:v>1099</c:v>
                      </c:pt>
                      <c:pt idx="16">
                        <c:v>1233</c:v>
                      </c:pt>
                      <c:pt idx="17">
                        <c:v>1366</c:v>
                      </c:pt>
                      <c:pt idx="18">
                        <c:v>1500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FLUID!$F$132:$AL$132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B-C005-4163-9D9F-2926A5928271}"/>
                  </c:ext>
                </c:extLst>
              </c15:ser>
            </c15:filteredScatterSeries>
            <c15:filteredScatterSeries>
              <c15:ser>
                <c:idx val="10"/>
                <c:order val="10"/>
                <c:spPr>
                  <a:ln w="19050" cap="rnd">
                    <a:solidFill>
                      <a:schemeClr val="accent5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FLUID!$F$122:$AL$122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298.2</c:v>
                      </c:pt>
                      <c:pt idx="1">
                        <c:v>431.7</c:v>
                      </c:pt>
                      <c:pt idx="2">
                        <c:v>465.1</c:v>
                      </c:pt>
                      <c:pt idx="3">
                        <c:v>498.5</c:v>
                      </c:pt>
                      <c:pt idx="4">
                        <c:v>531.79999999999995</c:v>
                      </c:pt>
                      <c:pt idx="5">
                        <c:v>565.20000000000005</c:v>
                      </c:pt>
                      <c:pt idx="6">
                        <c:v>698.8</c:v>
                      </c:pt>
                      <c:pt idx="7">
                        <c:v>732.2</c:v>
                      </c:pt>
                      <c:pt idx="8">
                        <c:v>765.5</c:v>
                      </c:pt>
                      <c:pt idx="9">
                        <c:v>798.9</c:v>
                      </c:pt>
                      <c:pt idx="10">
                        <c:v>832.3</c:v>
                      </c:pt>
                      <c:pt idx="11">
                        <c:v>965.8</c:v>
                      </c:pt>
                      <c:pt idx="12">
                        <c:v>999.2</c:v>
                      </c:pt>
                      <c:pt idx="13">
                        <c:v>1033</c:v>
                      </c:pt>
                      <c:pt idx="14">
                        <c:v>1066</c:v>
                      </c:pt>
                      <c:pt idx="15">
                        <c:v>1099</c:v>
                      </c:pt>
                      <c:pt idx="16">
                        <c:v>1233</c:v>
                      </c:pt>
                      <c:pt idx="17">
                        <c:v>1366</c:v>
                      </c:pt>
                      <c:pt idx="18">
                        <c:v>1500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FLUID!$F$133:$AL$133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C-C005-4163-9D9F-2926A5928271}"/>
                  </c:ext>
                </c:extLst>
              </c15:ser>
            </c15:filteredScatterSeries>
            <c15:filteredScatterSeries>
              <c15:ser>
                <c:idx val="11"/>
                <c:order val="11"/>
                <c:spPr>
                  <a:ln w="19050" cap="rnd">
                    <a:solidFill>
                      <a:schemeClr val="accent6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FLUID!$F$122:$AL$122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298.2</c:v>
                      </c:pt>
                      <c:pt idx="1">
                        <c:v>431.7</c:v>
                      </c:pt>
                      <c:pt idx="2">
                        <c:v>465.1</c:v>
                      </c:pt>
                      <c:pt idx="3">
                        <c:v>498.5</c:v>
                      </c:pt>
                      <c:pt idx="4">
                        <c:v>531.79999999999995</c:v>
                      </c:pt>
                      <c:pt idx="5">
                        <c:v>565.20000000000005</c:v>
                      </c:pt>
                      <c:pt idx="6">
                        <c:v>698.8</c:v>
                      </c:pt>
                      <c:pt idx="7">
                        <c:v>732.2</c:v>
                      </c:pt>
                      <c:pt idx="8">
                        <c:v>765.5</c:v>
                      </c:pt>
                      <c:pt idx="9">
                        <c:v>798.9</c:v>
                      </c:pt>
                      <c:pt idx="10">
                        <c:v>832.3</c:v>
                      </c:pt>
                      <c:pt idx="11">
                        <c:v>965.8</c:v>
                      </c:pt>
                      <c:pt idx="12">
                        <c:v>999.2</c:v>
                      </c:pt>
                      <c:pt idx="13">
                        <c:v>1033</c:v>
                      </c:pt>
                      <c:pt idx="14">
                        <c:v>1066</c:v>
                      </c:pt>
                      <c:pt idx="15">
                        <c:v>1099</c:v>
                      </c:pt>
                      <c:pt idx="16">
                        <c:v>1233</c:v>
                      </c:pt>
                      <c:pt idx="17">
                        <c:v>1366</c:v>
                      </c:pt>
                      <c:pt idx="18">
                        <c:v>1500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FLUID!$F$134:$AL$134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D-C005-4163-9D9F-2926A5928271}"/>
                  </c:ext>
                </c:extLst>
              </c15:ser>
            </c15:filteredScatterSeries>
            <c15:filteredScatterSeries>
              <c15:ser>
                <c:idx val="12"/>
                <c:order val="12"/>
                <c:spPr>
                  <a:ln w="19050" cap="rnd">
                    <a:solidFill>
                      <a:schemeClr val="accent1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FLUID!$F$122:$AL$122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298.2</c:v>
                      </c:pt>
                      <c:pt idx="1">
                        <c:v>431.7</c:v>
                      </c:pt>
                      <c:pt idx="2">
                        <c:v>465.1</c:v>
                      </c:pt>
                      <c:pt idx="3">
                        <c:v>498.5</c:v>
                      </c:pt>
                      <c:pt idx="4">
                        <c:v>531.79999999999995</c:v>
                      </c:pt>
                      <c:pt idx="5">
                        <c:v>565.20000000000005</c:v>
                      </c:pt>
                      <c:pt idx="6">
                        <c:v>698.8</c:v>
                      </c:pt>
                      <c:pt idx="7">
                        <c:v>732.2</c:v>
                      </c:pt>
                      <c:pt idx="8">
                        <c:v>765.5</c:v>
                      </c:pt>
                      <c:pt idx="9">
                        <c:v>798.9</c:v>
                      </c:pt>
                      <c:pt idx="10">
                        <c:v>832.3</c:v>
                      </c:pt>
                      <c:pt idx="11">
                        <c:v>965.8</c:v>
                      </c:pt>
                      <c:pt idx="12">
                        <c:v>999.2</c:v>
                      </c:pt>
                      <c:pt idx="13">
                        <c:v>1033</c:v>
                      </c:pt>
                      <c:pt idx="14">
                        <c:v>1066</c:v>
                      </c:pt>
                      <c:pt idx="15">
                        <c:v>1099</c:v>
                      </c:pt>
                      <c:pt idx="16">
                        <c:v>1233</c:v>
                      </c:pt>
                      <c:pt idx="17">
                        <c:v>1366</c:v>
                      </c:pt>
                      <c:pt idx="18">
                        <c:v>1500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FLUID!$F$135:$AL$135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E-C005-4163-9D9F-2926A5928271}"/>
                  </c:ext>
                </c:extLst>
              </c15:ser>
            </c15:filteredScatterSeries>
          </c:ext>
        </c:extLst>
      </c:scatterChart>
      <c:valAx>
        <c:axId val="1103713984"/>
        <c:scaling>
          <c:orientation val="minMax"/>
          <c:max val="1500"/>
          <c:min val="3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103702336"/>
        <c:crosses val="autoZero"/>
        <c:crossBetween val="midCat"/>
      </c:valAx>
      <c:valAx>
        <c:axId val="1103702336"/>
        <c:scaling>
          <c:orientation val="minMax"/>
          <c:max val="0"/>
          <c:min val="-4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103713984"/>
        <c:crosses val="autoZero"/>
        <c:crossBetween val="midCat"/>
      </c:valAx>
      <c:spPr>
        <a:noFill/>
        <a:ln>
          <a:noFill/>
        </a:ln>
        <a:effectLst/>
      </c:spPr>
    </c:plotArea>
    <c:plotVisOnly val="0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2554091312569232"/>
          <c:y val="8.2117355881280038E-2"/>
          <c:w val="0.83553361749524424"/>
          <c:h val="0.77107340657712931"/>
        </c:manualLayout>
      </c:layout>
      <c:scatterChart>
        <c:scatterStyle val="lineMarker"/>
        <c:varyColors val="0"/>
        <c:ser>
          <c:idx val="10"/>
          <c:order val="10"/>
          <c:tx>
            <c:strRef>
              <c:f>FLUID!$E$14</c:f>
              <c:strCache>
                <c:ptCount val="1"/>
                <c:pt idx="0">
                  <c:v>(l)Ga[l]</c:v>
                </c:pt>
              </c:strCache>
            </c:strRef>
          </c:tx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FLUID!$F$3:$AL$3</c:f>
              <c:numCache>
                <c:formatCode>General</c:formatCode>
                <c:ptCount val="33"/>
                <c:pt idx="0">
                  <c:v>298.2</c:v>
                </c:pt>
                <c:pt idx="1">
                  <c:v>431.7</c:v>
                </c:pt>
                <c:pt idx="2">
                  <c:v>465.1</c:v>
                </c:pt>
                <c:pt idx="3">
                  <c:v>498.5</c:v>
                </c:pt>
                <c:pt idx="4">
                  <c:v>531.79999999999995</c:v>
                </c:pt>
                <c:pt idx="5">
                  <c:v>565.20000000000005</c:v>
                </c:pt>
                <c:pt idx="6">
                  <c:v>698.8</c:v>
                </c:pt>
                <c:pt idx="7">
                  <c:v>732.2</c:v>
                </c:pt>
                <c:pt idx="8">
                  <c:v>765.5</c:v>
                </c:pt>
                <c:pt idx="9">
                  <c:v>798.9</c:v>
                </c:pt>
                <c:pt idx="10">
                  <c:v>832.3</c:v>
                </c:pt>
                <c:pt idx="11">
                  <c:v>965.8</c:v>
                </c:pt>
                <c:pt idx="12">
                  <c:v>999.2</c:v>
                </c:pt>
                <c:pt idx="13">
                  <c:v>1033</c:v>
                </c:pt>
                <c:pt idx="14">
                  <c:v>1066</c:v>
                </c:pt>
                <c:pt idx="15">
                  <c:v>1099</c:v>
                </c:pt>
                <c:pt idx="16">
                  <c:v>1233</c:v>
                </c:pt>
                <c:pt idx="17">
                  <c:v>1366</c:v>
                </c:pt>
                <c:pt idx="18">
                  <c:v>1500</c:v>
                </c:pt>
              </c:numCache>
            </c:numRef>
          </c:xVal>
          <c:yVal>
            <c:numRef>
              <c:f>FLUID!$F$14:$AL$14</c:f>
              <c:numCache>
                <c:formatCode>0.0E+00</c:formatCode>
                <c:ptCount val="33"/>
                <c:pt idx="0">
                  <c:v>0.2</c:v>
                </c:pt>
                <c:pt idx="1">
                  <c:v>0.19989999999999999</c:v>
                </c:pt>
                <c:pt idx="2">
                  <c:v>0.19957</c:v>
                </c:pt>
                <c:pt idx="3">
                  <c:v>0.19844000000000001</c:v>
                </c:pt>
                <c:pt idx="4">
                  <c:v>0.19531999999999999</c:v>
                </c:pt>
                <c:pt idx="5">
                  <c:v>0.18803</c:v>
                </c:pt>
                <c:pt idx="6">
                  <c:v>9.5223000000000002E-2</c:v>
                </c:pt>
                <c:pt idx="7">
                  <c:v>7.3639999999999997E-2</c:v>
                </c:pt>
                <c:pt idx="8">
                  <c:v>5.7209999999999997E-2</c:v>
                </c:pt>
                <c:pt idx="9">
                  <c:v>4.4878000000000001E-2</c:v>
                </c:pt>
                <c:pt idx="10">
                  <c:v>3.5367000000000003E-2</c:v>
                </c:pt>
                <c:pt idx="11">
                  <c:v>1.2664999999999999E-2</c:v>
                </c:pt>
                <c:pt idx="12">
                  <c:v>9.8434999999999998E-3</c:v>
                </c:pt>
                <c:pt idx="13">
                  <c:v>7.8524000000000007E-3</c:v>
                </c:pt>
                <c:pt idx="14">
                  <c:v>6.5586999999999998E-3</c:v>
                </c:pt>
                <c:pt idx="15">
                  <c:v>5.6974E-3</c:v>
                </c:pt>
                <c:pt idx="16">
                  <c:v>4.2364000000000004E-3</c:v>
                </c:pt>
                <c:pt idx="17">
                  <c:v>3.8252E-3</c:v>
                </c:pt>
                <c:pt idx="18">
                  <c:v>3.6916000000000002E-3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9-63B3-4D01-BEA3-739B2EC62692}"/>
            </c:ext>
          </c:extLst>
        </c:ser>
        <c:ser>
          <c:idx val="11"/>
          <c:order val="11"/>
          <c:tx>
            <c:strRef>
              <c:f>FLUID!$E$15</c:f>
              <c:strCache>
                <c:ptCount val="1"/>
                <c:pt idx="0">
                  <c:v>(l)Ge[l]</c:v>
                </c:pt>
              </c:strCache>
            </c:strRef>
          </c:tx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FLUID!$F$3:$AL$3</c:f>
              <c:numCache>
                <c:formatCode>General</c:formatCode>
                <c:ptCount val="33"/>
                <c:pt idx="0">
                  <c:v>298.2</c:v>
                </c:pt>
                <c:pt idx="1">
                  <c:v>431.7</c:v>
                </c:pt>
                <c:pt idx="2">
                  <c:v>465.1</c:v>
                </c:pt>
                <c:pt idx="3">
                  <c:v>498.5</c:v>
                </c:pt>
                <c:pt idx="4">
                  <c:v>531.79999999999995</c:v>
                </c:pt>
                <c:pt idx="5">
                  <c:v>565.20000000000005</c:v>
                </c:pt>
                <c:pt idx="6">
                  <c:v>698.8</c:v>
                </c:pt>
                <c:pt idx="7">
                  <c:v>732.2</c:v>
                </c:pt>
                <c:pt idx="8">
                  <c:v>765.5</c:v>
                </c:pt>
                <c:pt idx="9">
                  <c:v>798.9</c:v>
                </c:pt>
                <c:pt idx="10">
                  <c:v>832.3</c:v>
                </c:pt>
                <c:pt idx="11">
                  <c:v>965.8</c:v>
                </c:pt>
                <c:pt idx="12">
                  <c:v>999.2</c:v>
                </c:pt>
                <c:pt idx="13">
                  <c:v>1033</c:v>
                </c:pt>
                <c:pt idx="14">
                  <c:v>1066</c:v>
                </c:pt>
                <c:pt idx="15">
                  <c:v>1099</c:v>
                </c:pt>
                <c:pt idx="16">
                  <c:v>1233</c:v>
                </c:pt>
                <c:pt idx="17">
                  <c:v>1366</c:v>
                </c:pt>
                <c:pt idx="18">
                  <c:v>1500</c:v>
                </c:pt>
              </c:numCache>
            </c:numRef>
          </c:xVal>
          <c:yVal>
            <c:numRef>
              <c:f>FLUID!$F$15:$AL$15</c:f>
              <c:numCache>
                <c:formatCode>0.0E+00</c:formatCode>
                <c:ptCount val="33"/>
                <c:pt idx="0">
                  <c:v>0.12</c:v>
                </c:pt>
                <c:pt idx="1">
                  <c:v>0.12</c:v>
                </c:pt>
                <c:pt idx="2">
                  <c:v>0.12</c:v>
                </c:pt>
                <c:pt idx="3">
                  <c:v>0.12</c:v>
                </c:pt>
                <c:pt idx="4">
                  <c:v>0.12</c:v>
                </c:pt>
                <c:pt idx="5">
                  <c:v>0.12</c:v>
                </c:pt>
                <c:pt idx="6">
                  <c:v>0.12</c:v>
                </c:pt>
                <c:pt idx="7">
                  <c:v>0.12</c:v>
                </c:pt>
                <c:pt idx="8">
                  <c:v>0.12</c:v>
                </c:pt>
                <c:pt idx="9">
                  <c:v>0.12</c:v>
                </c:pt>
                <c:pt idx="10">
                  <c:v>0.12</c:v>
                </c:pt>
                <c:pt idx="11">
                  <c:v>0.12</c:v>
                </c:pt>
                <c:pt idx="12">
                  <c:v>0.12</c:v>
                </c:pt>
                <c:pt idx="13">
                  <c:v>0.12</c:v>
                </c:pt>
                <c:pt idx="14">
                  <c:v>0.12</c:v>
                </c:pt>
                <c:pt idx="15">
                  <c:v>0.12</c:v>
                </c:pt>
                <c:pt idx="16">
                  <c:v>0.12</c:v>
                </c:pt>
                <c:pt idx="17">
                  <c:v>0.12</c:v>
                </c:pt>
                <c:pt idx="18">
                  <c:v>0.12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A-63B3-4D01-BEA3-739B2EC62692}"/>
            </c:ext>
          </c:extLst>
        </c:ser>
        <c:ser>
          <c:idx val="12"/>
          <c:order val="12"/>
          <c:tx>
            <c:strRef>
              <c:f>FLUID!$E$16</c:f>
              <c:strCache>
                <c:ptCount val="1"/>
                <c:pt idx="0">
                  <c:v>(l)Se[l]</c:v>
                </c:pt>
              </c:strCache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FLUID!$F$3:$AL$3</c:f>
              <c:numCache>
                <c:formatCode>General</c:formatCode>
                <c:ptCount val="33"/>
                <c:pt idx="0">
                  <c:v>298.2</c:v>
                </c:pt>
                <c:pt idx="1">
                  <c:v>431.7</c:v>
                </c:pt>
                <c:pt idx="2">
                  <c:v>465.1</c:v>
                </c:pt>
                <c:pt idx="3">
                  <c:v>498.5</c:v>
                </c:pt>
                <c:pt idx="4">
                  <c:v>531.79999999999995</c:v>
                </c:pt>
                <c:pt idx="5">
                  <c:v>565.20000000000005</c:v>
                </c:pt>
                <c:pt idx="6">
                  <c:v>698.8</c:v>
                </c:pt>
                <c:pt idx="7">
                  <c:v>732.2</c:v>
                </c:pt>
                <c:pt idx="8">
                  <c:v>765.5</c:v>
                </c:pt>
                <c:pt idx="9">
                  <c:v>798.9</c:v>
                </c:pt>
                <c:pt idx="10">
                  <c:v>832.3</c:v>
                </c:pt>
                <c:pt idx="11">
                  <c:v>965.8</c:v>
                </c:pt>
                <c:pt idx="12">
                  <c:v>999.2</c:v>
                </c:pt>
                <c:pt idx="13">
                  <c:v>1033</c:v>
                </c:pt>
                <c:pt idx="14">
                  <c:v>1066</c:v>
                </c:pt>
                <c:pt idx="15">
                  <c:v>1099</c:v>
                </c:pt>
                <c:pt idx="16">
                  <c:v>1233</c:v>
                </c:pt>
                <c:pt idx="17">
                  <c:v>1366</c:v>
                </c:pt>
                <c:pt idx="18">
                  <c:v>1500</c:v>
                </c:pt>
              </c:numCache>
            </c:numRef>
          </c:xVal>
          <c:yVal>
            <c:numRef>
              <c:f>FLUID!$F$16:$AL$16</c:f>
              <c:numCache>
                <c:formatCode>0.0E+00</c:formatCode>
                <c:ptCount val="33"/>
                <c:pt idx="0">
                  <c:v>0.48</c:v>
                </c:pt>
                <c:pt idx="1">
                  <c:v>0.47994999999999999</c:v>
                </c:pt>
                <c:pt idx="2">
                  <c:v>0.47977999999999998</c:v>
                </c:pt>
                <c:pt idx="3">
                  <c:v>0.47921999999999998</c:v>
                </c:pt>
                <c:pt idx="4">
                  <c:v>0.47765999999999997</c:v>
                </c:pt>
                <c:pt idx="5">
                  <c:v>0.47399999999999998</c:v>
                </c:pt>
                <c:pt idx="6">
                  <c:v>0.42616999999999999</c:v>
                </c:pt>
                <c:pt idx="7">
                  <c:v>0.41313</c:v>
                </c:pt>
                <c:pt idx="8">
                  <c:v>0.40011999999999998</c:v>
                </c:pt>
                <c:pt idx="9">
                  <c:v>0.38482</c:v>
                </c:pt>
                <c:pt idx="10">
                  <c:v>0.36423</c:v>
                </c:pt>
                <c:pt idx="11">
                  <c:v>0.20286000000000001</c:v>
                </c:pt>
                <c:pt idx="12">
                  <c:v>0.15876999999999999</c:v>
                </c:pt>
                <c:pt idx="13">
                  <c:v>0.12138</c:v>
                </c:pt>
                <c:pt idx="14">
                  <c:v>9.3656000000000003E-2</c:v>
                </c:pt>
                <c:pt idx="15">
                  <c:v>7.3054999999999995E-2</c:v>
                </c:pt>
                <c:pt idx="16">
                  <c:v>3.2212999999999999E-2</c:v>
                </c:pt>
                <c:pt idx="17">
                  <c:v>1.7951000000000002E-2</c:v>
                </c:pt>
                <c:pt idx="18">
                  <c:v>1.1579000000000001E-2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B-63B3-4D01-BEA3-739B2EC62692}"/>
            </c:ext>
          </c:extLst>
        </c:ser>
        <c:ser>
          <c:idx val="29"/>
          <c:order val="29"/>
          <c:tx>
            <c:v>temp</c:v>
          </c:tx>
          <c:spPr>
            <a:ln w="19050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dPt>
            <c:idx val="1"/>
            <c:marker>
              <c:symbol val="none"/>
            </c:marker>
            <c:bubble3D val="0"/>
            <c:spPr>
              <a:ln w="19050" cap="rnd">
                <a:solidFill>
                  <a:schemeClr val="tx1">
                    <a:lumMod val="95000"/>
                    <a:lumOff val="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F-63B3-4D01-BEA3-739B2EC62692}"/>
              </c:ext>
            </c:extLst>
          </c:dPt>
          <c:xVal>
            <c:numRef>
              <c:f>FLUID!$BA$3:$BA$4</c:f>
              <c:numCache>
                <c:formatCode>General</c:formatCode>
                <c:ptCount val="2"/>
                <c:pt idx="0">
                  <c:v>700</c:v>
                </c:pt>
                <c:pt idx="1">
                  <c:v>700</c:v>
                </c:pt>
              </c:numCache>
            </c:numRef>
          </c:xVal>
          <c:yVal>
            <c:numRef>
              <c:f>FLUID!$BB$3:$BB$4</c:f>
              <c:numCache>
                <c:formatCode>0</c:formatCode>
                <c:ptCount val="2"/>
                <c:pt idx="0" formatCode="General">
                  <c:v>0</c:v>
                </c:pt>
                <c:pt idx="1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0-63B3-4D01-BEA3-739B2EC626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1619416"/>
        <c:axId val="393215344"/>
        <c:extLst>
          <c:ext xmlns:c15="http://schemas.microsoft.com/office/drawing/2012/chart" uri="{02D57815-91ED-43cb-92C2-25804820EDAC}">
            <c15:filteredScatte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FLUID!$E$4</c15:sqref>
                        </c15:formulaRef>
                      </c:ext>
                    </c:extLst>
                    <c:strCache>
                      <c:ptCount val="1"/>
                      <c:pt idx="0">
                        <c:v>Se3</c:v>
                      </c:pt>
                    </c:strCache>
                  </c:strRef>
                </c:tx>
                <c:spPr>
                  <a:ln w="19050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FLUID!$F$3:$AL$3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298.2</c:v>
                      </c:pt>
                      <c:pt idx="1">
                        <c:v>431.7</c:v>
                      </c:pt>
                      <c:pt idx="2">
                        <c:v>465.1</c:v>
                      </c:pt>
                      <c:pt idx="3">
                        <c:v>498.5</c:v>
                      </c:pt>
                      <c:pt idx="4">
                        <c:v>531.79999999999995</c:v>
                      </c:pt>
                      <c:pt idx="5">
                        <c:v>565.20000000000005</c:v>
                      </c:pt>
                      <c:pt idx="6">
                        <c:v>698.8</c:v>
                      </c:pt>
                      <c:pt idx="7">
                        <c:v>732.2</c:v>
                      </c:pt>
                      <c:pt idx="8">
                        <c:v>765.5</c:v>
                      </c:pt>
                      <c:pt idx="9">
                        <c:v>798.9</c:v>
                      </c:pt>
                      <c:pt idx="10">
                        <c:v>832.3</c:v>
                      </c:pt>
                      <c:pt idx="11">
                        <c:v>965.8</c:v>
                      </c:pt>
                      <c:pt idx="12">
                        <c:v>999.2</c:v>
                      </c:pt>
                      <c:pt idx="13">
                        <c:v>1033</c:v>
                      </c:pt>
                      <c:pt idx="14">
                        <c:v>1066</c:v>
                      </c:pt>
                      <c:pt idx="15">
                        <c:v>1099</c:v>
                      </c:pt>
                      <c:pt idx="16">
                        <c:v>1233</c:v>
                      </c:pt>
                      <c:pt idx="17">
                        <c:v>1366</c:v>
                      </c:pt>
                      <c:pt idx="18">
                        <c:v>1500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FLUID!$F$4:$AL$4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1.3056000000000001E-22</c:v>
                      </c:pt>
                      <c:pt idx="1">
                        <c:v>8.4706E-14</c:v>
                      </c:pt>
                      <c:pt idx="2">
                        <c:v>1.9731000000000001E-12</c:v>
                      </c:pt>
                      <c:pt idx="3">
                        <c:v>2.9366000000000002E-11</c:v>
                      </c:pt>
                      <c:pt idx="4">
                        <c:v>3.0681999999999998E-10</c:v>
                      </c:pt>
                      <c:pt idx="5">
                        <c:v>2.4323E-9</c:v>
                      </c:pt>
                      <c:pt idx="6">
                        <c:v>1.6574E-6</c:v>
                      </c:pt>
                      <c:pt idx="7">
                        <c:v>5.8046000000000003E-6</c:v>
                      </c:pt>
                      <c:pt idx="8">
                        <c:v>1.7708999999999999E-5</c:v>
                      </c:pt>
                      <c:pt idx="9">
                        <c:v>4.7824000000000002E-5</c:v>
                      </c:pt>
                      <c:pt idx="10">
                        <c:v>1.1595E-4</c:v>
                      </c:pt>
                      <c:pt idx="11">
                        <c:v>1.4264E-3</c:v>
                      </c:pt>
                      <c:pt idx="12">
                        <c:v>1.9935999999999999E-3</c:v>
                      </c:pt>
                      <c:pt idx="13">
                        <c:v>2.4840000000000001E-3</c:v>
                      </c:pt>
                      <c:pt idx="14">
                        <c:v>2.7785000000000002E-3</c:v>
                      </c:pt>
                      <c:pt idx="15">
                        <c:v>2.8771000000000001E-3</c:v>
                      </c:pt>
                      <c:pt idx="16">
                        <c:v>2.3430999999999999E-3</c:v>
                      </c:pt>
                      <c:pt idx="17">
                        <c:v>1.7071E-3</c:v>
                      </c:pt>
                      <c:pt idx="18">
                        <c:v>1.2738999999999999E-3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0-63B3-4D01-BEA3-739B2EC62692}"/>
                  </c:ext>
                </c:extLst>
              </c15:ser>
            </c15:filteredScatterSeries>
            <c15:filteredScatterSeries>
              <c15:ser>
                <c:idx val="1"/>
                <c:order val="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FLUID!$E$5</c15:sqref>
                        </c15:formulaRef>
                      </c:ext>
                    </c:extLst>
                    <c:strCache>
                      <c:ptCount val="1"/>
                      <c:pt idx="0">
                        <c:v>Se4</c:v>
                      </c:pt>
                    </c:strCache>
                  </c:strRef>
                </c:tx>
                <c:spPr>
                  <a:ln w="19050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298.2</c:v>
                      </c:pt>
                      <c:pt idx="1">
                        <c:v>431.7</c:v>
                      </c:pt>
                      <c:pt idx="2">
                        <c:v>465.1</c:v>
                      </c:pt>
                      <c:pt idx="3">
                        <c:v>498.5</c:v>
                      </c:pt>
                      <c:pt idx="4">
                        <c:v>531.79999999999995</c:v>
                      </c:pt>
                      <c:pt idx="5">
                        <c:v>565.20000000000005</c:v>
                      </c:pt>
                      <c:pt idx="6">
                        <c:v>698.8</c:v>
                      </c:pt>
                      <c:pt idx="7">
                        <c:v>732.2</c:v>
                      </c:pt>
                      <c:pt idx="8">
                        <c:v>765.5</c:v>
                      </c:pt>
                      <c:pt idx="9">
                        <c:v>798.9</c:v>
                      </c:pt>
                      <c:pt idx="10">
                        <c:v>832.3</c:v>
                      </c:pt>
                      <c:pt idx="11">
                        <c:v>965.8</c:v>
                      </c:pt>
                      <c:pt idx="12">
                        <c:v>999.2</c:v>
                      </c:pt>
                      <c:pt idx="13">
                        <c:v>1033</c:v>
                      </c:pt>
                      <c:pt idx="14">
                        <c:v>1066</c:v>
                      </c:pt>
                      <c:pt idx="15">
                        <c:v>1099</c:v>
                      </c:pt>
                      <c:pt idx="16">
                        <c:v>1233</c:v>
                      </c:pt>
                      <c:pt idx="17">
                        <c:v>1366</c:v>
                      </c:pt>
                      <c:pt idx="18">
                        <c:v>1500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FLUID!$F$5:$AL$5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7.6378999999999993E-21</c:v>
                      </c:pt>
                      <c:pt idx="1">
                        <c:v>5.8909999999999998E-13</c:v>
                      </c:pt>
                      <c:pt idx="2">
                        <c:v>9.5009000000000004E-12</c:v>
                      </c:pt>
                      <c:pt idx="3">
                        <c:v>1.0218E-10</c:v>
                      </c:pt>
                      <c:pt idx="4">
                        <c:v>8.0013999999999999E-10</c:v>
                      </c:pt>
                      <c:pt idx="5">
                        <c:v>4.9136000000000001E-9</c:v>
                      </c:pt>
                      <c:pt idx="6">
                        <c:v>1.6022000000000001E-6</c:v>
                      </c:pt>
                      <c:pt idx="7">
                        <c:v>4.8679999999999998E-6</c:v>
                      </c:pt>
                      <c:pt idx="8">
                        <c:v>1.2958E-5</c:v>
                      </c:pt>
                      <c:pt idx="9">
                        <c:v>3.0632000000000001E-5</c:v>
                      </c:pt>
                      <c:pt idx="10">
                        <c:v>6.5072000000000003E-5</c:v>
                      </c:pt>
                      <c:pt idx="11">
                        <c:v>4.3741E-4</c:v>
                      </c:pt>
                      <c:pt idx="12">
                        <c:v>5.0403000000000004E-4</c:v>
                      </c:pt>
                      <c:pt idx="13">
                        <c:v>5.0903999999999999E-4</c:v>
                      </c:pt>
                      <c:pt idx="14">
                        <c:v>4.5489E-4</c:v>
                      </c:pt>
                      <c:pt idx="15">
                        <c:v>3.7399999999999998E-4</c:v>
                      </c:pt>
                      <c:pt idx="16">
                        <c:v>1.2596999999999999E-4</c:v>
                      </c:pt>
                      <c:pt idx="17">
                        <c:v>4.3619999999999999E-5</c:v>
                      </c:pt>
                      <c:pt idx="18">
                        <c:v>1.7612999999999999E-5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1-63B3-4D01-BEA3-739B2EC62692}"/>
                  </c:ext>
                </c:extLst>
              </c15:ser>
            </c15:filteredScatterSeries>
            <c15:filteredScatterSeries>
              <c15:ser>
                <c:idx val="2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FLUID!$E$6</c15:sqref>
                        </c15:formulaRef>
                      </c:ext>
                    </c:extLst>
                    <c:strCache>
                      <c:ptCount val="1"/>
                      <c:pt idx="0">
                        <c:v>Se5</c:v>
                      </c:pt>
                    </c:strCache>
                  </c:strRef>
                </c:tx>
                <c:spPr>
                  <a:ln w="19050" cap="rnd">
                    <a:solidFill>
                      <a:schemeClr val="accent4">
                        <a:lumMod val="75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298.2</c:v>
                      </c:pt>
                      <c:pt idx="1">
                        <c:v>431.7</c:v>
                      </c:pt>
                      <c:pt idx="2">
                        <c:v>465.1</c:v>
                      </c:pt>
                      <c:pt idx="3">
                        <c:v>498.5</c:v>
                      </c:pt>
                      <c:pt idx="4">
                        <c:v>531.79999999999995</c:v>
                      </c:pt>
                      <c:pt idx="5">
                        <c:v>565.20000000000005</c:v>
                      </c:pt>
                      <c:pt idx="6">
                        <c:v>698.8</c:v>
                      </c:pt>
                      <c:pt idx="7">
                        <c:v>732.2</c:v>
                      </c:pt>
                      <c:pt idx="8">
                        <c:v>765.5</c:v>
                      </c:pt>
                      <c:pt idx="9">
                        <c:v>798.9</c:v>
                      </c:pt>
                      <c:pt idx="10">
                        <c:v>832.3</c:v>
                      </c:pt>
                      <c:pt idx="11">
                        <c:v>965.8</c:v>
                      </c:pt>
                      <c:pt idx="12">
                        <c:v>999.2</c:v>
                      </c:pt>
                      <c:pt idx="13">
                        <c:v>1033</c:v>
                      </c:pt>
                      <c:pt idx="14">
                        <c:v>1066</c:v>
                      </c:pt>
                      <c:pt idx="15">
                        <c:v>1099</c:v>
                      </c:pt>
                      <c:pt idx="16">
                        <c:v>1233</c:v>
                      </c:pt>
                      <c:pt idx="17">
                        <c:v>1366</c:v>
                      </c:pt>
                      <c:pt idx="18">
                        <c:v>1500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FLUID!$F$6:$AL$6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1.3752E-17</c:v>
                      </c:pt>
                      <c:pt idx="1">
                        <c:v>1.9065000000000001E-10</c:v>
                      </c:pt>
                      <c:pt idx="2">
                        <c:v>2.2833000000000002E-9</c:v>
                      </c:pt>
                      <c:pt idx="3">
                        <c:v>1.8868999999999998E-8</c:v>
                      </c:pt>
                      <c:pt idx="4">
                        <c:v>1.1695E-7</c:v>
                      </c:pt>
                      <c:pt idx="5">
                        <c:v>5.8406999999999996E-7</c:v>
                      </c:pt>
                      <c:pt idx="6">
                        <c:v>1.0599000000000001E-4</c:v>
                      </c:pt>
                      <c:pt idx="7">
                        <c:v>2.8779000000000001E-4</c:v>
                      </c:pt>
                      <c:pt idx="8">
                        <c:v>6.8687999999999996E-4</c:v>
                      </c:pt>
                      <c:pt idx="9">
                        <c:v>1.4574E-3</c:v>
                      </c:pt>
                      <c:pt idx="10">
                        <c:v>2.7763000000000002E-3</c:v>
                      </c:pt>
                      <c:pt idx="11">
                        <c:v>1.1018999999999999E-2</c:v>
                      </c:pt>
                      <c:pt idx="12">
                        <c:v>1.064E-2</c:v>
                      </c:pt>
                      <c:pt idx="13">
                        <c:v>8.8444000000000005E-3</c:v>
                      </c:pt>
                      <c:pt idx="14">
                        <c:v>6.4056E-3</c:v>
                      </c:pt>
                      <c:pt idx="15">
                        <c:v>4.2385000000000001E-3</c:v>
                      </c:pt>
                      <c:pt idx="16">
                        <c:v>6.1879999999999997E-4</c:v>
                      </c:pt>
                      <c:pt idx="17">
                        <c:v>1.0581000000000001E-4</c:v>
                      </c:pt>
                      <c:pt idx="18">
                        <c:v>2.3858000000000001E-5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2-63B3-4D01-BEA3-739B2EC62692}"/>
                  </c:ext>
                </c:extLst>
              </c15:ser>
            </c15:filteredScatterSeries>
            <c15:filteredScatterSeries>
              <c15:ser>
                <c:idx val="3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FLUID!$E$7</c15:sqref>
                        </c15:formulaRef>
                      </c:ext>
                    </c:extLst>
                    <c:strCache>
                      <c:ptCount val="1"/>
                      <c:pt idx="0">
                        <c:v>Se6</c:v>
                      </c:pt>
                    </c:strCache>
                  </c:strRef>
                </c:tx>
                <c:spPr>
                  <a:ln w="19050" cap="rnd">
                    <a:solidFill>
                      <a:schemeClr val="accent4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298.2</c:v>
                      </c:pt>
                      <c:pt idx="1">
                        <c:v>431.7</c:v>
                      </c:pt>
                      <c:pt idx="2">
                        <c:v>465.1</c:v>
                      </c:pt>
                      <c:pt idx="3">
                        <c:v>498.5</c:v>
                      </c:pt>
                      <c:pt idx="4">
                        <c:v>531.79999999999995</c:v>
                      </c:pt>
                      <c:pt idx="5">
                        <c:v>565.20000000000005</c:v>
                      </c:pt>
                      <c:pt idx="6">
                        <c:v>698.8</c:v>
                      </c:pt>
                      <c:pt idx="7">
                        <c:v>732.2</c:v>
                      </c:pt>
                      <c:pt idx="8">
                        <c:v>765.5</c:v>
                      </c:pt>
                      <c:pt idx="9">
                        <c:v>798.9</c:v>
                      </c:pt>
                      <c:pt idx="10">
                        <c:v>832.3</c:v>
                      </c:pt>
                      <c:pt idx="11">
                        <c:v>965.8</c:v>
                      </c:pt>
                      <c:pt idx="12">
                        <c:v>999.2</c:v>
                      </c:pt>
                      <c:pt idx="13">
                        <c:v>1033</c:v>
                      </c:pt>
                      <c:pt idx="14">
                        <c:v>1066</c:v>
                      </c:pt>
                      <c:pt idx="15">
                        <c:v>1099</c:v>
                      </c:pt>
                      <c:pt idx="16">
                        <c:v>1233</c:v>
                      </c:pt>
                      <c:pt idx="17">
                        <c:v>1366</c:v>
                      </c:pt>
                      <c:pt idx="18">
                        <c:v>1500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FLUID!$F$7:$AL$7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2.3151999999999998E-15</c:v>
                      </c:pt>
                      <c:pt idx="1">
                        <c:v>1.7347E-9</c:v>
                      </c:pt>
                      <c:pt idx="2">
                        <c:v>1.2705E-8</c:v>
                      </c:pt>
                      <c:pt idx="3">
                        <c:v>6.8158999999999995E-8</c:v>
                      </c:pt>
                      <c:pt idx="4">
                        <c:v>2.8845000000000002E-7</c:v>
                      </c:pt>
                      <c:pt idx="5">
                        <c:v>1.0280999999999999E-6</c:v>
                      </c:pt>
                      <c:pt idx="6">
                        <c:v>6.9690999999999994E-5</c:v>
                      </c:pt>
                      <c:pt idx="7">
                        <c:v>1.5655000000000001E-4</c:v>
                      </c:pt>
                      <c:pt idx="8">
                        <c:v>3.1220999999999999E-4</c:v>
                      </c:pt>
                      <c:pt idx="9">
                        <c:v>5.5734999999999997E-4</c:v>
                      </c:pt>
                      <c:pt idx="10">
                        <c:v>8.9707000000000003E-4</c:v>
                      </c:pt>
                      <c:pt idx="11">
                        <c:v>1.7256999999999999E-3</c:v>
                      </c:pt>
                      <c:pt idx="12">
                        <c:v>1.3401999999999999E-3</c:v>
                      </c:pt>
                      <c:pt idx="13">
                        <c:v>8.8225E-4</c:v>
                      </c:pt>
                      <c:pt idx="14">
                        <c:v>4.9950000000000005E-4</c:v>
                      </c:pt>
                      <c:pt idx="15">
                        <c:v>2.5712E-4</c:v>
                      </c:pt>
                      <c:pt idx="16">
                        <c:v>1.4467999999999999E-5</c:v>
                      </c:pt>
                      <c:pt idx="17">
                        <c:v>1.1112000000000001E-6</c:v>
                      </c:pt>
                      <c:pt idx="18">
                        <c:v>1.2944E-7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1-63B3-4D01-BEA3-739B2EC62692}"/>
                  </c:ext>
                </c:extLst>
              </c15:ser>
            </c15:filteredScatterSeries>
            <c15:filteredScatterSeries>
              <c15:ser>
                <c:idx val="4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FLUID!$E$8</c15:sqref>
                        </c15:formulaRef>
                      </c:ext>
                    </c:extLst>
                    <c:strCache>
                      <c:ptCount val="1"/>
                      <c:pt idx="0">
                        <c:v>Se7</c:v>
                      </c:pt>
                    </c:strCache>
                  </c:strRef>
                </c:tx>
                <c:spPr>
                  <a:ln w="19050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298.2</c:v>
                      </c:pt>
                      <c:pt idx="1">
                        <c:v>431.7</c:v>
                      </c:pt>
                      <c:pt idx="2">
                        <c:v>465.1</c:v>
                      </c:pt>
                      <c:pt idx="3">
                        <c:v>498.5</c:v>
                      </c:pt>
                      <c:pt idx="4">
                        <c:v>531.79999999999995</c:v>
                      </c:pt>
                      <c:pt idx="5">
                        <c:v>565.20000000000005</c:v>
                      </c:pt>
                      <c:pt idx="6">
                        <c:v>698.8</c:v>
                      </c:pt>
                      <c:pt idx="7">
                        <c:v>732.2</c:v>
                      </c:pt>
                      <c:pt idx="8">
                        <c:v>765.5</c:v>
                      </c:pt>
                      <c:pt idx="9">
                        <c:v>798.9</c:v>
                      </c:pt>
                      <c:pt idx="10">
                        <c:v>832.3</c:v>
                      </c:pt>
                      <c:pt idx="11">
                        <c:v>965.8</c:v>
                      </c:pt>
                      <c:pt idx="12">
                        <c:v>999.2</c:v>
                      </c:pt>
                      <c:pt idx="13">
                        <c:v>1033</c:v>
                      </c:pt>
                      <c:pt idx="14">
                        <c:v>1066</c:v>
                      </c:pt>
                      <c:pt idx="15">
                        <c:v>1099</c:v>
                      </c:pt>
                      <c:pt idx="16">
                        <c:v>1233</c:v>
                      </c:pt>
                      <c:pt idx="17">
                        <c:v>1366</c:v>
                      </c:pt>
                      <c:pt idx="18">
                        <c:v>1500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FLUID!$F$8:$AL$8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2.5534000000000002E-16</c:v>
                      </c:pt>
                      <c:pt idx="1">
                        <c:v>3.8947999999999998E-10</c:v>
                      </c:pt>
                      <c:pt idx="2">
                        <c:v>3.1175E-9</c:v>
                      </c:pt>
                      <c:pt idx="3">
                        <c:v>1.7949999999999999E-8</c:v>
                      </c:pt>
                      <c:pt idx="4">
                        <c:v>8.0486999999999998E-8</c:v>
                      </c:pt>
                      <c:pt idx="5">
                        <c:v>3.0162000000000002E-7</c:v>
                      </c:pt>
                      <c:pt idx="6">
                        <c:v>2.4817999999999999E-5</c:v>
                      </c:pt>
                      <c:pt idx="7">
                        <c:v>5.7896999999999998E-5</c:v>
                      </c:pt>
                      <c:pt idx="8">
                        <c:v>1.1872E-4</c:v>
                      </c:pt>
                      <c:pt idx="9">
                        <c:v>2.1565000000000001E-4</c:v>
                      </c:pt>
                      <c:pt idx="10">
                        <c:v>3.4928999999999998E-4</c:v>
                      </c:pt>
                      <c:pt idx="11">
                        <c:v>5.8067999999999998E-4</c:v>
                      </c:pt>
                      <c:pt idx="12">
                        <c:v>4.0905999999999999E-4</c:v>
                      </c:pt>
                      <c:pt idx="13">
                        <c:v>2.3866999999999999E-4</c:v>
                      </c:pt>
                      <c:pt idx="14">
                        <c:v>1.1739E-4</c:v>
                      </c:pt>
                      <c:pt idx="15">
                        <c:v>5.1907000000000003E-5</c:v>
                      </c:pt>
                      <c:pt idx="16">
                        <c:v>1.5858999999999999E-6</c:v>
                      </c:pt>
                      <c:pt idx="17">
                        <c:v>7.2071999999999998E-8</c:v>
                      </c:pt>
                      <c:pt idx="18">
                        <c:v>5.4396000000000001E-9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2-63B3-4D01-BEA3-739B2EC62692}"/>
                  </c:ext>
                </c:extLst>
              </c15:ser>
            </c15:filteredScatterSeries>
            <c15:filteredScatterSeries>
              <c15:ser>
                <c:idx val="5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FLUID!$E$9</c15:sqref>
                        </c15:formulaRef>
                      </c:ext>
                    </c:extLst>
                    <c:strCache>
                      <c:ptCount val="1"/>
                      <c:pt idx="0">
                        <c:v>Se8</c:v>
                      </c:pt>
                    </c:strCache>
                  </c:strRef>
                </c:tx>
                <c:spPr>
                  <a:ln w="19050" cap="rnd">
                    <a:solidFill>
                      <a:schemeClr val="accent6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298.2</c:v>
                      </c:pt>
                      <c:pt idx="1">
                        <c:v>431.7</c:v>
                      </c:pt>
                      <c:pt idx="2">
                        <c:v>465.1</c:v>
                      </c:pt>
                      <c:pt idx="3">
                        <c:v>498.5</c:v>
                      </c:pt>
                      <c:pt idx="4">
                        <c:v>531.79999999999995</c:v>
                      </c:pt>
                      <c:pt idx="5">
                        <c:v>565.20000000000005</c:v>
                      </c:pt>
                      <c:pt idx="6">
                        <c:v>698.8</c:v>
                      </c:pt>
                      <c:pt idx="7">
                        <c:v>732.2</c:v>
                      </c:pt>
                      <c:pt idx="8">
                        <c:v>765.5</c:v>
                      </c:pt>
                      <c:pt idx="9">
                        <c:v>798.9</c:v>
                      </c:pt>
                      <c:pt idx="10">
                        <c:v>832.3</c:v>
                      </c:pt>
                      <c:pt idx="11">
                        <c:v>965.8</c:v>
                      </c:pt>
                      <c:pt idx="12">
                        <c:v>999.2</c:v>
                      </c:pt>
                      <c:pt idx="13">
                        <c:v>1033</c:v>
                      </c:pt>
                      <c:pt idx="14">
                        <c:v>1066</c:v>
                      </c:pt>
                      <c:pt idx="15">
                        <c:v>1099</c:v>
                      </c:pt>
                      <c:pt idx="16">
                        <c:v>1233</c:v>
                      </c:pt>
                      <c:pt idx="17">
                        <c:v>1366</c:v>
                      </c:pt>
                      <c:pt idx="18">
                        <c:v>1500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FLUID!$F$9:$AL$9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5.6206999999999997E-18</c:v>
                      </c:pt>
                      <c:pt idx="1">
                        <c:v>1.4855E-11</c:v>
                      </c:pt>
                      <c:pt idx="2">
                        <c:v>1.2668E-10</c:v>
                      </c:pt>
                      <c:pt idx="3">
                        <c:v>7.6573E-10</c:v>
                      </c:pt>
                      <c:pt idx="4">
                        <c:v>3.5687999999999999E-9</c:v>
                      </c:pt>
                      <c:pt idx="5">
                        <c:v>1.3825999999999999E-8</c:v>
                      </c:pt>
                      <c:pt idx="6">
                        <c:v>1.3120000000000001E-6</c:v>
                      </c:pt>
                      <c:pt idx="7">
                        <c:v>3.1472999999999999E-6</c:v>
                      </c:pt>
                      <c:pt idx="8">
                        <c:v>6.5763E-6</c:v>
                      </c:pt>
                      <c:pt idx="9">
                        <c:v>1.2055999999999999E-5</c:v>
                      </c:pt>
                      <c:pt idx="10">
                        <c:v>1.9502000000000001E-5</c:v>
                      </c:pt>
                      <c:pt idx="11">
                        <c:v>2.7330000000000001E-5</c:v>
                      </c:pt>
                      <c:pt idx="12">
                        <c:v>1.7374E-5</c:v>
                      </c:pt>
                      <c:pt idx="13">
                        <c:v>8.9414000000000005E-6</c:v>
                      </c:pt>
                      <c:pt idx="14">
                        <c:v>3.8031999999999999E-6</c:v>
                      </c:pt>
                      <c:pt idx="15">
                        <c:v>1.4384000000000001E-6</c:v>
                      </c:pt>
                      <c:pt idx="16">
                        <c:v>2.3513E-8</c:v>
                      </c:pt>
                      <c:pt idx="17">
                        <c:v>6.2489999999999998E-10</c:v>
                      </c:pt>
                      <c:pt idx="18">
                        <c:v>3.0264000000000003E-11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3-63B3-4D01-BEA3-739B2EC62692}"/>
                  </c:ext>
                </c:extLst>
              </c15:ser>
            </c15:filteredScatterSeries>
            <c15:filteredScatterSeries>
              <c15:ser>
                <c:idx val="6"/>
                <c:order val="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FLUID!$E$10</c15:sqref>
                        </c15:formulaRef>
                      </c:ext>
                    </c:extLst>
                    <c:strCache>
                      <c:ptCount val="1"/>
                      <c:pt idx="0">
                        <c:v>Se2</c:v>
                      </c:pt>
                    </c:strCache>
                  </c:strRef>
                </c:tx>
                <c:spPr>
                  <a:ln w="19050" cap="rnd">
                    <a:solidFill>
                      <a:srgbClr val="FF0000"/>
                    </a:solidFill>
                    <a:round/>
                  </a:ln>
                  <a:effectLst/>
                </c:spPr>
                <c:marker>
                  <c:symbol val="none"/>
                </c:marker>
                <c:dPt>
                  <c:idx val="15"/>
                  <c:marker>
                    <c:symbol val="none"/>
                  </c:marker>
                  <c:bubble3D val="0"/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04-63B3-4D01-BEA3-739B2EC62692}"/>
                    </c:ext>
                  </c:extLst>
                </c:dPt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298.2</c:v>
                      </c:pt>
                      <c:pt idx="1">
                        <c:v>431.7</c:v>
                      </c:pt>
                      <c:pt idx="2">
                        <c:v>465.1</c:v>
                      </c:pt>
                      <c:pt idx="3">
                        <c:v>498.5</c:v>
                      </c:pt>
                      <c:pt idx="4">
                        <c:v>531.79999999999995</c:v>
                      </c:pt>
                      <c:pt idx="5">
                        <c:v>565.20000000000005</c:v>
                      </c:pt>
                      <c:pt idx="6">
                        <c:v>698.8</c:v>
                      </c:pt>
                      <c:pt idx="7">
                        <c:v>732.2</c:v>
                      </c:pt>
                      <c:pt idx="8">
                        <c:v>765.5</c:v>
                      </c:pt>
                      <c:pt idx="9">
                        <c:v>798.9</c:v>
                      </c:pt>
                      <c:pt idx="10">
                        <c:v>832.3</c:v>
                      </c:pt>
                      <c:pt idx="11">
                        <c:v>965.8</c:v>
                      </c:pt>
                      <c:pt idx="12">
                        <c:v>999.2</c:v>
                      </c:pt>
                      <c:pt idx="13">
                        <c:v>1033</c:v>
                      </c:pt>
                      <c:pt idx="14">
                        <c:v>1066</c:v>
                      </c:pt>
                      <c:pt idx="15">
                        <c:v>1099</c:v>
                      </c:pt>
                      <c:pt idx="16">
                        <c:v>1233</c:v>
                      </c:pt>
                      <c:pt idx="17">
                        <c:v>1366</c:v>
                      </c:pt>
                      <c:pt idx="18">
                        <c:v>1500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FLUID!$F$10:$AL$10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5.9567000000000001E-18</c:v>
                      </c:pt>
                      <c:pt idx="1">
                        <c:v>1.1197E-10</c:v>
                      </c:pt>
                      <c:pt idx="2">
                        <c:v>1.5425E-9</c:v>
                      </c:pt>
                      <c:pt idx="3">
                        <c:v>1.4734E-8</c:v>
                      </c:pt>
                      <c:pt idx="4">
                        <c:v>1.0530999999999999E-7</c:v>
                      </c:pt>
                      <c:pt idx="5">
                        <c:v>5.9993000000000005E-7</c:v>
                      </c:pt>
                      <c:pt idx="6">
                        <c:v>1.4694E-4</c:v>
                      </c:pt>
                      <c:pt idx="7">
                        <c:v>4.2429000000000002E-4</c:v>
                      </c:pt>
                      <c:pt idx="8">
                        <c:v>1.0943000000000001E-3</c:v>
                      </c:pt>
                      <c:pt idx="9">
                        <c:v>2.5579000000000001E-3</c:v>
                      </c:pt>
                      <c:pt idx="10">
                        <c:v>5.4903E-3</c:v>
                      </c:pt>
                      <c:pt idx="11">
                        <c:v>5.3856000000000001E-2</c:v>
                      </c:pt>
                      <c:pt idx="12">
                        <c:v>7.6957999999999999E-2</c:v>
                      </c:pt>
                      <c:pt idx="13">
                        <c:v>0.1009</c:v>
                      </c:pt>
                      <c:pt idx="14">
                        <c:v>0.12180000000000001</c:v>
                      </c:pt>
                      <c:pt idx="15">
                        <c:v>0.13827999999999999</c:v>
                      </c:pt>
                      <c:pt idx="16">
                        <c:v>0.16958000000000001</c:v>
                      </c:pt>
                      <c:pt idx="17">
                        <c:v>0.17902000000000001</c:v>
                      </c:pt>
                      <c:pt idx="18">
                        <c:v>0.18295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5-63B3-4D01-BEA3-739B2EC62692}"/>
                  </c:ext>
                </c:extLst>
              </c15:ser>
            </c15:filteredScatterSeries>
            <c15:filteredScatterSeries>
              <c15:ser>
                <c:idx val="7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FLUID!$E$11</c15:sqref>
                        </c15:formulaRef>
                      </c:ext>
                    </c:extLst>
                    <c:strCache>
                      <c:ptCount val="1"/>
                      <c:pt idx="0">
                        <c:v>Se</c:v>
                      </c:pt>
                    </c:strCache>
                  </c:strRef>
                </c:tx>
                <c:spPr>
                  <a:ln w="19050" cap="rnd">
                    <a:solidFill>
                      <a:schemeClr val="accent2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298.2</c:v>
                      </c:pt>
                      <c:pt idx="1">
                        <c:v>431.7</c:v>
                      </c:pt>
                      <c:pt idx="2">
                        <c:v>465.1</c:v>
                      </c:pt>
                      <c:pt idx="3">
                        <c:v>498.5</c:v>
                      </c:pt>
                      <c:pt idx="4">
                        <c:v>531.79999999999995</c:v>
                      </c:pt>
                      <c:pt idx="5">
                        <c:v>565.20000000000005</c:v>
                      </c:pt>
                      <c:pt idx="6">
                        <c:v>698.8</c:v>
                      </c:pt>
                      <c:pt idx="7">
                        <c:v>732.2</c:v>
                      </c:pt>
                      <c:pt idx="8">
                        <c:v>765.5</c:v>
                      </c:pt>
                      <c:pt idx="9">
                        <c:v>798.9</c:v>
                      </c:pt>
                      <c:pt idx="10">
                        <c:v>832.3</c:v>
                      </c:pt>
                      <c:pt idx="11">
                        <c:v>965.8</c:v>
                      </c:pt>
                      <c:pt idx="12">
                        <c:v>999.2</c:v>
                      </c:pt>
                      <c:pt idx="13">
                        <c:v>1033</c:v>
                      </c:pt>
                      <c:pt idx="14">
                        <c:v>1066</c:v>
                      </c:pt>
                      <c:pt idx="15">
                        <c:v>1099</c:v>
                      </c:pt>
                      <c:pt idx="16">
                        <c:v>1233</c:v>
                      </c:pt>
                      <c:pt idx="17">
                        <c:v>1366</c:v>
                      </c:pt>
                      <c:pt idx="18">
                        <c:v>1500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FLUID!$F$11:$AL$11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6.4033E-36</c:v>
                      </c:pt>
                      <c:pt idx="1">
                        <c:v>2.5945999999999999E-23</c:v>
                      </c:pt>
                      <c:pt idx="2">
                        <c:v>2.6408000000000001E-21</c:v>
                      </c:pt>
                      <c:pt idx="3">
                        <c:v>1.4384E-19</c:v>
                      </c:pt>
                      <c:pt idx="4">
                        <c:v>4.7421000000000004E-18</c:v>
                      </c:pt>
                      <c:pt idx="5">
                        <c:v>1.0437E-16</c:v>
                      </c:pt>
                      <c:pt idx="6">
                        <c:v>1.5332999999999999E-12</c:v>
                      </c:pt>
                      <c:pt idx="7">
                        <c:v>9.8017999999999997E-12</c:v>
                      </c:pt>
                      <c:pt idx="8">
                        <c:v>5.2666000000000002E-11</c:v>
                      </c:pt>
                      <c:pt idx="9">
                        <c:v>2.4358E-10</c:v>
                      </c:pt>
                      <c:pt idx="10">
                        <c:v>9.9060000000000007E-10</c:v>
                      </c:pt>
                      <c:pt idx="11">
                        <c:v>9.6452999999999997E-8</c:v>
                      </c:pt>
                      <c:pt idx="12">
                        <c:v>2.3846999999999999E-7</c:v>
                      </c:pt>
                      <c:pt idx="13">
                        <c:v>5.384E-7</c:v>
                      </c:pt>
                      <c:pt idx="14">
                        <c:v>1.1132E-6</c:v>
                      </c:pt>
                      <c:pt idx="15">
                        <c:v>2.1393E-6</c:v>
                      </c:pt>
                      <c:pt idx="16">
                        <c:v>1.7793000000000001E-5</c:v>
                      </c:pt>
                      <c:pt idx="17">
                        <c:v>9.1658999999999998E-5</c:v>
                      </c:pt>
                      <c:pt idx="18">
                        <c:v>3.4886999999999999E-4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6-63B3-4D01-BEA3-739B2EC62692}"/>
                  </c:ext>
                </c:extLst>
              </c15:ser>
            </c15:filteredScatterSeries>
            <c15:filteredScatterSeries>
              <c15:ser>
                <c:idx val="8"/>
                <c:order val="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FLUID!$E$12</c15:sqref>
                        </c15:formulaRef>
                      </c:ext>
                    </c:extLst>
                    <c:strCache>
                      <c:ptCount val="1"/>
                      <c:pt idx="0">
                        <c:v>Ga2Se</c:v>
                      </c:pt>
                    </c:strCache>
                  </c:strRef>
                </c:tx>
                <c:spPr>
                  <a:ln w="19050" cap="rnd">
                    <a:solidFill>
                      <a:schemeClr val="accent6">
                        <a:lumMod val="75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298.2</c:v>
                      </c:pt>
                      <c:pt idx="1">
                        <c:v>431.7</c:v>
                      </c:pt>
                      <c:pt idx="2">
                        <c:v>465.1</c:v>
                      </c:pt>
                      <c:pt idx="3">
                        <c:v>498.5</c:v>
                      </c:pt>
                      <c:pt idx="4">
                        <c:v>531.79999999999995</c:v>
                      </c:pt>
                      <c:pt idx="5">
                        <c:v>565.20000000000005</c:v>
                      </c:pt>
                      <c:pt idx="6">
                        <c:v>698.8</c:v>
                      </c:pt>
                      <c:pt idx="7">
                        <c:v>732.2</c:v>
                      </c:pt>
                      <c:pt idx="8">
                        <c:v>765.5</c:v>
                      </c:pt>
                      <c:pt idx="9">
                        <c:v>798.9</c:v>
                      </c:pt>
                      <c:pt idx="10">
                        <c:v>832.3</c:v>
                      </c:pt>
                      <c:pt idx="11">
                        <c:v>965.8</c:v>
                      </c:pt>
                      <c:pt idx="12">
                        <c:v>999.2</c:v>
                      </c:pt>
                      <c:pt idx="13">
                        <c:v>1033</c:v>
                      </c:pt>
                      <c:pt idx="14">
                        <c:v>1066</c:v>
                      </c:pt>
                      <c:pt idx="15">
                        <c:v>1099</c:v>
                      </c:pt>
                      <c:pt idx="16">
                        <c:v>1233</c:v>
                      </c:pt>
                      <c:pt idx="17">
                        <c:v>1366</c:v>
                      </c:pt>
                      <c:pt idx="18">
                        <c:v>1500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FLUID!$F$12:$AL$12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2.555E-9</c:v>
                      </c:pt>
                      <c:pt idx="1">
                        <c:v>4.7712E-5</c:v>
                      </c:pt>
                      <c:pt idx="2">
                        <c:v>2.1557E-4</c:v>
                      </c:pt>
                      <c:pt idx="3">
                        <c:v>7.7851000000000005E-4</c:v>
                      </c:pt>
                      <c:pt idx="4">
                        <c:v>2.3381000000000001E-3</c:v>
                      </c:pt>
                      <c:pt idx="5">
                        <c:v>5.9845999999999996E-3</c:v>
                      </c:pt>
                      <c:pt idx="6">
                        <c:v>5.2388999999999998E-2</c:v>
                      </c:pt>
                      <c:pt idx="7">
                        <c:v>6.318E-2</c:v>
                      </c:pt>
                      <c:pt idx="8">
                        <c:v>7.1395E-2</c:v>
                      </c:pt>
                      <c:pt idx="9">
                        <c:v>7.7561000000000005E-2</c:v>
                      </c:pt>
                      <c:pt idx="10">
                        <c:v>8.2317000000000001E-2</c:v>
                      </c:pt>
                      <c:pt idx="11">
                        <c:v>9.3668000000000001E-2</c:v>
                      </c:pt>
                      <c:pt idx="12">
                        <c:v>9.5077999999999996E-2</c:v>
                      </c:pt>
                      <c:pt idx="13">
                        <c:v>9.6074000000000007E-2</c:v>
                      </c:pt>
                      <c:pt idx="14">
                        <c:v>9.6721000000000001E-2</c:v>
                      </c:pt>
                      <c:pt idx="15">
                        <c:v>9.7151000000000001E-2</c:v>
                      </c:pt>
                      <c:pt idx="16">
                        <c:v>9.7881999999999997E-2</c:v>
                      </c:pt>
                      <c:pt idx="17">
                        <c:v>9.8086999999999994E-2</c:v>
                      </c:pt>
                      <c:pt idx="18">
                        <c:v>9.8153000000000004E-2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63B3-4D01-BEA3-739B2EC62692}"/>
                  </c:ext>
                </c:extLst>
              </c15:ser>
            </c15:filteredScatterSeries>
            <c15:filteredScatterSeries>
              <c15:ser>
                <c:idx val="9"/>
                <c:order val="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FLUID!$E$13</c15:sqref>
                        </c15:formulaRef>
                      </c:ext>
                    </c:extLst>
                    <c:strCache>
                      <c:ptCount val="1"/>
                      <c:pt idx="0">
                        <c:v>Ar</c:v>
                      </c:pt>
                    </c:strCache>
                  </c:strRef>
                </c:tx>
                <c:spPr>
                  <a:ln w="19050" cap="rnd">
                    <a:solidFill>
                      <a:srgbClr val="0070C0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298.2</c:v>
                      </c:pt>
                      <c:pt idx="1">
                        <c:v>431.7</c:v>
                      </c:pt>
                      <c:pt idx="2">
                        <c:v>465.1</c:v>
                      </c:pt>
                      <c:pt idx="3">
                        <c:v>498.5</c:v>
                      </c:pt>
                      <c:pt idx="4">
                        <c:v>531.79999999999995</c:v>
                      </c:pt>
                      <c:pt idx="5">
                        <c:v>565.20000000000005</c:v>
                      </c:pt>
                      <c:pt idx="6">
                        <c:v>698.8</c:v>
                      </c:pt>
                      <c:pt idx="7">
                        <c:v>732.2</c:v>
                      </c:pt>
                      <c:pt idx="8">
                        <c:v>765.5</c:v>
                      </c:pt>
                      <c:pt idx="9">
                        <c:v>798.9</c:v>
                      </c:pt>
                      <c:pt idx="10">
                        <c:v>832.3</c:v>
                      </c:pt>
                      <c:pt idx="11">
                        <c:v>965.8</c:v>
                      </c:pt>
                      <c:pt idx="12">
                        <c:v>999.2</c:v>
                      </c:pt>
                      <c:pt idx="13">
                        <c:v>1033</c:v>
                      </c:pt>
                      <c:pt idx="14">
                        <c:v>1066</c:v>
                      </c:pt>
                      <c:pt idx="15">
                        <c:v>1099</c:v>
                      </c:pt>
                      <c:pt idx="16">
                        <c:v>1233</c:v>
                      </c:pt>
                      <c:pt idx="17">
                        <c:v>1366</c:v>
                      </c:pt>
                      <c:pt idx="18">
                        <c:v>1500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FLUID!$F$13:$AL$13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0.2</c:v>
                      </c:pt>
                      <c:pt idx="1">
                        <c:v>0.2</c:v>
                      </c:pt>
                      <c:pt idx="2">
                        <c:v>0.2</c:v>
                      </c:pt>
                      <c:pt idx="3">
                        <c:v>0.2</c:v>
                      </c:pt>
                      <c:pt idx="4">
                        <c:v>0.2</c:v>
                      </c:pt>
                      <c:pt idx="5">
                        <c:v>0.2</c:v>
                      </c:pt>
                      <c:pt idx="6">
                        <c:v>0.2</c:v>
                      </c:pt>
                      <c:pt idx="7">
                        <c:v>0.2</c:v>
                      </c:pt>
                      <c:pt idx="8">
                        <c:v>0.2</c:v>
                      </c:pt>
                      <c:pt idx="9">
                        <c:v>0.2</c:v>
                      </c:pt>
                      <c:pt idx="10">
                        <c:v>0.2</c:v>
                      </c:pt>
                      <c:pt idx="11">
                        <c:v>0.2</c:v>
                      </c:pt>
                      <c:pt idx="12">
                        <c:v>0.2</c:v>
                      </c:pt>
                      <c:pt idx="13">
                        <c:v>0.2</c:v>
                      </c:pt>
                      <c:pt idx="14">
                        <c:v>0.2</c:v>
                      </c:pt>
                      <c:pt idx="15">
                        <c:v>0.2</c:v>
                      </c:pt>
                      <c:pt idx="16">
                        <c:v>0.2</c:v>
                      </c:pt>
                      <c:pt idx="17">
                        <c:v>0.2</c:v>
                      </c:pt>
                      <c:pt idx="18">
                        <c:v>0.2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63B3-4D01-BEA3-739B2EC62692}"/>
                  </c:ext>
                </c:extLst>
              </c15:ser>
            </c15:filteredScatterSeries>
            <c15:filteredScatterSeries>
              <c15:ser>
                <c:idx val="13"/>
                <c:order val="1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FLUID!$E$17</c15:sqref>
                        </c15:formulaRef>
                      </c:ext>
                    </c:extLst>
                    <c:strCache>
                      <c:ptCount val="1"/>
                      <c:pt idx="0">
                        <c:v>H (Аг)</c:v>
                      </c:pt>
                    </c:strCache>
                  </c:strRef>
                </c:tx>
                <c:spPr>
                  <a:ln w="19050" cap="rnd">
                    <a:solidFill>
                      <a:schemeClr val="accent2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298.2</c:v>
                      </c:pt>
                      <c:pt idx="1">
                        <c:v>431.7</c:v>
                      </c:pt>
                      <c:pt idx="2">
                        <c:v>465.1</c:v>
                      </c:pt>
                      <c:pt idx="3">
                        <c:v>498.5</c:v>
                      </c:pt>
                      <c:pt idx="4">
                        <c:v>531.79999999999995</c:v>
                      </c:pt>
                      <c:pt idx="5">
                        <c:v>565.20000000000005</c:v>
                      </c:pt>
                      <c:pt idx="6">
                        <c:v>698.8</c:v>
                      </c:pt>
                      <c:pt idx="7">
                        <c:v>732.2</c:v>
                      </c:pt>
                      <c:pt idx="8">
                        <c:v>765.5</c:v>
                      </c:pt>
                      <c:pt idx="9">
                        <c:v>798.9</c:v>
                      </c:pt>
                      <c:pt idx="10">
                        <c:v>832.3</c:v>
                      </c:pt>
                      <c:pt idx="11">
                        <c:v>965.8</c:v>
                      </c:pt>
                      <c:pt idx="12">
                        <c:v>999.2</c:v>
                      </c:pt>
                      <c:pt idx="13">
                        <c:v>1033</c:v>
                      </c:pt>
                      <c:pt idx="14">
                        <c:v>1066</c:v>
                      </c:pt>
                      <c:pt idx="15">
                        <c:v>1099</c:v>
                      </c:pt>
                      <c:pt idx="16">
                        <c:v>1233</c:v>
                      </c:pt>
                      <c:pt idx="17">
                        <c:v>1366</c:v>
                      </c:pt>
                      <c:pt idx="18">
                        <c:v>1500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FLUID!$F$17:$AL$17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-18.61</c:v>
                      </c:pt>
                      <c:pt idx="1">
                        <c:v>-18.760000000000002</c:v>
                      </c:pt>
                      <c:pt idx="2">
                        <c:v>-18.829999999999998</c:v>
                      </c:pt>
                      <c:pt idx="3">
                        <c:v>-18.899999999999999</c:v>
                      </c:pt>
                      <c:pt idx="4">
                        <c:v>-18.97</c:v>
                      </c:pt>
                      <c:pt idx="5">
                        <c:v>-19.059999999999999</c:v>
                      </c:pt>
                      <c:pt idx="6">
                        <c:v>-19.54</c:v>
                      </c:pt>
                      <c:pt idx="7">
                        <c:v>-19.649999999999999</c:v>
                      </c:pt>
                      <c:pt idx="8">
                        <c:v>-19.760000000000002</c:v>
                      </c:pt>
                      <c:pt idx="9">
                        <c:v>-19.850000000000001</c:v>
                      </c:pt>
                      <c:pt idx="10">
                        <c:v>-19.95</c:v>
                      </c:pt>
                      <c:pt idx="11">
                        <c:v>-20.420000000000002</c:v>
                      </c:pt>
                      <c:pt idx="12">
                        <c:v>-20.54</c:v>
                      </c:pt>
                      <c:pt idx="13">
                        <c:v>-20.66</c:v>
                      </c:pt>
                      <c:pt idx="14">
                        <c:v>-20.76</c:v>
                      </c:pt>
                      <c:pt idx="15">
                        <c:v>-20.85</c:v>
                      </c:pt>
                      <c:pt idx="16">
                        <c:v>-21.12</c:v>
                      </c:pt>
                      <c:pt idx="17">
                        <c:v>-21.34</c:v>
                      </c:pt>
                      <c:pt idx="18">
                        <c:v>-21.53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C-63B3-4D01-BEA3-739B2EC62692}"/>
                  </c:ext>
                </c:extLst>
              </c15:ser>
            </c15:filteredScatterSeries>
            <c15:filteredScatterSeries>
              <c15:ser>
                <c:idx val="14"/>
                <c:order val="1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FLUID!$E$18</c15:sqref>
                        </c15:formulaRef>
                      </c:ext>
                    </c:extLst>
                    <c:strCache>
                      <c:ptCount val="1"/>
                      <c:pt idx="0">
                        <c:v>H (Ga)</c:v>
                      </c:pt>
                    </c:strCache>
                  </c:strRef>
                </c:tx>
                <c:spPr>
                  <a:ln w="19050" cap="rnd">
                    <a:solidFill>
                      <a:schemeClr val="accent3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298.2</c:v>
                      </c:pt>
                      <c:pt idx="1">
                        <c:v>431.7</c:v>
                      </c:pt>
                      <c:pt idx="2">
                        <c:v>465.1</c:v>
                      </c:pt>
                      <c:pt idx="3">
                        <c:v>498.5</c:v>
                      </c:pt>
                      <c:pt idx="4">
                        <c:v>531.79999999999995</c:v>
                      </c:pt>
                      <c:pt idx="5">
                        <c:v>565.20000000000005</c:v>
                      </c:pt>
                      <c:pt idx="6">
                        <c:v>698.8</c:v>
                      </c:pt>
                      <c:pt idx="7">
                        <c:v>732.2</c:v>
                      </c:pt>
                      <c:pt idx="8">
                        <c:v>765.5</c:v>
                      </c:pt>
                      <c:pt idx="9">
                        <c:v>798.9</c:v>
                      </c:pt>
                      <c:pt idx="10">
                        <c:v>832.3</c:v>
                      </c:pt>
                      <c:pt idx="11">
                        <c:v>965.8</c:v>
                      </c:pt>
                      <c:pt idx="12">
                        <c:v>999.2</c:v>
                      </c:pt>
                      <c:pt idx="13">
                        <c:v>1033</c:v>
                      </c:pt>
                      <c:pt idx="14">
                        <c:v>1066</c:v>
                      </c:pt>
                      <c:pt idx="15">
                        <c:v>1099</c:v>
                      </c:pt>
                      <c:pt idx="16">
                        <c:v>1233</c:v>
                      </c:pt>
                      <c:pt idx="17">
                        <c:v>1366</c:v>
                      </c:pt>
                      <c:pt idx="18">
                        <c:v>1500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FLUID!$F$18:$AL$18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-6.2460000000000004</c:v>
                      </c:pt>
                      <c:pt idx="1">
                        <c:v>-7.1479999999999997</c:v>
                      </c:pt>
                      <c:pt idx="2">
                        <c:v>-7.3440000000000003</c:v>
                      </c:pt>
                      <c:pt idx="3">
                        <c:v>-7.5309999999999997</c:v>
                      </c:pt>
                      <c:pt idx="4">
                        <c:v>-7.7160000000000002</c:v>
                      </c:pt>
                      <c:pt idx="5">
                        <c:v>-7.907</c:v>
                      </c:pt>
                      <c:pt idx="6">
                        <c:v>-8.98</c:v>
                      </c:pt>
                      <c:pt idx="7">
                        <c:v>-9.3170000000000002</c:v>
                      </c:pt>
                      <c:pt idx="8">
                        <c:v>-9.6470000000000002</c:v>
                      </c:pt>
                      <c:pt idx="9">
                        <c:v>-9.9629999999999992</c:v>
                      </c:pt>
                      <c:pt idx="10">
                        <c:v>-10.26</c:v>
                      </c:pt>
                      <c:pt idx="11">
                        <c:v>-11.28</c:v>
                      </c:pt>
                      <c:pt idx="12">
                        <c:v>-11.49</c:v>
                      </c:pt>
                      <c:pt idx="13">
                        <c:v>-11.66</c:v>
                      </c:pt>
                      <c:pt idx="14">
                        <c:v>-11.81</c:v>
                      </c:pt>
                      <c:pt idx="15">
                        <c:v>-11.94</c:v>
                      </c:pt>
                      <c:pt idx="16">
                        <c:v>-12.34</c:v>
                      </c:pt>
                      <c:pt idx="17">
                        <c:v>-12.65</c:v>
                      </c:pt>
                      <c:pt idx="18">
                        <c:v>-12.92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D-63B3-4D01-BEA3-739B2EC62692}"/>
                  </c:ext>
                </c:extLst>
              </c15:ser>
            </c15:filteredScatterSeries>
            <c15:filteredScatterSeries>
              <c15:ser>
                <c:idx val="15"/>
                <c:order val="1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FLUID!$E$19</c15:sqref>
                        </c15:formulaRef>
                      </c:ext>
                    </c:extLst>
                    <c:strCache>
                      <c:ptCount val="1"/>
                      <c:pt idx="0">
                        <c:v>H (Ge)</c:v>
                      </c:pt>
                    </c:strCache>
                  </c:strRef>
                </c:tx>
                <c:spPr>
                  <a:ln w="19050" cap="rnd">
                    <a:solidFill>
                      <a:schemeClr val="accent4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298.2</c:v>
                      </c:pt>
                      <c:pt idx="1">
                        <c:v>431.7</c:v>
                      </c:pt>
                      <c:pt idx="2">
                        <c:v>465.1</c:v>
                      </c:pt>
                      <c:pt idx="3">
                        <c:v>498.5</c:v>
                      </c:pt>
                      <c:pt idx="4">
                        <c:v>531.79999999999995</c:v>
                      </c:pt>
                      <c:pt idx="5">
                        <c:v>565.20000000000005</c:v>
                      </c:pt>
                      <c:pt idx="6">
                        <c:v>698.8</c:v>
                      </c:pt>
                      <c:pt idx="7">
                        <c:v>732.2</c:v>
                      </c:pt>
                      <c:pt idx="8">
                        <c:v>765.5</c:v>
                      </c:pt>
                      <c:pt idx="9">
                        <c:v>798.9</c:v>
                      </c:pt>
                      <c:pt idx="10">
                        <c:v>832.3</c:v>
                      </c:pt>
                      <c:pt idx="11">
                        <c:v>965.8</c:v>
                      </c:pt>
                      <c:pt idx="12">
                        <c:v>999.2</c:v>
                      </c:pt>
                      <c:pt idx="13">
                        <c:v>1033</c:v>
                      </c:pt>
                      <c:pt idx="14">
                        <c:v>1066</c:v>
                      </c:pt>
                      <c:pt idx="15">
                        <c:v>1099</c:v>
                      </c:pt>
                      <c:pt idx="16">
                        <c:v>1233</c:v>
                      </c:pt>
                      <c:pt idx="17">
                        <c:v>1366</c:v>
                      </c:pt>
                      <c:pt idx="18">
                        <c:v>1500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FLUID!$F$19:$AL$19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5.367</c:v>
                      </c:pt>
                      <c:pt idx="1">
                        <c:v>0.73660000000000003</c:v>
                      </c:pt>
                      <c:pt idx="2">
                        <c:v>-5.534E-2</c:v>
                      </c:pt>
                      <c:pt idx="3">
                        <c:v>-0.75560000000000005</c:v>
                      </c:pt>
                      <c:pt idx="4">
                        <c:v>-1.3779999999999999</c:v>
                      </c:pt>
                      <c:pt idx="5">
                        <c:v>-1.93</c:v>
                      </c:pt>
                      <c:pt idx="6">
                        <c:v>-3.5449999999999999</c:v>
                      </c:pt>
                      <c:pt idx="7">
                        <c:v>-3.8580000000000001</c:v>
                      </c:pt>
                      <c:pt idx="8">
                        <c:v>-4.1520000000000001</c:v>
                      </c:pt>
                      <c:pt idx="9">
                        <c:v>-4.423</c:v>
                      </c:pt>
                      <c:pt idx="10">
                        <c:v>-4.6680000000000001</c:v>
                      </c:pt>
                      <c:pt idx="11">
                        <c:v>-5.2690000000000001</c:v>
                      </c:pt>
                      <c:pt idx="12">
                        <c:v>-5.3449999999999998</c:v>
                      </c:pt>
                      <c:pt idx="13">
                        <c:v>-5.4130000000000003</c:v>
                      </c:pt>
                      <c:pt idx="14">
                        <c:v>-5.4939999999999998</c:v>
                      </c:pt>
                      <c:pt idx="15">
                        <c:v>-5.5880000000000001</c:v>
                      </c:pt>
                      <c:pt idx="16">
                        <c:v>-6.0519999999999996</c:v>
                      </c:pt>
                      <c:pt idx="17">
                        <c:v>-6.5549999999999997</c:v>
                      </c:pt>
                      <c:pt idx="18">
                        <c:v>-7.0309999999999997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3-63B3-4D01-BEA3-739B2EC62692}"/>
                  </c:ext>
                </c:extLst>
              </c15:ser>
            </c15:filteredScatterSeries>
            <c15:filteredScatterSeries>
              <c15:ser>
                <c:idx val="16"/>
                <c:order val="1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FLUID!$E$20</c15:sqref>
                        </c15:formulaRef>
                      </c:ext>
                    </c:extLst>
                    <c:strCache>
                      <c:ptCount val="1"/>
                      <c:pt idx="0">
                        <c:v>H (Se)</c:v>
                      </c:pt>
                    </c:strCache>
                  </c:strRef>
                </c:tx>
                <c:spPr>
                  <a:ln w="19050" cap="rnd">
                    <a:solidFill>
                      <a:schemeClr val="accent5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298.2</c:v>
                      </c:pt>
                      <c:pt idx="1">
                        <c:v>431.7</c:v>
                      </c:pt>
                      <c:pt idx="2">
                        <c:v>465.1</c:v>
                      </c:pt>
                      <c:pt idx="3">
                        <c:v>498.5</c:v>
                      </c:pt>
                      <c:pt idx="4">
                        <c:v>531.79999999999995</c:v>
                      </c:pt>
                      <c:pt idx="5">
                        <c:v>565.20000000000005</c:v>
                      </c:pt>
                      <c:pt idx="6">
                        <c:v>698.8</c:v>
                      </c:pt>
                      <c:pt idx="7">
                        <c:v>732.2</c:v>
                      </c:pt>
                      <c:pt idx="8">
                        <c:v>765.5</c:v>
                      </c:pt>
                      <c:pt idx="9">
                        <c:v>798.9</c:v>
                      </c:pt>
                      <c:pt idx="10">
                        <c:v>832.3</c:v>
                      </c:pt>
                      <c:pt idx="11">
                        <c:v>965.8</c:v>
                      </c:pt>
                      <c:pt idx="12">
                        <c:v>999.2</c:v>
                      </c:pt>
                      <c:pt idx="13">
                        <c:v>1033</c:v>
                      </c:pt>
                      <c:pt idx="14">
                        <c:v>1066</c:v>
                      </c:pt>
                      <c:pt idx="15">
                        <c:v>1099</c:v>
                      </c:pt>
                      <c:pt idx="16">
                        <c:v>1233</c:v>
                      </c:pt>
                      <c:pt idx="17">
                        <c:v>1366</c:v>
                      </c:pt>
                      <c:pt idx="18">
                        <c:v>1500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FLUID!$F$20:$AL$20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-4.8239999999999998</c:v>
                      </c:pt>
                      <c:pt idx="1">
                        <c:v>-5.5949999999999998</c:v>
                      </c:pt>
                      <c:pt idx="2">
                        <c:v>-5.7880000000000003</c:v>
                      </c:pt>
                      <c:pt idx="3">
                        <c:v>-5.9749999999999996</c:v>
                      </c:pt>
                      <c:pt idx="4">
                        <c:v>-6.1550000000000002</c:v>
                      </c:pt>
                      <c:pt idx="5">
                        <c:v>-6.3259999999999996</c:v>
                      </c:pt>
                      <c:pt idx="6">
                        <c:v>-6.8819999999999997</c:v>
                      </c:pt>
                      <c:pt idx="7">
                        <c:v>-7.0060000000000002</c:v>
                      </c:pt>
                      <c:pt idx="8">
                        <c:v>-7.1319999999999997</c:v>
                      </c:pt>
                      <c:pt idx="9">
                        <c:v>-7.2610000000000001</c:v>
                      </c:pt>
                      <c:pt idx="10">
                        <c:v>-7.3940000000000001</c:v>
                      </c:pt>
                      <c:pt idx="11">
                        <c:v>-8.0410000000000004</c:v>
                      </c:pt>
                      <c:pt idx="12">
                        <c:v>-8.2520000000000007</c:v>
                      </c:pt>
                      <c:pt idx="13">
                        <c:v>-8.4819999999999993</c:v>
                      </c:pt>
                      <c:pt idx="14">
                        <c:v>-8.7279999999999998</c:v>
                      </c:pt>
                      <c:pt idx="15">
                        <c:v>-8.9819999999999993</c:v>
                      </c:pt>
                      <c:pt idx="16">
                        <c:v>-9.968</c:v>
                      </c:pt>
                      <c:pt idx="17">
                        <c:v>-10.83</c:v>
                      </c:pt>
                      <c:pt idx="18">
                        <c:v>-11.56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4-63B3-4D01-BEA3-739B2EC62692}"/>
                  </c:ext>
                </c:extLst>
              </c15:ser>
            </c15:filteredScatterSeries>
            <c15:filteredScatterSeries>
              <c15:ser>
                <c:idx val="17"/>
                <c:order val="1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FLUID!$E$21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6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298.2</c:v>
                      </c:pt>
                      <c:pt idx="1">
                        <c:v>431.7</c:v>
                      </c:pt>
                      <c:pt idx="2">
                        <c:v>465.1</c:v>
                      </c:pt>
                      <c:pt idx="3">
                        <c:v>498.5</c:v>
                      </c:pt>
                      <c:pt idx="4">
                        <c:v>531.79999999999995</c:v>
                      </c:pt>
                      <c:pt idx="5">
                        <c:v>565.20000000000005</c:v>
                      </c:pt>
                      <c:pt idx="6">
                        <c:v>698.8</c:v>
                      </c:pt>
                      <c:pt idx="7">
                        <c:v>732.2</c:v>
                      </c:pt>
                      <c:pt idx="8">
                        <c:v>765.5</c:v>
                      </c:pt>
                      <c:pt idx="9">
                        <c:v>798.9</c:v>
                      </c:pt>
                      <c:pt idx="10">
                        <c:v>832.3</c:v>
                      </c:pt>
                      <c:pt idx="11">
                        <c:v>965.8</c:v>
                      </c:pt>
                      <c:pt idx="12">
                        <c:v>999.2</c:v>
                      </c:pt>
                      <c:pt idx="13">
                        <c:v>1033</c:v>
                      </c:pt>
                      <c:pt idx="14">
                        <c:v>1066</c:v>
                      </c:pt>
                      <c:pt idx="15">
                        <c:v>1099</c:v>
                      </c:pt>
                      <c:pt idx="16">
                        <c:v>1233</c:v>
                      </c:pt>
                      <c:pt idx="17">
                        <c:v>1366</c:v>
                      </c:pt>
                      <c:pt idx="18">
                        <c:v>1500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FLUID!$F$21:$AL$21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5-63B3-4D01-BEA3-739B2EC62692}"/>
                  </c:ext>
                </c:extLst>
              </c15:ser>
            </c15:filteredScatterSeries>
            <c15:filteredScatterSeries>
              <c15:ser>
                <c:idx val="18"/>
                <c:order val="1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FLUID!$E$22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1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298.2</c:v>
                      </c:pt>
                      <c:pt idx="1">
                        <c:v>431.7</c:v>
                      </c:pt>
                      <c:pt idx="2">
                        <c:v>465.1</c:v>
                      </c:pt>
                      <c:pt idx="3">
                        <c:v>498.5</c:v>
                      </c:pt>
                      <c:pt idx="4">
                        <c:v>531.79999999999995</c:v>
                      </c:pt>
                      <c:pt idx="5">
                        <c:v>565.20000000000005</c:v>
                      </c:pt>
                      <c:pt idx="6">
                        <c:v>698.8</c:v>
                      </c:pt>
                      <c:pt idx="7">
                        <c:v>732.2</c:v>
                      </c:pt>
                      <c:pt idx="8">
                        <c:v>765.5</c:v>
                      </c:pt>
                      <c:pt idx="9">
                        <c:v>798.9</c:v>
                      </c:pt>
                      <c:pt idx="10">
                        <c:v>832.3</c:v>
                      </c:pt>
                      <c:pt idx="11">
                        <c:v>965.8</c:v>
                      </c:pt>
                      <c:pt idx="12">
                        <c:v>999.2</c:v>
                      </c:pt>
                      <c:pt idx="13">
                        <c:v>1033</c:v>
                      </c:pt>
                      <c:pt idx="14">
                        <c:v>1066</c:v>
                      </c:pt>
                      <c:pt idx="15">
                        <c:v>1099</c:v>
                      </c:pt>
                      <c:pt idx="16">
                        <c:v>1233</c:v>
                      </c:pt>
                      <c:pt idx="17">
                        <c:v>1366</c:v>
                      </c:pt>
                      <c:pt idx="18">
                        <c:v>1500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FLUID!$F$22:$AL$22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6-63B3-4D01-BEA3-739B2EC62692}"/>
                  </c:ext>
                </c:extLst>
              </c15:ser>
            </c15:filteredScatterSeries>
            <c15:filteredScatterSeries>
              <c15:ser>
                <c:idx val="19"/>
                <c:order val="1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FLUID!$E$23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2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298.2</c:v>
                      </c:pt>
                      <c:pt idx="1">
                        <c:v>431.7</c:v>
                      </c:pt>
                      <c:pt idx="2">
                        <c:v>465.1</c:v>
                      </c:pt>
                      <c:pt idx="3">
                        <c:v>498.5</c:v>
                      </c:pt>
                      <c:pt idx="4">
                        <c:v>531.79999999999995</c:v>
                      </c:pt>
                      <c:pt idx="5">
                        <c:v>565.20000000000005</c:v>
                      </c:pt>
                      <c:pt idx="6">
                        <c:v>698.8</c:v>
                      </c:pt>
                      <c:pt idx="7">
                        <c:v>732.2</c:v>
                      </c:pt>
                      <c:pt idx="8">
                        <c:v>765.5</c:v>
                      </c:pt>
                      <c:pt idx="9">
                        <c:v>798.9</c:v>
                      </c:pt>
                      <c:pt idx="10">
                        <c:v>832.3</c:v>
                      </c:pt>
                      <c:pt idx="11">
                        <c:v>965.8</c:v>
                      </c:pt>
                      <c:pt idx="12">
                        <c:v>999.2</c:v>
                      </c:pt>
                      <c:pt idx="13">
                        <c:v>1033</c:v>
                      </c:pt>
                      <c:pt idx="14">
                        <c:v>1066</c:v>
                      </c:pt>
                      <c:pt idx="15">
                        <c:v>1099</c:v>
                      </c:pt>
                      <c:pt idx="16">
                        <c:v>1233</c:v>
                      </c:pt>
                      <c:pt idx="17">
                        <c:v>1366</c:v>
                      </c:pt>
                      <c:pt idx="18">
                        <c:v>1500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FLUID!$F$23:$AL$23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7-63B3-4D01-BEA3-739B2EC62692}"/>
                  </c:ext>
                </c:extLst>
              </c15:ser>
            </c15:filteredScatterSeries>
            <c15:filteredScatterSeries>
              <c15:ser>
                <c:idx val="20"/>
                <c:order val="2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FLUID!$E$24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3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298.2</c:v>
                      </c:pt>
                      <c:pt idx="1">
                        <c:v>431.7</c:v>
                      </c:pt>
                      <c:pt idx="2">
                        <c:v>465.1</c:v>
                      </c:pt>
                      <c:pt idx="3">
                        <c:v>498.5</c:v>
                      </c:pt>
                      <c:pt idx="4">
                        <c:v>531.79999999999995</c:v>
                      </c:pt>
                      <c:pt idx="5">
                        <c:v>565.20000000000005</c:v>
                      </c:pt>
                      <c:pt idx="6">
                        <c:v>698.8</c:v>
                      </c:pt>
                      <c:pt idx="7">
                        <c:v>732.2</c:v>
                      </c:pt>
                      <c:pt idx="8">
                        <c:v>765.5</c:v>
                      </c:pt>
                      <c:pt idx="9">
                        <c:v>798.9</c:v>
                      </c:pt>
                      <c:pt idx="10">
                        <c:v>832.3</c:v>
                      </c:pt>
                      <c:pt idx="11">
                        <c:v>965.8</c:v>
                      </c:pt>
                      <c:pt idx="12">
                        <c:v>999.2</c:v>
                      </c:pt>
                      <c:pt idx="13">
                        <c:v>1033</c:v>
                      </c:pt>
                      <c:pt idx="14">
                        <c:v>1066</c:v>
                      </c:pt>
                      <c:pt idx="15">
                        <c:v>1099</c:v>
                      </c:pt>
                      <c:pt idx="16">
                        <c:v>1233</c:v>
                      </c:pt>
                      <c:pt idx="17">
                        <c:v>1366</c:v>
                      </c:pt>
                      <c:pt idx="18">
                        <c:v>1500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FLUID!$F$24:$AL$24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8-63B3-4D01-BEA3-739B2EC62692}"/>
                  </c:ext>
                </c:extLst>
              </c15:ser>
            </c15:filteredScatterSeries>
            <c15:filteredScatterSeries>
              <c15:ser>
                <c:idx val="21"/>
                <c:order val="2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FLUID!$E$25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4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298.2</c:v>
                      </c:pt>
                      <c:pt idx="1">
                        <c:v>431.7</c:v>
                      </c:pt>
                      <c:pt idx="2">
                        <c:v>465.1</c:v>
                      </c:pt>
                      <c:pt idx="3">
                        <c:v>498.5</c:v>
                      </c:pt>
                      <c:pt idx="4">
                        <c:v>531.79999999999995</c:v>
                      </c:pt>
                      <c:pt idx="5">
                        <c:v>565.20000000000005</c:v>
                      </c:pt>
                      <c:pt idx="6">
                        <c:v>698.8</c:v>
                      </c:pt>
                      <c:pt idx="7">
                        <c:v>732.2</c:v>
                      </c:pt>
                      <c:pt idx="8">
                        <c:v>765.5</c:v>
                      </c:pt>
                      <c:pt idx="9">
                        <c:v>798.9</c:v>
                      </c:pt>
                      <c:pt idx="10">
                        <c:v>832.3</c:v>
                      </c:pt>
                      <c:pt idx="11">
                        <c:v>965.8</c:v>
                      </c:pt>
                      <c:pt idx="12">
                        <c:v>999.2</c:v>
                      </c:pt>
                      <c:pt idx="13">
                        <c:v>1033</c:v>
                      </c:pt>
                      <c:pt idx="14">
                        <c:v>1066</c:v>
                      </c:pt>
                      <c:pt idx="15">
                        <c:v>1099</c:v>
                      </c:pt>
                      <c:pt idx="16">
                        <c:v>1233</c:v>
                      </c:pt>
                      <c:pt idx="17">
                        <c:v>1366</c:v>
                      </c:pt>
                      <c:pt idx="18">
                        <c:v>1500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FLUID!$F$25:$AL$25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9-63B3-4D01-BEA3-739B2EC62692}"/>
                  </c:ext>
                </c:extLst>
              </c15:ser>
            </c15:filteredScatterSeries>
            <c15:filteredScatterSeries>
              <c15:ser>
                <c:idx val="22"/>
                <c:order val="2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FLUID!$E$26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5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298.2</c:v>
                      </c:pt>
                      <c:pt idx="1">
                        <c:v>431.7</c:v>
                      </c:pt>
                      <c:pt idx="2">
                        <c:v>465.1</c:v>
                      </c:pt>
                      <c:pt idx="3">
                        <c:v>498.5</c:v>
                      </c:pt>
                      <c:pt idx="4">
                        <c:v>531.79999999999995</c:v>
                      </c:pt>
                      <c:pt idx="5">
                        <c:v>565.20000000000005</c:v>
                      </c:pt>
                      <c:pt idx="6">
                        <c:v>698.8</c:v>
                      </c:pt>
                      <c:pt idx="7">
                        <c:v>732.2</c:v>
                      </c:pt>
                      <c:pt idx="8">
                        <c:v>765.5</c:v>
                      </c:pt>
                      <c:pt idx="9">
                        <c:v>798.9</c:v>
                      </c:pt>
                      <c:pt idx="10">
                        <c:v>832.3</c:v>
                      </c:pt>
                      <c:pt idx="11">
                        <c:v>965.8</c:v>
                      </c:pt>
                      <c:pt idx="12">
                        <c:v>999.2</c:v>
                      </c:pt>
                      <c:pt idx="13">
                        <c:v>1033</c:v>
                      </c:pt>
                      <c:pt idx="14">
                        <c:v>1066</c:v>
                      </c:pt>
                      <c:pt idx="15">
                        <c:v>1099</c:v>
                      </c:pt>
                      <c:pt idx="16">
                        <c:v>1233</c:v>
                      </c:pt>
                      <c:pt idx="17">
                        <c:v>1366</c:v>
                      </c:pt>
                      <c:pt idx="18">
                        <c:v>1500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FLUID!$F$26:$AL$26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A-63B3-4D01-BEA3-739B2EC62692}"/>
                  </c:ext>
                </c:extLst>
              </c15:ser>
            </c15:filteredScatterSeries>
            <c15:filteredScatterSeries>
              <c15:ser>
                <c:idx val="23"/>
                <c:order val="2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FLUID!$E$27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6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298.2</c:v>
                      </c:pt>
                      <c:pt idx="1">
                        <c:v>431.7</c:v>
                      </c:pt>
                      <c:pt idx="2">
                        <c:v>465.1</c:v>
                      </c:pt>
                      <c:pt idx="3">
                        <c:v>498.5</c:v>
                      </c:pt>
                      <c:pt idx="4">
                        <c:v>531.79999999999995</c:v>
                      </c:pt>
                      <c:pt idx="5">
                        <c:v>565.20000000000005</c:v>
                      </c:pt>
                      <c:pt idx="6">
                        <c:v>698.8</c:v>
                      </c:pt>
                      <c:pt idx="7">
                        <c:v>732.2</c:v>
                      </c:pt>
                      <c:pt idx="8">
                        <c:v>765.5</c:v>
                      </c:pt>
                      <c:pt idx="9">
                        <c:v>798.9</c:v>
                      </c:pt>
                      <c:pt idx="10">
                        <c:v>832.3</c:v>
                      </c:pt>
                      <c:pt idx="11">
                        <c:v>965.8</c:v>
                      </c:pt>
                      <c:pt idx="12">
                        <c:v>999.2</c:v>
                      </c:pt>
                      <c:pt idx="13">
                        <c:v>1033</c:v>
                      </c:pt>
                      <c:pt idx="14">
                        <c:v>1066</c:v>
                      </c:pt>
                      <c:pt idx="15">
                        <c:v>1099</c:v>
                      </c:pt>
                      <c:pt idx="16">
                        <c:v>1233</c:v>
                      </c:pt>
                      <c:pt idx="17">
                        <c:v>1366</c:v>
                      </c:pt>
                      <c:pt idx="18">
                        <c:v>1500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FLUID!$F$27:$AL$27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B-63B3-4D01-BEA3-739B2EC62692}"/>
                  </c:ext>
                </c:extLst>
              </c15:ser>
            </c15:filteredScatterSeries>
            <c15:filteredScatterSeries>
              <c15:ser>
                <c:idx val="24"/>
                <c:order val="2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FLUID!$E$28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1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298.2</c:v>
                      </c:pt>
                      <c:pt idx="1">
                        <c:v>431.7</c:v>
                      </c:pt>
                      <c:pt idx="2">
                        <c:v>465.1</c:v>
                      </c:pt>
                      <c:pt idx="3">
                        <c:v>498.5</c:v>
                      </c:pt>
                      <c:pt idx="4">
                        <c:v>531.79999999999995</c:v>
                      </c:pt>
                      <c:pt idx="5">
                        <c:v>565.20000000000005</c:v>
                      </c:pt>
                      <c:pt idx="6">
                        <c:v>698.8</c:v>
                      </c:pt>
                      <c:pt idx="7">
                        <c:v>732.2</c:v>
                      </c:pt>
                      <c:pt idx="8">
                        <c:v>765.5</c:v>
                      </c:pt>
                      <c:pt idx="9">
                        <c:v>798.9</c:v>
                      </c:pt>
                      <c:pt idx="10">
                        <c:v>832.3</c:v>
                      </c:pt>
                      <c:pt idx="11">
                        <c:v>965.8</c:v>
                      </c:pt>
                      <c:pt idx="12">
                        <c:v>999.2</c:v>
                      </c:pt>
                      <c:pt idx="13">
                        <c:v>1033</c:v>
                      </c:pt>
                      <c:pt idx="14">
                        <c:v>1066</c:v>
                      </c:pt>
                      <c:pt idx="15">
                        <c:v>1099</c:v>
                      </c:pt>
                      <c:pt idx="16">
                        <c:v>1233</c:v>
                      </c:pt>
                      <c:pt idx="17">
                        <c:v>1366</c:v>
                      </c:pt>
                      <c:pt idx="18">
                        <c:v>1500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FLUID!$F$28:$AL$28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C-63B3-4D01-BEA3-739B2EC62692}"/>
                  </c:ext>
                </c:extLst>
              </c15:ser>
            </c15:filteredScatterSeries>
            <c15:filteredScatterSeries>
              <c15:ser>
                <c:idx val="25"/>
                <c:order val="2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FLUID!$E$29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2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298.2</c:v>
                      </c:pt>
                      <c:pt idx="1">
                        <c:v>431.7</c:v>
                      </c:pt>
                      <c:pt idx="2">
                        <c:v>465.1</c:v>
                      </c:pt>
                      <c:pt idx="3">
                        <c:v>498.5</c:v>
                      </c:pt>
                      <c:pt idx="4">
                        <c:v>531.79999999999995</c:v>
                      </c:pt>
                      <c:pt idx="5">
                        <c:v>565.20000000000005</c:v>
                      </c:pt>
                      <c:pt idx="6">
                        <c:v>698.8</c:v>
                      </c:pt>
                      <c:pt idx="7">
                        <c:v>732.2</c:v>
                      </c:pt>
                      <c:pt idx="8">
                        <c:v>765.5</c:v>
                      </c:pt>
                      <c:pt idx="9">
                        <c:v>798.9</c:v>
                      </c:pt>
                      <c:pt idx="10">
                        <c:v>832.3</c:v>
                      </c:pt>
                      <c:pt idx="11">
                        <c:v>965.8</c:v>
                      </c:pt>
                      <c:pt idx="12">
                        <c:v>999.2</c:v>
                      </c:pt>
                      <c:pt idx="13">
                        <c:v>1033</c:v>
                      </c:pt>
                      <c:pt idx="14">
                        <c:v>1066</c:v>
                      </c:pt>
                      <c:pt idx="15">
                        <c:v>1099</c:v>
                      </c:pt>
                      <c:pt idx="16">
                        <c:v>1233</c:v>
                      </c:pt>
                      <c:pt idx="17">
                        <c:v>1366</c:v>
                      </c:pt>
                      <c:pt idx="18">
                        <c:v>1500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FLUID!$F$29:$AL$29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D-63B3-4D01-BEA3-739B2EC62692}"/>
                  </c:ext>
                </c:extLst>
              </c15:ser>
            </c15:filteredScatterSeries>
            <c15:filteredScatterSeries>
              <c15:ser>
                <c:idx val="26"/>
                <c:order val="2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FLUID!$E$30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3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298.2</c:v>
                      </c:pt>
                      <c:pt idx="1">
                        <c:v>431.7</c:v>
                      </c:pt>
                      <c:pt idx="2">
                        <c:v>465.1</c:v>
                      </c:pt>
                      <c:pt idx="3">
                        <c:v>498.5</c:v>
                      </c:pt>
                      <c:pt idx="4">
                        <c:v>531.79999999999995</c:v>
                      </c:pt>
                      <c:pt idx="5">
                        <c:v>565.20000000000005</c:v>
                      </c:pt>
                      <c:pt idx="6">
                        <c:v>698.8</c:v>
                      </c:pt>
                      <c:pt idx="7">
                        <c:v>732.2</c:v>
                      </c:pt>
                      <c:pt idx="8">
                        <c:v>765.5</c:v>
                      </c:pt>
                      <c:pt idx="9">
                        <c:v>798.9</c:v>
                      </c:pt>
                      <c:pt idx="10">
                        <c:v>832.3</c:v>
                      </c:pt>
                      <c:pt idx="11">
                        <c:v>965.8</c:v>
                      </c:pt>
                      <c:pt idx="12">
                        <c:v>999.2</c:v>
                      </c:pt>
                      <c:pt idx="13">
                        <c:v>1033</c:v>
                      </c:pt>
                      <c:pt idx="14">
                        <c:v>1066</c:v>
                      </c:pt>
                      <c:pt idx="15">
                        <c:v>1099</c:v>
                      </c:pt>
                      <c:pt idx="16">
                        <c:v>1233</c:v>
                      </c:pt>
                      <c:pt idx="17">
                        <c:v>1366</c:v>
                      </c:pt>
                      <c:pt idx="18">
                        <c:v>1500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FLUID!$F$30:$AL$30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E-63B3-4D01-BEA3-739B2EC62692}"/>
                  </c:ext>
                </c:extLst>
              </c15:ser>
            </c15:filteredScatterSeries>
            <c15:filteredScatterSeries>
              <c15:ser>
                <c:idx val="27"/>
                <c:order val="2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FLUID!$E$31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4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298.2</c:v>
                      </c:pt>
                      <c:pt idx="1">
                        <c:v>431.7</c:v>
                      </c:pt>
                      <c:pt idx="2">
                        <c:v>465.1</c:v>
                      </c:pt>
                      <c:pt idx="3">
                        <c:v>498.5</c:v>
                      </c:pt>
                      <c:pt idx="4">
                        <c:v>531.79999999999995</c:v>
                      </c:pt>
                      <c:pt idx="5">
                        <c:v>565.20000000000005</c:v>
                      </c:pt>
                      <c:pt idx="6">
                        <c:v>698.8</c:v>
                      </c:pt>
                      <c:pt idx="7">
                        <c:v>732.2</c:v>
                      </c:pt>
                      <c:pt idx="8">
                        <c:v>765.5</c:v>
                      </c:pt>
                      <c:pt idx="9">
                        <c:v>798.9</c:v>
                      </c:pt>
                      <c:pt idx="10">
                        <c:v>832.3</c:v>
                      </c:pt>
                      <c:pt idx="11">
                        <c:v>965.8</c:v>
                      </c:pt>
                      <c:pt idx="12">
                        <c:v>999.2</c:v>
                      </c:pt>
                      <c:pt idx="13">
                        <c:v>1033</c:v>
                      </c:pt>
                      <c:pt idx="14">
                        <c:v>1066</c:v>
                      </c:pt>
                      <c:pt idx="15">
                        <c:v>1099</c:v>
                      </c:pt>
                      <c:pt idx="16">
                        <c:v>1233</c:v>
                      </c:pt>
                      <c:pt idx="17">
                        <c:v>1366</c:v>
                      </c:pt>
                      <c:pt idx="18">
                        <c:v>1500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FLUID!$F$31:$AL$31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F-63B3-4D01-BEA3-739B2EC62692}"/>
                  </c:ext>
                </c:extLst>
              </c15:ser>
            </c15:filteredScatterSeries>
            <c15:filteredScatterSeries>
              <c15:ser>
                <c:idx val="28"/>
                <c:order val="2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FLUID!$E$32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5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298.2</c:v>
                      </c:pt>
                      <c:pt idx="1">
                        <c:v>431.7</c:v>
                      </c:pt>
                      <c:pt idx="2">
                        <c:v>465.1</c:v>
                      </c:pt>
                      <c:pt idx="3">
                        <c:v>498.5</c:v>
                      </c:pt>
                      <c:pt idx="4">
                        <c:v>531.79999999999995</c:v>
                      </c:pt>
                      <c:pt idx="5">
                        <c:v>565.20000000000005</c:v>
                      </c:pt>
                      <c:pt idx="6">
                        <c:v>698.8</c:v>
                      </c:pt>
                      <c:pt idx="7">
                        <c:v>732.2</c:v>
                      </c:pt>
                      <c:pt idx="8">
                        <c:v>765.5</c:v>
                      </c:pt>
                      <c:pt idx="9">
                        <c:v>798.9</c:v>
                      </c:pt>
                      <c:pt idx="10">
                        <c:v>832.3</c:v>
                      </c:pt>
                      <c:pt idx="11">
                        <c:v>965.8</c:v>
                      </c:pt>
                      <c:pt idx="12">
                        <c:v>999.2</c:v>
                      </c:pt>
                      <c:pt idx="13">
                        <c:v>1033</c:v>
                      </c:pt>
                      <c:pt idx="14">
                        <c:v>1066</c:v>
                      </c:pt>
                      <c:pt idx="15">
                        <c:v>1099</c:v>
                      </c:pt>
                      <c:pt idx="16">
                        <c:v>1233</c:v>
                      </c:pt>
                      <c:pt idx="17">
                        <c:v>1366</c:v>
                      </c:pt>
                      <c:pt idx="18">
                        <c:v>1500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FLUID!$F$32:$AL$32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0-63B3-4D01-BEA3-739B2EC62692}"/>
                  </c:ext>
                </c:extLst>
              </c15:ser>
            </c15:filteredScatterSeries>
          </c:ext>
        </c:extLst>
      </c:scatterChart>
      <c:valAx>
        <c:axId val="391619416"/>
        <c:scaling>
          <c:orientation val="minMax"/>
          <c:max val="1000"/>
          <c:min val="3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8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/>
                  <a:t>T</a:t>
                </a:r>
                <a:r>
                  <a:rPr lang="ru-RU" sz="1800"/>
                  <a:t>, К</a:t>
                </a:r>
              </a:p>
            </c:rich>
          </c:tx>
          <c:layout>
            <c:manualLayout>
              <c:xMode val="edge"/>
              <c:yMode val="edge"/>
              <c:x val="0.42423525471841778"/>
              <c:y val="0.9253208458898237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8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#,##0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93215344"/>
        <c:crosses val="autoZero"/>
        <c:crossBetween val="midCat"/>
      </c:valAx>
      <c:valAx>
        <c:axId val="393215344"/>
        <c:scaling>
          <c:orientation val="minMax"/>
          <c:max val="0.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 sz="1800" b="0" i="0" baseline="0">
                    <a:effectLst/>
                  </a:rPr>
                  <a:t>Концентрация, моль/(моль*атом)</a:t>
                </a:r>
                <a:endParaRPr lang="ru-RU">
                  <a:effectLst/>
                </a:endParaRPr>
              </a:p>
            </c:rich>
          </c:tx>
          <c:layout>
            <c:manualLayout>
              <c:xMode val="edge"/>
              <c:yMode val="edge"/>
              <c:x val="7.8334982535866026E-3"/>
              <c:y val="0.19218689719276424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#,##0.00" sourceLinked="0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91619416"/>
        <c:crosses val="autoZero"/>
        <c:crossBetween val="midCat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579004454016617E-2"/>
          <c:y val="9.3034716533807502E-2"/>
          <c:w val="0.92172545969724562"/>
          <c:h val="0.82261080939032938"/>
        </c:manualLayout>
      </c:layout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SOLID!$F$40:$AL$40</c:f>
              <c:numCache>
                <c:formatCode>General</c:formatCode>
                <c:ptCount val="33"/>
                <c:pt idx="0">
                  <c:v>298.2</c:v>
                </c:pt>
                <c:pt idx="1">
                  <c:v>331.5</c:v>
                </c:pt>
                <c:pt idx="2">
                  <c:v>364.9</c:v>
                </c:pt>
                <c:pt idx="3">
                  <c:v>398.3</c:v>
                </c:pt>
                <c:pt idx="4">
                  <c:v>431.7</c:v>
                </c:pt>
                <c:pt idx="5">
                  <c:v>465.1</c:v>
                </c:pt>
                <c:pt idx="6">
                  <c:v>498.5</c:v>
                </c:pt>
                <c:pt idx="7">
                  <c:v>531.79999999999995</c:v>
                </c:pt>
                <c:pt idx="8">
                  <c:v>565.20000000000005</c:v>
                </c:pt>
                <c:pt idx="9">
                  <c:v>698.8</c:v>
                </c:pt>
                <c:pt idx="10">
                  <c:v>832.3</c:v>
                </c:pt>
                <c:pt idx="11">
                  <c:v>965.8</c:v>
                </c:pt>
                <c:pt idx="12">
                  <c:v>999.2</c:v>
                </c:pt>
                <c:pt idx="13">
                  <c:v>1033</c:v>
                </c:pt>
                <c:pt idx="14">
                  <c:v>1066</c:v>
                </c:pt>
                <c:pt idx="15">
                  <c:v>1099</c:v>
                </c:pt>
                <c:pt idx="16">
                  <c:v>1233</c:v>
                </c:pt>
                <c:pt idx="17">
                  <c:v>1366</c:v>
                </c:pt>
                <c:pt idx="18">
                  <c:v>1400</c:v>
                </c:pt>
                <c:pt idx="19">
                  <c:v>1433</c:v>
                </c:pt>
                <c:pt idx="20">
                  <c:v>1467</c:v>
                </c:pt>
                <c:pt idx="21">
                  <c:v>1500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xVal>
          <c:yVal>
            <c:numRef>
              <c:f>SOLID!$F$41:$AL$41</c:f>
              <c:numCache>
                <c:formatCode>0.0E+00</c:formatCode>
                <c:ptCount val="33"/>
                <c:pt idx="0">
                  <c:v>-507.18277058400002</c:v>
                </c:pt>
                <c:pt idx="1">
                  <c:v>-515.74157553750013</c:v>
                </c:pt>
                <c:pt idx="2">
                  <c:v>-527.03948719900006</c:v>
                </c:pt>
                <c:pt idx="3">
                  <c:v>-539.76833539650011</c:v>
                </c:pt>
                <c:pt idx="4">
                  <c:v>-553.02973591065006</c:v>
                </c:pt>
                <c:pt idx="5">
                  <c:v>-566.80991909800002</c:v>
                </c:pt>
                <c:pt idx="6">
                  <c:v>-581.27475452200008</c:v>
                </c:pt>
                <c:pt idx="7">
                  <c:v>-603.69244633409994</c:v>
                </c:pt>
                <c:pt idx="8">
                  <c:v>-661.91830615620017</c:v>
                </c:pt>
                <c:pt idx="9">
                  <c:v>-914.28682361179995</c:v>
                </c:pt>
                <c:pt idx="10">
                  <c:v>-1193.1713959875501</c:v>
                </c:pt>
                <c:pt idx="11">
                  <c:v>-1492.6833360285</c:v>
                </c:pt>
                <c:pt idx="12">
                  <c:v>-1569.7430316348004</c:v>
                </c:pt>
                <c:pt idx="13">
                  <c:v>-1648.2744951780003</c:v>
                </c:pt>
                <c:pt idx="14">
                  <c:v>-1726.4354235829999</c:v>
                </c:pt>
                <c:pt idx="15">
                  <c:v>-1804.7256535490001</c:v>
                </c:pt>
                <c:pt idx="16">
                  <c:v>-2125.3337906895003</c:v>
                </c:pt>
                <c:pt idx="17">
                  <c:v>-2447.2008650760004</c:v>
                </c:pt>
                <c:pt idx="18">
                  <c:v>-2527.7105455000005</c:v>
                </c:pt>
                <c:pt idx="19">
                  <c:v>-2606.5901016830003</c:v>
                </c:pt>
                <c:pt idx="20">
                  <c:v>-2686.0279017105008</c:v>
                </c:pt>
                <c:pt idx="21">
                  <c:v>-2762.92082175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09D-43FC-B23C-A902221521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1620984"/>
        <c:axId val="391622160"/>
      </c:scatterChart>
      <c:valAx>
        <c:axId val="391620984"/>
        <c:scaling>
          <c:orientation val="minMax"/>
          <c:max val="1500"/>
          <c:min val="2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\ \K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91622160"/>
        <c:crosses val="autoZero"/>
        <c:crossBetween val="midCat"/>
      </c:valAx>
      <c:valAx>
        <c:axId val="3916221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\ \J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91620984"/>
        <c:crosses val="autoZero"/>
        <c:crossBetween val="midCat"/>
      </c:valAx>
      <c:spPr>
        <a:noFill/>
        <a:ln>
          <a:noFill/>
        </a:ln>
        <a:effectLst/>
      </c:spPr>
    </c:plotArea>
    <c:plotVisOnly val="0"/>
    <c:dispBlanksAs val="span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 sz="1800"/>
              <a:t>Газовая</a:t>
            </a:r>
            <a:r>
              <a:rPr lang="ru-RU" sz="1800" baseline="0"/>
              <a:t> фаза </a:t>
            </a:r>
            <a:endParaRPr lang="ru-RU" sz="1800"/>
          </a:p>
        </c:rich>
      </c:tx>
      <c:layout>
        <c:manualLayout>
          <c:xMode val="edge"/>
          <c:yMode val="edge"/>
          <c:x val="0.4140374460316642"/>
          <c:y val="1.356608365146274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>
        <c:manualLayout>
          <c:layoutTarget val="inner"/>
          <c:xMode val="edge"/>
          <c:yMode val="edge"/>
          <c:x val="0.12554088184504847"/>
          <c:y val="7.3209491520351416E-2"/>
          <c:w val="0.83553361749524424"/>
          <c:h val="0.77107340657712931"/>
        </c:manualLayout>
      </c:layout>
      <c:scatterChart>
        <c:scatterStyle val="lineMarker"/>
        <c:varyColors val="0"/>
        <c:ser>
          <c:idx val="2"/>
          <c:order val="2"/>
          <c:tx>
            <c:strRef>
              <c:f>SOLID!$E$6</c:f>
              <c:strCache>
                <c:ptCount val="1"/>
                <c:pt idx="0">
                  <c:v>*GeSe</c:v>
                </c:pt>
              </c:strCache>
            </c:strRef>
          </c:tx>
          <c:spPr>
            <a:ln w="19050" cap="rnd">
              <a:solidFill>
                <a:schemeClr val="accent4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SOLID!$F$3:$AL$3</c:f>
              <c:numCache>
                <c:formatCode>General</c:formatCode>
                <c:ptCount val="33"/>
                <c:pt idx="0">
                  <c:v>298.2</c:v>
                </c:pt>
                <c:pt idx="1">
                  <c:v>331.5</c:v>
                </c:pt>
                <c:pt idx="2">
                  <c:v>364.9</c:v>
                </c:pt>
                <c:pt idx="3">
                  <c:v>398.3</c:v>
                </c:pt>
                <c:pt idx="4">
                  <c:v>431.7</c:v>
                </c:pt>
                <c:pt idx="5">
                  <c:v>465.1</c:v>
                </c:pt>
                <c:pt idx="6">
                  <c:v>498.5</c:v>
                </c:pt>
                <c:pt idx="7">
                  <c:v>531.79999999999995</c:v>
                </c:pt>
                <c:pt idx="8">
                  <c:v>565.20000000000005</c:v>
                </c:pt>
                <c:pt idx="9">
                  <c:v>698.8</c:v>
                </c:pt>
                <c:pt idx="10">
                  <c:v>832.3</c:v>
                </c:pt>
                <c:pt idx="11">
                  <c:v>965.8</c:v>
                </c:pt>
                <c:pt idx="12">
                  <c:v>999.2</c:v>
                </c:pt>
                <c:pt idx="13">
                  <c:v>1033</c:v>
                </c:pt>
                <c:pt idx="14">
                  <c:v>1066</c:v>
                </c:pt>
                <c:pt idx="15">
                  <c:v>1099</c:v>
                </c:pt>
                <c:pt idx="16">
                  <c:v>1233</c:v>
                </c:pt>
                <c:pt idx="17">
                  <c:v>1366</c:v>
                </c:pt>
                <c:pt idx="18">
                  <c:v>1400</c:v>
                </c:pt>
                <c:pt idx="19" formatCode="0">
                  <c:v>1433</c:v>
                </c:pt>
                <c:pt idx="20" formatCode="0">
                  <c:v>1467</c:v>
                </c:pt>
                <c:pt idx="21" formatCode="0">
                  <c:v>1500</c:v>
                </c:pt>
              </c:numCache>
            </c:numRef>
          </c:xVal>
          <c:yVal>
            <c:numRef>
              <c:f>SOLID!$F$6:$AL$6</c:f>
              <c:numCache>
                <c:formatCode>0.0E+00</c:formatCode>
                <c:ptCount val="33"/>
                <c:pt idx="0">
                  <c:v>0.06</c:v>
                </c:pt>
                <c:pt idx="1">
                  <c:v>0.06</c:v>
                </c:pt>
                <c:pt idx="2">
                  <c:v>0.12</c:v>
                </c:pt>
                <c:pt idx="3">
                  <c:v>0.12</c:v>
                </c:pt>
                <c:pt idx="4">
                  <c:v>0.12</c:v>
                </c:pt>
                <c:pt idx="5">
                  <c:v>0.12</c:v>
                </c:pt>
                <c:pt idx="6">
                  <c:v>0.12</c:v>
                </c:pt>
                <c:pt idx="7">
                  <c:v>8.4004999999999997E-9</c:v>
                </c:pt>
                <c:pt idx="8">
                  <c:v>8.1328000000000001E-11</c:v>
                </c:pt>
                <c:pt idx="9">
                  <c:v>7.2548999999999998E-26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 formatCode="General">
                  <c:v>0</c:v>
                </c:pt>
                <c:pt idx="20" formatCode="General">
                  <c:v>0</c:v>
                </c:pt>
                <c:pt idx="21" formatCode="General">
                  <c:v>0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0-D2E1-40A6-A933-2A862B83ED7D}"/>
            </c:ext>
          </c:extLst>
        </c:ser>
        <c:ser>
          <c:idx val="3"/>
          <c:order val="3"/>
          <c:tx>
            <c:strRef>
              <c:f>SOLID!$E$7</c:f>
              <c:strCache>
                <c:ptCount val="1"/>
                <c:pt idx="0">
                  <c:v>*Ga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SOLID!$F$3:$AL$3</c:f>
              <c:numCache>
                <c:formatCode>General</c:formatCode>
                <c:ptCount val="33"/>
                <c:pt idx="0">
                  <c:v>298.2</c:v>
                </c:pt>
                <c:pt idx="1">
                  <c:v>331.5</c:v>
                </c:pt>
                <c:pt idx="2">
                  <c:v>364.9</c:v>
                </c:pt>
                <c:pt idx="3">
                  <c:v>398.3</c:v>
                </c:pt>
                <c:pt idx="4">
                  <c:v>431.7</c:v>
                </c:pt>
                <c:pt idx="5">
                  <c:v>465.1</c:v>
                </c:pt>
                <c:pt idx="6">
                  <c:v>498.5</c:v>
                </c:pt>
                <c:pt idx="7">
                  <c:v>531.79999999999995</c:v>
                </c:pt>
                <c:pt idx="8">
                  <c:v>565.20000000000005</c:v>
                </c:pt>
                <c:pt idx="9">
                  <c:v>698.8</c:v>
                </c:pt>
                <c:pt idx="10">
                  <c:v>832.3</c:v>
                </c:pt>
                <c:pt idx="11">
                  <c:v>965.8</c:v>
                </c:pt>
                <c:pt idx="12">
                  <c:v>999.2</c:v>
                </c:pt>
                <c:pt idx="13">
                  <c:v>1033</c:v>
                </c:pt>
                <c:pt idx="14">
                  <c:v>1066</c:v>
                </c:pt>
                <c:pt idx="15">
                  <c:v>1099</c:v>
                </c:pt>
                <c:pt idx="16">
                  <c:v>1233</c:v>
                </c:pt>
                <c:pt idx="17">
                  <c:v>1366</c:v>
                </c:pt>
                <c:pt idx="18">
                  <c:v>1400</c:v>
                </c:pt>
                <c:pt idx="19" formatCode="0">
                  <c:v>1433</c:v>
                </c:pt>
                <c:pt idx="20" formatCode="0">
                  <c:v>1467</c:v>
                </c:pt>
                <c:pt idx="21" formatCode="0">
                  <c:v>1500</c:v>
                </c:pt>
              </c:numCache>
            </c:numRef>
          </c:xVal>
          <c:yVal>
            <c:numRef>
              <c:f>SOLID!$F$7:$AL$7</c:f>
              <c:numCache>
                <c:formatCode>0.0E+00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0.15512999999999999</c:v>
                </c:pt>
                <c:pt idx="8">
                  <c:v>0.2</c:v>
                </c:pt>
                <c:pt idx="9">
                  <c:v>0.2</c:v>
                </c:pt>
                <c:pt idx="10">
                  <c:v>0.2</c:v>
                </c:pt>
                <c:pt idx="11">
                  <c:v>0.2</c:v>
                </c:pt>
                <c:pt idx="12">
                  <c:v>0.2</c:v>
                </c:pt>
                <c:pt idx="13">
                  <c:v>0.2</c:v>
                </c:pt>
                <c:pt idx="14">
                  <c:v>0.2</c:v>
                </c:pt>
                <c:pt idx="15">
                  <c:v>0.2</c:v>
                </c:pt>
                <c:pt idx="16">
                  <c:v>0.2</c:v>
                </c:pt>
                <c:pt idx="17">
                  <c:v>0.2</c:v>
                </c:pt>
                <c:pt idx="18">
                  <c:v>0.2</c:v>
                </c:pt>
                <c:pt idx="19" formatCode="General">
                  <c:v>0.2</c:v>
                </c:pt>
                <c:pt idx="20" formatCode="General">
                  <c:v>0.2</c:v>
                </c:pt>
                <c:pt idx="21" formatCode="General">
                  <c:v>0.2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D2E1-40A6-A933-2A862B83ED7D}"/>
            </c:ext>
          </c:extLst>
        </c:ser>
        <c:ser>
          <c:idx val="4"/>
          <c:order val="4"/>
          <c:tx>
            <c:strRef>
              <c:f>SOLID!$E$8</c:f>
              <c:strCache>
                <c:ptCount val="1"/>
                <c:pt idx="0">
                  <c:v>*Ge[c]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SOLID!$F$3:$AL$3</c:f>
              <c:numCache>
                <c:formatCode>General</c:formatCode>
                <c:ptCount val="33"/>
                <c:pt idx="0">
                  <c:v>298.2</c:v>
                </c:pt>
                <c:pt idx="1">
                  <c:v>331.5</c:v>
                </c:pt>
                <c:pt idx="2">
                  <c:v>364.9</c:v>
                </c:pt>
                <c:pt idx="3">
                  <c:v>398.3</c:v>
                </c:pt>
                <c:pt idx="4">
                  <c:v>431.7</c:v>
                </c:pt>
                <c:pt idx="5">
                  <c:v>465.1</c:v>
                </c:pt>
                <c:pt idx="6">
                  <c:v>498.5</c:v>
                </c:pt>
                <c:pt idx="7">
                  <c:v>531.79999999999995</c:v>
                </c:pt>
                <c:pt idx="8">
                  <c:v>565.20000000000005</c:v>
                </c:pt>
                <c:pt idx="9">
                  <c:v>698.8</c:v>
                </c:pt>
                <c:pt idx="10">
                  <c:v>832.3</c:v>
                </c:pt>
                <c:pt idx="11">
                  <c:v>965.8</c:v>
                </c:pt>
                <c:pt idx="12">
                  <c:v>999.2</c:v>
                </c:pt>
                <c:pt idx="13">
                  <c:v>1033</c:v>
                </c:pt>
                <c:pt idx="14">
                  <c:v>1066</c:v>
                </c:pt>
                <c:pt idx="15">
                  <c:v>1099</c:v>
                </c:pt>
                <c:pt idx="16">
                  <c:v>1233</c:v>
                </c:pt>
                <c:pt idx="17">
                  <c:v>1366</c:v>
                </c:pt>
                <c:pt idx="18">
                  <c:v>1400</c:v>
                </c:pt>
                <c:pt idx="19" formatCode="0">
                  <c:v>1433</c:v>
                </c:pt>
                <c:pt idx="20" formatCode="0">
                  <c:v>1467</c:v>
                </c:pt>
                <c:pt idx="21" formatCode="0">
                  <c:v>1500</c:v>
                </c:pt>
              </c:numCache>
            </c:numRef>
          </c:xVal>
          <c:yVal>
            <c:numRef>
              <c:f>SOLID!$F$8:$AL$8</c:f>
              <c:numCache>
                <c:formatCode>0.0E+00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2.4355E-24</c:v>
                </c:pt>
                <c:pt idx="4">
                  <c:v>9.869100000000001E-16</c:v>
                </c:pt>
                <c:pt idx="5">
                  <c:v>1.9321999999999999E-11</c:v>
                </c:pt>
                <c:pt idx="6">
                  <c:v>4.5759999999999999E-9</c:v>
                </c:pt>
                <c:pt idx="7">
                  <c:v>0.06</c:v>
                </c:pt>
                <c:pt idx="8">
                  <c:v>0.06</c:v>
                </c:pt>
                <c:pt idx="9">
                  <c:v>0.06</c:v>
                </c:pt>
                <c:pt idx="10">
                  <c:v>0.06</c:v>
                </c:pt>
                <c:pt idx="11">
                  <c:v>0.06</c:v>
                </c:pt>
                <c:pt idx="12">
                  <c:v>0.06</c:v>
                </c:pt>
                <c:pt idx="13">
                  <c:v>0.06</c:v>
                </c:pt>
                <c:pt idx="14">
                  <c:v>0.06</c:v>
                </c:pt>
                <c:pt idx="15">
                  <c:v>0.06</c:v>
                </c:pt>
                <c:pt idx="16">
                  <c:v>5.8922000000000001E-6</c:v>
                </c:pt>
                <c:pt idx="17">
                  <c:v>1.9743E-8</c:v>
                </c:pt>
                <c:pt idx="18">
                  <c:v>1.4553E-8</c:v>
                </c:pt>
                <c:pt idx="19" formatCode="General">
                  <c:v>8.2159000000000001E-9</c:v>
                </c:pt>
                <c:pt idx="20" formatCode="General">
                  <c:v>7.8679999999999997E-9</c:v>
                </c:pt>
                <c:pt idx="21" formatCode="General">
                  <c:v>6.0850000000000004E-9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2E1-40A6-A933-2A862B83ED7D}"/>
            </c:ext>
          </c:extLst>
        </c:ser>
        <c:ser>
          <c:idx val="29"/>
          <c:order val="29"/>
          <c:tx>
            <c:v>temp</c:v>
          </c:tx>
          <c:spPr>
            <a:ln w="19050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dPt>
            <c:idx val="1"/>
            <c:marker>
              <c:symbol val="none"/>
            </c:marker>
            <c:bubble3D val="0"/>
            <c:spPr>
              <a:ln w="19050" cap="rnd">
                <a:solidFill>
                  <a:schemeClr val="tx1">
                    <a:lumMod val="95000"/>
                    <a:lumOff val="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4-D2E1-40A6-A933-2A862B83ED7D}"/>
              </c:ext>
            </c:extLst>
          </c:dPt>
          <c:xVal>
            <c:numRef>
              <c:f>SOLID!$BA$3:$BA$4</c:f>
              <c:numCache>
                <c:formatCode>General</c:formatCode>
                <c:ptCount val="2"/>
                <c:pt idx="0">
                  <c:v>700</c:v>
                </c:pt>
                <c:pt idx="1">
                  <c:v>700</c:v>
                </c:pt>
              </c:numCache>
            </c:numRef>
          </c:xVal>
          <c:yVal>
            <c:numRef>
              <c:f>SOLID!$BB$3:$BB$4</c:f>
              <c:numCache>
                <c:formatCode>0</c:formatCode>
                <c:ptCount val="2"/>
                <c:pt idx="0" formatCode="General">
                  <c:v>0</c:v>
                </c:pt>
                <c:pt idx="1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D2E1-40A6-A933-2A862B83ED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1619416"/>
        <c:axId val="393215344"/>
        <c:extLst>
          <c:ext xmlns:c15="http://schemas.microsoft.com/office/drawing/2012/chart" uri="{02D57815-91ED-43cb-92C2-25804820EDAC}">
            <c15:filteredScatte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SOLID!$E$4</c15:sqref>
                        </c15:formulaRef>
                      </c:ext>
                    </c:extLst>
                    <c:strCache>
                      <c:ptCount val="1"/>
                      <c:pt idx="0">
                        <c:v>*Ge[l]</c:v>
                      </c:pt>
                    </c:strCache>
                  </c:strRef>
                </c:tx>
                <c:spPr>
                  <a:ln w="19050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SOLID!$F$3:$AL$3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298.2</c:v>
                      </c:pt>
                      <c:pt idx="1">
                        <c:v>331.5</c:v>
                      </c:pt>
                      <c:pt idx="2">
                        <c:v>364.9</c:v>
                      </c:pt>
                      <c:pt idx="3">
                        <c:v>398.3</c:v>
                      </c:pt>
                      <c:pt idx="4">
                        <c:v>431.7</c:v>
                      </c:pt>
                      <c:pt idx="5">
                        <c:v>465.1</c:v>
                      </c:pt>
                      <c:pt idx="6">
                        <c:v>498.5</c:v>
                      </c:pt>
                      <c:pt idx="7">
                        <c:v>531.79999999999995</c:v>
                      </c:pt>
                      <c:pt idx="8">
                        <c:v>565.20000000000005</c:v>
                      </c:pt>
                      <c:pt idx="9">
                        <c:v>698.8</c:v>
                      </c:pt>
                      <c:pt idx="10">
                        <c:v>832.3</c:v>
                      </c:pt>
                      <c:pt idx="11">
                        <c:v>965.8</c:v>
                      </c:pt>
                      <c:pt idx="12">
                        <c:v>999.2</c:v>
                      </c:pt>
                      <c:pt idx="13">
                        <c:v>1033</c:v>
                      </c:pt>
                      <c:pt idx="14">
                        <c:v>1066</c:v>
                      </c:pt>
                      <c:pt idx="15">
                        <c:v>1099</c:v>
                      </c:pt>
                      <c:pt idx="16">
                        <c:v>1233</c:v>
                      </c:pt>
                      <c:pt idx="17">
                        <c:v>1366</c:v>
                      </c:pt>
                      <c:pt idx="18">
                        <c:v>1400</c:v>
                      </c:pt>
                      <c:pt idx="19" formatCode="0">
                        <c:v>1433</c:v>
                      </c:pt>
                      <c:pt idx="20" formatCode="0">
                        <c:v>1467</c:v>
                      </c:pt>
                      <c:pt idx="21" formatCode="0">
                        <c:v>1500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SOLID!$F$4:$AL$4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5.4464E-24</c:v>
                      </c:pt>
                      <c:pt idx="9">
                        <c:v>2.7126E-13</c:v>
                      </c:pt>
                      <c:pt idx="10">
                        <c:v>4.3304999999999999E-11</c:v>
                      </c:pt>
                      <c:pt idx="11">
                        <c:v>1.4366E-9</c:v>
                      </c:pt>
                      <c:pt idx="12">
                        <c:v>2.4853000000000001E-9</c:v>
                      </c:pt>
                      <c:pt idx="13">
                        <c:v>4.4833E-9</c:v>
                      </c:pt>
                      <c:pt idx="14">
                        <c:v>1.1865000000000001E-8</c:v>
                      </c:pt>
                      <c:pt idx="15">
                        <c:v>2.9401E-8</c:v>
                      </c:pt>
                      <c:pt idx="16">
                        <c:v>5.9993999999999999E-2</c:v>
                      </c:pt>
                      <c:pt idx="17">
                        <c:v>0.06</c:v>
                      </c:pt>
                      <c:pt idx="18">
                        <c:v>0.06</c:v>
                      </c:pt>
                      <c:pt idx="19" formatCode="General">
                        <c:v>0.06</c:v>
                      </c:pt>
                      <c:pt idx="20" formatCode="General">
                        <c:v>0.06</c:v>
                      </c:pt>
                      <c:pt idx="21" formatCode="General">
                        <c:v>0.06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6-D2E1-40A6-A933-2A862B83ED7D}"/>
                  </c:ext>
                </c:extLst>
              </c15:ser>
            </c15:filteredScatterSeries>
            <c15:filteredScatterSeries>
              <c15:ser>
                <c:idx val="1"/>
                <c:order val="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SOLID!$E$5</c15:sqref>
                        </c15:formulaRef>
                      </c:ext>
                    </c:extLst>
                    <c:strCache>
                      <c:ptCount val="1"/>
                      <c:pt idx="0">
                        <c:v>*Ge</c:v>
                      </c:pt>
                    </c:strCache>
                  </c:strRef>
                </c:tx>
                <c:spPr>
                  <a:ln w="19050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298.2</c:v>
                      </c:pt>
                      <c:pt idx="1">
                        <c:v>331.5</c:v>
                      </c:pt>
                      <c:pt idx="2">
                        <c:v>364.9</c:v>
                      </c:pt>
                      <c:pt idx="3">
                        <c:v>398.3</c:v>
                      </c:pt>
                      <c:pt idx="4">
                        <c:v>431.7</c:v>
                      </c:pt>
                      <c:pt idx="5">
                        <c:v>465.1</c:v>
                      </c:pt>
                      <c:pt idx="6">
                        <c:v>498.5</c:v>
                      </c:pt>
                      <c:pt idx="7">
                        <c:v>531.79999999999995</c:v>
                      </c:pt>
                      <c:pt idx="8">
                        <c:v>565.20000000000005</c:v>
                      </c:pt>
                      <c:pt idx="9">
                        <c:v>698.8</c:v>
                      </c:pt>
                      <c:pt idx="10">
                        <c:v>832.3</c:v>
                      </c:pt>
                      <c:pt idx="11">
                        <c:v>965.8</c:v>
                      </c:pt>
                      <c:pt idx="12">
                        <c:v>999.2</c:v>
                      </c:pt>
                      <c:pt idx="13">
                        <c:v>1033</c:v>
                      </c:pt>
                      <c:pt idx="14">
                        <c:v>1066</c:v>
                      </c:pt>
                      <c:pt idx="15">
                        <c:v>1099</c:v>
                      </c:pt>
                      <c:pt idx="16">
                        <c:v>1233</c:v>
                      </c:pt>
                      <c:pt idx="17">
                        <c:v>1366</c:v>
                      </c:pt>
                      <c:pt idx="18">
                        <c:v>1400</c:v>
                      </c:pt>
                      <c:pt idx="19" formatCode="0">
                        <c:v>1433</c:v>
                      </c:pt>
                      <c:pt idx="20" formatCode="0">
                        <c:v>1467</c:v>
                      </c:pt>
                      <c:pt idx="21" formatCode="0">
                        <c:v>1500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SOLID!$F$5:$AL$5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2.4355E-24</c:v>
                      </c:pt>
                      <c:pt idx="4">
                        <c:v>9.869100000000001E-16</c:v>
                      </c:pt>
                      <c:pt idx="5">
                        <c:v>1.9321999999999999E-11</c:v>
                      </c:pt>
                      <c:pt idx="6">
                        <c:v>4.5759999999999999E-9</c:v>
                      </c:pt>
                      <c:pt idx="7">
                        <c:v>0.06</c:v>
                      </c:pt>
                      <c:pt idx="8">
                        <c:v>0.06</c:v>
                      </c:pt>
                      <c:pt idx="9">
                        <c:v>0.06</c:v>
                      </c:pt>
                      <c:pt idx="10">
                        <c:v>0.06</c:v>
                      </c:pt>
                      <c:pt idx="11">
                        <c:v>0.06</c:v>
                      </c:pt>
                      <c:pt idx="12">
                        <c:v>0.06</c:v>
                      </c:pt>
                      <c:pt idx="13">
                        <c:v>0.06</c:v>
                      </c:pt>
                      <c:pt idx="14">
                        <c:v>0.06</c:v>
                      </c:pt>
                      <c:pt idx="15">
                        <c:v>0.06</c:v>
                      </c:pt>
                      <c:pt idx="16">
                        <c:v>5.8922000000000001E-6</c:v>
                      </c:pt>
                      <c:pt idx="17">
                        <c:v>1.9743E-8</c:v>
                      </c:pt>
                      <c:pt idx="18">
                        <c:v>1.4553E-8</c:v>
                      </c:pt>
                      <c:pt idx="19" formatCode="General">
                        <c:v>8.2159000000000001E-9</c:v>
                      </c:pt>
                      <c:pt idx="20" formatCode="General">
                        <c:v>7.8679999999999997E-9</c:v>
                      </c:pt>
                      <c:pt idx="21" formatCode="General">
                        <c:v>6.0850000000000004E-9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D2E1-40A6-A933-2A862B83ED7D}"/>
                  </c:ext>
                </c:extLst>
              </c15:ser>
            </c15:filteredScatterSeries>
            <c15:filteredScatterSeries>
              <c15:ser>
                <c:idx val="5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SOLID!$E$9</c15:sqref>
                        </c15:formulaRef>
                      </c:ext>
                    </c:extLst>
                    <c:strCache>
                      <c:ptCount val="1"/>
                      <c:pt idx="0">
                        <c:v>*Se[m]</c:v>
                      </c:pt>
                    </c:strCache>
                  </c:strRef>
                </c:tx>
                <c:spPr>
                  <a:ln w="19050" cap="rnd">
                    <a:solidFill>
                      <a:schemeClr val="accent6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298.2</c:v>
                      </c:pt>
                      <c:pt idx="1">
                        <c:v>331.5</c:v>
                      </c:pt>
                      <c:pt idx="2">
                        <c:v>364.9</c:v>
                      </c:pt>
                      <c:pt idx="3">
                        <c:v>398.3</c:v>
                      </c:pt>
                      <c:pt idx="4">
                        <c:v>431.7</c:v>
                      </c:pt>
                      <c:pt idx="5">
                        <c:v>465.1</c:v>
                      </c:pt>
                      <c:pt idx="6">
                        <c:v>498.5</c:v>
                      </c:pt>
                      <c:pt idx="7">
                        <c:v>531.79999999999995</c:v>
                      </c:pt>
                      <c:pt idx="8">
                        <c:v>565.20000000000005</c:v>
                      </c:pt>
                      <c:pt idx="9">
                        <c:v>698.8</c:v>
                      </c:pt>
                      <c:pt idx="10">
                        <c:v>832.3</c:v>
                      </c:pt>
                      <c:pt idx="11">
                        <c:v>965.8</c:v>
                      </c:pt>
                      <c:pt idx="12">
                        <c:v>999.2</c:v>
                      </c:pt>
                      <c:pt idx="13">
                        <c:v>1033</c:v>
                      </c:pt>
                      <c:pt idx="14">
                        <c:v>1066</c:v>
                      </c:pt>
                      <c:pt idx="15">
                        <c:v>1099</c:v>
                      </c:pt>
                      <c:pt idx="16">
                        <c:v>1233</c:v>
                      </c:pt>
                      <c:pt idx="17">
                        <c:v>1366</c:v>
                      </c:pt>
                      <c:pt idx="18">
                        <c:v>1400</c:v>
                      </c:pt>
                      <c:pt idx="19" formatCode="0">
                        <c:v>1433</c:v>
                      </c:pt>
                      <c:pt idx="20" formatCode="0">
                        <c:v>1467</c:v>
                      </c:pt>
                      <c:pt idx="21" formatCode="0">
                        <c:v>1500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SOLID!$F$9:$AL$9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8.7129E-15</c:v>
                      </c:pt>
                      <c:pt idx="1">
                        <c:v>9.8545999999999994E-9</c:v>
                      </c:pt>
                      <c:pt idx="2">
                        <c:v>0.06</c:v>
                      </c:pt>
                      <c:pt idx="3">
                        <c:v>0.06</c:v>
                      </c:pt>
                      <c:pt idx="4">
                        <c:v>0.06</c:v>
                      </c:pt>
                      <c:pt idx="5">
                        <c:v>0.06</c:v>
                      </c:pt>
                      <c:pt idx="6">
                        <c:v>0.06</c:v>
                      </c:pt>
                      <c:pt idx="7">
                        <c:v>0.41270000000000001</c:v>
                      </c:pt>
                      <c:pt idx="8">
                        <c:v>0.47999000000000003</c:v>
                      </c:pt>
                      <c:pt idx="9">
                        <c:v>0.48</c:v>
                      </c:pt>
                      <c:pt idx="10">
                        <c:v>0.48</c:v>
                      </c:pt>
                      <c:pt idx="11">
                        <c:v>0.48</c:v>
                      </c:pt>
                      <c:pt idx="12">
                        <c:v>0.48</c:v>
                      </c:pt>
                      <c:pt idx="13">
                        <c:v>0.48</c:v>
                      </c:pt>
                      <c:pt idx="14">
                        <c:v>0.48</c:v>
                      </c:pt>
                      <c:pt idx="15">
                        <c:v>0.48</c:v>
                      </c:pt>
                      <c:pt idx="16">
                        <c:v>0.48</c:v>
                      </c:pt>
                      <c:pt idx="17">
                        <c:v>0.48</c:v>
                      </c:pt>
                      <c:pt idx="18">
                        <c:v>0.48</c:v>
                      </c:pt>
                      <c:pt idx="19" formatCode="General">
                        <c:v>0.48</c:v>
                      </c:pt>
                      <c:pt idx="20" formatCode="General">
                        <c:v>0.48</c:v>
                      </c:pt>
                      <c:pt idx="21" formatCode="General">
                        <c:v>0.48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D2E1-40A6-A933-2A862B83ED7D}"/>
                  </c:ext>
                </c:extLst>
              </c15:ser>
            </c15:filteredScatterSeries>
            <c15:filteredScatterSeries>
              <c15:ser>
                <c:idx val="6"/>
                <c:order val="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SOLID!$E$10</c15:sqref>
                        </c15:formulaRef>
                      </c:ext>
                    </c:extLst>
                    <c:strCache>
                      <c:ptCount val="1"/>
                      <c:pt idx="0">
                        <c:v>*GeSe2</c:v>
                      </c:pt>
                    </c:strCache>
                  </c:strRef>
                </c:tx>
                <c:spPr>
                  <a:ln w="19050" cap="rnd">
                    <a:solidFill>
                      <a:srgbClr val="FF0000"/>
                    </a:solidFill>
                    <a:round/>
                  </a:ln>
                  <a:effectLst/>
                </c:spPr>
                <c:marker>
                  <c:symbol val="none"/>
                </c:marker>
                <c:dPt>
                  <c:idx val="15"/>
                  <c:marker>
                    <c:symbol val="none"/>
                  </c:marker>
                  <c:bubble3D val="0"/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09-D2E1-40A6-A933-2A862B83ED7D}"/>
                    </c:ext>
                  </c:extLst>
                </c:dPt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298.2</c:v>
                      </c:pt>
                      <c:pt idx="1">
                        <c:v>331.5</c:v>
                      </c:pt>
                      <c:pt idx="2">
                        <c:v>364.9</c:v>
                      </c:pt>
                      <c:pt idx="3">
                        <c:v>398.3</c:v>
                      </c:pt>
                      <c:pt idx="4">
                        <c:v>431.7</c:v>
                      </c:pt>
                      <c:pt idx="5">
                        <c:v>465.1</c:v>
                      </c:pt>
                      <c:pt idx="6">
                        <c:v>498.5</c:v>
                      </c:pt>
                      <c:pt idx="7">
                        <c:v>531.79999999999995</c:v>
                      </c:pt>
                      <c:pt idx="8">
                        <c:v>565.20000000000005</c:v>
                      </c:pt>
                      <c:pt idx="9">
                        <c:v>698.8</c:v>
                      </c:pt>
                      <c:pt idx="10">
                        <c:v>832.3</c:v>
                      </c:pt>
                      <c:pt idx="11">
                        <c:v>965.8</c:v>
                      </c:pt>
                      <c:pt idx="12">
                        <c:v>999.2</c:v>
                      </c:pt>
                      <c:pt idx="13">
                        <c:v>1033</c:v>
                      </c:pt>
                      <c:pt idx="14">
                        <c:v>1066</c:v>
                      </c:pt>
                      <c:pt idx="15">
                        <c:v>1099</c:v>
                      </c:pt>
                      <c:pt idx="16">
                        <c:v>1233</c:v>
                      </c:pt>
                      <c:pt idx="17">
                        <c:v>1366</c:v>
                      </c:pt>
                      <c:pt idx="18">
                        <c:v>1400</c:v>
                      </c:pt>
                      <c:pt idx="19" formatCode="0">
                        <c:v>1433</c:v>
                      </c:pt>
                      <c:pt idx="20" formatCode="0">
                        <c:v>1467</c:v>
                      </c:pt>
                      <c:pt idx="21" formatCode="0">
                        <c:v>1500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SOLID!$F$10:$AL$10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0.06</c:v>
                      </c:pt>
                      <c:pt idx="1">
                        <c:v>0.06</c:v>
                      </c:pt>
                      <c:pt idx="2">
                        <c:v>3.7176000000000002E-10</c:v>
                      </c:pt>
                      <c:pt idx="3">
                        <c:v>3.6682999999999996E-12</c:v>
                      </c:pt>
                      <c:pt idx="4">
                        <c:v>2.1788000000000001E-17</c:v>
                      </c:pt>
                      <c:pt idx="5">
                        <c:v>1.974E-29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 formatCode="General">
                        <c:v>0</c:v>
                      </c:pt>
                      <c:pt idx="20" formatCode="General">
                        <c:v>0</c:v>
                      </c:pt>
                      <c:pt idx="21" formatCode="General">
                        <c:v>0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A-D2E1-40A6-A933-2A862B83ED7D}"/>
                  </c:ext>
                </c:extLst>
              </c15:ser>
            </c15:filteredScatterSeries>
            <c15:filteredScatterSeries>
              <c15:ser>
                <c:idx val="7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SOLID!$E$11</c15:sqref>
                        </c15:formulaRef>
                      </c:ext>
                    </c:extLst>
                    <c:strCache>
                      <c:ptCount val="1"/>
                      <c:pt idx="0">
                        <c:v>Ga2Se3</c:v>
                      </c:pt>
                    </c:strCache>
                  </c:strRef>
                </c:tx>
                <c:spPr>
                  <a:ln w="19050" cap="rnd">
                    <a:solidFill>
                      <a:schemeClr val="accent2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298.2</c:v>
                      </c:pt>
                      <c:pt idx="1">
                        <c:v>331.5</c:v>
                      </c:pt>
                      <c:pt idx="2">
                        <c:v>364.9</c:v>
                      </c:pt>
                      <c:pt idx="3">
                        <c:v>398.3</c:v>
                      </c:pt>
                      <c:pt idx="4">
                        <c:v>431.7</c:v>
                      </c:pt>
                      <c:pt idx="5">
                        <c:v>465.1</c:v>
                      </c:pt>
                      <c:pt idx="6">
                        <c:v>498.5</c:v>
                      </c:pt>
                      <c:pt idx="7">
                        <c:v>531.79999999999995</c:v>
                      </c:pt>
                      <c:pt idx="8">
                        <c:v>565.20000000000005</c:v>
                      </c:pt>
                      <c:pt idx="9">
                        <c:v>698.8</c:v>
                      </c:pt>
                      <c:pt idx="10">
                        <c:v>832.3</c:v>
                      </c:pt>
                      <c:pt idx="11">
                        <c:v>965.8</c:v>
                      </c:pt>
                      <c:pt idx="12">
                        <c:v>999.2</c:v>
                      </c:pt>
                      <c:pt idx="13">
                        <c:v>1033</c:v>
                      </c:pt>
                      <c:pt idx="14">
                        <c:v>1066</c:v>
                      </c:pt>
                      <c:pt idx="15">
                        <c:v>1099</c:v>
                      </c:pt>
                      <c:pt idx="16">
                        <c:v>1233</c:v>
                      </c:pt>
                      <c:pt idx="17">
                        <c:v>1366</c:v>
                      </c:pt>
                      <c:pt idx="18">
                        <c:v>1400</c:v>
                      </c:pt>
                      <c:pt idx="19" formatCode="0">
                        <c:v>1433</c:v>
                      </c:pt>
                      <c:pt idx="20" formatCode="0">
                        <c:v>1467</c:v>
                      </c:pt>
                      <c:pt idx="21" formatCode="0">
                        <c:v>1500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SOLID!$F$11:$AL$11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0.1</c:v>
                      </c:pt>
                      <c:pt idx="1">
                        <c:v>0.1</c:v>
                      </c:pt>
                      <c:pt idx="2">
                        <c:v>0.1</c:v>
                      </c:pt>
                      <c:pt idx="3">
                        <c:v>0.1</c:v>
                      </c:pt>
                      <c:pt idx="4">
                        <c:v>0.1</c:v>
                      </c:pt>
                      <c:pt idx="5">
                        <c:v>0.1</c:v>
                      </c:pt>
                      <c:pt idx="6">
                        <c:v>0.1</c:v>
                      </c:pt>
                      <c:pt idx="7">
                        <c:v>2.2433000000000002E-2</c:v>
                      </c:pt>
                      <c:pt idx="8">
                        <c:v>2.0362000000000001E-6</c:v>
                      </c:pt>
                      <c:pt idx="9">
                        <c:v>7.7761000000000004E-20</c:v>
                      </c:pt>
                      <c:pt idx="10">
                        <c:v>2.5107E-30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 formatCode="General">
                        <c:v>0</c:v>
                      </c:pt>
                      <c:pt idx="20" formatCode="General">
                        <c:v>0</c:v>
                      </c:pt>
                      <c:pt idx="21" formatCode="General">
                        <c:v>0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B-D2E1-40A6-A933-2A862B83ED7D}"/>
                  </c:ext>
                </c:extLst>
              </c15:ser>
            </c15:filteredScatterSeries>
            <c15:filteredScatterSeries>
              <c15:ser>
                <c:idx val="8"/>
                <c:order val="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SOLID!$E$12</c15:sqref>
                        </c15:formulaRef>
                      </c:ext>
                    </c:extLst>
                    <c:strCache>
                      <c:ptCount val="1"/>
                      <c:pt idx="0">
                        <c:v>Ge2</c:v>
                      </c:pt>
                    </c:strCache>
                  </c:strRef>
                </c:tx>
                <c:spPr>
                  <a:ln w="19050" cap="rnd">
                    <a:solidFill>
                      <a:schemeClr val="accent6">
                        <a:lumMod val="75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298.2</c:v>
                      </c:pt>
                      <c:pt idx="1">
                        <c:v>331.5</c:v>
                      </c:pt>
                      <c:pt idx="2">
                        <c:v>364.9</c:v>
                      </c:pt>
                      <c:pt idx="3">
                        <c:v>398.3</c:v>
                      </c:pt>
                      <c:pt idx="4">
                        <c:v>431.7</c:v>
                      </c:pt>
                      <c:pt idx="5">
                        <c:v>465.1</c:v>
                      </c:pt>
                      <c:pt idx="6">
                        <c:v>498.5</c:v>
                      </c:pt>
                      <c:pt idx="7">
                        <c:v>531.79999999999995</c:v>
                      </c:pt>
                      <c:pt idx="8">
                        <c:v>565.20000000000005</c:v>
                      </c:pt>
                      <c:pt idx="9">
                        <c:v>698.8</c:v>
                      </c:pt>
                      <c:pt idx="10">
                        <c:v>832.3</c:v>
                      </c:pt>
                      <c:pt idx="11">
                        <c:v>965.8</c:v>
                      </c:pt>
                      <c:pt idx="12">
                        <c:v>999.2</c:v>
                      </c:pt>
                      <c:pt idx="13">
                        <c:v>1033</c:v>
                      </c:pt>
                      <c:pt idx="14">
                        <c:v>1066</c:v>
                      </c:pt>
                      <c:pt idx="15">
                        <c:v>1099</c:v>
                      </c:pt>
                      <c:pt idx="16">
                        <c:v>1233</c:v>
                      </c:pt>
                      <c:pt idx="17">
                        <c:v>1366</c:v>
                      </c:pt>
                      <c:pt idx="18">
                        <c:v>1400</c:v>
                      </c:pt>
                      <c:pt idx="19" formatCode="0">
                        <c:v>1433</c:v>
                      </c:pt>
                      <c:pt idx="20" formatCode="0">
                        <c:v>1467</c:v>
                      </c:pt>
                      <c:pt idx="21" formatCode="0">
                        <c:v>1500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SOLID!$F$12:$AL$12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4.1590999999999998E-36</c:v>
                      </c:pt>
                      <c:pt idx="9">
                        <c:v>1.3659000000000001E-27</c:v>
                      </c:pt>
                      <c:pt idx="10">
                        <c:v>8.0203000000000004E-22</c:v>
                      </c:pt>
                      <c:pt idx="11">
                        <c:v>1.1604999999999999E-17</c:v>
                      </c:pt>
                      <c:pt idx="12">
                        <c:v>8.4930999999999999E-17</c:v>
                      </c:pt>
                      <c:pt idx="13">
                        <c:v>5.4554999999999996E-16</c:v>
                      </c:pt>
                      <c:pt idx="14">
                        <c:v>3.1137999999999998E-15</c:v>
                      </c:pt>
                      <c:pt idx="15">
                        <c:v>1.5962999999999998E-14</c:v>
                      </c:pt>
                      <c:pt idx="16">
                        <c:v>3.9470999999999996E-12</c:v>
                      </c:pt>
                      <c:pt idx="17">
                        <c:v>1.7847999999999999E-10</c:v>
                      </c:pt>
                      <c:pt idx="18">
                        <c:v>4.1200000000000002E-10</c:v>
                      </c:pt>
                      <c:pt idx="19" formatCode="General">
                        <c:v>9.1374999999999997E-10</c:v>
                      </c:pt>
                      <c:pt idx="20" formatCode="General">
                        <c:v>1.9525E-9</c:v>
                      </c:pt>
                      <c:pt idx="21" formatCode="General">
                        <c:v>4.0296000000000002E-9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C-D2E1-40A6-A933-2A862B83ED7D}"/>
                  </c:ext>
                </c:extLst>
              </c15:ser>
            </c15:filteredScatterSeries>
            <c15:filteredScatterSeries>
              <c15:ser>
                <c:idx val="9"/>
                <c:order val="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SOLID!$E$13</c15:sqref>
                        </c15:formulaRef>
                      </c:ext>
                    </c:extLst>
                    <c:strCache>
                      <c:ptCount val="1"/>
                      <c:pt idx="0">
                        <c:v>Ge</c:v>
                      </c:pt>
                    </c:strCache>
                  </c:strRef>
                </c:tx>
                <c:spPr>
                  <a:ln w="19050" cap="rnd">
                    <a:solidFill>
                      <a:srgbClr val="0070C0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298.2</c:v>
                      </c:pt>
                      <c:pt idx="1">
                        <c:v>331.5</c:v>
                      </c:pt>
                      <c:pt idx="2">
                        <c:v>364.9</c:v>
                      </c:pt>
                      <c:pt idx="3">
                        <c:v>398.3</c:v>
                      </c:pt>
                      <c:pt idx="4">
                        <c:v>431.7</c:v>
                      </c:pt>
                      <c:pt idx="5">
                        <c:v>465.1</c:v>
                      </c:pt>
                      <c:pt idx="6">
                        <c:v>498.5</c:v>
                      </c:pt>
                      <c:pt idx="7">
                        <c:v>531.79999999999995</c:v>
                      </c:pt>
                      <c:pt idx="8">
                        <c:v>565.20000000000005</c:v>
                      </c:pt>
                      <c:pt idx="9">
                        <c:v>698.8</c:v>
                      </c:pt>
                      <c:pt idx="10">
                        <c:v>832.3</c:v>
                      </c:pt>
                      <c:pt idx="11">
                        <c:v>965.8</c:v>
                      </c:pt>
                      <c:pt idx="12">
                        <c:v>999.2</c:v>
                      </c:pt>
                      <c:pt idx="13">
                        <c:v>1033</c:v>
                      </c:pt>
                      <c:pt idx="14">
                        <c:v>1066</c:v>
                      </c:pt>
                      <c:pt idx="15">
                        <c:v>1099</c:v>
                      </c:pt>
                      <c:pt idx="16">
                        <c:v>1233</c:v>
                      </c:pt>
                      <c:pt idx="17">
                        <c:v>1366</c:v>
                      </c:pt>
                      <c:pt idx="18">
                        <c:v>1400</c:v>
                      </c:pt>
                      <c:pt idx="19" formatCode="0">
                        <c:v>1433</c:v>
                      </c:pt>
                      <c:pt idx="20" formatCode="0">
                        <c:v>1467</c:v>
                      </c:pt>
                      <c:pt idx="21" formatCode="0">
                        <c:v>1500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SOLID!$F$13:$AL$13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2.5350000000000001E-33</c:v>
                      </c:pt>
                      <c:pt idx="7">
                        <c:v>1.0517999999999999E-30</c:v>
                      </c:pt>
                      <c:pt idx="8">
                        <c:v>1.3863000000000001E-28</c:v>
                      </c:pt>
                      <c:pt idx="9">
                        <c:v>5.5174000000000001E-22</c:v>
                      </c:pt>
                      <c:pt idx="10">
                        <c:v>1.6886000000000001E-17</c:v>
                      </c:pt>
                      <c:pt idx="11">
                        <c:v>2.9747000000000003E-14</c:v>
                      </c:pt>
                      <c:pt idx="12">
                        <c:v>1.4100000000000001E-13</c:v>
                      </c:pt>
                      <c:pt idx="13">
                        <c:v>6.0427000000000001E-13</c:v>
                      </c:pt>
                      <c:pt idx="14">
                        <c:v>2.3635000000000002E-12</c:v>
                      </c:pt>
                      <c:pt idx="15">
                        <c:v>8.5073000000000003E-12</c:v>
                      </c:pt>
                      <c:pt idx="16">
                        <c:v>6.6755000000000004E-10</c:v>
                      </c:pt>
                      <c:pt idx="17">
                        <c:v>1.6446E-8</c:v>
                      </c:pt>
                      <c:pt idx="18">
                        <c:v>3.3279000000000003E-8</c:v>
                      </c:pt>
                      <c:pt idx="19" formatCode="General">
                        <c:v>6.5148999999999997E-8</c:v>
                      </c:pt>
                      <c:pt idx="20" formatCode="General">
                        <c:v>1.2367E-7</c:v>
                      </c:pt>
                      <c:pt idx="21" formatCode="General">
                        <c:v>2.2807999999999999E-7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D-D2E1-40A6-A933-2A862B83ED7D}"/>
                  </c:ext>
                </c:extLst>
              </c15:ser>
            </c15:filteredScatterSeries>
            <c15:filteredScatterSeries>
              <c15:ser>
                <c:idx val="10"/>
                <c:order val="1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SOLID!$E$14</c15:sqref>
                        </c15:formulaRef>
                      </c:ext>
                    </c:extLst>
                    <c:strCache>
                      <c:ptCount val="1"/>
                      <c:pt idx="0">
                        <c:v>Ar</c:v>
                      </c:pt>
                    </c:strCache>
                  </c:strRef>
                </c:tx>
                <c:spPr>
                  <a:ln w="19050" cap="rnd">
                    <a:solidFill>
                      <a:schemeClr val="accent5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298.2</c:v>
                      </c:pt>
                      <c:pt idx="1">
                        <c:v>331.5</c:v>
                      </c:pt>
                      <c:pt idx="2">
                        <c:v>364.9</c:v>
                      </c:pt>
                      <c:pt idx="3">
                        <c:v>398.3</c:v>
                      </c:pt>
                      <c:pt idx="4">
                        <c:v>431.7</c:v>
                      </c:pt>
                      <c:pt idx="5">
                        <c:v>465.1</c:v>
                      </c:pt>
                      <c:pt idx="6">
                        <c:v>498.5</c:v>
                      </c:pt>
                      <c:pt idx="7">
                        <c:v>531.79999999999995</c:v>
                      </c:pt>
                      <c:pt idx="8">
                        <c:v>565.20000000000005</c:v>
                      </c:pt>
                      <c:pt idx="9">
                        <c:v>698.8</c:v>
                      </c:pt>
                      <c:pt idx="10">
                        <c:v>832.3</c:v>
                      </c:pt>
                      <c:pt idx="11">
                        <c:v>965.8</c:v>
                      </c:pt>
                      <c:pt idx="12">
                        <c:v>999.2</c:v>
                      </c:pt>
                      <c:pt idx="13">
                        <c:v>1033</c:v>
                      </c:pt>
                      <c:pt idx="14">
                        <c:v>1066</c:v>
                      </c:pt>
                      <c:pt idx="15">
                        <c:v>1099</c:v>
                      </c:pt>
                      <c:pt idx="16">
                        <c:v>1233</c:v>
                      </c:pt>
                      <c:pt idx="17">
                        <c:v>1366</c:v>
                      </c:pt>
                      <c:pt idx="18">
                        <c:v>1400</c:v>
                      </c:pt>
                      <c:pt idx="19" formatCode="0">
                        <c:v>1433</c:v>
                      </c:pt>
                      <c:pt idx="20" formatCode="0">
                        <c:v>1467</c:v>
                      </c:pt>
                      <c:pt idx="21" formatCode="0">
                        <c:v>1500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SOLID!$F$14:$AL$14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0.2</c:v>
                      </c:pt>
                      <c:pt idx="1">
                        <c:v>0.2</c:v>
                      </c:pt>
                      <c:pt idx="2">
                        <c:v>0.2</c:v>
                      </c:pt>
                      <c:pt idx="3">
                        <c:v>0.2</c:v>
                      </c:pt>
                      <c:pt idx="4">
                        <c:v>0.2</c:v>
                      </c:pt>
                      <c:pt idx="5">
                        <c:v>0.2</c:v>
                      </c:pt>
                      <c:pt idx="6">
                        <c:v>0.2</c:v>
                      </c:pt>
                      <c:pt idx="7">
                        <c:v>0.2</c:v>
                      </c:pt>
                      <c:pt idx="8">
                        <c:v>0.2</c:v>
                      </c:pt>
                      <c:pt idx="9">
                        <c:v>0.2</c:v>
                      </c:pt>
                      <c:pt idx="10">
                        <c:v>0.2</c:v>
                      </c:pt>
                      <c:pt idx="11">
                        <c:v>0.2</c:v>
                      </c:pt>
                      <c:pt idx="12">
                        <c:v>0.2</c:v>
                      </c:pt>
                      <c:pt idx="13">
                        <c:v>0.2</c:v>
                      </c:pt>
                      <c:pt idx="14">
                        <c:v>0.2</c:v>
                      </c:pt>
                      <c:pt idx="15">
                        <c:v>0.2</c:v>
                      </c:pt>
                      <c:pt idx="16">
                        <c:v>0.2</c:v>
                      </c:pt>
                      <c:pt idx="17">
                        <c:v>0.2</c:v>
                      </c:pt>
                      <c:pt idx="18">
                        <c:v>0.2</c:v>
                      </c:pt>
                      <c:pt idx="19" formatCode="General">
                        <c:v>0.2</c:v>
                      </c:pt>
                      <c:pt idx="20" formatCode="General">
                        <c:v>0.2</c:v>
                      </c:pt>
                      <c:pt idx="21" formatCode="General">
                        <c:v>0.2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E-D2E1-40A6-A933-2A862B83ED7D}"/>
                  </c:ext>
                </c:extLst>
              </c15:ser>
            </c15:filteredScatterSeries>
            <c15:filteredScatterSeries>
              <c15:ser>
                <c:idx val="11"/>
                <c:order val="1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SOLID!$E$15</c15:sqref>
                        </c15:formulaRef>
                      </c:ext>
                    </c:extLst>
                    <c:strCache>
                      <c:ptCount val="1"/>
                      <c:pt idx="0">
                        <c:v>(l)Ge[l]</c:v>
                      </c:pt>
                    </c:strCache>
                  </c:strRef>
                </c:tx>
                <c:spPr>
                  <a:ln w="19050" cap="rnd">
                    <a:solidFill>
                      <a:schemeClr val="accent6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298.2</c:v>
                      </c:pt>
                      <c:pt idx="1">
                        <c:v>331.5</c:v>
                      </c:pt>
                      <c:pt idx="2">
                        <c:v>364.9</c:v>
                      </c:pt>
                      <c:pt idx="3">
                        <c:v>398.3</c:v>
                      </c:pt>
                      <c:pt idx="4">
                        <c:v>431.7</c:v>
                      </c:pt>
                      <c:pt idx="5">
                        <c:v>465.1</c:v>
                      </c:pt>
                      <c:pt idx="6">
                        <c:v>498.5</c:v>
                      </c:pt>
                      <c:pt idx="7">
                        <c:v>531.79999999999995</c:v>
                      </c:pt>
                      <c:pt idx="8">
                        <c:v>565.20000000000005</c:v>
                      </c:pt>
                      <c:pt idx="9">
                        <c:v>698.8</c:v>
                      </c:pt>
                      <c:pt idx="10">
                        <c:v>832.3</c:v>
                      </c:pt>
                      <c:pt idx="11">
                        <c:v>965.8</c:v>
                      </c:pt>
                      <c:pt idx="12">
                        <c:v>999.2</c:v>
                      </c:pt>
                      <c:pt idx="13">
                        <c:v>1033</c:v>
                      </c:pt>
                      <c:pt idx="14">
                        <c:v>1066</c:v>
                      </c:pt>
                      <c:pt idx="15">
                        <c:v>1099</c:v>
                      </c:pt>
                      <c:pt idx="16">
                        <c:v>1233</c:v>
                      </c:pt>
                      <c:pt idx="17">
                        <c:v>1366</c:v>
                      </c:pt>
                      <c:pt idx="18">
                        <c:v>1400</c:v>
                      </c:pt>
                      <c:pt idx="19" formatCode="0">
                        <c:v>1433</c:v>
                      </c:pt>
                      <c:pt idx="20" formatCode="0">
                        <c:v>1467</c:v>
                      </c:pt>
                      <c:pt idx="21" formatCode="0">
                        <c:v>1500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SOLID!$F$15:$AL$15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2.0058000000000001E-22</c:v>
                      </c:pt>
                      <c:pt idx="9">
                        <c:v>7.6130999999999995E-12</c:v>
                      </c:pt>
                      <c:pt idx="10">
                        <c:v>5.2134000000000001E-11</c:v>
                      </c:pt>
                      <c:pt idx="11">
                        <c:v>1.4366E-9</c:v>
                      </c:pt>
                      <c:pt idx="12">
                        <c:v>2.4853000000000001E-9</c:v>
                      </c:pt>
                      <c:pt idx="13">
                        <c:v>4.4833E-9</c:v>
                      </c:pt>
                      <c:pt idx="14">
                        <c:v>1.1865000000000001E-8</c:v>
                      </c:pt>
                      <c:pt idx="15">
                        <c:v>2.9401E-8</c:v>
                      </c:pt>
                      <c:pt idx="16">
                        <c:v>5.9993999999999999E-2</c:v>
                      </c:pt>
                      <c:pt idx="17">
                        <c:v>0.06</c:v>
                      </c:pt>
                      <c:pt idx="18">
                        <c:v>0.06</c:v>
                      </c:pt>
                      <c:pt idx="19" formatCode="General">
                        <c:v>0.06</c:v>
                      </c:pt>
                      <c:pt idx="20" formatCode="General">
                        <c:v>0.06</c:v>
                      </c:pt>
                      <c:pt idx="21" formatCode="General">
                        <c:v>0.06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F-D2E1-40A6-A933-2A862B83ED7D}"/>
                  </c:ext>
                </c:extLst>
              </c15:ser>
            </c15:filteredScatterSeries>
            <c15:filteredScatterSeries>
              <c15:ser>
                <c:idx val="12"/>
                <c:order val="1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SOLID!$E$16</c15:sqref>
                        </c15:formulaRef>
                      </c:ext>
                    </c:extLst>
                    <c:strCache>
                      <c:ptCount val="1"/>
                      <c:pt idx="0">
                        <c:v>H (Ar)</c:v>
                      </c:pt>
                    </c:strCache>
                  </c:strRef>
                </c:tx>
                <c:spPr>
                  <a:ln w="19050" cap="rnd">
                    <a:solidFill>
                      <a:srgbClr val="FF0000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298.2</c:v>
                      </c:pt>
                      <c:pt idx="1">
                        <c:v>331.5</c:v>
                      </c:pt>
                      <c:pt idx="2">
                        <c:v>364.9</c:v>
                      </c:pt>
                      <c:pt idx="3">
                        <c:v>398.3</c:v>
                      </c:pt>
                      <c:pt idx="4">
                        <c:v>431.7</c:v>
                      </c:pt>
                      <c:pt idx="5">
                        <c:v>465.1</c:v>
                      </c:pt>
                      <c:pt idx="6">
                        <c:v>498.5</c:v>
                      </c:pt>
                      <c:pt idx="7">
                        <c:v>531.79999999999995</c:v>
                      </c:pt>
                      <c:pt idx="8">
                        <c:v>565.20000000000005</c:v>
                      </c:pt>
                      <c:pt idx="9">
                        <c:v>698.8</c:v>
                      </c:pt>
                      <c:pt idx="10">
                        <c:v>832.3</c:v>
                      </c:pt>
                      <c:pt idx="11">
                        <c:v>965.8</c:v>
                      </c:pt>
                      <c:pt idx="12">
                        <c:v>999.2</c:v>
                      </c:pt>
                      <c:pt idx="13">
                        <c:v>1033</c:v>
                      </c:pt>
                      <c:pt idx="14">
                        <c:v>1066</c:v>
                      </c:pt>
                      <c:pt idx="15">
                        <c:v>1099</c:v>
                      </c:pt>
                      <c:pt idx="16">
                        <c:v>1233</c:v>
                      </c:pt>
                      <c:pt idx="17">
                        <c:v>1366</c:v>
                      </c:pt>
                      <c:pt idx="18">
                        <c:v>1400</c:v>
                      </c:pt>
                      <c:pt idx="19" formatCode="0">
                        <c:v>1433</c:v>
                      </c:pt>
                      <c:pt idx="20" formatCode="0">
                        <c:v>1467</c:v>
                      </c:pt>
                      <c:pt idx="21" formatCode="0">
                        <c:v>1500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SOLID!$F$16:$AL$16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-19.02</c:v>
                      </c:pt>
                      <c:pt idx="1">
                        <c:v>-19.03</c:v>
                      </c:pt>
                      <c:pt idx="2">
                        <c:v>-19.059999999999999</c:v>
                      </c:pt>
                      <c:pt idx="3">
                        <c:v>-19.11</c:v>
                      </c:pt>
                      <c:pt idx="4">
                        <c:v>-19.170000000000002</c:v>
                      </c:pt>
                      <c:pt idx="5">
                        <c:v>-19.23</c:v>
                      </c:pt>
                      <c:pt idx="6">
                        <c:v>-19.3</c:v>
                      </c:pt>
                      <c:pt idx="7">
                        <c:v>-19.07</c:v>
                      </c:pt>
                      <c:pt idx="8">
                        <c:v>-19.03</c:v>
                      </c:pt>
                      <c:pt idx="9">
                        <c:v>-19.309999999999999</c:v>
                      </c:pt>
                      <c:pt idx="10">
                        <c:v>-19.57</c:v>
                      </c:pt>
                      <c:pt idx="11">
                        <c:v>-19.82</c:v>
                      </c:pt>
                      <c:pt idx="12">
                        <c:v>-19.88</c:v>
                      </c:pt>
                      <c:pt idx="13">
                        <c:v>-19.940000000000001</c:v>
                      </c:pt>
                      <c:pt idx="14">
                        <c:v>-20</c:v>
                      </c:pt>
                      <c:pt idx="15">
                        <c:v>-20.05</c:v>
                      </c:pt>
                      <c:pt idx="16">
                        <c:v>-20.260000000000002</c:v>
                      </c:pt>
                      <c:pt idx="17">
                        <c:v>-20.46</c:v>
                      </c:pt>
                      <c:pt idx="18">
                        <c:v>-20.51</c:v>
                      </c:pt>
                      <c:pt idx="19" formatCode="General">
                        <c:v>-20.56</c:v>
                      </c:pt>
                      <c:pt idx="20" formatCode="General">
                        <c:v>-20.6</c:v>
                      </c:pt>
                      <c:pt idx="21" formatCode="General">
                        <c:v>-20.65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0-D2E1-40A6-A933-2A862B83ED7D}"/>
                  </c:ext>
                </c:extLst>
              </c15:ser>
            </c15:filteredScatterSeries>
            <c15:filteredScatterSeries>
              <c15:ser>
                <c:idx val="13"/>
                <c:order val="1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SOLID!$E$17</c15:sqref>
                        </c15:formulaRef>
                      </c:ext>
                    </c:extLst>
                    <c:strCache>
                      <c:ptCount val="1"/>
                      <c:pt idx="0">
                        <c:v>H (Ga)</c:v>
                      </c:pt>
                    </c:strCache>
                  </c:strRef>
                </c:tx>
                <c:spPr>
                  <a:ln w="19050" cap="rnd">
                    <a:solidFill>
                      <a:schemeClr val="accent2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298.2</c:v>
                      </c:pt>
                      <c:pt idx="1">
                        <c:v>331.5</c:v>
                      </c:pt>
                      <c:pt idx="2">
                        <c:v>364.9</c:v>
                      </c:pt>
                      <c:pt idx="3">
                        <c:v>398.3</c:v>
                      </c:pt>
                      <c:pt idx="4">
                        <c:v>431.7</c:v>
                      </c:pt>
                      <c:pt idx="5">
                        <c:v>465.1</c:v>
                      </c:pt>
                      <c:pt idx="6">
                        <c:v>498.5</c:v>
                      </c:pt>
                      <c:pt idx="7">
                        <c:v>531.79999999999995</c:v>
                      </c:pt>
                      <c:pt idx="8">
                        <c:v>565.20000000000005</c:v>
                      </c:pt>
                      <c:pt idx="9">
                        <c:v>698.8</c:v>
                      </c:pt>
                      <c:pt idx="10">
                        <c:v>832.3</c:v>
                      </c:pt>
                      <c:pt idx="11">
                        <c:v>965.8</c:v>
                      </c:pt>
                      <c:pt idx="12">
                        <c:v>999.2</c:v>
                      </c:pt>
                      <c:pt idx="13">
                        <c:v>1033</c:v>
                      </c:pt>
                      <c:pt idx="14">
                        <c:v>1066</c:v>
                      </c:pt>
                      <c:pt idx="15">
                        <c:v>1099</c:v>
                      </c:pt>
                      <c:pt idx="16">
                        <c:v>1233</c:v>
                      </c:pt>
                      <c:pt idx="17">
                        <c:v>1366</c:v>
                      </c:pt>
                      <c:pt idx="18">
                        <c:v>1400</c:v>
                      </c:pt>
                      <c:pt idx="19" formatCode="0">
                        <c:v>1433</c:v>
                      </c:pt>
                      <c:pt idx="20" formatCode="0">
                        <c:v>1467</c:v>
                      </c:pt>
                      <c:pt idx="21" formatCode="0">
                        <c:v>1500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SOLID!$F$17:$AL$17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-60.99</c:v>
                      </c:pt>
                      <c:pt idx="1">
                        <c:v>-55.39</c:v>
                      </c:pt>
                      <c:pt idx="2">
                        <c:v>-48.92</c:v>
                      </c:pt>
                      <c:pt idx="3">
                        <c:v>-42.66</c:v>
                      </c:pt>
                      <c:pt idx="4">
                        <c:v>-37.28</c:v>
                      </c:pt>
                      <c:pt idx="5">
                        <c:v>-32.6</c:v>
                      </c:pt>
                      <c:pt idx="6">
                        <c:v>-28.48</c:v>
                      </c:pt>
                      <c:pt idx="7">
                        <c:v>-25.41</c:v>
                      </c:pt>
                      <c:pt idx="8">
                        <c:v>-26.73</c:v>
                      </c:pt>
                      <c:pt idx="9">
                        <c:v>-31.78</c:v>
                      </c:pt>
                      <c:pt idx="10">
                        <c:v>-36.28</c:v>
                      </c:pt>
                      <c:pt idx="11">
                        <c:v>-40.049999999999997</c:v>
                      </c:pt>
                      <c:pt idx="12">
                        <c:v>-40.86</c:v>
                      </c:pt>
                      <c:pt idx="13">
                        <c:v>-41.61</c:v>
                      </c:pt>
                      <c:pt idx="14">
                        <c:v>-42.31</c:v>
                      </c:pt>
                      <c:pt idx="15">
                        <c:v>-42.94</c:v>
                      </c:pt>
                      <c:pt idx="16">
                        <c:v>-44.86</c:v>
                      </c:pt>
                      <c:pt idx="17">
                        <c:v>-45.72</c:v>
                      </c:pt>
                      <c:pt idx="18">
                        <c:v>-45.76</c:v>
                      </c:pt>
                      <c:pt idx="19" formatCode="General">
                        <c:v>-45.74</c:v>
                      </c:pt>
                      <c:pt idx="20" formatCode="General">
                        <c:v>-45.64</c:v>
                      </c:pt>
                      <c:pt idx="21" formatCode="General">
                        <c:v>-45.47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1-D2E1-40A6-A933-2A862B83ED7D}"/>
                  </c:ext>
                </c:extLst>
              </c15:ser>
            </c15:filteredScatterSeries>
            <c15:filteredScatterSeries>
              <c15:ser>
                <c:idx val="14"/>
                <c:order val="1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SOLID!$E$18</c15:sqref>
                        </c15:formulaRef>
                      </c:ext>
                    </c:extLst>
                    <c:strCache>
                      <c:ptCount val="1"/>
                      <c:pt idx="0">
                        <c:v>H (Ge)</c:v>
                      </c:pt>
                    </c:strCache>
                  </c:strRef>
                </c:tx>
                <c:spPr>
                  <a:ln w="19050" cap="rnd">
                    <a:solidFill>
                      <a:schemeClr val="accent3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298.2</c:v>
                      </c:pt>
                      <c:pt idx="1">
                        <c:v>331.5</c:v>
                      </c:pt>
                      <c:pt idx="2">
                        <c:v>364.9</c:v>
                      </c:pt>
                      <c:pt idx="3">
                        <c:v>398.3</c:v>
                      </c:pt>
                      <c:pt idx="4">
                        <c:v>431.7</c:v>
                      </c:pt>
                      <c:pt idx="5">
                        <c:v>465.1</c:v>
                      </c:pt>
                      <c:pt idx="6">
                        <c:v>498.5</c:v>
                      </c:pt>
                      <c:pt idx="7">
                        <c:v>531.79999999999995</c:v>
                      </c:pt>
                      <c:pt idx="8">
                        <c:v>565.20000000000005</c:v>
                      </c:pt>
                      <c:pt idx="9">
                        <c:v>698.8</c:v>
                      </c:pt>
                      <c:pt idx="10">
                        <c:v>832.3</c:v>
                      </c:pt>
                      <c:pt idx="11">
                        <c:v>965.8</c:v>
                      </c:pt>
                      <c:pt idx="12">
                        <c:v>999.2</c:v>
                      </c:pt>
                      <c:pt idx="13">
                        <c:v>1033</c:v>
                      </c:pt>
                      <c:pt idx="14">
                        <c:v>1066</c:v>
                      </c:pt>
                      <c:pt idx="15">
                        <c:v>1099</c:v>
                      </c:pt>
                      <c:pt idx="16">
                        <c:v>1233</c:v>
                      </c:pt>
                      <c:pt idx="17">
                        <c:v>1366</c:v>
                      </c:pt>
                      <c:pt idx="18">
                        <c:v>1400</c:v>
                      </c:pt>
                      <c:pt idx="19" formatCode="0">
                        <c:v>1433</c:v>
                      </c:pt>
                      <c:pt idx="20" formatCode="0">
                        <c:v>1467</c:v>
                      </c:pt>
                      <c:pt idx="21" formatCode="0">
                        <c:v>1500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SOLID!$F$18:$AL$18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-15.35</c:v>
                      </c:pt>
                      <c:pt idx="1">
                        <c:v>-14.36</c:v>
                      </c:pt>
                      <c:pt idx="2">
                        <c:v>-12.3</c:v>
                      </c:pt>
                      <c:pt idx="3">
                        <c:v>-10.01</c:v>
                      </c:pt>
                      <c:pt idx="4">
                        <c:v>-8.0210000000000008</c:v>
                      </c:pt>
                      <c:pt idx="5">
                        <c:v>-6.28</c:v>
                      </c:pt>
                      <c:pt idx="6">
                        <c:v>-4.7359999999999998</c:v>
                      </c:pt>
                      <c:pt idx="7">
                        <c:v>-4.141</c:v>
                      </c:pt>
                      <c:pt idx="8">
                        <c:v>-4.2229999999999999</c:v>
                      </c:pt>
                      <c:pt idx="9">
                        <c:v>-4.5529999999999999</c:v>
                      </c:pt>
                      <c:pt idx="10">
                        <c:v>-4.8730000000000002</c:v>
                      </c:pt>
                      <c:pt idx="11">
                        <c:v>-5.1749999999999998</c:v>
                      </c:pt>
                      <c:pt idx="12">
                        <c:v>-5.2469999999999999</c:v>
                      </c:pt>
                      <c:pt idx="13">
                        <c:v>-5.3179999999999996</c:v>
                      </c:pt>
                      <c:pt idx="14">
                        <c:v>-5.3890000000000002</c:v>
                      </c:pt>
                      <c:pt idx="15">
                        <c:v>-5.4580000000000002</c:v>
                      </c:pt>
                      <c:pt idx="16">
                        <c:v>-5.7869999999999999</c:v>
                      </c:pt>
                      <c:pt idx="17">
                        <c:v>-6.3879999999999999</c:v>
                      </c:pt>
                      <c:pt idx="18">
                        <c:v>-6.5250000000000004</c:v>
                      </c:pt>
                      <c:pt idx="19" formatCode="General">
                        <c:v>-6.6580000000000004</c:v>
                      </c:pt>
                      <c:pt idx="20" formatCode="General">
                        <c:v>-6.7869999999999999</c:v>
                      </c:pt>
                      <c:pt idx="21" formatCode="General">
                        <c:v>-6.9109999999999996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2-D2E1-40A6-A933-2A862B83ED7D}"/>
                  </c:ext>
                </c:extLst>
              </c15:ser>
            </c15:filteredScatterSeries>
            <c15:filteredScatterSeries>
              <c15:ser>
                <c:idx val="15"/>
                <c:order val="1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SOLID!$E$19</c15:sqref>
                        </c15:formulaRef>
                      </c:ext>
                    </c:extLst>
                    <c:strCache>
                      <c:ptCount val="1"/>
                      <c:pt idx="0">
                        <c:v>H (Se)</c:v>
                      </c:pt>
                    </c:strCache>
                  </c:strRef>
                </c:tx>
                <c:spPr>
                  <a:ln w="19050" cap="rnd">
                    <a:solidFill>
                      <a:schemeClr val="accent4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298.2</c:v>
                      </c:pt>
                      <c:pt idx="1">
                        <c:v>331.5</c:v>
                      </c:pt>
                      <c:pt idx="2">
                        <c:v>364.9</c:v>
                      </c:pt>
                      <c:pt idx="3">
                        <c:v>398.3</c:v>
                      </c:pt>
                      <c:pt idx="4">
                        <c:v>431.7</c:v>
                      </c:pt>
                      <c:pt idx="5">
                        <c:v>465.1</c:v>
                      </c:pt>
                      <c:pt idx="6">
                        <c:v>498.5</c:v>
                      </c:pt>
                      <c:pt idx="7">
                        <c:v>531.79999999999995</c:v>
                      </c:pt>
                      <c:pt idx="8">
                        <c:v>565.20000000000005</c:v>
                      </c:pt>
                      <c:pt idx="9">
                        <c:v>698.8</c:v>
                      </c:pt>
                      <c:pt idx="10">
                        <c:v>832.3</c:v>
                      </c:pt>
                      <c:pt idx="11">
                        <c:v>965.8</c:v>
                      </c:pt>
                      <c:pt idx="12">
                        <c:v>999.2</c:v>
                      </c:pt>
                      <c:pt idx="13">
                        <c:v>1033</c:v>
                      </c:pt>
                      <c:pt idx="14">
                        <c:v>1066</c:v>
                      </c:pt>
                      <c:pt idx="15">
                        <c:v>1099</c:v>
                      </c:pt>
                      <c:pt idx="16">
                        <c:v>1233</c:v>
                      </c:pt>
                      <c:pt idx="17">
                        <c:v>1366</c:v>
                      </c:pt>
                      <c:pt idx="18">
                        <c:v>1400</c:v>
                      </c:pt>
                      <c:pt idx="19" formatCode="0">
                        <c:v>1433</c:v>
                      </c:pt>
                      <c:pt idx="20" formatCode="0">
                        <c:v>1467</c:v>
                      </c:pt>
                      <c:pt idx="21" formatCode="0">
                        <c:v>1500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SOLID!$F$19:$AL$19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-21.89</c:v>
                      </c:pt>
                      <c:pt idx="1">
                        <c:v>-20.11</c:v>
                      </c:pt>
                      <c:pt idx="2">
                        <c:v>-19.97</c:v>
                      </c:pt>
                      <c:pt idx="3">
                        <c:v>-20.47</c:v>
                      </c:pt>
                      <c:pt idx="4">
                        <c:v>-20.98</c:v>
                      </c:pt>
                      <c:pt idx="5">
                        <c:v>-21.49</c:v>
                      </c:pt>
                      <c:pt idx="6">
                        <c:v>-22.01</c:v>
                      </c:pt>
                      <c:pt idx="7">
                        <c:v>-22.51</c:v>
                      </c:pt>
                      <c:pt idx="8">
                        <c:v>-23.02</c:v>
                      </c:pt>
                      <c:pt idx="9">
                        <c:v>-24.96</c:v>
                      </c:pt>
                      <c:pt idx="10">
                        <c:v>-26.77</c:v>
                      </c:pt>
                      <c:pt idx="11">
                        <c:v>-28.49</c:v>
                      </c:pt>
                      <c:pt idx="12">
                        <c:v>-28.9</c:v>
                      </c:pt>
                      <c:pt idx="13">
                        <c:v>-29.31</c:v>
                      </c:pt>
                      <c:pt idx="14">
                        <c:v>-29.72</c:v>
                      </c:pt>
                      <c:pt idx="15">
                        <c:v>-30.12</c:v>
                      </c:pt>
                      <c:pt idx="16">
                        <c:v>-31.69</c:v>
                      </c:pt>
                      <c:pt idx="17">
                        <c:v>-33.22</c:v>
                      </c:pt>
                      <c:pt idx="18">
                        <c:v>-33.590000000000003</c:v>
                      </c:pt>
                      <c:pt idx="19" formatCode="General">
                        <c:v>-33.97</c:v>
                      </c:pt>
                      <c:pt idx="20" formatCode="General">
                        <c:v>-34.340000000000003</c:v>
                      </c:pt>
                      <c:pt idx="21" formatCode="General">
                        <c:v>-34.71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3-D2E1-40A6-A933-2A862B83ED7D}"/>
                  </c:ext>
                </c:extLst>
              </c15:ser>
            </c15:filteredScatterSeries>
            <c15:filteredScatterSeries>
              <c15:ser>
                <c:idx val="16"/>
                <c:order val="1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SOLID!$E$20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5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298.2</c:v>
                      </c:pt>
                      <c:pt idx="1">
                        <c:v>331.5</c:v>
                      </c:pt>
                      <c:pt idx="2">
                        <c:v>364.9</c:v>
                      </c:pt>
                      <c:pt idx="3">
                        <c:v>398.3</c:v>
                      </c:pt>
                      <c:pt idx="4">
                        <c:v>431.7</c:v>
                      </c:pt>
                      <c:pt idx="5">
                        <c:v>465.1</c:v>
                      </c:pt>
                      <c:pt idx="6">
                        <c:v>498.5</c:v>
                      </c:pt>
                      <c:pt idx="7">
                        <c:v>531.79999999999995</c:v>
                      </c:pt>
                      <c:pt idx="8">
                        <c:v>565.20000000000005</c:v>
                      </c:pt>
                      <c:pt idx="9">
                        <c:v>698.8</c:v>
                      </c:pt>
                      <c:pt idx="10">
                        <c:v>832.3</c:v>
                      </c:pt>
                      <c:pt idx="11">
                        <c:v>965.8</c:v>
                      </c:pt>
                      <c:pt idx="12">
                        <c:v>999.2</c:v>
                      </c:pt>
                      <c:pt idx="13">
                        <c:v>1033</c:v>
                      </c:pt>
                      <c:pt idx="14">
                        <c:v>1066</c:v>
                      </c:pt>
                      <c:pt idx="15">
                        <c:v>1099</c:v>
                      </c:pt>
                      <c:pt idx="16">
                        <c:v>1233</c:v>
                      </c:pt>
                      <c:pt idx="17">
                        <c:v>1366</c:v>
                      </c:pt>
                      <c:pt idx="18">
                        <c:v>1400</c:v>
                      </c:pt>
                      <c:pt idx="19" formatCode="0">
                        <c:v>1433</c:v>
                      </c:pt>
                      <c:pt idx="20" formatCode="0">
                        <c:v>1467</c:v>
                      </c:pt>
                      <c:pt idx="21" formatCode="0">
                        <c:v>1500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SOLID!$F$20:$AL$20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4-D2E1-40A6-A933-2A862B83ED7D}"/>
                  </c:ext>
                </c:extLst>
              </c15:ser>
            </c15:filteredScatterSeries>
            <c15:filteredScatterSeries>
              <c15:ser>
                <c:idx val="17"/>
                <c:order val="1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SOLID!$E$21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6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298.2</c:v>
                      </c:pt>
                      <c:pt idx="1">
                        <c:v>331.5</c:v>
                      </c:pt>
                      <c:pt idx="2">
                        <c:v>364.9</c:v>
                      </c:pt>
                      <c:pt idx="3">
                        <c:v>398.3</c:v>
                      </c:pt>
                      <c:pt idx="4">
                        <c:v>431.7</c:v>
                      </c:pt>
                      <c:pt idx="5">
                        <c:v>465.1</c:v>
                      </c:pt>
                      <c:pt idx="6">
                        <c:v>498.5</c:v>
                      </c:pt>
                      <c:pt idx="7">
                        <c:v>531.79999999999995</c:v>
                      </c:pt>
                      <c:pt idx="8">
                        <c:v>565.20000000000005</c:v>
                      </c:pt>
                      <c:pt idx="9">
                        <c:v>698.8</c:v>
                      </c:pt>
                      <c:pt idx="10">
                        <c:v>832.3</c:v>
                      </c:pt>
                      <c:pt idx="11">
                        <c:v>965.8</c:v>
                      </c:pt>
                      <c:pt idx="12">
                        <c:v>999.2</c:v>
                      </c:pt>
                      <c:pt idx="13">
                        <c:v>1033</c:v>
                      </c:pt>
                      <c:pt idx="14">
                        <c:v>1066</c:v>
                      </c:pt>
                      <c:pt idx="15">
                        <c:v>1099</c:v>
                      </c:pt>
                      <c:pt idx="16">
                        <c:v>1233</c:v>
                      </c:pt>
                      <c:pt idx="17">
                        <c:v>1366</c:v>
                      </c:pt>
                      <c:pt idx="18">
                        <c:v>1400</c:v>
                      </c:pt>
                      <c:pt idx="19" formatCode="0">
                        <c:v>1433</c:v>
                      </c:pt>
                      <c:pt idx="20" formatCode="0">
                        <c:v>1467</c:v>
                      </c:pt>
                      <c:pt idx="21" formatCode="0">
                        <c:v>1500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SOLID!$F$21:$AL$21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5-D2E1-40A6-A933-2A862B83ED7D}"/>
                  </c:ext>
                </c:extLst>
              </c15:ser>
            </c15:filteredScatterSeries>
            <c15:filteredScatterSeries>
              <c15:ser>
                <c:idx val="18"/>
                <c:order val="1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SOLID!$E$22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1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298.2</c:v>
                      </c:pt>
                      <c:pt idx="1">
                        <c:v>331.5</c:v>
                      </c:pt>
                      <c:pt idx="2">
                        <c:v>364.9</c:v>
                      </c:pt>
                      <c:pt idx="3">
                        <c:v>398.3</c:v>
                      </c:pt>
                      <c:pt idx="4">
                        <c:v>431.7</c:v>
                      </c:pt>
                      <c:pt idx="5">
                        <c:v>465.1</c:v>
                      </c:pt>
                      <c:pt idx="6">
                        <c:v>498.5</c:v>
                      </c:pt>
                      <c:pt idx="7">
                        <c:v>531.79999999999995</c:v>
                      </c:pt>
                      <c:pt idx="8">
                        <c:v>565.20000000000005</c:v>
                      </c:pt>
                      <c:pt idx="9">
                        <c:v>698.8</c:v>
                      </c:pt>
                      <c:pt idx="10">
                        <c:v>832.3</c:v>
                      </c:pt>
                      <c:pt idx="11">
                        <c:v>965.8</c:v>
                      </c:pt>
                      <c:pt idx="12">
                        <c:v>999.2</c:v>
                      </c:pt>
                      <c:pt idx="13">
                        <c:v>1033</c:v>
                      </c:pt>
                      <c:pt idx="14">
                        <c:v>1066</c:v>
                      </c:pt>
                      <c:pt idx="15">
                        <c:v>1099</c:v>
                      </c:pt>
                      <c:pt idx="16">
                        <c:v>1233</c:v>
                      </c:pt>
                      <c:pt idx="17">
                        <c:v>1366</c:v>
                      </c:pt>
                      <c:pt idx="18">
                        <c:v>1400</c:v>
                      </c:pt>
                      <c:pt idx="19" formatCode="0">
                        <c:v>1433</c:v>
                      </c:pt>
                      <c:pt idx="20" formatCode="0">
                        <c:v>1467</c:v>
                      </c:pt>
                      <c:pt idx="21" formatCode="0">
                        <c:v>1500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SOLID!$F$22:$AL$22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6-D2E1-40A6-A933-2A862B83ED7D}"/>
                  </c:ext>
                </c:extLst>
              </c15:ser>
            </c15:filteredScatterSeries>
            <c15:filteredScatterSeries>
              <c15:ser>
                <c:idx val="19"/>
                <c:order val="1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SOLID!$E$23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2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298.2</c:v>
                      </c:pt>
                      <c:pt idx="1">
                        <c:v>331.5</c:v>
                      </c:pt>
                      <c:pt idx="2">
                        <c:v>364.9</c:v>
                      </c:pt>
                      <c:pt idx="3">
                        <c:v>398.3</c:v>
                      </c:pt>
                      <c:pt idx="4">
                        <c:v>431.7</c:v>
                      </c:pt>
                      <c:pt idx="5">
                        <c:v>465.1</c:v>
                      </c:pt>
                      <c:pt idx="6">
                        <c:v>498.5</c:v>
                      </c:pt>
                      <c:pt idx="7">
                        <c:v>531.79999999999995</c:v>
                      </c:pt>
                      <c:pt idx="8">
                        <c:v>565.20000000000005</c:v>
                      </c:pt>
                      <c:pt idx="9">
                        <c:v>698.8</c:v>
                      </c:pt>
                      <c:pt idx="10">
                        <c:v>832.3</c:v>
                      </c:pt>
                      <c:pt idx="11">
                        <c:v>965.8</c:v>
                      </c:pt>
                      <c:pt idx="12">
                        <c:v>999.2</c:v>
                      </c:pt>
                      <c:pt idx="13">
                        <c:v>1033</c:v>
                      </c:pt>
                      <c:pt idx="14">
                        <c:v>1066</c:v>
                      </c:pt>
                      <c:pt idx="15">
                        <c:v>1099</c:v>
                      </c:pt>
                      <c:pt idx="16">
                        <c:v>1233</c:v>
                      </c:pt>
                      <c:pt idx="17">
                        <c:v>1366</c:v>
                      </c:pt>
                      <c:pt idx="18">
                        <c:v>1400</c:v>
                      </c:pt>
                      <c:pt idx="19" formatCode="0">
                        <c:v>1433</c:v>
                      </c:pt>
                      <c:pt idx="20" formatCode="0">
                        <c:v>1467</c:v>
                      </c:pt>
                      <c:pt idx="21" formatCode="0">
                        <c:v>1500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SOLID!$F$23:$AL$23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7-D2E1-40A6-A933-2A862B83ED7D}"/>
                  </c:ext>
                </c:extLst>
              </c15:ser>
            </c15:filteredScatterSeries>
            <c15:filteredScatterSeries>
              <c15:ser>
                <c:idx val="20"/>
                <c:order val="2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SOLID!$E$24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3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298.2</c:v>
                      </c:pt>
                      <c:pt idx="1">
                        <c:v>331.5</c:v>
                      </c:pt>
                      <c:pt idx="2">
                        <c:v>364.9</c:v>
                      </c:pt>
                      <c:pt idx="3">
                        <c:v>398.3</c:v>
                      </c:pt>
                      <c:pt idx="4">
                        <c:v>431.7</c:v>
                      </c:pt>
                      <c:pt idx="5">
                        <c:v>465.1</c:v>
                      </c:pt>
                      <c:pt idx="6">
                        <c:v>498.5</c:v>
                      </c:pt>
                      <c:pt idx="7">
                        <c:v>531.79999999999995</c:v>
                      </c:pt>
                      <c:pt idx="8">
                        <c:v>565.20000000000005</c:v>
                      </c:pt>
                      <c:pt idx="9">
                        <c:v>698.8</c:v>
                      </c:pt>
                      <c:pt idx="10">
                        <c:v>832.3</c:v>
                      </c:pt>
                      <c:pt idx="11">
                        <c:v>965.8</c:v>
                      </c:pt>
                      <c:pt idx="12">
                        <c:v>999.2</c:v>
                      </c:pt>
                      <c:pt idx="13">
                        <c:v>1033</c:v>
                      </c:pt>
                      <c:pt idx="14">
                        <c:v>1066</c:v>
                      </c:pt>
                      <c:pt idx="15">
                        <c:v>1099</c:v>
                      </c:pt>
                      <c:pt idx="16">
                        <c:v>1233</c:v>
                      </c:pt>
                      <c:pt idx="17">
                        <c:v>1366</c:v>
                      </c:pt>
                      <c:pt idx="18">
                        <c:v>1400</c:v>
                      </c:pt>
                      <c:pt idx="19" formatCode="0">
                        <c:v>1433</c:v>
                      </c:pt>
                      <c:pt idx="20" formatCode="0">
                        <c:v>1467</c:v>
                      </c:pt>
                      <c:pt idx="21" formatCode="0">
                        <c:v>1500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SOLID!$F$24:$AL$24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8-D2E1-40A6-A933-2A862B83ED7D}"/>
                  </c:ext>
                </c:extLst>
              </c15:ser>
            </c15:filteredScatterSeries>
            <c15:filteredScatterSeries>
              <c15:ser>
                <c:idx val="21"/>
                <c:order val="2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SOLID!$E$25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4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298.2</c:v>
                      </c:pt>
                      <c:pt idx="1">
                        <c:v>331.5</c:v>
                      </c:pt>
                      <c:pt idx="2">
                        <c:v>364.9</c:v>
                      </c:pt>
                      <c:pt idx="3">
                        <c:v>398.3</c:v>
                      </c:pt>
                      <c:pt idx="4">
                        <c:v>431.7</c:v>
                      </c:pt>
                      <c:pt idx="5">
                        <c:v>465.1</c:v>
                      </c:pt>
                      <c:pt idx="6">
                        <c:v>498.5</c:v>
                      </c:pt>
                      <c:pt idx="7">
                        <c:v>531.79999999999995</c:v>
                      </c:pt>
                      <c:pt idx="8">
                        <c:v>565.20000000000005</c:v>
                      </c:pt>
                      <c:pt idx="9">
                        <c:v>698.8</c:v>
                      </c:pt>
                      <c:pt idx="10">
                        <c:v>832.3</c:v>
                      </c:pt>
                      <c:pt idx="11">
                        <c:v>965.8</c:v>
                      </c:pt>
                      <c:pt idx="12">
                        <c:v>999.2</c:v>
                      </c:pt>
                      <c:pt idx="13">
                        <c:v>1033</c:v>
                      </c:pt>
                      <c:pt idx="14">
                        <c:v>1066</c:v>
                      </c:pt>
                      <c:pt idx="15">
                        <c:v>1099</c:v>
                      </c:pt>
                      <c:pt idx="16">
                        <c:v>1233</c:v>
                      </c:pt>
                      <c:pt idx="17">
                        <c:v>1366</c:v>
                      </c:pt>
                      <c:pt idx="18">
                        <c:v>1400</c:v>
                      </c:pt>
                      <c:pt idx="19" formatCode="0">
                        <c:v>1433</c:v>
                      </c:pt>
                      <c:pt idx="20" formatCode="0">
                        <c:v>1467</c:v>
                      </c:pt>
                      <c:pt idx="21" formatCode="0">
                        <c:v>1500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SOLID!$F$25:$AL$25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9-D2E1-40A6-A933-2A862B83ED7D}"/>
                  </c:ext>
                </c:extLst>
              </c15:ser>
            </c15:filteredScatterSeries>
            <c15:filteredScatterSeries>
              <c15:ser>
                <c:idx val="22"/>
                <c:order val="2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SOLID!$E$26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5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298.2</c:v>
                      </c:pt>
                      <c:pt idx="1">
                        <c:v>331.5</c:v>
                      </c:pt>
                      <c:pt idx="2">
                        <c:v>364.9</c:v>
                      </c:pt>
                      <c:pt idx="3">
                        <c:v>398.3</c:v>
                      </c:pt>
                      <c:pt idx="4">
                        <c:v>431.7</c:v>
                      </c:pt>
                      <c:pt idx="5">
                        <c:v>465.1</c:v>
                      </c:pt>
                      <c:pt idx="6">
                        <c:v>498.5</c:v>
                      </c:pt>
                      <c:pt idx="7">
                        <c:v>531.79999999999995</c:v>
                      </c:pt>
                      <c:pt idx="8">
                        <c:v>565.20000000000005</c:v>
                      </c:pt>
                      <c:pt idx="9">
                        <c:v>698.8</c:v>
                      </c:pt>
                      <c:pt idx="10">
                        <c:v>832.3</c:v>
                      </c:pt>
                      <c:pt idx="11">
                        <c:v>965.8</c:v>
                      </c:pt>
                      <c:pt idx="12">
                        <c:v>999.2</c:v>
                      </c:pt>
                      <c:pt idx="13">
                        <c:v>1033</c:v>
                      </c:pt>
                      <c:pt idx="14">
                        <c:v>1066</c:v>
                      </c:pt>
                      <c:pt idx="15">
                        <c:v>1099</c:v>
                      </c:pt>
                      <c:pt idx="16">
                        <c:v>1233</c:v>
                      </c:pt>
                      <c:pt idx="17">
                        <c:v>1366</c:v>
                      </c:pt>
                      <c:pt idx="18">
                        <c:v>1400</c:v>
                      </c:pt>
                      <c:pt idx="19" formatCode="0">
                        <c:v>1433</c:v>
                      </c:pt>
                      <c:pt idx="20" formatCode="0">
                        <c:v>1467</c:v>
                      </c:pt>
                      <c:pt idx="21" formatCode="0">
                        <c:v>1500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SOLID!$F$26:$AL$26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A-D2E1-40A6-A933-2A862B83ED7D}"/>
                  </c:ext>
                </c:extLst>
              </c15:ser>
            </c15:filteredScatterSeries>
            <c15:filteredScatterSeries>
              <c15:ser>
                <c:idx val="23"/>
                <c:order val="2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SOLID!$E$27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6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298.2</c:v>
                      </c:pt>
                      <c:pt idx="1">
                        <c:v>331.5</c:v>
                      </c:pt>
                      <c:pt idx="2">
                        <c:v>364.9</c:v>
                      </c:pt>
                      <c:pt idx="3">
                        <c:v>398.3</c:v>
                      </c:pt>
                      <c:pt idx="4">
                        <c:v>431.7</c:v>
                      </c:pt>
                      <c:pt idx="5">
                        <c:v>465.1</c:v>
                      </c:pt>
                      <c:pt idx="6">
                        <c:v>498.5</c:v>
                      </c:pt>
                      <c:pt idx="7">
                        <c:v>531.79999999999995</c:v>
                      </c:pt>
                      <c:pt idx="8">
                        <c:v>565.20000000000005</c:v>
                      </c:pt>
                      <c:pt idx="9">
                        <c:v>698.8</c:v>
                      </c:pt>
                      <c:pt idx="10">
                        <c:v>832.3</c:v>
                      </c:pt>
                      <c:pt idx="11">
                        <c:v>965.8</c:v>
                      </c:pt>
                      <c:pt idx="12">
                        <c:v>999.2</c:v>
                      </c:pt>
                      <c:pt idx="13">
                        <c:v>1033</c:v>
                      </c:pt>
                      <c:pt idx="14">
                        <c:v>1066</c:v>
                      </c:pt>
                      <c:pt idx="15">
                        <c:v>1099</c:v>
                      </c:pt>
                      <c:pt idx="16">
                        <c:v>1233</c:v>
                      </c:pt>
                      <c:pt idx="17">
                        <c:v>1366</c:v>
                      </c:pt>
                      <c:pt idx="18">
                        <c:v>1400</c:v>
                      </c:pt>
                      <c:pt idx="19" formatCode="0">
                        <c:v>1433</c:v>
                      </c:pt>
                      <c:pt idx="20" formatCode="0">
                        <c:v>1467</c:v>
                      </c:pt>
                      <c:pt idx="21" formatCode="0">
                        <c:v>1500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SOLID!$F$27:$AL$27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B-D2E1-40A6-A933-2A862B83ED7D}"/>
                  </c:ext>
                </c:extLst>
              </c15:ser>
            </c15:filteredScatterSeries>
            <c15:filteredScatterSeries>
              <c15:ser>
                <c:idx val="24"/>
                <c:order val="2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SOLID!$E$28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1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298.2</c:v>
                      </c:pt>
                      <c:pt idx="1">
                        <c:v>331.5</c:v>
                      </c:pt>
                      <c:pt idx="2">
                        <c:v>364.9</c:v>
                      </c:pt>
                      <c:pt idx="3">
                        <c:v>398.3</c:v>
                      </c:pt>
                      <c:pt idx="4">
                        <c:v>431.7</c:v>
                      </c:pt>
                      <c:pt idx="5">
                        <c:v>465.1</c:v>
                      </c:pt>
                      <c:pt idx="6">
                        <c:v>498.5</c:v>
                      </c:pt>
                      <c:pt idx="7">
                        <c:v>531.79999999999995</c:v>
                      </c:pt>
                      <c:pt idx="8">
                        <c:v>565.20000000000005</c:v>
                      </c:pt>
                      <c:pt idx="9">
                        <c:v>698.8</c:v>
                      </c:pt>
                      <c:pt idx="10">
                        <c:v>832.3</c:v>
                      </c:pt>
                      <c:pt idx="11">
                        <c:v>965.8</c:v>
                      </c:pt>
                      <c:pt idx="12">
                        <c:v>999.2</c:v>
                      </c:pt>
                      <c:pt idx="13">
                        <c:v>1033</c:v>
                      </c:pt>
                      <c:pt idx="14">
                        <c:v>1066</c:v>
                      </c:pt>
                      <c:pt idx="15">
                        <c:v>1099</c:v>
                      </c:pt>
                      <c:pt idx="16">
                        <c:v>1233</c:v>
                      </c:pt>
                      <c:pt idx="17">
                        <c:v>1366</c:v>
                      </c:pt>
                      <c:pt idx="18">
                        <c:v>1400</c:v>
                      </c:pt>
                      <c:pt idx="19" formatCode="0">
                        <c:v>1433</c:v>
                      </c:pt>
                      <c:pt idx="20" formatCode="0">
                        <c:v>1467</c:v>
                      </c:pt>
                      <c:pt idx="21" formatCode="0">
                        <c:v>1500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SOLID!$F$28:$AL$28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C-D2E1-40A6-A933-2A862B83ED7D}"/>
                  </c:ext>
                </c:extLst>
              </c15:ser>
            </c15:filteredScatterSeries>
            <c15:filteredScatterSeries>
              <c15:ser>
                <c:idx val="25"/>
                <c:order val="2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SOLID!$E$29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2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298.2</c:v>
                      </c:pt>
                      <c:pt idx="1">
                        <c:v>331.5</c:v>
                      </c:pt>
                      <c:pt idx="2">
                        <c:v>364.9</c:v>
                      </c:pt>
                      <c:pt idx="3">
                        <c:v>398.3</c:v>
                      </c:pt>
                      <c:pt idx="4">
                        <c:v>431.7</c:v>
                      </c:pt>
                      <c:pt idx="5">
                        <c:v>465.1</c:v>
                      </c:pt>
                      <c:pt idx="6">
                        <c:v>498.5</c:v>
                      </c:pt>
                      <c:pt idx="7">
                        <c:v>531.79999999999995</c:v>
                      </c:pt>
                      <c:pt idx="8">
                        <c:v>565.20000000000005</c:v>
                      </c:pt>
                      <c:pt idx="9">
                        <c:v>698.8</c:v>
                      </c:pt>
                      <c:pt idx="10">
                        <c:v>832.3</c:v>
                      </c:pt>
                      <c:pt idx="11">
                        <c:v>965.8</c:v>
                      </c:pt>
                      <c:pt idx="12">
                        <c:v>999.2</c:v>
                      </c:pt>
                      <c:pt idx="13">
                        <c:v>1033</c:v>
                      </c:pt>
                      <c:pt idx="14">
                        <c:v>1066</c:v>
                      </c:pt>
                      <c:pt idx="15">
                        <c:v>1099</c:v>
                      </c:pt>
                      <c:pt idx="16">
                        <c:v>1233</c:v>
                      </c:pt>
                      <c:pt idx="17">
                        <c:v>1366</c:v>
                      </c:pt>
                      <c:pt idx="18">
                        <c:v>1400</c:v>
                      </c:pt>
                      <c:pt idx="19" formatCode="0">
                        <c:v>1433</c:v>
                      </c:pt>
                      <c:pt idx="20" formatCode="0">
                        <c:v>1467</c:v>
                      </c:pt>
                      <c:pt idx="21" formatCode="0">
                        <c:v>1500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SOLID!$F$29:$AL$29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D-D2E1-40A6-A933-2A862B83ED7D}"/>
                  </c:ext>
                </c:extLst>
              </c15:ser>
            </c15:filteredScatterSeries>
            <c15:filteredScatterSeries>
              <c15:ser>
                <c:idx val="26"/>
                <c:order val="2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SOLID!$E$30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3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298.2</c:v>
                      </c:pt>
                      <c:pt idx="1">
                        <c:v>331.5</c:v>
                      </c:pt>
                      <c:pt idx="2">
                        <c:v>364.9</c:v>
                      </c:pt>
                      <c:pt idx="3">
                        <c:v>398.3</c:v>
                      </c:pt>
                      <c:pt idx="4">
                        <c:v>431.7</c:v>
                      </c:pt>
                      <c:pt idx="5">
                        <c:v>465.1</c:v>
                      </c:pt>
                      <c:pt idx="6">
                        <c:v>498.5</c:v>
                      </c:pt>
                      <c:pt idx="7">
                        <c:v>531.79999999999995</c:v>
                      </c:pt>
                      <c:pt idx="8">
                        <c:v>565.20000000000005</c:v>
                      </c:pt>
                      <c:pt idx="9">
                        <c:v>698.8</c:v>
                      </c:pt>
                      <c:pt idx="10">
                        <c:v>832.3</c:v>
                      </c:pt>
                      <c:pt idx="11">
                        <c:v>965.8</c:v>
                      </c:pt>
                      <c:pt idx="12">
                        <c:v>999.2</c:v>
                      </c:pt>
                      <c:pt idx="13">
                        <c:v>1033</c:v>
                      </c:pt>
                      <c:pt idx="14">
                        <c:v>1066</c:v>
                      </c:pt>
                      <c:pt idx="15">
                        <c:v>1099</c:v>
                      </c:pt>
                      <c:pt idx="16">
                        <c:v>1233</c:v>
                      </c:pt>
                      <c:pt idx="17">
                        <c:v>1366</c:v>
                      </c:pt>
                      <c:pt idx="18">
                        <c:v>1400</c:v>
                      </c:pt>
                      <c:pt idx="19" formatCode="0">
                        <c:v>1433</c:v>
                      </c:pt>
                      <c:pt idx="20" formatCode="0">
                        <c:v>1467</c:v>
                      </c:pt>
                      <c:pt idx="21" formatCode="0">
                        <c:v>1500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SOLID!$F$30:$AL$30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E-D2E1-40A6-A933-2A862B83ED7D}"/>
                  </c:ext>
                </c:extLst>
              </c15:ser>
            </c15:filteredScatterSeries>
            <c15:filteredScatterSeries>
              <c15:ser>
                <c:idx val="27"/>
                <c:order val="2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SOLID!$E$31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4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298.2</c:v>
                      </c:pt>
                      <c:pt idx="1">
                        <c:v>331.5</c:v>
                      </c:pt>
                      <c:pt idx="2">
                        <c:v>364.9</c:v>
                      </c:pt>
                      <c:pt idx="3">
                        <c:v>398.3</c:v>
                      </c:pt>
                      <c:pt idx="4">
                        <c:v>431.7</c:v>
                      </c:pt>
                      <c:pt idx="5">
                        <c:v>465.1</c:v>
                      </c:pt>
                      <c:pt idx="6">
                        <c:v>498.5</c:v>
                      </c:pt>
                      <c:pt idx="7">
                        <c:v>531.79999999999995</c:v>
                      </c:pt>
                      <c:pt idx="8">
                        <c:v>565.20000000000005</c:v>
                      </c:pt>
                      <c:pt idx="9">
                        <c:v>698.8</c:v>
                      </c:pt>
                      <c:pt idx="10">
                        <c:v>832.3</c:v>
                      </c:pt>
                      <c:pt idx="11">
                        <c:v>965.8</c:v>
                      </c:pt>
                      <c:pt idx="12">
                        <c:v>999.2</c:v>
                      </c:pt>
                      <c:pt idx="13">
                        <c:v>1033</c:v>
                      </c:pt>
                      <c:pt idx="14">
                        <c:v>1066</c:v>
                      </c:pt>
                      <c:pt idx="15">
                        <c:v>1099</c:v>
                      </c:pt>
                      <c:pt idx="16">
                        <c:v>1233</c:v>
                      </c:pt>
                      <c:pt idx="17">
                        <c:v>1366</c:v>
                      </c:pt>
                      <c:pt idx="18">
                        <c:v>1400</c:v>
                      </c:pt>
                      <c:pt idx="19" formatCode="0">
                        <c:v>1433</c:v>
                      </c:pt>
                      <c:pt idx="20" formatCode="0">
                        <c:v>1467</c:v>
                      </c:pt>
                      <c:pt idx="21" formatCode="0">
                        <c:v>1500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SOLID!$F$31:$AL$31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F-D2E1-40A6-A933-2A862B83ED7D}"/>
                  </c:ext>
                </c:extLst>
              </c15:ser>
            </c15:filteredScatterSeries>
            <c15:filteredScatterSeries>
              <c15:ser>
                <c:idx val="28"/>
                <c:order val="2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SOLID!$E$32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5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298.2</c:v>
                      </c:pt>
                      <c:pt idx="1">
                        <c:v>331.5</c:v>
                      </c:pt>
                      <c:pt idx="2">
                        <c:v>364.9</c:v>
                      </c:pt>
                      <c:pt idx="3">
                        <c:v>398.3</c:v>
                      </c:pt>
                      <c:pt idx="4">
                        <c:v>431.7</c:v>
                      </c:pt>
                      <c:pt idx="5">
                        <c:v>465.1</c:v>
                      </c:pt>
                      <c:pt idx="6">
                        <c:v>498.5</c:v>
                      </c:pt>
                      <c:pt idx="7">
                        <c:v>531.79999999999995</c:v>
                      </c:pt>
                      <c:pt idx="8">
                        <c:v>565.20000000000005</c:v>
                      </c:pt>
                      <c:pt idx="9">
                        <c:v>698.8</c:v>
                      </c:pt>
                      <c:pt idx="10">
                        <c:v>832.3</c:v>
                      </c:pt>
                      <c:pt idx="11">
                        <c:v>965.8</c:v>
                      </c:pt>
                      <c:pt idx="12">
                        <c:v>999.2</c:v>
                      </c:pt>
                      <c:pt idx="13">
                        <c:v>1033</c:v>
                      </c:pt>
                      <c:pt idx="14">
                        <c:v>1066</c:v>
                      </c:pt>
                      <c:pt idx="15">
                        <c:v>1099</c:v>
                      </c:pt>
                      <c:pt idx="16">
                        <c:v>1233</c:v>
                      </c:pt>
                      <c:pt idx="17">
                        <c:v>1366</c:v>
                      </c:pt>
                      <c:pt idx="18">
                        <c:v>1400</c:v>
                      </c:pt>
                      <c:pt idx="19" formatCode="0">
                        <c:v>1433</c:v>
                      </c:pt>
                      <c:pt idx="20" formatCode="0">
                        <c:v>1467</c:v>
                      </c:pt>
                      <c:pt idx="21" formatCode="0">
                        <c:v>1500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SOLID!$F$32:$AL$32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0-D2E1-40A6-A933-2A862B83ED7D}"/>
                  </c:ext>
                </c:extLst>
              </c15:ser>
            </c15:filteredScatterSeries>
          </c:ext>
        </c:extLst>
      </c:scatterChart>
      <c:valAx>
        <c:axId val="391619416"/>
        <c:scaling>
          <c:orientation val="minMax"/>
          <c:max val="1500"/>
          <c:min val="3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8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/>
                  <a:t>T</a:t>
                </a:r>
                <a:r>
                  <a:rPr lang="ru-RU" sz="1800"/>
                  <a:t>, К</a:t>
                </a:r>
              </a:p>
            </c:rich>
          </c:tx>
          <c:layout>
            <c:manualLayout>
              <c:xMode val="edge"/>
              <c:yMode val="edge"/>
              <c:x val="0.42423525471841778"/>
              <c:y val="0.9253208458898237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8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#,##0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93215344"/>
        <c:crosses val="autoZero"/>
        <c:crossBetween val="midCat"/>
      </c:valAx>
      <c:valAx>
        <c:axId val="393215344"/>
        <c:scaling>
          <c:orientation val="minMax"/>
          <c:max val="0.2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 sz="1800" b="0" i="0" baseline="0">
                    <a:effectLst/>
                  </a:rPr>
                  <a:t>Концентрация, моль/(моль*атом)</a:t>
                </a:r>
                <a:endParaRPr lang="ru-RU">
                  <a:effectLst/>
                </a:endParaRPr>
              </a:p>
            </c:rich>
          </c:tx>
          <c:layout>
            <c:manualLayout>
              <c:xMode val="edge"/>
              <c:yMode val="edge"/>
              <c:x val="7.8334982535866026E-3"/>
              <c:y val="0.19218689719276424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#,##0.00" sourceLinked="0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91619416"/>
        <c:crosses val="autoZero"/>
        <c:crossBetween val="midCat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xVal>
            <c:numRef>
              <c:f>SOLID!$F$122:$AL$122</c:f>
              <c:numCache>
                <c:formatCode>0</c:formatCode>
                <c:ptCount val="33"/>
                <c:pt idx="0">
                  <c:v>298.2</c:v>
                </c:pt>
                <c:pt idx="1">
                  <c:v>331.5</c:v>
                </c:pt>
                <c:pt idx="2">
                  <c:v>364.9</c:v>
                </c:pt>
                <c:pt idx="3">
                  <c:v>398.3</c:v>
                </c:pt>
                <c:pt idx="4">
                  <c:v>431.7</c:v>
                </c:pt>
                <c:pt idx="5">
                  <c:v>465.1</c:v>
                </c:pt>
                <c:pt idx="6">
                  <c:v>498.5</c:v>
                </c:pt>
                <c:pt idx="7">
                  <c:v>531.79999999999995</c:v>
                </c:pt>
                <c:pt idx="8">
                  <c:v>565.20000000000005</c:v>
                </c:pt>
                <c:pt idx="9">
                  <c:v>698.8</c:v>
                </c:pt>
                <c:pt idx="10">
                  <c:v>832.3</c:v>
                </c:pt>
                <c:pt idx="11">
                  <c:v>965.8</c:v>
                </c:pt>
                <c:pt idx="12">
                  <c:v>999.2</c:v>
                </c:pt>
                <c:pt idx="13">
                  <c:v>1033</c:v>
                </c:pt>
                <c:pt idx="14">
                  <c:v>1066</c:v>
                </c:pt>
                <c:pt idx="15">
                  <c:v>1099</c:v>
                </c:pt>
                <c:pt idx="16">
                  <c:v>1233</c:v>
                </c:pt>
                <c:pt idx="17">
                  <c:v>1366</c:v>
                </c:pt>
                <c:pt idx="18">
                  <c:v>1400</c:v>
                </c:pt>
                <c:pt idx="19">
                  <c:v>1433</c:v>
                </c:pt>
                <c:pt idx="20">
                  <c:v>1467</c:v>
                </c:pt>
                <c:pt idx="21">
                  <c:v>1500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</c:numCache>
            </c:numRef>
          </c:xVal>
          <c:yVal>
            <c:numRef>
              <c:f>SOLID!$F$123:$AL$123</c:f>
              <c:numCache>
                <c:formatCode>General</c:formatCode>
                <c:ptCount val="33"/>
                <c:pt idx="0">
                  <c:v>-78.596469630000016</c:v>
                </c:pt>
                <c:pt idx="1">
                  <c:v>-87.419276587500022</c:v>
                </c:pt>
                <c:pt idx="2">
                  <c:v>-96.378829355000008</c:v>
                </c:pt>
                <c:pt idx="3">
                  <c:v>-105.47654139750003</c:v>
                </c:pt>
                <c:pt idx="4">
                  <c:v>-114.68036031750003</c:v>
                </c:pt>
                <c:pt idx="5">
                  <c:v>-123.93972009750003</c:v>
                </c:pt>
                <c:pt idx="6">
                  <c:v>-133.32370037500002</c:v>
                </c:pt>
                <c:pt idx="7">
                  <c:v>-140.53481079500003</c:v>
                </c:pt>
                <c:pt idx="8">
                  <c:v>-149.04788877000004</c:v>
                </c:pt>
                <c:pt idx="9">
                  <c:v>-186.99072151167834</c:v>
                </c:pt>
                <c:pt idx="10">
                  <c:v>-225.71249819715055</c:v>
                </c:pt>
                <c:pt idx="11">
                  <c:v>-265.26242726749456</c:v>
                </c:pt>
                <c:pt idx="12">
                  <c:v>-275.26671122281181</c:v>
                </c:pt>
                <c:pt idx="13">
                  <c:v>-285.43706385648062</c:v>
                </c:pt>
                <c:pt idx="14">
                  <c:v>-295.44190472267474</c:v>
                </c:pt>
                <c:pt idx="15">
                  <c:v>-305.34933184435323</c:v>
                </c:pt>
                <c:pt idx="16">
                  <c:v>-375.82894208764111</c:v>
                </c:pt>
                <c:pt idx="17">
                  <c:v>-423.57059545800018</c:v>
                </c:pt>
                <c:pt idx="18">
                  <c:v>-435.88073375000016</c:v>
                </c:pt>
                <c:pt idx="19">
                  <c:v>-447.94028132650016</c:v>
                </c:pt>
                <c:pt idx="20">
                  <c:v>-460.16820168525021</c:v>
                </c:pt>
                <c:pt idx="21">
                  <c:v>-472.33219462500011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9B8-4099-89EB-409D78398715}"/>
            </c:ext>
          </c:extLst>
        </c:ser>
        <c:ser>
          <c:idx val="3"/>
          <c:order val="3"/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SOLID!$F$122:$AL$122</c:f>
              <c:numCache>
                <c:formatCode>0</c:formatCode>
                <c:ptCount val="33"/>
                <c:pt idx="0">
                  <c:v>298.2</c:v>
                </c:pt>
                <c:pt idx="1">
                  <c:v>331.5</c:v>
                </c:pt>
                <c:pt idx="2">
                  <c:v>364.9</c:v>
                </c:pt>
                <c:pt idx="3">
                  <c:v>398.3</c:v>
                </c:pt>
                <c:pt idx="4">
                  <c:v>431.7</c:v>
                </c:pt>
                <c:pt idx="5">
                  <c:v>465.1</c:v>
                </c:pt>
                <c:pt idx="6">
                  <c:v>498.5</c:v>
                </c:pt>
                <c:pt idx="7">
                  <c:v>531.79999999999995</c:v>
                </c:pt>
                <c:pt idx="8">
                  <c:v>565.20000000000005</c:v>
                </c:pt>
                <c:pt idx="9">
                  <c:v>698.8</c:v>
                </c:pt>
                <c:pt idx="10">
                  <c:v>832.3</c:v>
                </c:pt>
                <c:pt idx="11">
                  <c:v>965.8</c:v>
                </c:pt>
                <c:pt idx="12">
                  <c:v>999.2</c:v>
                </c:pt>
                <c:pt idx="13">
                  <c:v>1033</c:v>
                </c:pt>
                <c:pt idx="14">
                  <c:v>1066</c:v>
                </c:pt>
                <c:pt idx="15">
                  <c:v>1099</c:v>
                </c:pt>
                <c:pt idx="16">
                  <c:v>1233</c:v>
                </c:pt>
                <c:pt idx="17">
                  <c:v>1366</c:v>
                </c:pt>
                <c:pt idx="18">
                  <c:v>1400</c:v>
                </c:pt>
                <c:pt idx="19">
                  <c:v>1433</c:v>
                </c:pt>
                <c:pt idx="20">
                  <c:v>1467</c:v>
                </c:pt>
                <c:pt idx="21">
                  <c:v>1500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</c:numCache>
            </c:numRef>
          </c:xVal>
          <c:yVal>
            <c:numRef>
              <c:f>SOLID!$F$126:$AL$126</c:f>
              <c:numCache>
                <c:formatCode>General</c:formatCode>
                <c:ptCount val="33"/>
                <c:pt idx="0">
                  <c:v>-466.3101269925001</c:v>
                </c:pt>
                <c:pt idx="1">
                  <c:v>-480.43852033125012</c:v>
                </c:pt>
                <c:pt idx="2">
                  <c:v>-495.21829238624997</c:v>
                </c:pt>
                <c:pt idx="3">
                  <c:v>-510.41042206875011</c:v>
                </c:pt>
                <c:pt idx="4">
                  <c:v>-525.9622993800001</c:v>
                </c:pt>
                <c:pt idx="5">
                  <c:v>-541.80928601125015</c:v>
                </c:pt>
                <c:pt idx="6">
                  <c:v>-558.1289311812501</c:v>
                </c:pt>
                <c:pt idx="7">
                  <c:v>-238.36183505831343</c:v>
                </c:pt>
                <c:pt idx="8">
                  <c:v>-149.05765854284229</c:v>
                </c:pt>
                <c:pt idx="9">
                  <c:v>-186.99072151167834</c:v>
                </c:pt>
                <c:pt idx="10">
                  <c:v>-225.71249819715055</c:v>
                </c:pt>
                <c:pt idx="11">
                  <c:v>-265.26242726749456</c:v>
                </c:pt>
                <c:pt idx="12">
                  <c:v>-275.26671122281186</c:v>
                </c:pt>
                <c:pt idx="13">
                  <c:v>-285.43706385648102</c:v>
                </c:pt>
                <c:pt idx="14">
                  <c:v>-295.44190472267724</c:v>
                </c:pt>
                <c:pt idx="15">
                  <c:v>-305.34933184436647</c:v>
                </c:pt>
                <c:pt idx="16">
                  <c:v>-375.82894209154392</c:v>
                </c:pt>
                <c:pt idx="17">
                  <c:v>-423.57059567381935</c:v>
                </c:pt>
                <c:pt idx="18">
                  <c:v>-435.88073427154382</c:v>
                </c:pt>
                <c:pt idx="19">
                  <c:v>-447.9402825345984</c:v>
                </c:pt>
                <c:pt idx="20">
                  <c:v>-460.16820437916522</c:v>
                </c:pt>
                <c:pt idx="21">
                  <c:v>-472.33220041367258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39B8-4099-89EB-409D78398715}"/>
            </c:ext>
          </c:extLst>
        </c:ser>
        <c:ser>
          <c:idx val="5"/>
          <c:order val="5"/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SOLID!$F$122:$AL$122</c:f>
              <c:numCache>
                <c:formatCode>0</c:formatCode>
                <c:ptCount val="33"/>
                <c:pt idx="0">
                  <c:v>298.2</c:v>
                </c:pt>
                <c:pt idx="1">
                  <c:v>331.5</c:v>
                </c:pt>
                <c:pt idx="2">
                  <c:v>364.9</c:v>
                </c:pt>
                <c:pt idx="3">
                  <c:v>398.3</c:v>
                </c:pt>
                <c:pt idx="4">
                  <c:v>431.7</c:v>
                </c:pt>
                <c:pt idx="5">
                  <c:v>465.1</c:v>
                </c:pt>
                <c:pt idx="6">
                  <c:v>498.5</c:v>
                </c:pt>
                <c:pt idx="7">
                  <c:v>531.79999999999995</c:v>
                </c:pt>
                <c:pt idx="8">
                  <c:v>565.20000000000005</c:v>
                </c:pt>
                <c:pt idx="9">
                  <c:v>698.8</c:v>
                </c:pt>
                <c:pt idx="10">
                  <c:v>832.3</c:v>
                </c:pt>
                <c:pt idx="11">
                  <c:v>965.8</c:v>
                </c:pt>
                <c:pt idx="12">
                  <c:v>999.2</c:v>
                </c:pt>
                <c:pt idx="13">
                  <c:v>1033</c:v>
                </c:pt>
                <c:pt idx="14">
                  <c:v>1066</c:v>
                </c:pt>
                <c:pt idx="15">
                  <c:v>1099</c:v>
                </c:pt>
                <c:pt idx="16">
                  <c:v>1233</c:v>
                </c:pt>
                <c:pt idx="17">
                  <c:v>1366</c:v>
                </c:pt>
                <c:pt idx="18">
                  <c:v>1400</c:v>
                </c:pt>
                <c:pt idx="19">
                  <c:v>1433</c:v>
                </c:pt>
                <c:pt idx="20">
                  <c:v>1467</c:v>
                </c:pt>
                <c:pt idx="21">
                  <c:v>1500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</c:numCache>
            </c:numRef>
          </c:xVal>
          <c:yVal>
            <c:numRef>
              <c:f>SOLID!$F$128:$AL$128</c:f>
              <c:numCache>
                <c:formatCode>General</c:formatCode>
                <c:ptCount val="3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39B8-4099-89EB-409D78398715}"/>
            </c:ext>
          </c:extLst>
        </c:ser>
        <c:ser>
          <c:idx val="13"/>
          <c:order val="13"/>
          <c:tx>
            <c:v>temp</c:v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SOLID!$A$114:$A$115</c:f>
              <c:numCache>
                <c:formatCode>General</c:formatCode>
                <c:ptCount val="2"/>
                <c:pt idx="0">
                  <c:v>700</c:v>
                </c:pt>
                <c:pt idx="1">
                  <c:v>700</c:v>
                </c:pt>
              </c:numCache>
            </c:numRef>
          </c:xVal>
          <c:yVal>
            <c:numRef>
              <c:f>SOLID!$B$114:$B$115</c:f>
              <c:numCache>
                <c:formatCode>0</c:formatCode>
                <c:ptCount val="2"/>
                <c:pt idx="0">
                  <c:v>-2762.92082175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39B8-4099-89EB-409D78398715}"/>
            </c:ext>
          </c:extLst>
        </c:ser>
        <c:ser>
          <c:idx val="14"/>
          <c:order val="14"/>
          <c:tx>
            <c:v>gibs</c:v>
          </c:tx>
          <c:spPr>
            <a:ln w="19050" cap="rnd">
              <a:noFill/>
              <a:round/>
            </a:ln>
            <a:effectLst/>
          </c:spPr>
          <c:marker>
            <c:symbol val="square"/>
            <c:size val="5"/>
            <c:spPr>
              <a:solidFill>
                <a:schemeClr val="tx1"/>
              </a:solidFill>
              <a:ln w="9525">
                <a:solidFill>
                  <a:schemeClr val="tx1"/>
                </a:solidFill>
              </a:ln>
              <a:effectLst/>
            </c:spPr>
          </c:marker>
          <c:xVal>
            <c:numRef>
              <c:f>SOLID!$F$40:$AL$40</c:f>
              <c:numCache>
                <c:formatCode>General</c:formatCode>
                <c:ptCount val="33"/>
                <c:pt idx="0">
                  <c:v>298.2</c:v>
                </c:pt>
                <c:pt idx="1">
                  <c:v>331.5</c:v>
                </c:pt>
                <c:pt idx="2">
                  <c:v>364.9</c:v>
                </c:pt>
                <c:pt idx="3">
                  <c:v>398.3</c:v>
                </c:pt>
                <c:pt idx="4">
                  <c:v>431.7</c:v>
                </c:pt>
                <c:pt idx="5">
                  <c:v>465.1</c:v>
                </c:pt>
                <c:pt idx="6">
                  <c:v>498.5</c:v>
                </c:pt>
                <c:pt idx="7">
                  <c:v>531.79999999999995</c:v>
                </c:pt>
                <c:pt idx="8">
                  <c:v>565.20000000000005</c:v>
                </c:pt>
                <c:pt idx="9">
                  <c:v>698.8</c:v>
                </c:pt>
                <c:pt idx="10">
                  <c:v>832.3</c:v>
                </c:pt>
                <c:pt idx="11">
                  <c:v>965.8</c:v>
                </c:pt>
                <c:pt idx="12">
                  <c:v>999.2</c:v>
                </c:pt>
                <c:pt idx="13">
                  <c:v>1033</c:v>
                </c:pt>
                <c:pt idx="14">
                  <c:v>1066</c:v>
                </c:pt>
                <c:pt idx="15">
                  <c:v>1099</c:v>
                </c:pt>
                <c:pt idx="16">
                  <c:v>1233</c:v>
                </c:pt>
                <c:pt idx="17">
                  <c:v>1366</c:v>
                </c:pt>
                <c:pt idx="18">
                  <c:v>1400</c:v>
                </c:pt>
                <c:pt idx="19">
                  <c:v>1433</c:v>
                </c:pt>
                <c:pt idx="20">
                  <c:v>1467</c:v>
                </c:pt>
                <c:pt idx="21">
                  <c:v>1500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xVal>
          <c:yVal>
            <c:numRef>
              <c:f>SOLID!$F$41:$AL$41</c:f>
              <c:numCache>
                <c:formatCode>0.0E+00</c:formatCode>
                <c:ptCount val="33"/>
                <c:pt idx="0">
                  <c:v>-507.18277058400002</c:v>
                </c:pt>
                <c:pt idx="1">
                  <c:v>-515.74157553750013</c:v>
                </c:pt>
                <c:pt idx="2">
                  <c:v>-527.03948719900006</c:v>
                </c:pt>
                <c:pt idx="3">
                  <c:v>-539.76833539650011</c:v>
                </c:pt>
                <c:pt idx="4">
                  <c:v>-553.02973591065006</c:v>
                </c:pt>
                <c:pt idx="5">
                  <c:v>-566.80991909800002</c:v>
                </c:pt>
                <c:pt idx="6">
                  <c:v>-581.27475452200008</c:v>
                </c:pt>
                <c:pt idx="7">
                  <c:v>-603.69244633409994</c:v>
                </c:pt>
                <c:pt idx="8">
                  <c:v>-661.91830615620017</c:v>
                </c:pt>
                <c:pt idx="9">
                  <c:v>-914.28682361179995</c:v>
                </c:pt>
                <c:pt idx="10">
                  <c:v>-1193.1713959875501</c:v>
                </c:pt>
                <c:pt idx="11">
                  <c:v>-1492.6833360285</c:v>
                </c:pt>
                <c:pt idx="12">
                  <c:v>-1569.7430316348004</c:v>
                </c:pt>
                <c:pt idx="13">
                  <c:v>-1648.2744951780003</c:v>
                </c:pt>
                <c:pt idx="14">
                  <c:v>-1726.4354235829999</c:v>
                </c:pt>
                <c:pt idx="15">
                  <c:v>-1804.7256535490001</c:v>
                </c:pt>
                <c:pt idx="16">
                  <c:v>-2125.3337906895003</c:v>
                </c:pt>
                <c:pt idx="17">
                  <c:v>-2447.2008650760004</c:v>
                </c:pt>
                <c:pt idx="18">
                  <c:v>-2527.7105455000005</c:v>
                </c:pt>
                <c:pt idx="19">
                  <c:v>-2606.5901016830003</c:v>
                </c:pt>
                <c:pt idx="20">
                  <c:v>-2686.0279017105008</c:v>
                </c:pt>
                <c:pt idx="21">
                  <c:v>-2762.92082175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39B8-4099-89EB-409D783987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03713984"/>
        <c:axId val="1103702336"/>
        <c:extLst>
          <c:ext xmlns:c15="http://schemas.microsoft.com/office/drawing/2012/chart" uri="{02D57815-91ED-43cb-92C2-25804820EDAC}">
            <c15:filteredScatterSeries>
              <c15:ser>
                <c:idx val="1"/>
                <c:order val="1"/>
                <c:spPr>
                  <a:ln w="19050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SOLID!$F$122:$AL$122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298.2</c:v>
                      </c:pt>
                      <c:pt idx="1">
                        <c:v>331.5</c:v>
                      </c:pt>
                      <c:pt idx="2">
                        <c:v>364.9</c:v>
                      </c:pt>
                      <c:pt idx="3">
                        <c:v>398.3</c:v>
                      </c:pt>
                      <c:pt idx="4">
                        <c:v>431.7</c:v>
                      </c:pt>
                      <c:pt idx="5">
                        <c:v>465.1</c:v>
                      </c:pt>
                      <c:pt idx="6">
                        <c:v>498.5</c:v>
                      </c:pt>
                      <c:pt idx="7">
                        <c:v>531.79999999999995</c:v>
                      </c:pt>
                      <c:pt idx="8">
                        <c:v>565.20000000000005</c:v>
                      </c:pt>
                      <c:pt idx="9">
                        <c:v>698.8</c:v>
                      </c:pt>
                      <c:pt idx="10">
                        <c:v>832.3</c:v>
                      </c:pt>
                      <c:pt idx="11">
                        <c:v>965.8</c:v>
                      </c:pt>
                      <c:pt idx="12">
                        <c:v>999.2</c:v>
                      </c:pt>
                      <c:pt idx="13">
                        <c:v>1033</c:v>
                      </c:pt>
                      <c:pt idx="14">
                        <c:v>1066</c:v>
                      </c:pt>
                      <c:pt idx="15">
                        <c:v>1099</c:v>
                      </c:pt>
                      <c:pt idx="16">
                        <c:v>1233</c:v>
                      </c:pt>
                      <c:pt idx="17">
                        <c:v>1366</c:v>
                      </c:pt>
                      <c:pt idx="18">
                        <c:v>1400</c:v>
                      </c:pt>
                      <c:pt idx="19">
                        <c:v>1433</c:v>
                      </c:pt>
                      <c:pt idx="20">
                        <c:v>1467</c:v>
                      </c:pt>
                      <c:pt idx="21">
                        <c:v>1500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SOLID!$F$124:$AL$124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-387.7136573625001</c:v>
                      </c:pt>
                      <c:pt idx="1">
                        <c:v>-393.01924374375011</c:v>
                      </c:pt>
                      <c:pt idx="2">
                        <c:v>-398.83946303124998</c:v>
                      </c:pt>
                      <c:pt idx="3">
                        <c:v>-404.93388067125011</c:v>
                      </c:pt>
                      <c:pt idx="4">
                        <c:v>-411.2819390625001</c:v>
                      </c:pt>
                      <c:pt idx="5">
                        <c:v>-417.86956591375014</c:v>
                      </c:pt>
                      <c:pt idx="6">
                        <c:v>-424.80523080625011</c:v>
                      </c:pt>
                      <c:pt idx="7">
                        <c:v>-97.82702426331339</c:v>
                      </c:pt>
                      <c:pt idx="8">
                        <c:v>-9.7697728422550829E-3</c:v>
                      </c:pt>
                      <c:pt idx="9">
                        <c:v>-5.2123217459878711E-16</c:v>
                      </c:pt>
                      <c:pt idx="10">
                        <c:v>-4.5076670268139559E-19</c:v>
                      </c:pt>
                      <c:pt idx="11">
                        <c:v>-8.0376221716931261E-15</c:v>
                      </c:pt>
                      <c:pt idx="12">
                        <c:v>-6.1704184146661999E-14</c:v>
                      </c:pt>
                      <c:pt idx="13">
                        <c:v>-4.1530590093432749E-13</c:v>
                      </c:pt>
                      <c:pt idx="14">
                        <c:v>-2.4787971597587908E-12</c:v>
                      </c:pt>
                      <c:pt idx="15">
                        <c:v>-1.3268768733421951E-11</c:v>
                      </c:pt>
                      <c:pt idx="16">
                        <c:v>-3.9028294697784076E-9</c:v>
                      </c:pt>
                      <c:pt idx="17">
                        <c:v>-2.1581918657892804E-7</c:v>
                      </c:pt>
                      <c:pt idx="18">
                        <c:v>-5.2154364150000008E-7</c:v>
                      </c:pt>
                      <c:pt idx="19">
                        <c:v>-1.2080982589613129E-6</c:v>
                      </c:pt>
                      <c:pt idx="20">
                        <c:v>-2.6939150270566882E-6</c:v>
                      </c:pt>
                      <c:pt idx="21">
                        <c:v>-5.7886724670300022E-6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5-39B8-4099-89EB-409D78398715}"/>
                  </c:ext>
                </c:extLst>
              </c15:ser>
            </c15:filteredScatterSeries>
            <c15:filteredScatterSeries>
              <c15:ser>
                <c:idx val="2"/>
                <c:order val="2"/>
                <c:spPr>
                  <a:ln w="19050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SOLID!$F$122:$AL$122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298.2</c:v>
                      </c:pt>
                      <c:pt idx="1">
                        <c:v>331.5</c:v>
                      </c:pt>
                      <c:pt idx="2">
                        <c:v>364.9</c:v>
                      </c:pt>
                      <c:pt idx="3">
                        <c:v>398.3</c:v>
                      </c:pt>
                      <c:pt idx="4">
                        <c:v>431.7</c:v>
                      </c:pt>
                      <c:pt idx="5">
                        <c:v>465.1</c:v>
                      </c:pt>
                      <c:pt idx="6">
                        <c:v>498.5</c:v>
                      </c:pt>
                      <c:pt idx="7">
                        <c:v>531.79999999999995</c:v>
                      </c:pt>
                      <c:pt idx="8">
                        <c:v>565.20000000000005</c:v>
                      </c:pt>
                      <c:pt idx="9">
                        <c:v>698.8</c:v>
                      </c:pt>
                      <c:pt idx="10">
                        <c:v>832.3</c:v>
                      </c:pt>
                      <c:pt idx="11">
                        <c:v>965.8</c:v>
                      </c:pt>
                      <c:pt idx="12">
                        <c:v>999.2</c:v>
                      </c:pt>
                      <c:pt idx="13">
                        <c:v>1033</c:v>
                      </c:pt>
                      <c:pt idx="14">
                        <c:v>1066</c:v>
                      </c:pt>
                      <c:pt idx="15">
                        <c:v>1099</c:v>
                      </c:pt>
                      <c:pt idx="16">
                        <c:v>1233</c:v>
                      </c:pt>
                      <c:pt idx="17">
                        <c:v>1366</c:v>
                      </c:pt>
                      <c:pt idx="18">
                        <c:v>1400</c:v>
                      </c:pt>
                      <c:pt idx="19">
                        <c:v>1433</c:v>
                      </c:pt>
                      <c:pt idx="20">
                        <c:v>1467</c:v>
                      </c:pt>
                      <c:pt idx="21">
                        <c:v>1500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SOLID!$F$125:$AL$125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-387.7136573625001</c:v>
                      </c:pt>
                      <c:pt idx="1">
                        <c:v>-393.01924374375011</c:v>
                      </c:pt>
                      <c:pt idx="2">
                        <c:v>-398.83946303124998</c:v>
                      </c:pt>
                      <c:pt idx="3">
                        <c:v>-404.93388067125011</c:v>
                      </c:pt>
                      <c:pt idx="4">
                        <c:v>-411.2819390625001</c:v>
                      </c:pt>
                      <c:pt idx="5">
                        <c:v>-417.86956591375014</c:v>
                      </c:pt>
                      <c:pt idx="6">
                        <c:v>-424.80523080625011</c:v>
                      </c:pt>
                      <c:pt idx="7">
                        <c:v>-97.82702426331339</c:v>
                      </c:pt>
                      <c:pt idx="8">
                        <c:v>-9.7697728422550829E-3</c:v>
                      </c:pt>
                      <c:pt idx="9">
                        <c:v>-5.2135380437530261E-16</c:v>
                      </c:pt>
                      <c:pt idx="10">
                        <c:v>-4.74568858058136E-15</c:v>
                      </c:pt>
                      <c:pt idx="11">
                        <c:v>-1.0309422660575631E-11</c:v>
                      </c:pt>
                      <c:pt idx="12">
                        <c:v>-5.1281458836036665E-11</c:v>
                      </c:pt>
                      <c:pt idx="13">
                        <c:v>-2.3041887730372607E-10</c:v>
                      </c:pt>
                      <c:pt idx="14">
                        <c:v>-9.4323239197797161E-10</c:v>
                      </c:pt>
                      <c:pt idx="15">
                        <c:v>-3.5489887538815944E-9</c:v>
                      </c:pt>
                      <c:pt idx="16">
                        <c:v>-3.3393422119415529E-7</c:v>
                      </c:pt>
                      <c:pt idx="17">
                        <c:v>-1.0159124717946732E-5</c:v>
                      </c:pt>
                      <c:pt idx="18">
                        <c:v>-2.1585197580187506E-5</c:v>
                      </c:pt>
                      <c:pt idx="19">
                        <c:v>-4.4275892225073797E-5</c:v>
                      </c:pt>
                      <c:pt idx="20">
                        <c:v>-8.8009272618887836E-5</c:v>
                      </c:pt>
                      <c:pt idx="21">
                        <c:v>-1.6961143605152999E-4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6-39B8-4099-89EB-409D78398715}"/>
                  </c:ext>
                </c:extLst>
              </c15:ser>
            </c15:filteredScatterSeries>
            <c15:filteredScatterSeries>
              <c15:ser>
                <c:idx val="4"/>
                <c:order val="4"/>
                <c:spPr>
                  <a:ln w="19050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SOLID!$F$122:$AL$122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298.2</c:v>
                      </c:pt>
                      <c:pt idx="1">
                        <c:v>331.5</c:v>
                      </c:pt>
                      <c:pt idx="2">
                        <c:v>364.9</c:v>
                      </c:pt>
                      <c:pt idx="3">
                        <c:v>398.3</c:v>
                      </c:pt>
                      <c:pt idx="4">
                        <c:v>431.7</c:v>
                      </c:pt>
                      <c:pt idx="5">
                        <c:v>465.1</c:v>
                      </c:pt>
                      <c:pt idx="6">
                        <c:v>498.5</c:v>
                      </c:pt>
                      <c:pt idx="7">
                        <c:v>531.79999999999995</c:v>
                      </c:pt>
                      <c:pt idx="8">
                        <c:v>565.20000000000005</c:v>
                      </c:pt>
                      <c:pt idx="9">
                        <c:v>698.8</c:v>
                      </c:pt>
                      <c:pt idx="10">
                        <c:v>832.3</c:v>
                      </c:pt>
                      <c:pt idx="11">
                        <c:v>965.8</c:v>
                      </c:pt>
                      <c:pt idx="12">
                        <c:v>999.2</c:v>
                      </c:pt>
                      <c:pt idx="13">
                        <c:v>1033</c:v>
                      </c:pt>
                      <c:pt idx="14">
                        <c:v>1066</c:v>
                      </c:pt>
                      <c:pt idx="15">
                        <c:v>1099</c:v>
                      </c:pt>
                      <c:pt idx="16">
                        <c:v>1233</c:v>
                      </c:pt>
                      <c:pt idx="17">
                        <c:v>1366</c:v>
                      </c:pt>
                      <c:pt idx="18">
                        <c:v>1400</c:v>
                      </c:pt>
                      <c:pt idx="19">
                        <c:v>1433</c:v>
                      </c:pt>
                      <c:pt idx="20">
                        <c:v>1467</c:v>
                      </c:pt>
                      <c:pt idx="21">
                        <c:v>1500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SOLID!$F$127:$AL$127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39B8-4099-89EB-409D78398715}"/>
                  </c:ext>
                </c:extLst>
              </c15:ser>
            </c15:filteredScatterSeries>
            <c15:filteredScatterSeries>
              <c15:ser>
                <c:idx val="6"/>
                <c:order val="6"/>
                <c:spPr>
                  <a:ln w="19050" cap="rnd">
                    <a:solidFill>
                      <a:schemeClr val="accent1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SOLID!$F$122:$AL$122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298.2</c:v>
                      </c:pt>
                      <c:pt idx="1">
                        <c:v>331.5</c:v>
                      </c:pt>
                      <c:pt idx="2">
                        <c:v>364.9</c:v>
                      </c:pt>
                      <c:pt idx="3">
                        <c:v>398.3</c:v>
                      </c:pt>
                      <c:pt idx="4">
                        <c:v>431.7</c:v>
                      </c:pt>
                      <c:pt idx="5">
                        <c:v>465.1</c:v>
                      </c:pt>
                      <c:pt idx="6">
                        <c:v>498.5</c:v>
                      </c:pt>
                      <c:pt idx="7">
                        <c:v>531.79999999999995</c:v>
                      </c:pt>
                      <c:pt idx="8">
                        <c:v>565.20000000000005</c:v>
                      </c:pt>
                      <c:pt idx="9">
                        <c:v>698.8</c:v>
                      </c:pt>
                      <c:pt idx="10">
                        <c:v>832.3</c:v>
                      </c:pt>
                      <c:pt idx="11">
                        <c:v>965.8</c:v>
                      </c:pt>
                      <c:pt idx="12">
                        <c:v>999.2</c:v>
                      </c:pt>
                      <c:pt idx="13">
                        <c:v>1033</c:v>
                      </c:pt>
                      <c:pt idx="14">
                        <c:v>1066</c:v>
                      </c:pt>
                      <c:pt idx="15">
                        <c:v>1099</c:v>
                      </c:pt>
                      <c:pt idx="16">
                        <c:v>1233</c:v>
                      </c:pt>
                      <c:pt idx="17">
                        <c:v>1366</c:v>
                      </c:pt>
                      <c:pt idx="18">
                        <c:v>1400</c:v>
                      </c:pt>
                      <c:pt idx="19">
                        <c:v>1433</c:v>
                      </c:pt>
                      <c:pt idx="20">
                        <c:v>1467</c:v>
                      </c:pt>
                      <c:pt idx="21">
                        <c:v>1500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SOLID!$F$129:$AL$129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39B8-4099-89EB-409D78398715}"/>
                  </c:ext>
                </c:extLst>
              </c15:ser>
            </c15:filteredScatterSeries>
            <c15:filteredScatterSeries>
              <c15:ser>
                <c:idx val="7"/>
                <c:order val="7"/>
                <c:spPr>
                  <a:ln w="19050" cap="rnd">
                    <a:solidFill>
                      <a:schemeClr val="accent2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SOLID!$F$122:$AL$122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298.2</c:v>
                      </c:pt>
                      <c:pt idx="1">
                        <c:v>331.5</c:v>
                      </c:pt>
                      <c:pt idx="2">
                        <c:v>364.9</c:v>
                      </c:pt>
                      <c:pt idx="3">
                        <c:v>398.3</c:v>
                      </c:pt>
                      <c:pt idx="4">
                        <c:v>431.7</c:v>
                      </c:pt>
                      <c:pt idx="5">
                        <c:v>465.1</c:v>
                      </c:pt>
                      <c:pt idx="6">
                        <c:v>498.5</c:v>
                      </c:pt>
                      <c:pt idx="7">
                        <c:v>531.79999999999995</c:v>
                      </c:pt>
                      <c:pt idx="8">
                        <c:v>565.20000000000005</c:v>
                      </c:pt>
                      <c:pt idx="9">
                        <c:v>698.8</c:v>
                      </c:pt>
                      <c:pt idx="10">
                        <c:v>832.3</c:v>
                      </c:pt>
                      <c:pt idx="11">
                        <c:v>965.8</c:v>
                      </c:pt>
                      <c:pt idx="12">
                        <c:v>999.2</c:v>
                      </c:pt>
                      <c:pt idx="13">
                        <c:v>1033</c:v>
                      </c:pt>
                      <c:pt idx="14">
                        <c:v>1066</c:v>
                      </c:pt>
                      <c:pt idx="15">
                        <c:v>1099</c:v>
                      </c:pt>
                      <c:pt idx="16">
                        <c:v>1233</c:v>
                      </c:pt>
                      <c:pt idx="17">
                        <c:v>1366</c:v>
                      </c:pt>
                      <c:pt idx="18">
                        <c:v>1400</c:v>
                      </c:pt>
                      <c:pt idx="19">
                        <c:v>1433</c:v>
                      </c:pt>
                      <c:pt idx="20">
                        <c:v>1467</c:v>
                      </c:pt>
                      <c:pt idx="21">
                        <c:v>1500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SOLID!$F$130:$AL$130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39B8-4099-89EB-409D78398715}"/>
                  </c:ext>
                </c:extLst>
              </c15:ser>
            </c15:filteredScatterSeries>
            <c15:filteredScatterSeries>
              <c15:ser>
                <c:idx val="8"/>
                <c:order val="8"/>
                <c:spPr>
                  <a:ln w="19050" cap="rnd">
                    <a:solidFill>
                      <a:schemeClr val="accent3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SOLID!$F$122:$AL$122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298.2</c:v>
                      </c:pt>
                      <c:pt idx="1">
                        <c:v>331.5</c:v>
                      </c:pt>
                      <c:pt idx="2">
                        <c:v>364.9</c:v>
                      </c:pt>
                      <c:pt idx="3">
                        <c:v>398.3</c:v>
                      </c:pt>
                      <c:pt idx="4">
                        <c:v>431.7</c:v>
                      </c:pt>
                      <c:pt idx="5">
                        <c:v>465.1</c:v>
                      </c:pt>
                      <c:pt idx="6">
                        <c:v>498.5</c:v>
                      </c:pt>
                      <c:pt idx="7">
                        <c:v>531.79999999999995</c:v>
                      </c:pt>
                      <c:pt idx="8">
                        <c:v>565.20000000000005</c:v>
                      </c:pt>
                      <c:pt idx="9">
                        <c:v>698.8</c:v>
                      </c:pt>
                      <c:pt idx="10">
                        <c:v>832.3</c:v>
                      </c:pt>
                      <c:pt idx="11">
                        <c:v>965.8</c:v>
                      </c:pt>
                      <c:pt idx="12">
                        <c:v>999.2</c:v>
                      </c:pt>
                      <c:pt idx="13">
                        <c:v>1033</c:v>
                      </c:pt>
                      <c:pt idx="14">
                        <c:v>1066</c:v>
                      </c:pt>
                      <c:pt idx="15">
                        <c:v>1099</c:v>
                      </c:pt>
                      <c:pt idx="16">
                        <c:v>1233</c:v>
                      </c:pt>
                      <c:pt idx="17">
                        <c:v>1366</c:v>
                      </c:pt>
                      <c:pt idx="18">
                        <c:v>1400</c:v>
                      </c:pt>
                      <c:pt idx="19">
                        <c:v>1433</c:v>
                      </c:pt>
                      <c:pt idx="20">
                        <c:v>1467</c:v>
                      </c:pt>
                      <c:pt idx="21">
                        <c:v>1500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SOLID!$F$131:$AL$131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A-39B8-4099-89EB-409D78398715}"/>
                  </c:ext>
                </c:extLst>
              </c15:ser>
            </c15:filteredScatterSeries>
            <c15:filteredScatterSeries>
              <c15:ser>
                <c:idx val="9"/>
                <c:order val="9"/>
                <c:spPr>
                  <a:ln w="19050" cap="rnd">
                    <a:solidFill>
                      <a:schemeClr val="accent4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SOLID!$F$122:$AL$122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298.2</c:v>
                      </c:pt>
                      <c:pt idx="1">
                        <c:v>331.5</c:v>
                      </c:pt>
                      <c:pt idx="2">
                        <c:v>364.9</c:v>
                      </c:pt>
                      <c:pt idx="3">
                        <c:v>398.3</c:v>
                      </c:pt>
                      <c:pt idx="4">
                        <c:v>431.7</c:v>
                      </c:pt>
                      <c:pt idx="5">
                        <c:v>465.1</c:v>
                      </c:pt>
                      <c:pt idx="6">
                        <c:v>498.5</c:v>
                      </c:pt>
                      <c:pt idx="7">
                        <c:v>531.79999999999995</c:v>
                      </c:pt>
                      <c:pt idx="8">
                        <c:v>565.20000000000005</c:v>
                      </c:pt>
                      <c:pt idx="9">
                        <c:v>698.8</c:v>
                      </c:pt>
                      <c:pt idx="10">
                        <c:v>832.3</c:v>
                      </c:pt>
                      <c:pt idx="11">
                        <c:v>965.8</c:v>
                      </c:pt>
                      <c:pt idx="12">
                        <c:v>999.2</c:v>
                      </c:pt>
                      <c:pt idx="13">
                        <c:v>1033</c:v>
                      </c:pt>
                      <c:pt idx="14">
                        <c:v>1066</c:v>
                      </c:pt>
                      <c:pt idx="15">
                        <c:v>1099</c:v>
                      </c:pt>
                      <c:pt idx="16">
                        <c:v>1233</c:v>
                      </c:pt>
                      <c:pt idx="17">
                        <c:v>1366</c:v>
                      </c:pt>
                      <c:pt idx="18">
                        <c:v>1400</c:v>
                      </c:pt>
                      <c:pt idx="19">
                        <c:v>1433</c:v>
                      </c:pt>
                      <c:pt idx="20">
                        <c:v>1467</c:v>
                      </c:pt>
                      <c:pt idx="21">
                        <c:v>1500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SOLID!$F$132:$AL$132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B-39B8-4099-89EB-409D78398715}"/>
                  </c:ext>
                </c:extLst>
              </c15:ser>
            </c15:filteredScatterSeries>
            <c15:filteredScatterSeries>
              <c15:ser>
                <c:idx val="10"/>
                <c:order val="10"/>
                <c:spPr>
                  <a:ln w="19050" cap="rnd">
                    <a:solidFill>
                      <a:schemeClr val="accent5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SOLID!$F$122:$AL$122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298.2</c:v>
                      </c:pt>
                      <c:pt idx="1">
                        <c:v>331.5</c:v>
                      </c:pt>
                      <c:pt idx="2">
                        <c:v>364.9</c:v>
                      </c:pt>
                      <c:pt idx="3">
                        <c:v>398.3</c:v>
                      </c:pt>
                      <c:pt idx="4">
                        <c:v>431.7</c:v>
                      </c:pt>
                      <c:pt idx="5">
                        <c:v>465.1</c:v>
                      </c:pt>
                      <c:pt idx="6">
                        <c:v>498.5</c:v>
                      </c:pt>
                      <c:pt idx="7">
                        <c:v>531.79999999999995</c:v>
                      </c:pt>
                      <c:pt idx="8">
                        <c:v>565.20000000000005</c:v>
                      </c:pt>
                      <c:pt idx="9">
                        <c:v>698.8</c:v>
                      </c:pt>
                      <c:pt idx="10">
                        <c:v>832.3</c:v>
                      </c:pt>
                      <c:pt idx="11">
                        <c:v>965.8</c:v>
                      </c:pt>
                      <c:pt idx="12">
                        <c:v>999.2</c:v>
                      </c:pt>
                      <c:pt idx="13">
                        <c:v>1033</c:v>
                      </c:pt>
                      <c:pt idx="14">
                        <c:v>1066</c:v>
                      </c:pt>
                      <c:pt idx="15">
                        <c:v>1099</c:v>
                      </c:pt>
                      <c:pt idx="16">
                        <c:v>1233</c:v>
                      </c:pt>
                      <c:pt idx="17">
                        <c:v>1366</c:v>
                      </c:pt>
                      <c:pt idx="18">
                        <c:v>1400</c:v>
                      </c:pt>
                      <c:pt idx="19">
                        <c:v>1433</c:v>
                      </c:pt>
                      <c:pt idx="20">
                        <c:v>1467</c:v>
                      </c:pt>
                      <c:pt idx="21">
                        <c:v>1500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SOLID!$F$133:$AL$133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C-39B8-4099-89EB-409D78398715}"/>
                  </c:ext>
                </c:extLst>
              </c15:ser>
            </c15:filteredScatterSeries>
            <c15:filteredScatterSeries>
              <c15:ser>
                <c:idx val="11"/>
                <c:order val="11"/>
                <c:spPr>
                  <a:ln w="19050" cap="rnd">
                    <a:solidFill>
                      <a:schemeClr val="accent6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SOLID!$F$122:$AL$122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298.2</c:v>
                      </c:pt>
                      <c:pt idx="1">
                        <c:v>331.5</c:v>
                      </c:pt>
                      <c:pt idx="2">
                        <c:v>364.9</c:v>
                      </c:pt>
                      <c:pt idx="3">
                        <c:v>398.3</c:v>
                      </c:pt>
                      <c:pt idx="4">
                        <c:v>431.7</c:v>
                      </c:pt>
                      <c:pt idx="5">
                        <c:v>465.1</c:v>
                      </c:pt>
                      <c:pt idx="6">
                        <c:v>498.5</c:v>
                      </c:pt>
                      <c:pt idx="7">
                        <c:v>531.79999999999995</c:v>
                      </c:pt>
                      <c:pt idx="8">
                        <c:v>565.20000000000005</c:v>
                      </c:pt>
                      <c:pt idx="9">
                        <c:v>698.8</c:v>
                      </c:pt>
                      <c:pt idx="10">
                        <c:v>832.3</c:v>
                      </c:pt>
                      <c:pt idx="11">
                        <c:v>965.8</c:v>
                      </c:pt>
                      <c:pt idx="12">
                        <c:v>999.2</c:v>
                      </c:pt>
                      <c:pt idx="13">
                        <c:v>1033</c:v>
                      </c:pt>
                      <c:pt idx="14">
                        <c:v>1066</c:v>
                      </c:pt>
                      <c:pt idx="15">
                        <c:v>1099</c:v>
                      </c:pt>
                      <c:pt idx="16">
                        <c:v>1233</c:v>
                      </c:pt>
                      <c:pt idx="17">
                        <c:v>1366</c:v>
                      </c:pt>
                      <c:pt idx="18">
                        <c:v>1400</c:v>
                      </c:pt>
                      <c:pt idx="19">
                        <c:v>1433</c:v>
                      </c:pt>
                      <c:pt idx="20">
                        <c:v>1467</c:v>
                      </c:pt>
                      <c:pt idx="21">
                        <c:v>1500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SOLID!$F$134:$AL$134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D-39B8-4099-89EB-409D78398715}"/>
                  </c:ext>
                </c:extLst>
              </c15:ser>
            </c15:filteredScatterSeries>
            <c15:filteredScatterSeries>
              <c15:ser>
                <c:idx val="12"/>
                <c:order val="12"/>
                <c:spPr>
                  <a:ln w="19050" cap="rnd">
                    <a:solidFill>
                      <a:schemeClr val="accent1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SOLID!$F$122:$AL$122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298.2</c:v>
                      </c:pt>
                      <c:pt idx="1">
                        <c:v>331.5</c:v>
                      </c:pt>
                      <c:pt idx="2">
                        <c:v>364.9</c:v>
                      </c:pt>
                      <c:pt idx="3">
                        <c:v>398.3</c:v>
                      </c:pt>
                      <c:pt idx="4">
                        <c:v>431.7</c:v>
                      </c:pt>
                      <c:pt idx="5">
                        <c:v>465.1</c:v>
                      </c:pt>
                      <c:pt idx="6">
                        <c:v>498.5</c:v>
                      </c:pt>
                      <c:pt idx="7">
                        <c:v>531.79999999999995</c:v>
                      </c:pt>
                      <c:pt idx="8">
                        <c:v>565.20000000000005</c:v>
                      </c:pt>
                      <c:pt idx="9">
                        <c:v>698.8</c:v>
                      </c:pt>
                      <c:pt idx="10">
                        <c:v>832.3</c:v>
                      </c:pt>
                      <c:pt idx="11">
                        <c:v>965.8</c:v>
                      </c:pt>
                      <c:pt idx="12">
                        <c:v>999.2</c:v>
                      </c:pt>
                      <c:pt idx="13">
                        <c:v>1033</c:v>
                      </c:pt>
                      <c:pt idx="14">
                        <c:v>1066</c:v>
                      </c:pt>
                      <c:pt idx="15">
                        <c:v>1099</c:v>
                      </c:pt>
                      <c:pt idx="16">
                        <c:v>1233</c:v>
                      </c:pt>
                      <c:pt idx="17">
                        <c:v>1366</c:v>
                      </c:pt>
                      <c:pt idx="18">
                        <c:v>1400</c:v>
                      </c:pt>
                      <c:pt idx="19">
                        <c:v>1433</c:v>
                      </c:pt>
                      <c:pt idx="20">
                        <c:v>1467</c:v>
                      </c:pt>
                      <c:pt idx="21">
                        <c:v>1500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SOLID!$F$135:$AL$135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E-39B8-4099-89EB-409D78398715}"/>
                  </c:ext>
                </c:extLst>
              </c15:ser>
            </c15:filteredScatterSeries>
          </c:ext>
        </c:extLst>
      </c:scatterChart>
      <c:valAx>
        <c:axId val="1103713984"/>
        <c:scaling>
          <c:orientation val="minMax"/>
          <c:max val="1000"/>
          <c:min val="3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103702336"/>
        <c:crosses val="autoZero"/>
        <c:crossBetween val="midCat"/>
      </c:valAx>
      <c:valAx>
        <c:axId val="1103702336"/>
        <c:scaling>
          <c:orientation val="minMax"/>
          <c:max val="1"/>
          <c:min val="-10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103713984"/>
        <c:crosses val="autoZero"/>
        <c:crossBetween val="midCat"/>
        <c:majorUnit val="200"/>
      </c:valAx>
      <c:spPr>
        <a:noFill/>
        <a:ln>
          <a:noFill/>
        </a:ln>
        <a:effectLst/>
      </c:spPr>
    </c:plotArea>
    <c:plotVisOnly val="0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2554091312569232"/>
          <c:y val="8.2117355881280038E-2"/>
          <c:w val="0.83553361749524424"/>
          <c:h val="0.77107340657712931"/>
        </c:manualLayout>
      </c:layout>
      <c:scatterChart>
        <c:scatterStyle val="lineMarker"/>
        <c:varyColors val="0"/>
        <c:ser>
          <c:idx val="0"/>
          <c:order val="0"/>
          <c:tx>
            <c:strRef>
              <c:f>SOLID!$E$4</c:f>
              <c:strCache>
                <c:ptCount val="1"/>
                <c:pt idx="0">
                  <c:v>*Ge[l]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SOLID!$F$3:$AL$3</c:f>
              <c:numCache>
                <c:formatCode>General</c:formatCode>
                <c:ptCount val="33"/>
                <c:pt idx="0">
                  <c:v>298.2</c:v>
                </c:pt>
                <c:pt idx="1">
                  <c:v>331.5</c:v>
                </c:pt>
                <c:pt idx="2">
                  <c:v>364.9</c:v>
                </c:pt>
                <c:pt idx="3">
                  <c:v>398.3</c:v>
                </c:pt>
                <c:pt idx="4">
                  <c:v>431.7</c:v>
                </c:pt>
                <c:pt idx="5">
                  <c:v>465.1</c:v>
                </c:pt>
                <c:pt idx="6">
                  <c:v>498.5</c:v>
                </c:pt>
                <c:pt idx="7">
                  <c:v>531.79999999999995</c:v>
                </c:pt>
                <c:pt idx="8">
                  <c:v>565.20000000000005</c:v>
                </c:pt>
                <c:pt idx="9">
                  <c:v>698.8</c:v>
                </c:pt>
                <c:pt idx="10">
                  <c:v>832.3</c:v>
                </c:pt>
                <c:pt idx="11">
                  <c:v>965.8</c:v>
                </c:pt>
                <c:pt idx="12">
                  <c:v>999.2</c:v>
                </c:pt>
                <c:pt idx="13">
                  <c:v>1033</c:v>
                </c:pt>
                <c:pt idx="14">
                  <c:v>1066</c:v>
                </c:pt>
                <c:pt idx="15">
                  <c:v>1099</c:v>
                </c:pt>
                <c:pt idx="16">
                  <c:v>1233</c:v>
                </c:pt>
                <c:pt idx="17">
                  <c:v>1366</c:v>
                </c:pt>
                <c:pt idx="18">
                  <c:v>1400</c:v>
                </c:pt>
                <c:pt idx="19" formatCode="0">
                  <c:v>1433</c:v>
                </c:pt>
                <c:pt idx="20" formatCode="0">
                  <c:v>1467</c:v>
                </c:pt>
                <c:pt idx="21" formatCode="0">
                  <c:v>1500</c:v>
                </c:pt>
              </c:numCache>
            </c:numRef>
          </c:xVal>
          <c:yVal>
            <c:numRef>
              <c:f>SOLID!$F$4:$AL$4</c:f>
              <c:numCache>
                <c:formatCode>0.0E+00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5.4464E-24</c:v>
                </c:pt>
                <c:pt idx="9">
                  <c:v>2.7126E-13</c:v>
                </c:pt>
                <c:pt idx="10">
                  <c:v>4.3304999999999999E-11</c:v>
                </c:pt>
                <c:pt idx="11">
                  <c:v>1.4366E-9</c:v>
                </c:pt>
                <c:pt idx="12">
                  <c:v>2.4853000000000001E-9</c:v>
                </c:pt>
                <c:pt idx="13">
                  <c:v>4.4833E-9</c:v>
                </c:pt>
                <c:pt idx="14">
                  <c:v>1.1865000000000001E-8</c:v>
                </c:pt>
                <c:pt idx="15">
                  <c:v>2.9401E-8</c:v>
                </c:pt>
                <c:pt idx="16">
                  <c:v>5.9993999999999999E-2</c:v>
                </c:pt>
                <c:pt idx="17">
                  <c:v>0.06</c:v>
                </c:pt>
                <c:pt idx="18">
                  <c:v>0.06</c:v>
                </c:pt>
                <c:pt idx="19" formatCode="General">
                  <c:v>0.06</c:v>
                </c:pt>
                <c:pt idx="20" formatCode="General">
                  <c:v>0.06</c:v>
                </c:pt>
                <c:pt idx="21" formatCode="General">
                  <c:v>0.06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0-A7C9-4F8E-93A1-524E66C52F6C}"/>
            </c:ext>
          </c:extLst>
        </c:ser>
        <c:ser>
          <c:idx val="1"/>
          <c:order val="1"/>
          <c:tx>
            <c:strRef>
              <c:f>SOLID!$E$5</c:f>
              <c:strCache>
                <c:ptCount val="1"/>
                <c:pt idx="0">
                  <c:v>*Ge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SOLID!$F$3:$AL$3</c:f>
              <c:numCache>
                <c:formatCode>General</c:formatCode>
                <c:ptCount val="33"/>
                <c:pt idx="0">
                  <c:v>298.2</c:v>
                </c:pt>
                <c:pt idx="1">
                  <c:v>331.5</c:v>
                </c:pt>
                <c:pt idx="2">
                  <c:v>364.9</c:v>
                </c:pt>
                <c:pt idx="3">
                  <c:v>398.3</c:v>
                </c:pt>
                <c:pt idx="4">
                  <c:v>431.7</c:v>
                </c:pt>
                <c:pt idx="5">
                  <c:v>465.1</c:v>
                </c:pt>
                <c:pt idx="6">
                  <c:v>498.5</c:v>
                </c:pt>
                <c:pt idx="7">
                  <c:v>531.79999999999995</c:v>
                </c:pt>
                <c:pt idx="8">
                  <c:v>565.20000000000005</c:v>
                </c:pt>
                <c:pt idx="9">
                  <c:v>698.8</c:v>
                </c:pt>
                <c:pt idx="10">
                  <c:v>832.3</c:v>
                </c:pt>
                <c:pt idx="11">
                  <c:v>965.8</c:v>
                </c:pt>
                <c:pt idx="12">
                  <c:v>999.2</c:v>
                </c:pt>
                <c:pt idx="13">
                  <c:v>1033</c:v>
                </c:pt>
                <c:pt idx="14">
                  <c:v>1066</c:v>
                </c:pt>
                <c:pt idx="15">
                  <c:v>1099</c:v>
                </c:pt>
                <c:pt idx="16">
                  <c:v>1233</c:v>
                </c:pt>
                <c:pt idx="17">
                  <c:v>1366</c:v>
                </c:pt>
                <c:pt idx="18">
                  <c:v>1400</c:v>
                </c:pt>
                <c:pt idx="19" formatCode="0">
                  <c:v>1433</c:v>
                </c:pt>
                <c:pt idx="20" formatCode="0">
                  <c:v>1467</c:v>
                </c:pt>
                <c:pt idx="21" formatCode="0">
                  <c:v>1500</c:v>
                </c:pt>
              </c:numCache>
            </c:numRef>
          </c:xVal>
          <c:yVal>
            <c:numRef>
              <c:f>SOLID!$F$5:$AL$5</c:f>
              <c:numCache>
                <c:formatCode>0.0E+00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2.4355E-24</c:v>
                </c:pt>
                <c:pt idx="4">
                  <c:v>9.869100000000001E-16</c:v>
                </c:pt>
                <c:pt idx="5">
                  <c:v>1.9321999999999999E-11</c:v>
                </c:pt>
                <c:pt idx="6">
                  <c:v>4.5759999999999999E-9</c:v>
                </c:pt>
                <c:pt idx="7">
                  <c:v>0.06</c:v>
                </c:pt>
                <c:pt idx="8">
                  <c:v>0.06</c:v>
                </c:pt>
                <c:pt idx="9">
                  <c:v>0.06</c:v>
                </c:pt>
                <c:pt idx="10">
                  <c:v>0.06</c:v>
                </c:pt>
                <c:pt idx="11">
                  <c:v>0.06</c:v>
                </c:pt>
                <c:pt idx="12">
                  <c:v>0.06</c:v>
                </c:pt>
                <c:pt idx="13">
                  <c:v>0.06</c:v>
                </c:pt>
                <c:pt idx="14">
                  <c:v>0.06</c:v>
                </c:pt>
                <c:pt idx="15">
                  <c:v>0.06</c:v>
                </c:pt>
                <c:pt idx="16">
                  <c:v>5.8922000000000001E-6</c:v>
                </c:pt>
                <c:pt idx="17">
                  <c:v>1.9743E-8</c:v>
                </c:pt>
                <c:pt idx="18">
                  <c:v>1.4553E-8</c:v>
                </c:pt>
                <c:pt idx="19" formatCode="General">
                  <c:v>8.2159000000000001E-9</c:v>
                </c:pt>
                <c:pt idx="20" formatCode="General">
                  <c:v>7.8679999999999997E-9</c:v>
                </c:pt>
                <c:pt idx="21" formatCode="General">
                  <c:v>6.0850000000000004E-9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A7C9-4F8E-93A1-524E66C52F6C}"/>
            </c:ext>
          </c:extLst>
        </c:ser>
        <c:ser>
          <c:idx val="2"/>
          <c:order val="2"/>
          <c:tx>
            <c:strRef>
              <c:f>SOLID!$E$6</c:f>
              <c:strCache>
                <c:ptCount val="1"/>
                <c:pt idx="0">
                  <c:v>*GeSe</c:v>
                </c:pt>
              </c:strCache>
            </c:strRef>
          </c:tx>
          <c:spPr>
            <a:ln w="19050" cap="rnd">
              <a:solidFill>
                <a:schemeClr val="accent4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SOLID!$F$3:$AL$3</c:f>
              <c:numCache>
                <c:formatCode>General</c:formatCode>
                <c:ptCount val="33"/>
                <c:pt idx="0">
                  <c:v>298.2</c:v>
                </c:pt>
                <c:pt idx="1">
                  <c:v>331.5</c:v>
                </c:pt>
                <c:pt idx="2">
                  <c:v>364.9</c:v>
                </c:pt>
                <c:pt idx="3">
                  <c:v>398.3</c:v>
                </c:pt>
                <c:pt idx="4">
                  <c:v>431.7</c:v>
                </c:pt>
                <c:pt idx="5">
                  <c:v>465.1</c:v>
                </c:pt>
                <c:pt idx="6">
                  <c:v>498.5</c:v>
                </c:pt>
                <c:pt idx="7">
                  <c:v>531.79999999999995</c:v>
                </c:pt>
                <c:pt idx="8">
                  <c:v>565.20000000000005</c:v>
                </c:pt>
                <c:pt idx="9">
                  <c:v>698.8</c:v>
                </c:pt>
                <c:pt idx="10">
                  <c:v>832.3</c:v>
                </c:pt>
                <c:pt idx="11">
                  <c:v>965.8</c:v>
                </c:pt>
                <c:pt idx="12">
                  <c:v>999.2</c:v>
                </c:pt>
                <c:pt idx="13">
                  <c:v>1033</c:v>
                </c:pt>
                <c:pt idx="14">
                  <c:v>1066</c:v>
                </c:pt>
                <c:pt idx="15">
                  <c:v>1099</c:v>
                </c:pt>
                <c:pt idx="16">
                  <c:v>1233</c:v>
                </c:pt>
                <c:pt idx="17">
                  <c:v>1366</c:v>
                </c:pt>
                <c:pt idx="18">
                  <c:v>1400</c:v>
                </c:pt>
                <c:pt idx="19" formatCode="0">
                  <c:v>1433</c:v>
                </c:pt>
                <c:pt idx="20" formatCode="0">
                  <c:v>1467</c:v>
                </c:pt>
                <c:pt idx="21" formatCode="0">
                  <c:v>1500</c:v>
                </c:pt>
              </c:numCache>
            </c:numRef>
          </c:xVal>
          <c:yVal>
            <c:numRef>
              <c:f>SOLID!$F$6:$AL$6</c:f>
              <c:numCache>
                <c:formatCode>0.0E+00</c:formatCode>
                <c:ptCount val="33"/>
                <c:pt idx="0">
                  <c:v>0.06</c:v>
                </c:pt>
                <c:pt idx="1">
                  <c:v>0.06</c:v>
                </c:pt>
                <c:pt idx="2">
                  <c:v>0.12</c:v>
                </c:pt>
                <c:pt idx="3">
                  <c:v>0.12</c:v>
                </c:pt>
                <c:pt idx="4">
                  <c:v>0.12</c:v>
                </c:pt>
                <c:pt idx="5">
                  <c:v>0.12</c:v>
                </c:pt>
                <c:pt idx="6">
                  <c:v>0.12</c:v>
                </c:pt>
                <c:pt idx="7">
                  <c:v>8.4004999999999997E-9</c:v>
                </c:pt>
                <c:pt idx="8">
                  <c:v>8.1328000000000001E-11</c:v>
                </c:pt>
                <c:pt idx="9">
                  <c:v>7.2548999999999998E-26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 formatCode="General">
                  <c:v>0</c:v>
                </c:pt>
                <c:pt idx="20" formatCode="General">
                  <c:v>0</c:v>
                </c:pt>
                <c:pt idx="21" formatCode="General">
                  <c:v>0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A7C9-4F8E-93A1-524E66C52F6C}"/>
            </c:ext>
          </c:extLst>
        </c:ser>
        <c:ser>
          <c:idx val="5"/>
          <c:order val="5"/>
          <c:tx>
            <c:strRef>
              <c:f>SOLID!$E$9</c:f>
              <c:strCache>
                <c:ptCount val="1"/>
                <c:pt idx="0">
                  <c:v>*Se[m]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SOLID!$F$3:$AL$3</c:f>
              <c:numCache>
                <c:formatCode>General</c:formatCode>
                <c:ptCount val="33"/>
                <c:pt idx="0">
                  <c:v>298.2</c:v>
                </c:pt>
                <c:pt idx="1">
                  <c:v>331.5</c:v>
                </c:pt>
                <c:pt idx="2">
                  <c:v>364.9</c:v>
                </c:pt>
                <c:pt idx="3">
                  <c:v>398.3</c:v>
                </c:pt>
                <c:pt idx="4">
                  <c:v>431.7</c:v>
                </c:pt>
                <c:pt idx="5">
                  <c:v>465.1</c:v>
                </c:pt>
                <c:pt idx="6">
                  <c:v>498.5</c:v>
                </c:pt>
                <c:pt idx="7">
                  <c:v>531.79999999999995</c:v>
                </c:pt>
                <c:pt idx="8">
                  <c:v>565.20000000000005</c:v>
                </c:pt>
                <c:pt idx="9">
                  <c:v>698.8</c:v>
                </c:pt>
                <c:pt idx="10">
                  <c:v>832.3</c:v>
                </c:pt>
                <c:pt idx="11">
                  <c:v>965.8</c:v>
                </c:pt>
                <c:pt idx="12">
                  <c:v>999.2</c:v>
                </c:pt>
                <c:pt idx="13">
                  <c:v>1033</c:v>
                </c:pt>
                <c:pt idx="14">
                  <c:v>1066</c:v>
                </c:pt>
                <c:pt idx="15">
                  <c:v>1099</c:v>
                </c:pt>
                <c:pt idx="16">
                  <c:v>1233</c:v>
                </c:pt>
                <c:pt idx="17">
                  <c:v>1366</c:v>
                </c:pt>
                <c:pt idx="18">
                  <c:v>1400</c:v>
                </c:pt>
                <c:pt idx="19" formatCode="0">
                  <c:v>1433</c:v>
                </c:pt>
                <c:pt idx="20" formatCode="0">
                  <c:v>1467</c:v>
                </c:pt>
                <c:pt idx="21" formatCode="0">
                  <c:v>1500</c:v>
                </c:pt>
              </c:numCache>
            </c:numRef>
          </c:xVal>
          <c:yVal>
            <c:numRef>
              <c:f>SOLID!$F$9:$AL$9</c:f>
              <c:numCache>
                <c:formatCode>0.0E+00</c:formatCode>
                <c:ptCount val="33"/>
                <c:pt idx="0">
                  <c:v>8.7129E-15</c:v>
                </c:pt>
                <c:pt idx="1">
                  <c:v>9.8545999999999994E-9</c:v>
                </c:pt>
                <c:pt idx="2">
                  <c:v>0.06</c:v>
                </c:pt>
                <c:pt idx="3">
                  <c:v>0.06</c:v>
                </c:pt>
                <c:pt idx="4">
                  <c:v>0.06</c:v>
                </c:pt>
                <c:pt idx="5">
                  <c:v>0.06</c:v>
                </c:pt>
                <c:pt idx="6">
                  <c:v>0.06</c:v>
                </c:pt>
                <c:pt idx="7">
                  <c:v>0.41270000000000001</c:v>
                </c:pt>
                <c:pt idx="8">
                  <c:v>0.47999000000000003</c:v>
                </c:pt>
                <c:pt idx="9">
                  <c:v>0.48</c:v>
                </c:pt>
                <c:pt idx="10">
                  <c:v>0.48</c:v>
                </c:pt>
                <c:pt idx="11">
                  <c:v>0.48</c:v>
                </c:pt>
                <c:pt idx="12">
                  <c:v>0.48</c:v>
                </c:pt>
                <c:pt idx="13">
                  <c:v>0.48</c:v>
                </c:pt>
                <c:pt idx="14">
                  <c:v>0.48</c:v>
                </c:pt>
                <c:pt idx="15">
                  <c:v>0.48</c:v>
                </c:pt>
                <c:pt idx="16">
                  <c:v>0.48</c:v>
                </c:pt>
                <c:pt idx="17">
                  <c:v>0.48</c:v>
                </c:pt>
                <c:pt idx="18">
                  <c:v>0.48</c:v>
                </c:pt>
                <c:pt idx="19" formatCode="General">
                  <c:v>0.48</c:v>
                </c:pt>
                <c:pt idx="20" formatCode="General">
                  <c:v>0.48</c:v>
                </c:pt>
                <c:pt idx="21" formatCode="General">
                  <c:v>0.48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3-A7C9-4F8E-93A1-524E66C52F6C}"/>
            </c:ext>
          </c:extLst>
        </c:ser>
        <c:ser>
          <c:idx val="6"/>
          <c:order val="6"/>
          <c:tx>
            <c:strRef>
              <c:f>SOLID!$E$10</c:f>
              <c:strCache>
                <c:ptCount val="1"/>
                <c:pt idx="0">
                  <c:v>*GeSe2</c:v>
                </c:pt>
              </c:strCache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dPt>
            <c:idx val="15"/>
            <c:marker>
              <c:symbol val="none"/>
            </c:marker>
            <c:bubble3D val="0"/>
            <c:extLst xmlns:c15="http://schemas.microsoft.com/office/drawing/2012/chart">
              <c:ext xmlns:c16="http://schemas.microsoft.com/office/drawing/2014/chart" uri="{C3380CC4-5D6E-409C-BE32-E72D297353CC}">
                <c16:uniqueId val="{00000004-A7C9-4F8E-93A1-524E66C52F6C}"/>
              </c:ext>
            </c:extLst>
          </c:dPt>
          <c:xVal>
            <c:numRef>
              <c:f>SOLID!$F$3:$AL$3</c:f>
              <c:numCache>
                <c:formatCode>General</c:formatCode>
                <c:ptCount val="33"/>
                <c:pt idx="0">
                  <c:v>298.2</c:v>
                </c:pt>
                <c:pt idx="1">
                  <c:v>331.5</c:v>
                </c:pt>
                <c:pt idx="2">
                  <c:v>364.9</c:v>
                </c:pt>
                <c:pt idx="3">
                  <c:v>398.3</c:v>
                </c:pt>
                <c:pt idx="4">
                  <c:v>431.7</c:v>
                </c:pt>
                <c:pt idx="5">
                  <c:v>465.1</c:v>
                </c:pt>
                <c:pt idx="6">
                  <c:v>498.5</c:v>
                </c:pt>
                <c:pt idx="7">
                  <c:v>531.79999999999995</c:v>
                </c:pt>
                <c:pt idx="8">
                  <c:v>565.20000000000005</c:v>
                </c:pt>
                <c:pt idx="9">
                  <c:v>698.8</c:v>
                </c:pt>
                <c:pt idx="10">
                  <c:v>832.3</c:v>
                </c:pt>
                <c:pt idx="11">
                  <c:v>965.8</c:v>
                </c:pt>
                <c:pt idx="12">
                  <c:v>999.2</c:v>
                </c:pt>
                <c:pt idx="13">
                  <c:v>1033</c:v>
                </c:pt>
                <c:pt idx="14">
                  <c:v>1066</c:v>
                </c:pt>
                <c:pt idx="15">
                  <c:v>1099</c:v>
                </c:pt>
                <c:pt idx="16">
                  <c:v>1233</c:v>
                </c:pt>
                <c:pt idx="17">
                  <c:v>1366</c:v>
                </c:pt>
                <c:pt idx="18">
                  <c:v>1400</c:v>
                </c:pt>
                <c:pt idx="19" formatCode="0">
                  <c:v>1433</c:v>
                </c:pt>
                <c:pt idx="20" formatCode="0">
                  <c:v>1467</c:v>
                </c:pt>
                <c:pt idx="21" formatCode="0">
                  <c:v>1500</c:v>
                </c:pt>
              </c:numCache>
            </c:numRef>
          </c:xVal>
          <c:yVal>
            <c:numRef>
              <c:f>SOLID!$F$10:$AL$10</c:f>
              <c:numCache>
                <c:formatCode>0.0E+00</c:formatCode>
                <c:ptCount val="33"/>
                <c:pt idx="0">
                  <c:v>0.06</c:v>
                </c:pt>
                <c:pt idx="1">
                  <c:v>0.06</c:v>
                </c:pt>
                <c:pt idx="2">
                  <c:v>3.7176000000000002E-10</c:v>
                </c:pt>
                <c:pt idx="3">
                  <c:v>3.6682999999999996E-12</c:v>
                </c:pt>
                <c:pt idx="4">
                  <c:v>2.1788000000000001E-17</c:v>
                </c:pt>
                <c:pt idx="5">
                  <c:v>1.974E-29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 formatCode="General">
                  <c:v>0</c:v>
                </c:pt>
                <c:pt idx="20" formatCode="General">
                  <c:v>0</c:v>
                </c:pt>
                <c:pt idx="21" formatCode="General">
                  <c:v>0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5-A7C9-4F8E-93A1-524E66C52F6C}"/>
            </c:ext>
          </c:extLst>
        </c:ser>
        <c:ser>
          <c:idx val="7"/>
          <c:order val="7"/>
          <c:tx>
            <c:strRef>
              <c:f>SOLID!$E$11</c:f>
              <c:strCache>
                <c:ptCount val="1"/>
                <c:pt idx="0">
                  <c:v>Ga2Se3</c:v>
                </c:pt>
              </c:strCache>
            </c:strRef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SOLID!$F$3:$AL$3</c:f>
              <c:numCache>
                <c:formatCode>General</c:formatCode>
                <c:ptCount val="33"/>
                <c:pt idx="0">
                  <c:v>298.2</c:v>
                </c:pt>
                <c:pt idx="1">
                  <c:v>331.5</c:v>
                </c:pt>
                <c:pt idx="2">
                  <c:v>364.9</c:v>
                </c:pt>
                <c:pt idx="3">
                  <c:v>398.3</c:v>
                </c:pt>
                <c:pt idx="4">
                  <c:v>431.7</c:v>
                </c:pt>
                <c:pt idx="5">
                  <c:v>465.1</c:v>
                </c:pt>
                <c:pt idx="6">
                  <c:v>498.5</c:v>
                </c:pt>
                <c:pt idx="7">
                  <c:v>531.79999999999995</c:v>
                </c:pt>
                <c:pt idx="8">
                  <c:v>565.20000000000005</c:v>
                </c:pt>
                <c:pt idx="9">
                  <c:v>698.8</c:v>
                </c:pt>
                <c:pt idx="10">
                  <c:v>832.3</c:v>
                </c:pt>
                <c:pt idx="11">
                  <c:v>965.8</c:v>
                </c:pt>
                <c:pt idx="12">
                  <c:v>999.2</c:v>
                </c:pt>
                <c:pt idx="13">
                  <c:v>1033</c:v>
                </c:pt>
                <c:pt idx="14">
                  <c:v>1066</c:v>
                </c:pt>
                <c:pt idx="15">
                  <c:v>1099</c:v>
                </c:pt>
                <c:pt idx="16">
                  <c:v>1233</c:v>
                </c:pt>
                <c:pt idx="17">
                  <c:v>1366</c:v>
                </c:pt>
                <c:pt idx="18">
                  <c:v>1400</c:v>
                </c:pt>
                <c:pt idx="19" formatCode="0">
                  <c:v>1433</c:v>
                </c:pt>
                <c:pt idx="20" formatCode="0">
                  <c:v>1467</c:v>
                </c:pt>
                <c:pt idx="21" formatCode="0">
                  <c:v>1500</c:v>
                </c:pt>
              </c:numCache>
            </c:numRef>
          </c:xVal>
          <c:yVal>
            <c:numRef>
              <c:f>SOLID!$F$11:$AL$11</c:f>
              <c:numCache>
                <c:formatCode>0.0E+00</c:formatCode>
                <c:ptCount val="33"/>
                <c:pt idx="0">
                  <c:v>0.1</c:v>
                </c:pt>
                <c:pt idx="1">
                  <c:v>0.1</c:v>
                </c:pt>
                <c:pt idx="2">
                  <c:v>0.1</c:v>
                </c:pt>
                <c:pt idx="3">
                  <c:v>0.1</c:v>
                </c:pt>
                <c:pt idx="4">
                  <c:v>0.1</c:v>
                </c:pt>
                <c:pt idx="5">
                  <c:v>0.1</c:v>
                </c:pt>
                <c:pt idx="6">
                  <c:v>0.1</c:v>
                </c:pt>
                <c:pt idx="7">
                  <c:v>2.2433000000000002E-2</c:v>
                </c:pt>
                <c:pt idx="8">
                  <c:v>2.0362000000000001E-6</c:v>
                </c:pt>
                <c:pt idx="9">
                  <c:v>7.7761000000000004E-20</c:v>
                </c:pt>
                <c:pt idx="10">
                  <c:v>2.5107E-30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 formatCode="General">
                  <c:v>0</c:v>
                </c:pt>
                <c:pt idx="20" formatCode="General">
                  <c:v>0</c:v>
                </c:pt>
                <c:pt idx="21" formatCode="General">
                  <c:v>0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6-A7C9-4F8E-93A1-524E66C52F6C}"/>
            </c:ext>
          </c:extLst>
        </c:ser>
        <c:ser>
          <c:idx val="8"/>
          <c:order val="8"/>
          <c:tx>
            <c:strRef>
              <c:f>SOLID!$E$12</c:f>
              <c:strCache>
                <c:ptCount val="1"/>
                <c:pt idx="0">
                  <c:v>Ge2</c:v>
                </c:pt>
              </c:strCache>
            </c:strRef>
          </c:tx>
          <c:spPr>
            <a:ln w="19050" cap="rnd">
              <a:solidFill>
                <a:schemeClr val="accent6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SOLID!$F$3:$AL$3</c:f>
              <c:numCache>
                <c:formatCode>General</c:formatCode>
                <c:ptCount val="33"/>
                <c:pt idx="0">
                  <c:v>298.2</c:v>
                </c:pt>
                <c:pt idx="1">
                  <c:v>331.5</c:v>
                </c:pt>
                <c:pt idx="2">
                  <c:v>364.9</c:v>
                </c:pt>
                <c:pt idx="3">
                  <c:v>398.3</c:v>
                </c:pt>
                <c:pt idx="4">
                  <c:v>431.7</c:v>
                </c:pt>
                <c:pt idx="5">
                  <c:v>465.1</c:v>
                </c:pt>
                <c:pt idx="6">
                  <c:v>498.5</c:v>
                </c:pt>
                <c:pt idx="7">
                  <c:v>531.79999999999995</c:v>
                </c:pt>
                <c:pt idx="8">
                  <c:v>565.20000000000005</c:v>
                </c:pt>
                <c:pt idx="9">
                  <c:v>698.8</c:v>
                </c:pt>
                <c:pt idx="10">
                  <c:v>832.3</c:v>
                </c:pt>
                <c:pt idx="11">
                  <c:v>965.8</c:v>
                </c:pt>
                <c:pt idx="12">
                  <c:v>999.2</c:v>
                </c:pt>
                <c:pt idx="13">
                  <c:v>1033</c:v>
                </c:pt>
                <c:pt idx="14">
                  <c:v>1066</c:v>
                </c:pt>
                <c:pt idx="15">
                  <c:v>1099</c:v>
                </c:pt>
                <c:pt idx="16">
                  <c:v>1233</c:v>
                </c:pt>
                <c:pt idx="17">
                  <c:v>1366</c:v>
                </c:pt>
                <c:pt idx="18">
                  <c:v>1400</c:v>
                </c:pt>
                <c:pt idx="19" formatCode="0">
                  <c:v>1433</c:v>
                </c:pt>
                <c:pt idx="20" formatCode="0">
                  <c:v>1467</c:v>
                </c:pt>
                <c:pt idx="21" formatCode="0">
                  <c:v>1500</c:v>
                </c:pt>
              </c:numCache>
            </c:numRef>
          </c:xVal>
          <c:yVal>
            <c:numRef>
              <c:f>SOLID!$F$12:$AL$12</c:f>
              <c:numCache>
                <c:formatCode>0.0E+00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4.1590999999999998E-36</c:v>
                </c:pt>
                <c:pt idx="9">
                  <c:v>1.3659000000000001E-27</c:v>
                </c:pt>
                <c:pt idx="10">
                  <c:v>8.0203000000000004E-22</c:v>
                </c:pt>
                <c:pt idx="11">
                  <c:v>1.1604999999999999E-17</c:v>
                </c:pt>
                <c:pt idx="12">
                  <c:v>8.4930999999999999E-17</c:v>
                </c:pt>
                <c:pt idx="13">
                  <c:v>5.4554999999999996E-16</c:v>
                </c:pt>
                <c:pt idx="14">
                  <c:v>3.1137999999999998E-15</c:v>
                </c:pt>
                <c:pt idx="15">
                  <c:v>1.5962999999999998E-14</c:v>
                </c:pt>
                <c:pt idx="16">
                  <c:v>3.9470999999999996E-12</c:v>
                </c:pt>
                <c:pt idx="17">
                  <c:v>1.7847999999999999E-10</c:v>
                </c:pt>
                <c:pt idx="18">
                  <c:v>4.1200000000000002E-10</c:v>
                </c:pt>
                <c:pt idx="19" formatCode="General">
                  <c:v>9.1374999999999997E-10</c:v>
                </c:pt>
                <c:pt idx="20" formatCode="General">
                  <c:v>1.9525E-9</c:v>
                </c:pt>
                <c:pt idx="21" formatCode="General">
                  <c:v>4.0296000000000002E-9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7-A7C9-4F8E-93A1-524E66C52F6C}"/>
            </c:ext>
          </c:extLst>
        </c:ser>
        <c:ser>
          <c:idx val="9"/>
          <c:order val="9"/>
          <c:tx>
            <c:strRef>
              <c:f>SOLID!$E$13</c:f>
              <c:strCache>
                <c:ptCount val="1"/>
                <c:pt idx="0">
                  <c:v>Ge</c:v>
                </c:pt>
              </c:strCache>
            </c:strRef>
          </c:tx>
          <c:spPr>
            <a:ln w="19050" cap="rnd">
              <a:solidFill>
                <a:srgbClr val="0070C0"/>
              </a:solidFill>
              <a:round/>
            </a:ln>
            <a:effectLst/>
          </c:spPr>
          <c:marker>
            <c:symbol val="none"/>
          </c:marker>
          <c:xVal>
            <c:numRef>
              <c:f>SOLID!$F$3:$AL$3</c:f>
              <c:numCache>
                <c:formatCode>General</c:formatCode>
                <c:ptCount val="33"/>
                <c:pt idx="0">
                  <c:v>298.2</c:v>
                </c:pt>
                <c:pt idx="1">
                  <c:v>331.5</c:v>
                </c:pt>
                <c:pt idx="2">
                  <c:v>364.9</c:v>
                </c:pt>
                <c:pt idx="3">
                  <c:v>398.3</c:v>
                </c:pt>
                <c:pt idx="4">
                  <c:v>431.7</c:v>
                </c:pt>
                <c:pt idx="5">
                  <c:v>465.1</c:v>
                </c:pt>
                <c:pt idx="6">
                  <c:v>498.5</c:v>
                </c:pt>
                <c:pt idx="7">
                  <c:v>531.79999999999995</c:v>
                </c:pt>
                <c:pt idx="8">
                  <c:v>565.20000000000005</c:v>
                </c:pt>
                <c:pt idx="9">
                  <c:v>698.8</c:v>
                </c:pt>
                <c:pt idx="10">
                  <c:v>832.3</c:v>
                </c:pt>
                <c:pt idx="11">
                  <c:v>965.8</c:v>
                </c:pt>
                <c:pt idx="12">
                  <c:v>999.2</c:v>
                </c:pt>
                <c:pt idx="13">
                  <c:v>1033</c:v>
                </c:pt>
                <c:pt idx="14">
                  <c:v>1066</c:v>
                </c:pt>
                <c:pt idx="15">
                  <c:v>1099</c:v>
                </c:pt>
                <c:pt idx="16">
                  <c:v>1233</c:v>
                </c:pt>
                <c:pt idx="17">
                  <c:v>1366</c:v>
                </c:pt>
                <c:pt idx="18">
                  <c:v>1400</c:v>
                </c:pt>
                <c:pt idx="19" formatCode="0">
                  <c:v>1433</c:v>
                </c:pt>
                <c:pt idx="20" formatCode="0">
                  <c:v>1467</c:v>
                </c:pt>
                <c:pt idx="21" formatCode="0">
                  <c:v>1500</c:v>
                </c:pt>
              </c:numCache>
            </c:numRef>
          </c:xVal>
          <c:yVal>
            <c:numRef>
              <c:f>SOLID!$F$13:$AL$13</c:f>
              <c:numCache>
                <c:formatCode>0.0E+00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2.5350000000000001E-33</c:v>
                </c:pt>
                <c:pt idx="7">
                  <c:v>1.0517999999999999E-30</c:v>
                </c:pt>
                <c:pt idx="8">
                  <c:v>1.3863000000000001E-28</c:v>
                </c:pt>
                <c:pt idx="9">
                  <c:v>5.5174000000000001E-22</c:v>
                </c:pt>
                <c:pt idx="10">
                  <c:v>1.6886000000000001E-17</c:v>
                </c:pt>
                <c:pt idx="11">
                  <c:v>2.9747000000000003E-14</c:v>
                </c:pt>
                <c:pt idx="12">
                  <c:v>1.4100000000000001E-13</c:v>
                </c:pt>
                <c:pt idx="13">
                  <c:v>6.0427000000000001E-13</c:v>
                </c:pt>
                <c:pt idx="14">
                  <c:v>2.3635000000000002E-12</c:v>
                </c:pt>
                <c:pt idx="15">
                  <c:v>8.5073000000000003E-12</c:v>
                </c:pt>
                <c:pt idx="16">
                  <c:v>6.6755000000000004E-10</c:v>
                </c:pt>
                <c:pt idx="17">
                  <c:v>1.6446E-8</c:v>
                </c:pt>
                <c:pt idx="18">
                  <c:v>3.3279000000000003E-8</c:v>
                </c:pt>
                <c:pt idx="19" formatCode="General">
                  <c:v>6.5148999999999997E-8</c:v>
                </c:pt>
                <c:pt idx="20" formatCode="General">
                  <c:v>1.2367E-7</c:v>
                </c:pt>
                <c:pt idx="21" formatCode="General">
                  <c:v>2.2807999999999999E-7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A7C9-4F8E-93A1-524E66C52F6C}"/>
            </c:ext>
          </c:extLst>
        </c:ser>
        <c:ser>
          <c:idx val="10"/>
          <c:order val="10"/>
          <c:tx>
            <c:strRef>
              <c:f>SOLID!$E$14</c:f>
              <c:strCache>
                <c:ptCount val="1"/>
                <c:pt idx="0">
                  <c:v>Ar</c:v>
                </c:pt>
              </c:strCache>
            </c:strRef>
          </c:tx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SOLID!$F$3:$AL$3</c:f>
              <c:numCache>
                <c:formatCode>General</c:formatCode>
                <c:ptCount val="33"/>
                <c:pt idx="0">
                  <c:v>298.2</c:v>
                </c:pt>
                <c:pt idx="1">
                  <c:v>331.5</c:v>
                </c:pt>
                <c:pt idx="2">
                  <c:v>364.9</c:v>
                </c:pt>
                <c:pt idx="3">
                  <c:v>398.3</c:v>
                </c:pt>
                <c:pt idx="4">
                  <c:v>431.7</c:v>
                </c:pt>
                <c:pt idx="5">
                  <c:v>465.1</c:v>
                </c:pt>
                <c:pt idx="6">
                  <c:v>498.5</c:v>
                </c:pt>
                <c:pt idx="7">
                  <c:v>531.79999999999995</c:v>
                </c:pt>
                <c:pt idx="8">
                  <c:v>565.20000000000005</c:v>
                </c:pt>
                <c:pt idx="9">
                  <c:v>698.8</c:v>
                </c:pt>
                <c:pt idx="10">
                  <c:v>832.3</c:v>
                </c:pt>
                <c:pt idx="11">
                  <c:v>965.8</c:v>
                </c:pt>
                <c:pt idx="12">
                  <c:v>999.2</c:v>
                </c:pt>
                <c:pt idx="13">
                  <c:v>1033</c:v>
                </c:pt>
                <c:pt idx="14">
                  <c:v>1066</c:v>
                </c:pt>
                <c:pt idx="15">
                  <c:v>1099</c:v>
                </c:pt>
                <c:pt idx="16">
                  <c:v>1233</c:v>
                </c:pt>
                <c:pt idx="17">
                  <c:v>1366</c:v>
                </c:pt>
                <c:pt idx="18">
                  <c:v>1400</c:v>
                </c:pt>
                <c:pt idx="19" formatCode="0">
                  <c:v>1433</c:v>
                </c:pt>
                <c:pt idx="20" formatCode="0">
                  <c:v>1467</c:v>
                </c:pt>
                <c:pt idx="21" formatCode="0">
                  <c:v>1500</c:v>
                </c:pt>
              </c:numCache>
            </c:numRef>
          </c:xVal>
          <c:yVal>
            <c:numRef>
              <c:f>SOLID!$F$14:$AL$14</c:f>
              <c:numCache>
                <c:formatCode>0.0E+00</c:formatCode>
                <c:ptCount val="33"/>
                <c:pt idx="0">
                  <c:v>0.2</c:v>
                </c:pt>
                <c:pt idx="1">
                  <c:v>0.2</c:v>
                </c:pt>
                <c:pt idx="2">
                  <c:v>0.2</c:v>
                </c:pt>
                <c:pt idx="3">
                  <c:v>0.2</c:v>
                </c:pt>
                <c:pt idx="4">
                  <c:v>0.2</c:v>
                </c:pt>
                <c:pt idx="5">
                  <c:v>0.2</c:v>
                </c:pt>
                <c:pt idx="6">
                  <c:v>0.2</c:v>
                </c:pt>
                <c:pt idx="7">
                  <c:v>0.2</c:v>
                </c:pt>
                <c:pt idx="8">
                  <c:v>0.2</c:v>
                </c:pt>
                <c:pt idx="9">
                  <c:v>0.2</c:v>
                </c:pt>
                <c:pt idx="10">
                  <c:v>0.2</c:v>
                </c:pt>
                <c:pt idx="11">
                  <c:v>0.2</c:v>
                </c:pt>
                <c:pt idx="12">
                  <c:v>0.2</c:v>
                </c:pt>
                <c:pt idx="13">
                  <c:v>0.2</c:v>
                </c:pt>
                <c:pt idx="14">
                  <c:v>0.2</c:v>
                </c:pt>
                <c:pt idx="15">
                  <c:v>0.2</c:v>
                </c:pt>
                <c:pt idx="16">
                  <c:v>0.2</c:v>
                </c:pt>
                <c:pt idx="17">
                  <c:v>0.2</c:v>
                </c:pt>
                <c:pt idx="18">
                  <c:v>0.2</c:v>
                </c:pt>
                <c:pt idx="19" formatCode="General">
                  <c:v>0.2</c:v>
                </c:pt>
                <c:pt idx="20" formatCode="General">
                  <c:v>0.2</c:v>
                </c:pt>
                <c:pt idx="21" formatCode="General">
                  <c:v>0.2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9-A7C9-4F8E-93A1-524E66C52F6C}"/>
            </c:ext>
          </c:extLst>
        </c:ser>
        <c:ser>
          <c:idx val="11"/>
          <c:order val="11"/>
          <c:tx>
            <c:strRef>
              <c:f>SOLID!$E$15</c:f>
              <c:strCache>
                <c:ptCount val="1"/>
                <c:pt idx="0">
                  <c:v>(l)Ge[l]</c:v>
                </c:pt>
              </c:strCache>
            </c:strRef>
          </c:tx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SOLID!$F$3:$AL$3</c:f>
              <c:numCache>
                <c:formatCode>General</c:formatCode>
                <c:ptCount val="33"/>
                <c:pt idx="0">
                  <c:v>298.2</c:v>
                </c:pt>
                <c:pt idx="1">
                  <c:v>331.5</c:v>
                </c:pt>
                <c:pt idx="2">
                  <c:v>364.9</c:v>
                </c:pt>
                <c:pt idx="3">
                  <c:v>398.3</c:v>
                </c:pt>
                <c:pt idx="4">
                  <c:v>431.7</c:v>
                </c:pt>
                <c:pt idx="5">
                  <c:v>465.1</c:v>
                </c:pt>
                <c:pt idx="6">
                  <c:v>498.5</c:v>
                </c:pt>
                <c:pt idx="7">
                  <c:v>531.79999999999995</c:v>
                </c:pt>
                <c:pt idx="8">
                  <c:v>565.20000000000005</c:v>
                </c:pt>
                <c:pt idx="9">
                  <c:v>698.8</c:v>
                </c:pt>
                <c:pt idx="10">
                  <c:v>832.3</c:v>
                </c:pt>
                <c:pt idx="11">
                  <c:v>965.8</c:v>
                </c:pt>
                <c:pt idx="12">
                  <c:v>999.2</c:v>
                </c:pt>
                <c:pt idx="13">
                  <c:v>1033</c:v>
                </c:pt>
                <c:pt idx="14">
                  <c:v>1066</c:v>
                </c:pt>
                <c:pt idx="15">
                  <c:v>1099</c:v>
                </c:pt>
                <c:pt idx="16">
                  <c:v>1233</c:v>
                </c:pt>
                <c:pt idx="17">
                  <c:v>1366</c:v>
                </c:pt>
                <c:pt idx="18">
                  <c:v>1400</c:v>
                </c:pt>
                <c:pt idx="19" formatCode="0">
                  <c:v>1433</c:v>
                </c:pt>
                <c:pt idx="20" formatCode="0">
                  <c:v>1467</c:v>
                </c:pt>
                <c:pt idx="21" formatCode="0">
                  <c:v>1500</c:v>
                </c:pt>
              </c:numCache>
            </c:numRef>
          </c:xVal>
          <c:yVal>
            <c:numRef>
              <c:f>SOLID!$F$15:$AL$15</c:f>
              <c:numCache>
                <c:formatCode>0.0E+00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2.0058000000000001E-22</c:v>
                </c:pt>
                <c:pt idx="9">
                  <c:v>7.6130999999999995E-12</c:v>
                </c:pt>
                <c:pt idx="10">
                  <c:v>5.2134000000000001E-11</c:v>
                </c:pt>
                <c:pt idx="11">
                  <c:v>1.4366E-9</c:v>
                </c:pt>
                <c:pt idx="12">
                  <c:v>2.4853000000000001E-9</c:v>
                </c:pt>
                <c:pt idx="13">
                  <c:v>4.4833E-9</c:v>
                </c:pt>
                <c:pt idx="14">
                  <c:v>1.1865000000000001E-8</c:v>
                </c:pt>
                <c:pt idx="15">
                  <c:v>2.9401E-8</c:v>
                </c:pt>
                <c:pt idx="16">
                  <c:v>5.9993999999999999E-2</c:v>
                </c:pt>
                <c:pt idx="17">
                  <c:v>0.06</c:v>
                </c:pt>
                <c:pt idx="18">
                  <c:v>0.06</c:v>
                </c:pt>
                <c:pt idx="19" formatCode="General">
                  <c:v>0.06</c:v>
                </c:pt>
                <c:pt idx="20" formatCode="General">
                  <c:v>0.06</c:v>
                </c:pt>
                <c:pt idx="21" formatCode="General">
                  <c:v>0.06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A-A7C9-4F8E-93A1-524E66C52F6C}"/>
            </c:ext>
          </c:extLst>
        </c:ser>
        <c:ser>
          <c:idx val="12"/>
          <c:order val="12"/>
          <c:tx>
            <c:strRef>
              <c:f>SOLID!$E$16</c:f>
              <c:strCache>
                <c:ptCount val="1"/>
                <c:pt idx="0">
                  <c:v>H (Ar)</c:v>
                </c:pt>
              </c:strCache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SOLID!$F$3:$AL$3</c:f>
              <c:numCache>
                <c:formatCode>General</c:formatCode>
                <c:ptCount val="33"/>
                <c:pt idx="0">
                  <c:v>298.2</c:v>
                </c:pt>
                <c:pt idx="1">
                  <c:v>331.5</c:v>
                </c:pt>
                <c:pt idx="2">
                  <c:v>364.9</c:v>
                </c:pt>
                <c:pt idx="3">
                  <c:v>398.3</c:v>
                </c:pt>
                <c:pt idx="4">
                  <c:v>431.7</c:v>
                </c:pt>
                <c:pt idx="5">
                  <c:v>465.1</c:v>
                </c:pt>
                <c:pt idx="6">
                  <c:v>498.5</c:v>
                </c:pt>
                <c:pt idx="7">
                  <c:v>531.79999999999995</c:v>
                </c:pt>
                <c:pt idx="8">
                  <c:v>565.20000000000005</c:v>
                </c:pt>
                <c:pt idx="9">
                  <c:v>698.8</c:v>
                </c:pt>
                <c:pt idx="10">
                  <c:v>832.3</c:v>
                </c:pt>
                <c:pt idx="11">
                  <c:v>965.8</c:v>
                </c:pt>
                <c:pt idx="12">
                  <c:v>999.2</c:v>
                </c:pt>
                <c:pt idx="13">
                  <c:v>1033</c:v>
                </c:pt>
                <c:pt idx="14">
                  <c:v>1066</c:v>
                </c:pt>
                <c:pt idx="15">
                  <c:v>1099</c:v>
                </c:pt>
                <c:pt idx="16">
                  <c:v>1233</c:v>
                </c:pt>
                <c:pt idx="17">
                  <c:v>1366</c:v>
                </c:pt>
                <c:pt idx="18">
                  <c:v>1400</c:v>
                </c:pt>
                <c:pt idx="19" formatCode="0">
                  <c:v>1433</c:v>
                </c:pt>
                <c:pt idx="20" formatCode="0">
                  <c:v>1467</c:v>
                </c:pt>
                <c:pt idx="21" formatCode="0">
                  <c:v>1500</c:v>
                </c:pt>
              </c:numCache>
            </c:numRef>
          </c:xVal>
          <c:yVal>
            <c:numRef>
              <c:f>SOLID!$F$16:$AL$16</c:f>
              <c:numCache>
                <c:formatCode>0.0E+00</c:formatCode>
                <c:ptCount val="33"/>
                <c:pt idx="0">
                  <c:v>-19.02</c:v>
                </c:pt>
                <c:pt idx="1">
                  <c:v>-19.03</c:v>
                </c:pt>
                <c:pt idx="2">
                  <c:v>-19.059999999999999</c:v>
                </c:pt>
                <c:pt idx="3">
                  <c:v>-19.11</c:v>
                </c:pt>
                <c:pt idx="4">
                  <c:v>-19.170000000000002</c:v>
                </c:pt>
                <c:pt idx="5">
                  <c:v>-19.23</c:v>
                </c:pt>
                <c:pt idx="6">
                  <c:v>-19.3</c:v>
                </c:pt>
                <c:pt idx="7">
                  <c:v>-19.07</c:v>
                </c:pt>
                <c:pt idx="8">
                  <c:v>-19.03</c:v>
                </c:pt>
                <c:pt idx="9">
                  <c:v>-19.309999999999999</c:v>
                </c:pt>
                <c:pt idx="10">
                  <c:v>-19.57</c:v>
                </c:pt>
                <c:pt idx="11">
                  <c:v>-19.82</c:v>
                </c:pt>
                <c:pt idx="12">
                  <c:v>-19.88</c:v>
                </c:pt>
                <c:pt idx="13">
                  <c:v>-19.940000000000001</c:v>
                </c:pt>
                <c:pt idx="14">
                  <c:v>-20</c:v>
                </c:pt>
                <c:pt idx="15">
                  <c:v>-20.05</c:v>
                </c:pt>
                <c:pt idx="16">
                  <c:v>-20.260000000000002</c:v>
                </c:pt>
                <c:pt idx="17">
                  <c:v>-20.46</c:v>
                </c:pt>
                <c:pt idx="18">
                  <c:v>-20.51</c:v>
                </c:pt>
                <c:pt idx="19" formatCode="General">
                  <c:v>-20.56</c:v>
                </c:pt>
                <c:pt idx="20" formatCode="General">
                  <c:v>-20.6</c:v>
                </c:pt>
                <c:pt idx="21" formatCode="General">
                  <c:v>-20.65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B-A7C9-4F8E-93A1-524E66C52F6C}"/>
            </c:ext>
          </c:extLst>
        </c:ser>
        <c:ser>
          <c:idx val="13"/>
          <c:order val="13"/>
          <c:tx>
            <c:strRef>
              <c:f>SOLID!$E$17</c:f>
              <c:strCache>
                <c:ptCount val="1"/>
                <c:pt idx="0">
                  <c:v>H (Ga)</c:v>
                </c:pt>
              </c:strCache>
            </c:strRef>
          </c:tx>
          <c:spPr>
            <a:ln w="1905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SOLID!$F$3:$AL$3</c:f>
              <c:numCache>
                <c:formatCode>General</c:formatCode>
                <c:ptCount val="33"/>
                <c:pt idx="0">
                  <c:v>298.2</c:v>
                </c:pt>
                <c:pt idx="1">
                  <c:v>331.5</c:v>
                </c:pt>
                <c:pt idx="2">
                  <c:v>364.9</c:v>
                </c:pt>
                <c:pt idx="3">
                  <c:v>398.3</c:v>
                </c:pt>
                <c:pt idx="4">
                  <c:v>431.7</c:v>
                </c:pt>
                <c:pt idx="5">
                  <c:v>465.1</c:v>
                </c:pt>
                <c:pt idx="6">
                  <c:v>498.5</c:v>
                </c:pt>
                <c:pt idx="7">
                  <c:v>531.79999999999995</c:v>
                </c:pt>
                <c:pt idx="8">
                  <c:v>565.20000000000005</c:v>
                </c:pt>
                <c:pt idx="9">
                  <c:v>698.8</c:v>
                </c:pt>
                <c:pt idx="10">
                  <c:v>832.3</c:v>
                </c:pt>
                <c:pt idx="11">
                  <c:v>965.8</c:v>
                </c:pt>
                <c:pt idx="12">
                  <c:v>999.2</c:v>
                </c:pt>
                <c:pt idx="13">
                  <c:v>1033</c:v>
                </c:pt>
                <c:pt idx="14">
                  <c:v>1066</c:v>
                </c:pt>
                <c:pt idx="15">
                  <c:v>1099</c:v>
                </c:pt>
                <c:pt idx="16">
                  <c:v>1233</c:v>
                </c:pt>
                <c:pt idx="17">
                  <c:v>1366</c:v>
                </c:pt>
                <c:pt idx="18">
                  <c:v>1400</c:v>
                </c:pt>
                <c:pt idx="19" formatCode="0">
                  <c:v>1433</c:v>
                </c:pt>
                <c:pt idx="20" formatCode="0">
                  <c:v>1467</c:v>
                </c:pt>
                <c:pt idx="21" formatCode="0">
                  <c:v>1500</c:v>
                </c:pt>
              </c:numCache>
            </c:numRef>
          </c:xVal>
          <c:yVal>
            <c:numRef>
              <c:f>SOLID!$F$17:$AL$17</c:f>
              <c:numCache>
                <c:formatCode>0.0E+00</c:formatCode>
                <c:ptCount val="33"/>
                <c:pt idx="0">
                  <c:v>-60.99</c:v>
                </c:pt>
                <c:pt idx="1">
                  <c:v>-55.39</c:v>
                </c:pt>
                <c:pt idx="2">
                  <c:v>-48.92</c:v>
                </c:pt>
                <c:pt idx="3">
                  <c:v>-42.66</c:v>
                </c:pt>
                <c:pt idx="4">
                  <c:v>-37.28</c:v>
                </c:pt>
                <c:pt idx="5">
                  <c:v>-32.6</c:v>
                </c:pt>
                <c:pt idx="6">
                  <c:v>-28.48</c:v>
                </c:pt>
                <c:pt idx="7">
                  <c:v>-25.41</c:v>
                </c:pt>
                <c:pt idx="8">
                  <c:v>-26.73</c:v>
                </c:pt>
                <c:pt idx="9">
                  <c:v>-31.78</c:v>
                </c:pt>
                <c:pt idx="10">
                  <c:v>-36.28</c:v>
                </c:pt>
                <c:pt idx="11">
                  <c:v>-40.049999999999997</c:v>
                </c:pt>
                <c:pt idx="12">
                  <c:v>-40.86</c:v>
                </c:pt>
                <c:pt idx="13">
                  <c:v>-41.61</c:v>
                </c:pt>
                <c:pt idx="14">
                  <c:v>-42.31</c:v>
                </c:pt>
                <c:pt idx="15">
                  <c:v>-42.94</c:v>
                </c:pt>
                <c:pt idx="16">
                  <c:v>-44.86</c:v>
                </c:pt>
                <c:pt idx="17">
                  <c:v>-45.72</c:v>
                </c:pt>
                <c:pt idx="18">
                  <c:v>-45.76</c:v>
                </c:pt>
                <c:pt idx="19" formatCode="General">
                  <c:v>-45.74</c:v>
                </c:pt>
                <c:pt idx="20" formatCode="General">
                  <c:v>-45.64</c:v>
                </c:pt>
                <c:pt idx="21" formatCode="General">
                  <c:v>-45.47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A7C9-4F8E-93A1-524E66C52F6C}"/>
            </c:ext>
          </c:extLst>
        </c:ser>
        <c:ser>
          <c:idx val="14"/>
          <c:order val="14"/>
          <c:tx>
            <c:strRef>
              <c:f>SOLID!$E$18</c:f>
              <c:strCache>
                <c:ptCount val="1"/>
                <c:pt idx="0">
                  <c:v>H (Ge)</c:v>
                </c:pt>
              </c:strCache>
            </c:strRef>
          </c:tx>
          <c:spPr>
            <a:ln w="19050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SOLID!$F$3:$AL$3</c:f>
              <c:numCache>
                <c:formatCode>General</c:formatCode>
                <c:ptCount val="33"/>
                <c:pt idx="0">
                  <c:v>298.2</c:v>
                </c:pt>
                <c:pt idx="1">
                  <c:v>331.5</c:v>
                </c:pt>
                <c:pt idx="2">
                  <c:v>364.9</c:v>
                </c:pt>
                <c:pt idx="3">
                  <c:v>398.3</c:v>
                </c:pt>
                <c:pt idx="4">
                  <c:v>431.7</c:v>
                </c:pt>
                <c:pt idx="5">
                  <c:v>465.1</c:v>
                </c:pt>
                <c:pt idx="6">
                  <c:v>498.5</c:v>
                </c:pt>
                <c:pt idx="7">
                  <c:v>531.79999999999995</c:v>
                </c:pt>
                <c:pt idx="8">
                  <c:v>565.20000000000005</c:v>
                </c:pt>
                <c:pt idx="9">
                  <c:v>698.8</c:v>
                </c:pt>
                <c:pt idx="10">
                  <c:v>832.3</c:v>
                </c:pt>
                <c:pt idx="11">
                  <c:v>965.8</c:v>
                </c:pt>
                <c:pt idx="12">
                  <c:v>999.2</c:v>
                </c:pt>
                <c:pt idx="13">
                  <c:v>1033</c:v>
                </c:pt>
                <c:pt idx="14">
                  <c:v>1066</c:v>
                </c:pt>
                <c:pt idx="15">
                  <c:v>1099</c:v>
                </c:pt>
                <c:pt idx="16">
                  <c:v>1233</c:v>
                </c:pt>
                <c:pt idx="17">
                  <c:v>1366</c:v>
                </c:pt>
                <c:pt idx="18">
                  <c:v>1400</c:v>
                </c:pt>
                <c:pt idx="19" formatCode="0">
                  <c:v>1433</c:v>
                </c:pt>
                <c:pt idx="20" formatCode="0">
                  <c:v>1467</c:v>
                </c:pt>
                <c:pt idx="21" formatCode="0">
                  <c:v>1500</c:v>
                </c:pt>
              </c:numCache>
            </c:numRef>
          </c:xVal>
          <c:yVal>
            <c:numRef>
              <c:f>SOLID!$F$18:$AL$18</c:f>
              <c:numCache>
                <c:formatCode>0.0E+00</c:formatCode>
                <c:ptCount val="33"/>
                <c:pt idx="0">
                  <c:v>-15.35</c:v>
                </c:pt>
                <c:pt idx="1">
                  <c:v>-14.36</c:v>
                </c:pt>
                <c:pt idx="2">
                  <c:v>-12.3</c:v>
                </c:pt>
                <c:pt idx="3">
                  <c:v>-10.01</c:v>
                </c:pt>
                <c:pt idx="4">
                  <c:v>-8.0210000000000008</c:v>
                </c:pt>
                <c:pt idx="5">
                  <c:v>-6.28</c:v>
                </c:pt>
                <c:pt idx="6">
                  <c:v>-4.7359999999999998</c:v>
                </c:pt>
                <c:pt idx="7">
                  <c:v>-4.141</c:v>
                </c:pt>
                <c:pt idx="8">
                  <c:v>-4.2229999999999999</c:v>
                </c:pt>
                <c:pt idx="9">
                  <c:v>-4.5529999999999999</c:v>
                </c:pt>
                <c:pt idx="10">
                  <c:v>-4.8730000000000002</c:v>
                </c:pt>
                <c:pt idx="11">
                  <c:v>-5.1749999999999998</c:v>
                </c:pt>
                <c:pt idx="12">
                  <c:v>-5.2469999999999999</c:v>
                </c:pt>
                <c:pt idx="13">
                  <c:v>-5.3179999999999996</c:v>
                </c:pt>
                <c:pt idx="14">
                  <c:v>-5.3890000000000002</c:v>
                </c:pt>
                <c:pt idx="15">
                  <c:v>-5.4580000000000002</c:v>
                </c:pt>
                <c:pt idx="16">
                  <c:v>-5.7869999999999999</c:v>
                </c:pt>
                <c:pt idx="17">
                  <c:v>-6.3879999999999999</c:v>
                </c:pt>
                <c:pt idx="18">
                  <c:v>-6.5250000000000004</c:v>
                </c:pt>
                <c:pt idx="19" formatCode="General">
                  <c:v>-6.6580000000000004</c:v>
                </c:pt>
                <c:pt idx="20" formatCode="General">
                  <c:v>-6.7869999999999999</c:v>
                </c:pt>
                <c:pt idx="21" formatCode="General">
                  <c:v>-6.9109999999999996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A7C9-4F8E-93A1-524E66C52F6C}"/>
            </c:ext>
          </c:extLst>
        </c:ser>
        <c:ser>
          <c:idx val="29"/>
          <c:order val="29"/>
          <c:tx>
            <c:v>temp</c:v>
          </c:tx>
          <c:spPr>
            <a:ln w="19050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dPt>
            <c:idx val="1"/>
            <c:marker>
              <c:symbol val="none"/>
            </c:marker>
            <c:bubble3D val="0"/>
            <c:spPr>
              <a:ln w="19050" cap="rnd">
                <a:solidFill>
                  <a:schemeClr val="tx1">
                    <a:lumMod val="95000"/>
                    <a:lumOff val="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F-A7C9-4F8E-93A1-524E66C52F6C}"/>
              </c:ext>
            </c:extLst>
          </c:dPt>
          <c:xVal>
            <c:numRef>
              <c:f>SOLID!$BA$3:$BA$4</c:f>
              <c:numCache>
                <c:formatCode>General</c:formatCode>
                <c:ptCount val="2"/>
                <c:pt idx="0">
                  <c:v>700</c:v>
                </c:pt>
                <c:pt idx="1">
                  <c:v>700</c:v>
                </c:pt>
              </c:numCache>
            </c:numRef>
          </c:xVal>
          <c:yVal>
            <c:numRef>
              <c:f>SOLID!$BB$3:$BB$4</c:f>
              <c:numCache>
                <c:formatCode>0</c:formatCode>
                <c:ptCount val="2"/>
                <c:pt idx="0" formatCode="General">
                  <c:v>0</c:v>
                </c:pt>
                <c:pt idx="1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0-A7C9-4F8E-93A1-524E66C52F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1619416"/>
        <c:axId val="393215344"/>
        <c:extLst>
          <c:ext xmlns:c15="http://schemas.microsoft.com/office/drawing/2012/chart" uri="{02D57815-91ED-43cb-92C2-25804820EDAC}">
            <c15:filteredScatterSeries>
              <c15:ser>
                <c:idx val="3"/>
                <c:order val="3"/>
                <c:tx>
                  <c:strRef>
                    <c:extLst>
                      <c:ext uri="{02D57815-91ED-43cb-92C2-25804820EDAC}">
                        <c15:formulaRef>
                          <c15:sqref>SOLID!$E$7</c15:sqref>
                        </c15:formulaRef>
                      </c:ext>
                    </c:extLst>
                    <c:strCache>
                      <c:ptCount val="1"/>
                      <c:pt idx="0">
                        <c:v>*Ga</c:v>
                      </c:pt>
                    </c:strCache>
                  </c:strRef>
                </c:tx>
                <c:spPr>
                  <a:ln w="19050" cap="rnd">
                    <a:solidFill>
                      <a:schemeClr val="accent4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SOLID!$F$3:$AL$3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298.2</c:v>
                      </c:pt>
                      <c:pt idx="1">
                        <c:v>331.5</c:v>
                      </c:pt>
                      <c:pt idx="2">
                        <c:v>364.9</c:v>
                      </c:pt>
                      <c:pt idx="3">
                        <c:v>398.3</c:v>
                      </c:pt>
                      <c:pt idx="4">
                        <c:v>431.7</c:v>
                      </c:pt>
                      <c:pt idx="5">
                        <c:v>465.1</c:v>
                      </c:pt>
                      <c:pt idx="6">
                        <c:v>498.5</c:v>
                      </c:pt>
                      <c:pt idx="7">
                        <c:v>531.79999999999995</c:v>
                      </c:pt>
                      <c:pt idx="8">
                        <c:v>565.20000000000005</c:v>
                      </c:pt>
                      <c:pt idx="9">
                        <c:v>698.8</c:v>
                      </c:pt>
                      <c:pt idx="10">
                        <c:v>832.3</c:v>
                      </c:pt>
                      <c:pt idx="11">
                        <c:v>965.8</c:v>
                      </c:pt>
                      <c:pt idx="12">
                        <c:v>999.2</c:v>
                      </c:pt>
                      <c:pt idx="13">
                        <c:v>1033</c:v>
                      </c:pt>
                      <c:pt idx="14">
                        <c:v>1066</c:v>
                      </c:pt>
                      <c:pt idx="15">
                        <c:v>1099</c:v>
                      </c:pt>
                      <c:pt idx="16">
                        <c:v>1233</c:v>
                      </c:pt>
                      <c:pt idx="17">
                        <c:v>1366</c:v>
                      </c:pt>
                      <c:pt idx="18">
                        <c:v>1400</c:v>
                      </c:pt>
                      <c:pt idx="19" formatCode="0">
                        <c:v>1433</c:v>
                      </c:pt>
                      <c:pt idx="20" formatCode="0">
                        <c:v>1467</c:v>
                      </c:pt>
                      <c:pt idx="21" formatCode="0">
                        <c:v>1500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SOLID!$F$7:$AL$7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0.15512999999999999</c:v>
                      </c:pt>
                      <c:pt idx="8">
                        <c:v>0.2</c:v>
                      </c:pt>
                      <c:pt idx="9">
                        <c:v>0.2</c:v>
                      </c:pt>
                      <c:pt idx="10">
                        <c:v>0.2</c:v>
                      </c:pt>
                      <c:pt idx="11">
                        <c:v>0.2</c:v>
                      </c:pt>
                      <c:pt idx="12">
                        <c:v>0.2</c:v>
                      </c:pt>
                      <c:pt idx="13">
                        <c:v>0.2</c:v>
                      </c:pt>
                      <c:pt idx="14">
                        <c:v>0.2</c:v>
                      </c:pt>
                      <c:pt idx="15">
                        <c:v>0.2</c:v>
                      </c:pt>
                      <c:pt idx="16">
                        <c:v>0.2</c:v>
                      </c:pt>
                      <c:pt idx="17">
                        <c:v>0.2</c:v>
                      </c:pt>
                      <c:pt idx="18">
                        <c:v>0.2</c:v>
                      </c:pt>
                      <c:pt idx="19" formatCode="General">
                        <c:v>0.2</c:v>
                      </c:pt>
                      <c:pt idx="20" formatCode="General">
                        <c:v>0.2</c:v>
                      </c:pt>
                      <c:pt idx="21" formatCode="General">
                        <c:v>0.2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11-A7C9-4F8E-93A1-524E66C52F6C}"/>
                  </c:ext>
                </c:extLst>
              </c15:ser>
            </c15:filteredScatterSeries>
            <c15:filteredScatterSeries>
              <c15:ser>
                <c:idx val="4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SOLID!$E$8</c15:sqref>
                        </c15:formulaRef>
                      </c:ext>
                    </c:extLst>
                    <c:strCache>
                      <c:ptCount val="1"/>
                      <c:pt idx="0">
                        <c:v>*Ge[c]</c:v>
                      </c:pt>
                    </c:strCache>
                  </c:strRef>
                </c:tx>
                <c:spPr>
                  <a:ln w="19050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298.2</c:v>
                      </c:pt>
                      <c:pt idx="1">
                        <c:v>331.5</c:v>
                      </c:pt>
                      <c:pt idx="2">
                        <c:v>364.9</c:v>
                      </c:pt>
                      <c:pt idx="3">
                        <c:v>398.3</c:v>
                      </c:pt>
                      <c:pt idx="4">
                        <c:v>431.7</c:v>
                      </c:pt>
                      <c:pt idx="5">
                        <c:v>465.1</c:v>
                      </c:pt>
                      <c:pt idx="6">
                        <c:v>498.5</c:v>
                      </c:pt>
                      <c:pt idx="7">
                        <c:v>531.79999999999995</c:v>
                      </c:pt>
                      <c:pt idx="8">
                        <c:v>565.20000000000005</c:v>
                      </c:pt>
                      <c:pt idx="9">
                        <c:v>698.8</c:v>
                      </c:pt>
                      <c:pt idx="10">
                        <c:v>832.3</c:v>
                      </c:pt>
                      <c:pt idx="11">
                        <c:v>965.8</c:v>
                      </c:pt>
                      <c:pt idx="12">
                        <c:v>999.2</c:v>
                      </c:pt>
                      <c:pt idx="13">
                        <c:v>1033</c:v>
                      </c:pt>
                      <c:pt idx="14">
                        <c:v>1066</c:v>
                      </c:pt>
                      <c:pt idx="15">
                        <c:v>1099</c:v>
                      </c:pt>
                      <c:pt idx="16">
                        <c:v>1233</c:v>
                      </c:pt>
                      <c:pt idx="17">
                        <c:v>1366</c:v>
                      </c:pt>
                      <c:pt idx="18">
                        <c:v>1400</c:v>
                      </c:pt>
                      <c:pt idx="19" formatCode="0">
                        <c:v>1433</c:v>
                      </c:pt>
                      <c:pt idx="20" formatCode="0">
                        <c:v>1467</c:v>
                      </c:pt>
                      <c:pt idx="21" formatCode="0">
                        <c:v>1500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SOLID!$F$8:$AL$8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2.4355E-24</c:v>
                      </c:pt>
                      <c:pt idx="4">
                        <c:v>9.869100000000001E-16</c:v>
                      </c:pt>
                      <c:pt idx="5">
                        <c:v>1.9321999999999999E-11</c:v>
                      </c:pt>
                      <c:pt idx="6">
                        <c:v>4.5759999999999999E-9</c:v>
                      </c:pt>
                      <c:pt idx="7">
                        <c:v>0.06</c:v>
                      </c:pt>
                      <c:pt idx="8">
                        <c:v>0.06</c:v>
                      </c:pt>
                      <c:pt idx="9">
                        <c:v>0.06</c:v>
                      </c:pt>
                      <c:pt idx="10">
                        <c:v>0.06</c:v>
                      </c:pt>
                      <c:pt idx="11">
                        <c:v>0.06</c:v>
                      </c:pt>
                      <c:pt idx="12">
                        <c:v>0.06</c:v>
                      </c:pt>
                      <c:pt idx="13">
                        <c:v>0.06</c:v>
                      </c:pt>
                      <c:pt idx="14">
                        <c:v>0.06</c:v>
                      </c:pt>
                      <c:pt idx="15">
                        <c:v>0.06</c:v>
                      </c:pt>
                      <c:pt idx="16">
                        <c:v>5.8922000000000001E-6</c:v>
                      </c:pt>
                      <c:pt idx="17">
                        <c:v>1.9743E-8</c:v>
                      </c:pt>
                      <c:pt idx="18">
                        <c:v>1.4553E-8</c:v>
                      </c:pt>
                      <c:pt idx="19" formatCode="General">
                        <c:v>8.2159000000000001E-9</c:v>
                      </c:pt>
                      <c:pt idx="20" formatCode="General">
                        <c:v>7.8679999999999997E-9</c:v>
                      </c:pt>
                      <c:pt idx="21" formatCode="General">
                        <c:v>6.0850000000000004E-9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2-A7C9-4F8E-93A1-524E66C52F6C}"/>
                  </c:ext>
                </c:extLst>
              </c15:ser>
            </c15:filteredScatterSeries>
            <c15:filteredScatterSeries>
              <c15:ser>
                <c:idx val="15"/>
                <c:order val="1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SOLID!$E$19</c15:sqref>
                        </c15:formulaRef>
                      </c:ext>
                    </c:extLst>
                    <c:strCache>
                      <c:ptCount val="1"/>
                      <c:pt idx="0">
                        <c:v>H (Se)</c:v>
                      </c:pt>
                    </c:strCache>
                  </c:strRef>
                </c:tx>
                <c:spPr>
                  <a:ln w="19050" cap="rnd">
                    <a:solidFill>
                      <a:schemeClr val="accent4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298.2</c:v>
                      </c:pt>
                      <c:pt idx="1">
                        <c:v>331.5</c:v>
                      </c:pt>
                      <c:pt idx="2">
                        <c:v>364.9</c:v>
                      </c:pt>
                      <c:pt idx="3">
                        <c:v>398.3</c:v>
                      </c:pt>
                      <c:pt idx="4">
                        <c:v>431.7</c:v>
                      </c:pt>
                      <c:pt idx="5">
                        <c:v>465.1</c:v>
                      </c:pt>
                      <c:pt idx="6">
                        <c:v>498.5</c:v>
                      </c:pt>
                      <c:pt idx="7">
                        <c:v>531.79999999999995</c:v>
                      </c:pt>
                      <c:pt idx="8">
                        <c:v>565.20000000000005</c:v>
                      </c:pt>
                      <c:pt idx="9">
                        <c:v>698.8</c:v>
                      </c:pt>
                      <c:pt idx="10">
                        <c:v>832.3</c:v>
                      </c:pt>
                      <c:pt idx="11">
                        <c:v>965.8</c:v>
                      </c:pt>
                      <c:pt idx="12">
                        <c:v>999.2</c:v>
                      </c:pt>
                      <c:pt idx="13">
                        <c:v>1033</c:v>
                      </c:pt>
                      <c:pt idx="14">
                        <c:v>1066</c:v>
                      </c:pt>
                      <c:pt idx="15">
                        <c:v>1099</c:v>
                      </c:pt>
                      <c:pt idx="16">
                        <c:v>1233</c:v>
                      </c:pt>
                      <c:pt idx="17">
                        <c:v>1366</c:v>
                      </c:pt>
                      <c:pt idx="18">
                        <c:v>1400</c:v>
                      </c:pt>
                      <c:pt idx="19" formatCode="0">
                        <c:v>1433</c:v>
                      </c:pt>
                      <c:pt idx="20" formatCode="0">
                        <c:v>1467</c:v>
                      </c:pt>
                      <c:pt idx="21" formatCode="0">
                        <c:v>1500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SOLID!$F$19:$AL$19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-21.89</c:v>
                      </c:pt>
                      <c:pt idx="1">
                        <c:v>-20.11</c:v>
                      </c:pt>
                      <c:pt idx="2">
                        <c:v>-19.97</c:v>
                      </c:pt>
                      <c:pt idx="3">
                        <c:v>-20.47</c:v>
                      </c:pt>
                      <c:pt idx="4">
                        <c:v>-20.98</c:v>
                      </c:pt>
                      <c:pt idx="5">
                        <c:v>-21.49</c:v>
                      </c:pt>
                      <c:pt idx="6">
                        <c:v>-22.01</c:v>
                      </c:pt>
                      <c:pt idx="7">
                        <c:v>-22.51</c:v>
                      </c:pt>
                      <c:pt idx="8">
                        <c:v>-23.02</c:v>
                      </c:pt>
                      <c:pt idx="9">
                        <c:v>-24.96</c:v>
                      </c:pt>
                      <c:pt idx="10">
                        <c:v>-26.77</c:v>
                      </c:pt>
                      <c:pt idx="11">
                        <c:v>-28.49</c:v>
                      </c:pt>
                      <c:pt idx="12">
                        <c:v>-28.9</c:v>
                      </c:pt>
                      <c:pt idx="13">
                        <c:v>-29.31</c:v>
                      </c:pt>
                      <c:pt idx="14">
                        <c:v>-29.72</c:v>
                      </c:pt>
                      <c:pt idx="15">
                        <c:v>-30.12</c:v>
                      </c:pt>
                      <c:pt idx="16">
                        <c:v>-31.69</c:v>
                      </c:pt>
                      <c:pt idx="17">
                        <c:v>-33.22</c:v>
                      </c:pt>
                      <c:pt idx="18">
                        <c:v>-33.590000000000003</c:v>
                      </c:pt>
                      <c:pt idx="19" formatCode="General">
                        <c:v>-33.97</c:v>
                      </c:pt>
                      <c:pt idx="20" formatCode="General">
                        <c:v>-34.340000000000003</c:v>
                      </c:pt>
                      <c:pt idx="21" formatCode="General">
                        <c:v>-34.71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3-A7C9-4F8E-93A1-524E66C52F6C}"/>
                  </c:ext>
                </c:extLst>
              </c15:ser>
            </c15:filteredScatterSeries>
            <c15:filteredScatterSeries>
              <c15:ser>
                <c:idx val="16"/>
                <c:order val="1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SOLID!$E$20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5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298.2</c:v>
                      </c:pt>
                      <c:pt idx="1">
                        <c:v>331.5</c:v>
                      </c:pt>
                      <c:pt idx="2">
                        <c:v>364.9</c:v>
                      </c:pt>
                      <c:pt idx="3">
                        <c:v>398.3</c:v>
                      </c:pt>
                      <c:pt idx="4">
                        <c:v>431.7</c:v>
                      </c:pt>
                      <c:pt idx="5">
                        <c:v>465.1</c:v>
                      </c:pt>
                      <c:pt idx="6">
                        <c:v>498.5</c:v>
                      </c:pt>
                      <c:pt idx="7">
                        <c:v>531.79999999999995</c:v>
                      </c:pt>
                      <c:pt idx="8">
                        <c:v>565.20000000000005</c:v>
                      </c:pt>
                      <c:pt idx="9">
                        <c:v>698.8</c:v>
                      </c:pt>
                      <c:pt idx="10">
                        <c:v>832.3</c:v>
                      </c:pt>
                      <c:pt idx="11">
                        <c:v>965.8</c:v>
                      </c:pt>
                      <c:pt idx="12">
                        <c:v>999.2</c:v>
                      </c:pt>
                      <c:pt idx="13">
                        <c:v>1033</c:v>
                      </c:pt>
                      <c:pt idx="14">
                        <c:v>1066</c:v>
                      </c:pt>
                      <c:pt idx="15">
                        <c:v>1099</c:v>
                      </c:pt>
                      <c:pt idx="16">
                        <c:v>1233</c:v>
                      </c:pt>
                      <c:pt idx="17">
                        <c:v>1366</c:v>
                      </c:pt>
                      <c:pt idx="18">
                        <c:v>1400</c:v>
                      </c:pt>
                      <c:pt idx="19" formatCode="0">
                        <c:v>1433</c:v>
                      </c:pt>
                      <c:pt idx="20" formatCode="0">
                        <c:v>1467</c:v>
                      </c:pt>
                      <c:pt idx="21" formatCode="0">
                        <c:v>1500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SOLID!$F$20:$AL$20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4-A7C9-4F8E-93A1-524E66C52F6C}"/>
                  </c:ext>
                </c:extLst>
              </c15:ser>
            </c15:filteredScatterSeries>
            <c15:filteredScatterSeries>
              <c15:ser>
                <c:idx val="17"/>
                <c:order val="1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SOLID!$E$21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6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298.2</c:v>
                      </c:pt>
                      <c:pt idx="1">
                        <c:v>331.5</c:v>
                      </c:pt>
                      <c:pt idx="2">
                        <c:v>364.9</c:v>
                      </c:pt>
                      <c:pt idx="3">
                        <c:v>398.3</c:v>
                      </c:pt>
                      <c:pt idx="4">
                        <c:v>431.7</c:v>
                      </c:pt>
                      <c:pt idx="5">
                        <c:v>465.1</c:v>
                      </c:pt>
                      <c:pt idx="6">
                        <c:v>498.5</c:v>
                      </c:pt>
                      <c:pt idx="7">
                        <c:v>531.79999999999995</c:v>
                      </c:pt>
                      <c:pt idx="8">
                        <c:v>565.20000000000005</c:v>
                      </c:pt>
                      <c:pt idx="9">
                        <c:v>698.8</c:v>
                      </c:pt>
                      <c:pt idx="10">
                        <c:v>832.3</c:v>
                      </c:pt>
                      <c:pt idx="11">
                        <c:v>965.8</c:v>
                      </c:pt>
                      <c:pt idx="12">
                        <c:v>999.2</c:v>
                      </c:pt>
                      <c:pt idx="13">
                        <c:v>1033</c:v>
                      </c:pt>
                      <c:pt idx="14">
                        <c:v>1066</c:v>
                      </c:pt>
                      <c:pt idx="15">
                        <c:v>1099</c:v>
                      </c:pt>
                      <c:pt idx="16">
                        <c:v>1233</c:v>
                      </c:pt>
                      <c:pt idx="17">
                        <c:v>1366</c:v>
                      </c:pt>
                      <c:pt idx="18">
                        <c:v>1400</c:v>
                      </c:pt>
                      <c:pt idx="19" formatCode="0">
                        <c:v>1433</c:v>
                      </c:pt>
                      <c:pt idx="20" formatCode="0">
                        <c:v>1467</c:v>
                      </c:pt>
                      <c:pt idx="21" formatCode="0">
                        <c:v>1500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SOLID!$F$21:$AL$21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5-A7C9-4F8E-93A1-524E66C52F6C}"/>
                  </c:ext>
                </c:extLst>
              </c15:ser>
            </c15:filteredScatterSeries>
            <c15:filteredScatterSeries>
              <c15:ser>
                <c:idx val="18"/>
                <c:order val="1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SOLID!$E$22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1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298.2</c:v>
                      </c:pt>
                      <c:pt idx="1">
                        <c:v>331.5</c:v>
                      </c:pt>
                      <c:pt idx="2">
                        <c:v>364.9</c:v>
                      </c:pt>
                      <c:pt idx="3">
                        <c:v>398.3</c:v>
                      </c:pt>
                      <c:pt idx="4">
                        <c:v>431.7</c:v>
                      </c:pt>
                      <c:pt idx="5">
                        <c:v>465.1</c:v>
                      </c:pt>
                      <c:pt idx="6">
                        <c:v>498.5</c:v>
                      </c:pt>
                      <c:pt idx="7">
                        <c:v>531.79999999999995</c:v>
                      </c:pt>
                      <c:pt idx="8">
                        <c:v>565.20000000000005</c:v>
                      </c:pt>
                      <c:pt idx="9">
                        <c:v>698.8</c:v>
                      </c:pt>
                      <c:pt idx="10">
                        <c:v>832.3</c:v>
                      </c:pt>
                      <c:pt idx="11">
                        <c:v>965.8</c:v>
                      </c:pt>
                      <c:pt idx="12">
                        <c:v>999.2</c:v>
                      </c:pt>
                      <c:pt idx="13">
                        <c:v>1033</c:v>
                      </c:pt>
                      <c:pt idx="14">
                        <c:v>1066</c:v>
                      </c:pt>
                      <c:pt idx="15">
                        <c:v>1099</c:v>
                      </c:pt>
                      <c:pt idx="16">
                        <c:v>1233</c:v>
                      </c:pt>
                      <c:pt idx="17">
                        <c:v>1366</c:v>
                      </c:pt>
                      <c:pt idx="18">
                        <c:v>1400</c:v>
                      </c:pt>
                      <c:pt idx="19" formatCode="0">
                        <c:v>1433</c:v>
                      </c:pt>
                      <c:pt idx="20" formatCode="0">
                        <c:v>1467</c:v>
                      </c:pt>
                      <c:pt idx="21" formatCode="0">
                        <c:v>1500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SOLID!$F$22:$AL$22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6-A7C9-4F8E-93A1-524E66C52F6C}"/>
                  </c:ext>
                </c:extLst>
              </c15:ser>
            </c15:filteredScatterSeries>
            <c15:filteredScatterSeries>
              <c15:ser>
                <c:idx val="19"/>
                <c:order val="1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SOLID!$E$23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2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298.2</c:v>
                      </c:pt>
                      <c:pt idx="1">
                        <c:v>331.5</c:v>
                      </c:pt>
                      <c:pt idx="2">
                        <c:v>364.9</c:v>
                      </c:pt>
                      <c:pt idx="3">
                        <c:v>398.3</c:v>
                      </c:pt>
                      <c:pt idx="4">
                        <c:v>431.7</c:v>
                      </c:pt>
                      <c:pt idx="5">
                        <c:v>465.1</c:v>
                      </c:pt>
                      <c:pt idx="6">
                        <c:v>498.5</c:v>
                      </c:pt>
                      <c:pt idx="7">
                        <c:v>531.79999999999995</c:v>
                      </c:pt>
                      <c:pt idx="8">
                        <c:v>565.20000000000005</c:v>
                      </c:pt>
                      <c:pt idx="9">
                        <c:v>698.8</c:v>
                      </c:pt>
                      <c:pt idx="10">
                        <c:v>832.3</c:v>
                      </c:pt>
                      <c:pt idx="11">
                        <c:v>965.8</c:v>
                      </c:pt>
                      <c:pt idx="12">
                        <c:v>999.2</c:v>
                      </c:pt>
                      <c:pt idx="13">
                        <c:v>1033</c:v>
                      </c:pt>
                      <c:pt idx="14">
                        <c:v>1066</c:v>
                      </c:pt>
                      <c:pt idx="15">
                        <c:v>1099</c:v>
                      </c:pt>
                      <c:pt idx="16">
                        <c:v>1233</c:v>
                      </c:pt>
                      <c:pt idx="17">
                        <c:v>1366</c:v>
                      </c:pt>
                      <c:pt idx="18">
                        <c:v>1400</c:v>
                      </c:pt>
                      <c:pt idx="19" formatCode="0">
                        <c:v>1433</c:v>
                      </c:pt>
                      <c:pt idx="20" formatCode="0">
                        <c:v>1467</c:v>
                      </c:pt>
                      <c:pt idx="21" formatCode="0">
                        <c:v>1500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SOLID!$F$23:$AL$23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7-A7C9-4F8E-93A1-524E66C52F6C}"/>
                  </c:ext>
                </c:extLst>
              </c15:ser>
            </c15:filteredScatterSeries>
            <c15:filteredScatterSeries>
              <c15:ser>
                <c:idx val="20"/>
                <c:order val="2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SOLID!$E$24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3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298.2</c:v>
                      </c:pt>
                      <c:pt idx="1">
                        <c:v>331.5</c:v>
                      </c:pt>
                      <c:pt idx="2">
                        <c:v>364.9</c:v>
                      </c:pt>
                      <c:pt idx="3">
                        <c:v>398.3</c:v>
                      </c:pt>
                      <c:pt idx="4">
                        <c:v>431.7</c:v>
                      </c:pt>
                      <c:pt idx="5">
                        <c:v>465.1</c:v>
                      </c:pt>
                      <c:pt idx="6">
                        <c:v>498.5</c:v>
                      </c:pt>
                      <c:pt idx="7">
                        <c:v>531.79999999999995</c:v>
                      </c:pt>
                      <c:pt idx="8">
                        <c:v>565.20000000000005</c:v>
                      </c:pt>
                      <c:pt idx="9">
                        <c:v>698.8</c:v>
                      </c:pt>
                      <c:pt idx="10">
                        <c:v>832.3</c:v>
                      </c:pt>
                      <c:pt idx="11">
                        <c:v>965.8</c:v>
                      </c:pt>
                      <c:pt idx="12">
                        <c:v>999.2</c:v>
                      </c:pt>
                      <c:pt idx="13">
                        <c:v>1033</c:v>
                      </c:pt>
                      <c:pt idx="14">
                        <c:v>1066</c:v>
                      </c:pt>
                      <c:pt idx="15">
                        <c:v>1099</c:v>
                      </c:pt>
                      <c:pt idx="16">
                        <c:v>1233</c:v>
                      </c:pt>
                      <c:pt idx="17">
                        <c:v>1366</c:v>
                      </c:pt>
                      <c:pt idx="18">
                        <c:v>1400</c:v>
                      </c:pt>
                      <c:pt idx="19" formatCode="0">
                        <c:v>1433</c:v>
                      </c:pt>
                      <c:pt idx="20" formatCode="0">
                        <c:v>1467</c:v>
                      </c:pt>
                      <c:pt idx="21" formatCode="0">
                        <c:v>1500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SOLID!$F$24:$AL$24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8-A7C9-4F8E-93A1-524E66C52F6C}"/>
                  </c:ext>
                </c:extLst>
              </c15:ser>
            </c15:filteredScatterSeries>
            <c15:filteredScatterSeries>
              <c15:ser>
                <c:idx val="21"/>
                <c:order val="2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SOLID!$E$25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4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298.2</c:v>
                      </c:pt>
                      <c:pt idx="1">
                        <c:v>331.5</c:v>
                      </c:pt>
                      <c:pt idx="2">
                        <c:v>364.9</c:v>
                      </c:pt>
                      <c:pt idx="3">
                        <c:v>398.3</c:v>
                      </c:pt>
                      <c:pt idx="4">
                        <c:v>431.7</c:v>
                      </c:pt>
                      <c:pt idx="5">
                        <c:v>465.1</c:v>
                      </c:pt>
                      <c:pt idx="6">
                        <c:v>498.5</c:v>
                      </c:pt>
                      <c:pt idx="7">
                        <c:v>531.79999999999995</c:v>
                      </c:pt>
                      <c:pt idx="8">
                        <c:v>565.20000000000005</c:v>
                      </c:pt>
                      <c:pt idx="9">
                        <c:v>698.8</c:v>
                      </c:pt>
                      <c:pt idx="10">
                        <c:v>832.3</c:v>
                      </c:pt>
                      <c:pt idx="11">
                        <c:v>965.8</c:v>
                      </c:pt>
                      <c:pt idx="12">
                        <c:v>999.2</c:v>
                      </c:pt>
                      <c:pt idx="13">
                        <c:v>1033</c:v>
                      </c:pt>
                      <c:pt idx="14">
                        <c:v>1066</c:v>
                      </c:pt>
                      <c:pt idx="15">
                        <c:v>1099</c:v>
                      </c:pt>
                      <c:pt idx="16">
                        <c:v>1233</c:v>
                      </c:pt>
                      <c:pt idx="17">
                        <c:v>1366</c:v>
                      </c:pt>
                      <c:pt idx="18">
                        <c:v>1400</c:v>
                      </c:pt>
                      <c:pt idx="19" formatCode="0">
                        <c:v>1433</c:v>
                      </c:pt>
                      <c:pt idx="20" formatCode="0">
                        <c:v>1467</c:v>
                      </c:pt>
                      <c:pt idx="21" formatCode="0">
                        <c:v>1500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SOLID!$F$25:$AL$25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9-A7C9-4F8E-93A1-524E66C52F6C}"/>
                  </c:ext>
                </c:extLst>
              </c15:ser>
            </c15:filteredScatterSeries>
            <c15:filteredScatterSeries>
              <c15:ser>
                <c:idx val="22"/>
                <c:order val="2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SOLID!$E$26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5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298.2</c:v>
                      </c:pt>
                      <c:pt idx="1">
                        <c:v>331.5</c:v>
                      </c:pt>
                      <c:pt idx="2">
                        <c:v>364.9</c:v>
                      </c:pt>
                      <c:pt idx="3">
                        <c:v>398.3</c:v>
                      </c:pt>
                      <c:pt idx="4">
                        <c:v>431.7</c:v>
                      </c:pt>
                      <c:pt idx="5">
                        <c:v>465.1</c:v>
                      </c:pt>
                      <c:pt idx="6">
                        <c:v>498.5</c:v>
                      </c:pt>
                      <c:pt idx="7">
                        <c:v>531.79999999999995</c:v>
                      </c:pt>
                      <c:pt idx="8">
                        <c:v>565.20000000000005</c:v>
                      </c:pt>
                      <c:pt idx="9">
                        <c:v>698.8</c:v>
                      </c:pt>
                      <c:pt idx="10">
                        <c:v>832.3</c:v>
                      </c:pt>
                      <c:pt idx="11">
                        <c:v>965.8</c:v>
                      </c:pt>
                      <c:pt idx="12">
                        <c:v>999.2</c:v>
                      </c:pt>
                      <c:pt idx="13">
                        <c:v>1033</c:v>
                      </c:pt>
                      <c:pt idx="14">
                        <c:v>1066</c:v>
                      </c:pt>
                      <c:pt idx="15">
                        <c:v>1099</c:v>
                      </c:pt>
                      <c:pt idx="16">
                        <c:v>1233</c:v>
                      </c:pt>
                      <c:pt idx="17">
                        <c:v>1366</c:v>
                      </c:pt>
                      <c:pt idx="18">
                        <c:v>1400</c:v>
                      </c:pt>
                      <c:pt idx="19" formatCode="0">
                        <c:v>1433</c:v>
                      </c:pt>
                      <c:pt idx="20" formatCode="0">
                        <c:v>1467</c:v>
                      </c:pt>
                      <c:pt idx="21" formatCode="0">
                        <c:v>1500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SOLID!$F$26:$AL$26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A-A7C9-4F8E-93A1-524E66C52F6C}"/>
                  </c:ext>
                </c:extLst>
              </c15:ser>
            </c15:filteredScatterSeries>
            <c15:filteredScatterSeries>
              <c15:ser>
                <c:idx val="23"/>
                <c:order val="2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SOLID!$E$27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6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298.2</c:v>
                      </c:pt>
                      <c:pt idx="1">
                        <c:v>331.5</c:v>
                      </c:pt>
                      <c:pt idx="2">
                        <c:v>364.9</c:v>
                      </c:pt>
                      <c:pt idx="3">
                        <c:v>398.3</c:v>
                      </c:pt>
                      <c:pt idx="4">
                        <c:v>431.7</c:v>
                      </c:pt>
                      <c:pt idx="5">
                        <c:v>465.1</c:v>
                      </c:pt>
                      <c:pt idx="6">
                        <c:v>498.5</c:v>
                      </c:pt>
                      <c:pt idx="7">
                        <c:v>531.79999999999995</c:v>
                      </c:pt>
                      <c:pt idx="8">
                        <c:v>565.20000000000005</c:v>
                      </c:pt>
                      <c:pt idx="9">
                        <c:v>698.8</c:v>
                      </c:pt>
                      <c:pt idx="10">
                        <c:v>832.3</c:v>
                      </c:pt>
                      <c:pt idx="11">
                        <c:v>965.8</c:v>
                      </c:pt>
                      <c:pt idx="12">
                        <c:v>999.2</c:v>
                      </c:pt>
                      <c:pt idx="13">
                        <c:v>1033</c:v>
                      </c:pt>
                      <c:pt idx="14">
                        <c:v>1066</c:v>
                      </c:pt>
                      <c:pt idx="15">
                        <c:v>1099</c:v>
                      </c:pt>
                      <c:pt idx="16">
                        <c:v>1233</c:v>
                      </c:pt>
                      <c:pt idx="17">
                        <c:v>1366</c:v>
                      </c:pt>
                      <c:pt idx="18">
                        <c:v>1400</c:v>
                      </c:pt>
                      <c:pt idx="19" formatCode="0">
                        <c:v>1433</c:v>
                      </c:pt>
                      <c:pt idx="20" formatCode="0">
                        <c:v>1467</c:v>
                      </c:pt>
                      <c:pt idx="21" formatCode="0">
                        <c:v>1500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SOLID!$F$27:$AL$27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B-A7C9-4F8E-93A1-524E66C52F6C}"/>
                  </c:ext>
                </c:extLst>
              </c15:ser>
            </c15:filteredScatterSeries>
            <c15:filteredScatterSeries>
              <c15:ser>
                <c:idx val="24"/>
                <c:order val="2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SOLID!$E$28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1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298.2</c:v>
                      </c:pt>
                      <c:pt idx="1">
                        <c:v>331.5</c:v>
                      </c:pt>
                      <c:pt idx="2">
                        <c:v>364.9</c:v>
                      </c:pt>
                      <c:pt idx="3">
                        <c:v>398.3</c:v>
                      </c:pt>
                      <c:pt idx="4">
                        <c:v>431.7</c:v>
                      </c:pt>
                      <c:pt idx="5">
                        <c:v>465.1</c:v>
                      </c:pt>
                      <c:pt idx="6">
                        <c:v>498.5</c:v>
                      </c:pt>
                      <c:pt idx="7">
                        <c:v>531.79999999999995</c:v>
                      </c:pt>
                      <c:pt idx="8">
                        <c:v>565.20000000000005</c:v>
                      </c:pt>
                      <c:pt idx="9">
                        <c:v>698.8</c:v>
                      </c:pt>
                      <c:pt idx="10">
                        <c:v>832.3</c:v>
                      </c:pt>
                      <c:pt idx="11">
                        <c:v>965.8</c:v>
                      </c:pt>
                      <c:pt idx="12">
                        <c:v>999.2</c:v>
                      </c:pt>
                      <c:pt idx="13">
                        <c:v>1033</c:v>
                      </c:pt>
                      <c:pt idx="14">
                        <c:v>1066</c:v>
                      </c:pt>
                      <c:pt idx="15">
                        <c:v>1099</c:v>
                      </c:pt>
                      <c:pt idx="16">
                        <c:v>1233</c:v>
                      </c:pt>
                      <c:pt idx="17">
                        <c:v>1366</c:v>
                      </c:pt>
                      <c:pt idx="18">
                        <c:v>1400</c:v>
                      </c:pt>
                      <c:pt idx="19" formatCode="0">
                        <c:v>1433</c:v>
                      </c:pt>
                      <c:pt idx="20" formatCode="0">
                        <c:v>1467</c:v>
                      </c:pt>
                      <c:pt idx="21" formatCode="0">
                        <c:v>1500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SOLID!$F$28:$AL$28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C-A7C9-4F8E-93A1-524E66C52F6C}"/>
                  </c:ext>
                </c:extLst>
              </c15:ser>
            </c15:filteredScatterSeries>
            <c15:filteredScatterSeries>
              <c15:ser>
                <c:idx val="25"/>
                <c:order val="2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SOLID!$E$29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2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298.2</c:v>
                      </c:pt>
                      <c:pt idx="1">
                        <c:v>331.5</c:v>
                      </c:pt>
                      <c:pt idx="2">
                        <c:v>364.9</c:v>
                      </c:pt>
                      <c:pt idx="3">
                        <c:v>398.3</c:v>
                      </c:pt>
                      <c:pt idx="4">
                        <c:v>431.7</c:v>
                      </c:pt>
                      <c:pt idx="5">
                        <c:v>465.1</c:v>
                      </c:pt>
                      <c:pt idx="6">
                        <c:v>498.5</c:v>
                      </c:pt>
                      <c:pt idx="7">
                        <c:v>531.79999999999995</c:v>
                      </c:pt>
                      <c:pt idx="8">
                        <c:v>565.20000000000005</c:v>
                      </c:pt>
                      <c:pt idx="9">
                        <c:v>698.8</c:v>
                      </c:pt>
                      <c:pt idx="10">
                        <c:v>832.3</c:v>
                      </c:pt>
                      <c:pt idx="11">
                        <c:v>965.8</c:v>
                      </c:pt>
                      <c:pt idx="12">
                        <c:v>999.2</c:v>
                      </c:pt>
                      <c:pt idx="13">
                        <c:v>1033</c:v>
                      </c:pt>
                      <c:pt idx="14">
                        <c:v>1066</c:v>
                      </c:pt>
                      <c:pt idx="15">
                        <c:v>1099</c:v>
                      </c:pt>
                      <c:pt idx="16">
                        <c:v>1233</c:v>
                      </c:pt>
                      <c:pt idx="17">
                        <c:v>1366</c:v>
                      </c:pt>
                      <c:pt idx="18">
                        <c:v>1400</c:v>
                      </c:pt>
                      <c:pt idx="19" formatCode="0">
                        <c:v>1433</c:v>
                      </c:pt>
                      <c:pt idx="20" formatCode="0">
                        <c:v>1467</c:v>
                      </c:pt>
                      <c:pt idx="21" formatCode="0">
                        <c:v>1500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SOLID!$F$29:$AL$29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D-A7C9-4F8E-93A1-524E66C52F6C}"/>
                  </c:ext>
                </c:extLst>
              </c15:ser>
            </c15:filteredScatterSeries>
            <c15:filteredScatterSeries>
              <c15:ser>
                <c:idx val="26"/>
                <c:order val="2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SOLID!$E$30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3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298.2</c:v>
                      </c:pt>
                      <c:pt idx="1">
                        <c:v>331.5</c:v>
                      </c:pt>
                      <c:pt idx="2">
                        <c:v>364.9</c:v>
                      </c:pt>
                      <c:pt idx="3">
                        <c:v>398.3</c:v>
                      </c:pt>
                      <c:pt idx="4">
                        <c:v>431.7</c:v>
                      </c:pt>
                      <c:pt idx="5">
                        <c:v>465.1</c:v>
                      </c:pt>
                      <c:pt idx="6">
                        <c:v>498.5</c:v>
                      </c:pt>
                      <c:pt idx="7">
                        <c:v>531.79999999999995</c:v>
                      </c:pt>
                      <c:pt idx="8">
                        <c:v>565.20000000000005</c:v>
                      </c:pt>
                      <c:pt idx="9">
                        <c:v>698.8</c:v>
                      </c:pt>
                      <c:pt idx="10">
                        <c:v>832.3</c:v>
                      </c:pt>
                      <c:pt idx="11">
                        <c:v>965.8</c:v>
                      </c:pt>
                      <c:pt idx="12">
                        <c:v>999.2</c:v>
                      </c:pt>
                      <c:pt idx="13">
                        <c:v>1033</c:v>
                      </c:pt>
                      <c:pt idx="14">
                        <c:v>1066</c:v>
                      </c:pt>
                      <c:pt idx="15">
                        <c:v>1099</c:v>
                      </c:pt>
                      <c:pt idx="16">
                        <c:v>1233</c:v>
                      </c:pt>
                      <c:pt idx="17">
                        <c:v>1366</c:v>
                      </c:pt>
                      <c:pt idx="18">
                        <c:v>1400</c:v>
                      </c:pt>
                      <c:pt idx="19" formatCode="0">
                        <c:v>1433</c:v>
                      </c:pt>
                      <c:pt idx="20" formatCode="0">
                        <c:v>1467</c:v>
                      </c:pt>
                      <c:pt idx="21" formatCode="0">
                        <c:v>1500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SOLID!$F$30:$AL$30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E-A7C9-4F8E-93A1-524E66C52F6C}"/>
                  </c:ext>
                </c:extLst>
              </c15:ser>
            </c15:filteredScatterSeries>
            <c15:filteredScatterSeries>
              <c15:ser>
                <c:idx val="27"/>
                <c:order val="2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SOLID!$E$31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4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298.2</c:v>
                      </c:pt>
                      <c:pt idx="1">
                        <c:v>331.5</c:v>
                      </c:pt>
                      <c:pt idx="2">
                        <c:v>364.9</c:v>
                      </c:pt>
                      <c:pt idx="3">
                        <c:v>398.3</c:v>
                      </c:pt>
                      <c:pt idx="4">
                        <c:v>431.7</c:v>
                      </c:pt>
                      <c:pt idx="5">
                        <c:v>465.1</c:v>
                      </c:pt>
                      <c:pt idx="6">
                        <c:v>498.5</c:v>
                      </c:pt>
                      <c:pt idx="7">
                        <c:v>531.79999999999995</c:v>
                      </c:pt>
                      <c:pt idx="8">
                        <c:v>565.20000000000005</c:v>
                      </c:pt>
                      <c:pt idx="9">
                        <c:v>698.8</c:v>
                      </c:pt>
                      <c:pt idx="10">
                        <c:v>832.3</c:v>
                      </c:pt>
                      <c:pt idx="11">
                        <c:v>965.8</c:v>
                      </c:pt>
                      <c:pt idx="12">
                        <c:v>999.2</c:v>
                      </c:pt>
                      <c:pt idx="13">
                        <c:v>1033</c:v>
                      </c:pt>
                      <c:pt idx="14">
                        <c:v>1066</c:v>
                      </c:pt>
                      <c:pt idx="15">
                        <c:v>1099</c:v>
                      </c:pt>
                      <c:pt idx="16">
                        <c:v>1233</c:v>
                      </c:pt>
                      <c:pt idx="17">
                        <c:v>1366</c:v>
                      </c:pt>
                      <c:pt idx="18">
                        <c:v>1400</c:v>
                      </c:pt>
                      <c:pt idx="19" formatCode="0">
                        <c:v>1433</c:v>
                      </c:pt>
                      <c:pt idx="20" formatCode="0">
                        <c:v>1467</c:v>
                      </c:pt>
                      <c:pt idx="21" formatCode="0">
                        <c:v>1500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SOLID!$F$31:$AL$31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F-A7C9-4F8E-93A1-524E66C52F6C}"/>
                  </c:ext>
                </c:extLst>
              </c15:ser>
            </c15:filteredScatterSeries>
            <c15:filteredScatterSeries>
              <c15:ser>
                <c:idx val="28"/>
                <c:order val="2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SOLID!$E$32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5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298.2</c:v>
                      </c:pt>
                      <c:pt idx="1">
                        <c:v>331.5</c:v>
                      </c:pt>
                      <c:pt idx="2">
                        <c:v>364.9</c:v>
                      </c:pt>
                      <c:pt idx="3">
                        <c:v>398.3</c:v>
                      </c:pt>
                      <c:pt idx="4">
                        <c:v>431.7</c:v>
                      </c:pt>
                      <c:pt idx="5">
                        <c:v>465.1</c:v>
                      </c:pt>
                      <c:pt idx="6">
                        <c:v>498.5</c:v>
                      </c:pt>
                      <c:pt idx="7">
                        <c:v>531.79999999999995</c:v>
                      </c:pt>
                      <c:pt idx="8">
                        <c:v>565.20000000000005</c:v>
                      </c:pt>
                      <c:pt idx="9">
                        <c:v>698.8</c:v>
                      </c:pt>
                      <c:pt idx="10">
                        <c:v>832.3</c:v>
                      </c:pt>
                      <c:pt idx="11">
                        <c:v>965.8</c:v>
                      </c:pt>
                      <c:pt idx="12">
                        <c:v>999.2</c:v>
                      </c:pt>
                      <c:pt idx="13">
                        <c:v>1033</c:v>
                      </c:pt>
                      <c:pt idx="14">
                        <c:v>1066</c:v>
                      </c:pt>
                      <c:pt idx="15">
                        <c:v>1099</c:v>
                      </c:pt>
                      <c:pt idx="16">
                        <c:v>1233</c:v>
                      </c:pt>
                      <c:pt idx="17">
                        <c:v>1366</c:v>
                      </c:pt>
                      <c:pt idx="18">
                        <c:v>1400</c:v>
                      </c:pt>
                      <c:pt idx="19" formatCode="0">
                        <c:v>1433</c:v>
                      </c:pt>
                      <c:pt idx="20" formatCode="0">
                        <c:v>1467</c:v>
                      </c:pt>
                      <c:pt idx="21" formatCode="0">
                        <c:v>1500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SOLID!$F$32:$AL$32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0-A7C9-4F8E-93A1-524E66C52F6C}"/>
                  </c:ext>
                </c:extLst>
              </c15:ser>
            </c15:filteredScatterSeries>
          </c:ext>
        </c:extLst>
      </c:scatterChart>
      <c:valAx>
        <c:axId val="391619416"/>
        <c:scaling>
          <c:orientation val="minMax"/>
          <c:max val="1000"/>
          <c:min val="3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8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/>
                  <a:t>T</a:t>
                </a:r>
                <a:r>
                  <a:rPr lang="ru-RU" sz="1800"/>
                  <a:t>, К</a:t>
                </a:r>
              </a:p>
            </c:rich>
          </c:tx>
          <c:layout>
            <c:manualLayout>
              <c:xMode val="edge"/>
              <c:yMode val="edge"/>
              <c:x val="0.42423525471841778"/>
              <c:y val="0.9253208458898237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8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#,##0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93215344"/>
        <c:crosses val="autoZero"/>
        <c:crossBetween val="midCat"/>
      </c:valAx>
      <c:valAx>
        <c:axId val="393215344"/>
        <c:scaling>
          <c:orientation val="minMax"/>
          <c:max val="0.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 sz="1800" b="0" i="0" baseline="0">
                    <a:effectLst/>
                  </a:rPr>
                  <a:t>Концентрация, моль/(моль*атом)</a:t>
                </a:r>
                <a:endParaRPr lang="ru-RU">
                  <a:effectLst/>
                </a:endParaRPr>
              </a:p>
            </c:rich>
          </c:tx>
          <c:layout>
            <c:manualLayout>
              <c:xMode val="edge"/>
              <c:yMode val="edge"/>
              <c:x val="7.8334982535866026E-3"/>
              <c:y val="0.19218689719276424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#,##0.00" sourceLinked="0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91619416"/>
        <c:crosses val="autoZero"/>
        <c:crossBetween val="midCat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1" i="1" u="none" strike="noStrike" kern="1200" spc="0" baseline="0">
                <a:solidFill>
                  <a:srgbClr val="0070C0"/>
                </a:solidFill>
                <a:latin typeface="+mn-lt"/>
                <a:ea typeface="+mn-ea"/>
                <a:cs typeface="+mn-cs"/>
              </a:defRPr>
            </a:pPr>
            <a:r>
              <a:rPr lang="en-US" sz="2000" b="1" i="1">
                <a:solidFill>
                  <a:srgbClr val="0070C0"/>
                </a:solidFill>
              </a:rPr>
              <a:t>Ge</a:t>
            </a:r>
          </a:p>
        </c:rich>
      </c:tx>
      <c:layout>
        <c:manualLayout>
          <c:xMode val="edge"/>
          <c:yMode val="edge"/>
          <c:x val="0.45923209945810856"/>
          <c:y val="0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3565836995543892"/>
          <c:y val="0.10656915812117258"/>
          <c:w val="0.79872285919300678"/>
          <c:h val="0.79349420735008158"/>
        </c:manualLayout>
      </c:layout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EVALUATION!$B$100:$CP$100</c:f>
              <c:numCache>
                <c:formatCode>0</c:formatCode>
                <c:ptCount val="93"/>
                <c:pt idx="0">
                  <c:v>306</c:v>
                </c:pt>
                <c:pt idx="1">
                  <c:v>314</c:v>
                </c:pt>
                <c:pt idx="2">
                  <c:v>322</c:v>
                </c:pt>
                <c:pt idx="3">
                  <c:v>330</c:v>
                </c:pt>
                <c:pt idx="4">
                  <c:v>338</c:v>
                </c:pt>
                <c:pt idx="5">
                  <c:v>346</c:v>
                </c:pt>
                <c:pt idx="6">
                  <c:v>354</c:v>
                </c:pt>
                <c:pt idx="7">
                  <c:v>362</c:v>
                </c:pt>
                <c:pt idx="8">
                  <c:v>370</c:v>
                </c:pt>
                <c:pt idx="9">
                  <c:v>378</c:v>
                </c:pt>
                <c:pt idx="10">
                  <c:v>386</c:v>
                </c:pt>
                <c:pt idx="11">
                  <c:v>394</c:v>
                </c:pt>
                <c:pt idx="12">
                  <c:v>402</c:v>
                </c:pt>
                <c:pt idx="13">
                  <c:v>410</c:v>
                </c:pt>
                <c:pt idx="14">
                  <c:v>418</c:v>
                </c:pt>
                <c:pt idx="15">
                  <c:v>426</c:v>
                </c:pt>
                <c:pt idx="16">
                  <c:v>434</c:v>
                </c:pt>
                <c:pt idx="17">
                  <c:v>442</c:v>
                </c:pt>
                <c:pt idx="18">
                  <c:v>450</c:v>
                </c:pt>
                <c:pt idx="19">
                  <c:v>458</c:v>
                </c:pt>
                <c:pt idx="20">
                  <c:v>466</c:v>
                </c:pt>
                <c:pt idx="21">
                  <c:v>474</c:v>
                </c:pt>
                <c:pt idx="22">
                  <c:v>482</c:v>
                </c:pt>
                <c:pt idx="23">
                  <c:v>490</c:v>
                </c:pt>
                <c:pt idx="24">
                  <c:v>498</c:v>
                </c:pt>
                <c:pt idx="25">
                  <c:v>506</c:v>
                </c:pt>
                <c:pt idx="26">
                  <c:v>514</c:v>
                </c:pt>
                <c:pt idx="27">
                  <c:v>522</c:v>
                </c:pt>
                <c:pt idx="28">
                  <c:v>530</c:v>
                </c:pt>
                <c:pt idx="29">
                  <c:v>538</c:v>
                </c:pt>
                <c:pt idx="30">
                  <c:v>546</c:v>
                </c:pt>
                <c:pt idx="31">
                  <c:v>554</c:v>
                </c:pt>
                <c:pt idx="32">
                  <c:v>562</c:v>
                </c:pt>
                <c:pt idx="33">
                  <c:v>570</c:v>
                </c:pt>
                <c:pt idx="34">
                  <c:v>578</c:v>
                </c:pt>
                <c:pt idx="35">
                  <c:v>586</c:v>
                </c:pt>
                <c:pt idx="36">
                  <c:v>594</c:v>
                </c:pt>
                <c:pt idx="37">
                  <c:v>602</c:v>
                </c:pt>
                <c:pt idx="38">
                  <c:v>610</c:v>
                </c:pt>
                <c:pt idx="39">
                  <c:v>618</c:v>
                </c:pt>
                <c:pt idx="40">
                  <c:v>626</c:v>
                </c:pt>
                <c:pt idx="41">
                  <c:v>634</c:v>
                </c:pt>
                <c:pt idx="42">
                  <c:v>642</c:v>
                </c:pt>
                <c:pt idx="43">
                  <c:v>650</c:v>
                </c:pt>
                <c:pt idx="44">
                  <c:v>658</c:v>
                </c:pt>
                <c:pt idx="45">
                  <c:v>666</c:v>
                </c:pt>
                <c:pt idx="46">
                  <c:v>674</c:v>
                </c:pt>
                <c:pt idx="47">
                  <c:v>682</c:v>
                </c:pt>
                <c:pt idx="48">
                  <c:v>690</c:v>
                </c:pt>
                <c:pt idx="49">
                  <c:v>698</c:v>
                </c:pt>
                <c:pt idx="50">
                  <c:v>706</c:v>
                </c:pt>
                <c:pt idx="51">
                  <c:v>714</c:v>
                </c:pt>
                <c:pt idx="52">
                  <c:v>722</c:v>
                </c:pt>
                <c:pt idx="53">
                  <c:v>730</c:v>
                </c:pt>
                <c:pt idx="54">
                  <c:v>738</c:v>
                </c:pt>
                <c:pt idx="55">
                  <c:v>746</c:v>
                </c:pt>
                <c:pt idx="56">
                  <c:v>754</c:v>
                </c:pt>
                <c:pt idx="57">
                  <c:v>762</c:v>
                </c:pt>
                <c:pt idx="58">
                  <c:v>770</c:v>
                </c:pt>
                <c:pt idx="59">
                  <c:v>778</c:v>
                </c:pt>
                <c:pt idx="60">
                  <c:v>786</c:v>
                </c:pt>
                <c:pt idx="61">
                  <c:v>794</c:v>
                </c:pt>
                <c:pt idx="62">
                  <c:v>802</c:v>
                </c:pt>
                <c:pt idx="63">
                  <c:v>810</c:v>
                </c:pt>
                <c:pt idx="64">
                  <c:v>818</c:v>
                </c:pt>
                <c:pt idx="65">
                  <c:v>826</c:v>
                </c:pt>
                <c:pt idx="66">
                  <c:v>834</c:v>
                </c:pt>
                <c:pt idx="67">
                  <c:v>842</c:v>
                </c:pt>
                <c:pt idx="68">
                  <c:v>850</c:v>
                </c:pt>
                <c:pt idx="69">
                  <c:v>858</c:v>
                </c:pt>
                <c:pt idx="70">
                  <c:v>866</c:v>
                </c:pt>
                <c:pt idx="71">
                  <c:v>874</c:v>
                </c:pt>
                <c:pt idx="72">
                  <c:v>882</c:v>
                </c:pt>
                <c:pt idx="73">
                  <c:v>890</c:v>
                </c:pt>
                <c:pt idx="74">
                  <c:v>898</c:v>
                </c:pt>
                <c:pt idx="75">
                  <c:v>906</c:v>
                </c:pt>
                <c:pt idx="76">
                  <c:v>914</c:v>
                </c:pt>
                <c:pt idx="77">
                  <c:v>922</c:v>
                </c:pt>
                <c:pt idx="78">
                  <c:v>930</c:v>
                </c:pt>
                <c:pt idx="79">
                  <c:v>938</c:v>
                </c:pt>
                <c:pt idx="80">
                  <c:v>946</c:v>
                </c:pt>
                <c:pt idx="81">
                  <c:v>954</c:v>
                </c:pt>
                <c:pt idx="82">
                  <c:v>962</c:v>
                </c:pt>
                <c:pt idx="83">
                  <c:v>970</c:v>
                </c:pt>
                <c:pt idx="84">
                  <c:v>978</c:v>
                </c:pt>
                <c:pt idx="85">
                  <c:v>986</c:v>
                </c:pt>
                <c:pt idx="86">
                  <c:v>994</c:v>
                </c:pt>
              </c:numCache>
            </c:numRef>
          </c:xVal>
          <c:yVal>
            <c:numRef>
              <c:f>EVALUATION!$B$101:$CP$101</c:f>
              <c:numCache>
                <c:formatCode>0</c:formatCode>
                <c:ptCount val="93"/>
                <c:pt idx="0">
                  <c:v>-15.118108108108107</c:v>
                </c:pt>
                <c:pt idx="1">
                  <c:v>-14.88027027027027</c:v>
                </c:pt>
                <c:pt idx="2">
                  <c:v>-14.642432432432432</c:v>
                </c:pt>
                <c:pt idx="3">
                  <c:v>-14.404594594594593</c:v>
                </c:pt>
                <c:pt idx="4" formatCode="General">
                  <c:v>-13.959101796407184</c:v>
                </c:pt>
                <c:pt idx="5" formatCode="General">
                  <c:v>-13.46568862275449</c:v>
                </c:pt>
                <c:pt idx="6" formatCode="General">
                  <c:v>-12.972275449101796</c:v>
                </c:pt>
                <c:pt idx="7" formatCode="General">
                  <c:v>-12.478862275449101</c:v>
                </c:pt>
                <c:pt idx="8" formatCode="General">
                  <c:v>-11.950329341317365</c:v>
                </c:pt>
                <c:pt idx="9" formatCode="General">
                  <c:v>-11.40182634730539</c:v>
                </c:pt>
                <c:pt idx="10" formatCode="General">
                  <c:v>-10.853323353293414</c:v>
                </c:pt>
                <c:pt idx="11" formatCode="General">
                  <c:v>-10.304820359281438</c:v>
                </c:pt>
                <c:pt idx="12" formatCode="General">
                  <c:v>-9.7896616766467073</c:v>
                </c:pt>
                <c:pt idx="13" formatCode="General">
                  <c:v>-9.3132544910179647</c:v>
                </c:pt>
                <c:pt idx="14" formatCode="General">
                  <c:v>-8.836847305389222</c:v>
                </c:pt>
                <c:pt idx="15" formatCode="General">
                  <c:v>-8.3604401197604794</c:v>
                </c:pt>
                <c:pt idx="16" formatCode="General">
                  <c:v>-7.9011107784431145</c:v>
                </c:pt>
                <c:pt idx="17" formatCode="General">
                  <c:v>-7.4841047904191624</c:v>
                </c:pt>
                <c:pt idx="18" formatCode="General">
                  <c:v>-7.0670988023952104</c:v>
                </c:pt>
                <c:pt idx="19" formatCode="General">
                  <c:v>-6.6500928143712592</c:v>
                </c:pt>
                <c:pt idx="20" formatCode="General">
                  <c:v>-6.2383952095808395</c:v>
                </c:pt>
                <c:pt idx="21" formatCode="General">
                  <c:v>-5.8685748502994022</c:v>
                </c:pt>
                <c:pt idx="22" formatCode="General">
                  <c:v>-5.4987544910179649</c:v>
                </c:pt>
                <c:pt idx="23" formatCode="General">
                  <c:v>-5.1289341317365267</c:v>
                </c:pt>
                <c:pt idx="24" formatCode="General">
                  <c:v>-4.7591137724550894</c:v>
                </c:pt>
                <c:pt idx="25" formatCode="General">
                  <c:v>-4.6019909909909904</c:v>
                </c:pt>
                <c:pt idx="26" formatCode="General">
                  <c:v>-4.4590480480480474</c:v>
                </c:pt>
                <c:pt idx="27" formatCode="General">
                  <c:v>-4.3161051051051045</c:v>
                </c:pt>
                <c:pt idx="28" formatCode="General">
                  <c:v>-4.1731621621621615</c:v>
                </c:pt>
                <c:pt idx="29" formatCode="General">
                  <c:v>-4.1562215568862273</c:v>
                </c:pt>
                <c:pt idx="30" formatCode="General">
                  <c:v>-4.1758622754491022</c:v>
                </c:pt>
                <c:pt idx="31" formatCode="General">
                  <c:v>-4.1955029940119761</c:v>
                </c:pt>
                <c:pt idx="32" formatCode="General">
                  <c:v>-4.2151437125748501</c:v>
                </c:pt>
                <c:pt idx="33" formatCode="General">
                  <c:v>-4.2348562874251492</c:v>
                </c:pt>
                <c:pt idx="34" formatCode="General">
                  <c:v>-4.2546167664670653</c:v>
                </c:pt>
                <c:pt idx="35" formatCode="General">
                  <c:v>-4.2743772455089815</c:v>
                </c:pt>
                <c:pt idx="36" formatCode="General">
                  <c:v>-4.2941377245508976</c:v>
                </c:pt>
                <c:pt idx="37" formatCode="General">
                  <c:v>-4.3138982035928146</c:v>
                </c:pt>
                <c:pt idx="38" formatCode="General">
                  <c:v>-4.3336586826347308</c:v>
                </c:pt>
                <c:pt idx="39" formatCode="General">
                  <c:v>-4.3534191616766469</c:v>
                </c:pt>
                <c:pt idx="40" formatCode="General">
                  <c:v>-4.373179640718563</c:v>
                </c:pt>
                <c:pt idx="41" formatCode="General">
                  <c:v>-4.3929401197604792</c:v>
                </c:pt>
                <c:pt idx="42" formatCode="General">
                  <c:v>-4.4127005988023953</c:v>
                </c:pt>
                <c:pt idx="43" formatCode="General">
                  <c:v>-4.4324610778443114</c:v>
                </c:pt>
                <c:pt idx="44" formatCode="General">
                  <c:v>-4.4522215568862276</c:v>
                </c:pt>
                <c:pt idx="45" formatCode="General">
                  <c:v>-4.4719820359281437</c:v>
                </c:pt>
                <c:pt idx="46" formatCode="General">
                  <c:v>-4.4917425149700598</c:v>
                </c:pt>
                <c:pt idx="47" formatCode="General">
                  <c:v>-4.511502994011976</c:v>
                </c:pt>
                <c:pt idx="48" formatCode="General">
                  <c:v>-4.5312634730538921</c:v>
                </c:pt>
                <c:pt idx="49" formatCode="General">
                  <c:v>-4.5510239520958082</c:v>
                </c:pt>
                <c:pt idx="50" formatCode="General">
                  <c:v>-4.5702584269662925</c:v>
                </c:pt>
                <c:pt idx="51" formatCode="General">
                  <c:v>-4.5894344569288394</c:v>
                </c:pt>
                <c:pt idx="52" formatCode="General">
                  <c:v>-4.6086104868913855</c:v>
                </c:pt>
                <c:pt idx="53" formatCode="General">
                  <c:v>-4.6277865168539325</c:v>
                </c:pt>
                <c:pt idx="54" formatCode="General">
                  <c:v>-4.6469625468164795</c:v>
                </c:pt>
                <c:pt idx="55" formatCode="General">
                  <c:v>-4.6661385767790264</c:v>
                </c:pt>
                <c:pt idx="56" formatCode="General">
                  <c:v>-4.6853146067415734</c:v>
                </c:pt>
                <c:pt idx="57" formatCode="General">
                  <c:v>-4.7044906367041204</c:v>
                </c:pt>
                <c:pt idx="58" formatCode="General">
                  <c:v>-4.7236666666666665</c:v>
                </c:pt>
                <c:pt idx="59" formatCode="General">
                  <c:v>-4.7428426966292134</c:v>
                </c:pt>
                <c:pt idx="60" formatCode="General">
                  <c:v>-4.7620187265917604</c:v>
                </c:pt>
                <c:pt idx="61" formatCode="General">
                  <c:v>-4.7811947565543074</c:v>
                </c:pt>
                <c:pt idx="62" formatCode="General">
                  <c:v>-4.8003707865168543</c:v>
                </c:pt>
                <c:pt idx="63" formatCode="General">
                  <c:v>-4.8195468164794013</c:v>
                </c:pt>
                <c:pt idx="64" formatCode="General">
                  <c:v>-4.8387228464419483</c:v>
                </c:pt>
                <c:pt idx="65" formatCode="General">
                  <c:v>-4.8578988764044944</c:v>
                </c:pt>
                <c:pt idx="66" formatCode="General">
                  <c:v>-4.8768456928838955</c:v>
                </c:pt>
                <c:pt idx="67" formatCode="General">
                  <c:v>-4.8949430711610491</c:v>
                </c:pt>
                <c:pt idx="68" formatCode="General">
                  <c:v>-4.9130404494382027</c:v>
                </c:pt>
                <c:pt idx="69" formatCode="General">
                  <c:v>-4.9311378277153564</c:v>
                </c:pt>
                <c:pt idx="70" formatCode="General">
                  <c:v>-4.94923520599251</c:v>
                </c:pt>
                <c:pt idx="71" formatCode="General">
                  <c:v>-4.9673325842696627</c:v>
                </c:pt>
                <c:pt idx="72" formatCode="General">
                  <c:v>-4.9854299625468164</c:v>
                </c:pt>
                <c:pt idx="73" formatCode="General">
                  <c:v>-5.00352734082397</c:v>
                </c:pt>
                <c:pt idx="74" formatCode="General">
                  <c:v>-5.0216247191011236</c:v>
                </c:pt>
                <c:pt idx="75" formatCode="General">
                  <c:v>-5.0397220973782773</c:v>
                </c:pt>
                <c:pt idx="76" formatCode="General">
                  <c:v>-5.0578194756554309</c:v>
                </c:pt>
                <c:pt idx="77" formatCode="General">
                  <c:v>-5.0759168539325845</c:v>
                </c:pt>
                <c:pt idx="78" formatCode="General">
                  <c:v>-5.0940142322097381</c:v>
                </c:pt>
                <c:pt idx="79" formatCode="General">
                  <c:v>-5.1121116104868918</c:v>
                </c:pt>
                <c:pt idx="80" formatCode="General">
                  <c:v>-5.1302089887640445</c:v>
                </c:pt>
                <c:pt idx="81" formatCode="General">
                  <c:v>-5.1483063670411982</c:v>
                </c:pt>
                <c:pt idx="82" formatCode="General">
                  <c:v>-5.1664037453183518</c:v>
                </c:pt>
                <c:pt idx="83" formatCode="General">
                  <c:v>-5.1840538922155686</c:v>
                </c:pt>
                <c:pt idx="84" formatCode="General">
                  <c:v>-5.2012994011976046</c:v>
                </c:pt>
                <c:pt idx="85" formatCode="General">
                  <c:v>-5.2185449101796406</c:v>
                </c:pt>
                <c:pt idx="86" formatCode="General">
                  <c:v>-5.2357904191616766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0-11EF-44BA-AAAA-9AD66152902A}"/>
            </c:ext>
          </c:extLst>
        </c:ser>
        <c:ser>
          <c:idx val="37"/>
          <c:order val="39"/>
          <c:spPr>
            <a:ln>
              <a:solidFill>
                <a:schemeClr val="accent1">
                  <a:lumMod val="50000"/>
                </a:schemeClr>
              </a:solidFill>
              <a:prstDash val="sysDash"/>
            </a:ln>
          </c:spPr>
          <c:marker>
            <c:symbol val="none"/>
          </c:marker>
          <c:xVal>
            <c:numRef>
              <c:f>EVALUATION!$B$100:$CP$100</c:f>
              <c:numCache>
                <c:formatCode>0</c:formatCode>
                <c:ptCount val="93"/>
                <c:pt idx="0">
                  <c:v>306</c:v>
                </c:pt>
                <c:pt idx="1">
                  <c:v>314</c:v>
                </c:pt>
                <c:pt idx="2">
                  <c:v>322</c:v>
                </c:pt>
                <c:pt idx="3">
                  <c:v>330</c:v>
                </c:pt>
                <c:pt idx="4">
                  <c:v>338</c:v>
                </c:pt>
                <c:pt idx="5">
                  <c:v>346</c:v>
                </c:pt>
                <c:pt idx="6">
                  <c:v>354</c:v>
                </c:pt>
                <c:pt idx="7">
                  <c:v>362</c:v>
                </c:pt>
                <c:pt idx="8">
                  <c:v>370</c:v>
                </c:pt>
                <c:pt idx="9">
                  <c:v>378</c:v>
                </c:pt>
                <c:pt idx="10">
                  <c:v>386</c:v>
                </c:pt>
                <c:pt idx="11">
                  <c:v>394</c:v>
                </c:pt>
                <c:pt idx="12">
                  <c:v>402</c:v>
                </c:pt>
                <c:pt idx="13">
                  <c:v>410</c:v>
                </c:pt>
                <c:pt idx="14">
                  <c:v>418</c:v>
                </c:pt>
                <c:pt idx="15">
                  <c:v>426</c:v>
                </c:pt>
                <c:pt idx="16">
                  <c:v>434</c:v>
                </c:pt>
                <c:pt idx="17">
                  <c:v>442</c:v>
                </c:pt>
                <c:pt idx="18">
                  <c:v>450</c:v>
                </c:pt>
                <c:pt idx="19">
                  <c:v>458</c:v>
                </c:pt>
                <c:pt idx="20">
                  <c:v>466</c:v>
                </c:pt>
                <c:pt idx="21">
                  <c:v>474</c:v>
                </c:pt>
                <c:pt idx="22">
                  <c:v>482</c:v>
                </c:pt>
                <c:pt idx="23">
                  <c:v>490</c:v>
                </c:pt>
                <c:pt idx="24">
                  <c:v>498</c:v>
                </c:pt>
                <c:pt idx="25">
                  <c:v>506</c:v>
                </c:pt>
                <c:pt idx="26">
                  <c:v>514</c:v>
                </c:pt>
                <c:pt idx="27">
                  <c:v>522</c:v>
                </c:pt>
                <c:pt idx="28">
                  <c:v>530</c:v>
                </c:pt>
                <c:pt idx="29">
                  <c:v>538</c:v>
                </c:pt>
                <c:pt idx="30">
                  <c:v>546</c:v>
                </c:pt>
                <c:pt idx="31">
                  <c:v>554</c:v>
                </c:pt>
                <c:pt idx="32">
                  <c:v>562</c:v>
                </c:pt>
                <c:pt idx="33">
                  <c:v>570</c:v>
                </c:pt>
                <c:pt idx="34">
                  <c:v>578</c:v>
                </c:pt>
                <c:pt idx="35">
                  <c:v>586</c:v>
                </c:pt>
                <c:pt idx="36">
                  <c:v>594</c:v>
                </c:pt>
                <c:pt idx="37">
                  <c:v>602</c:v>
                </c:pt>
                <c:pt idx="38">
                  <c:v>610</c:v>
                </c:pt>
                <c:pt idx="39">
                  <c:v>618</c:v>
                </c:pt>
                <c:pt idx="40">
                  <c:v>626</c:v>
                </c:pt>
                <c:pt idx="41">
                  <c:v>634</c:v>
                </c:pt>
                <c:pt idx="42">
                  <c:v>642</c:v>
                </c:pt>
                <c:pt idx="43">
                  <c:v>650</c:v>
                </c:pt>
                <c:pt idx="44">
                  <c:v>658</c:v>
                </c:pt>
                <c:pt idx="45">
                  <c:v>666</c:v>
                </c:pt>
                <c:pt idx="46">
                  <c:v>674</c:v>
                </c:pt>
                <c:pt idx="47">
                  <c:v>682</c:v>
                </c:pt>
                <c:pt idx="48">
                  <c:v>690</c:v>
                </c:pt>
                <c:pt idx="49">
                  <c:v>698</c:v>
                </c:pt>
                <c:pt idx="50">
                  <c:v>706</c:v>
                </c:pt>
                <c:pt idx="51">
                  <c:v>714</c:v>
                </c:pt>
                <c:pt idx="52">
                  <c:v>722</c:v>
                </c:pt>
                <c:pt idx="53">
                  <c:v>730</c:v>
                </c:pt>
                <c:pt idx="54">
                  <c:v>738</c:v>
                </c:pt>
                <c:pt idx="55">
                  <c:v>746</c:v>
                </c:pt>
                <c:pt idx="56">
                  <c:v>754</c:v>
                </c:pt>
                <c:pt idx="57">
                  <c:v>762</c:v>
                </c:pt>
                <c:pt idx="58">
                  <c:v>770</c:v>
                </c:pt>
                <c:pt idx="59">
                  <c:v>778</c:v>
                </c:pt>
                <c:pt idx="60">
                  <c:v>786</c:v>
                </c:pt>
                <c:pt idx="61">
                  <c:v>794</c:v>
                </c:pt>
                <c:pt idx="62">
                  <c:v>802</c:v>
                </c:pt>
                <c:pt idx="63">
                  <c:v>810</c:v>
                </c:pt>
                <c:pt idx="64">
                  <c:v>818</c:v>
                </c:pt>
                <c:pt idx="65">
                  <c:v>826</c:v>
                </c:pt>
                <c:pt idx="66">
                  <c:v>834</c:v>
                </c:pt>
                <c:pt idx="67">
                  <c:v>842</c:v>
                </c:pt>
                <c:pt idx="68">
                  <c:v>850</c:v>
                </c:pt>
                <c:pt idx="69">
                  <c:v>858</c:v>
                </c:pt>
                <c:pt idx="70">
                  <c:v>866</c:v>
                </c:pt>
                <c:pt idx="71">
                  <c:v>874</c:v>
                </c:pt>
                <c:pt idx="72">
                  <c:v>882</c:v>
                </c:pt>
                <c:pt idx="73">
                  <c:v>890</c:v>
                </c:pt>
                <c:pt idx="74">
                  <c:v>898</c:v>
                </c:pt>
                <c:pt idx="75">
                  <c:v>906</c:v>
                </c:pt>
                <c:pt idx="76">
                  <c:v>914</c:v>
                </c:pt>
                <c:pt idx="77">
                  <c:v>922</c:v>
                </c:pt>
                <c:pt idx="78">
                  <c:v>930</c:v>
                </c:pt>
                <c:pt idx="79">
                  <c:v>938</c:v>
                </c:pt>
                <c:pt idx="80">
                  <c:v>946</c:v>
                </c:pt>
                <c:pt idx="81">
                  <c:v>954</c:v>
                </c:pt>
                <c:pt idx="82">
                  <c:v>962</c:v>
                </c:pt>
                <c:pt idx="83">
                  <c:v>970</c:v>
                </c:pt>
                <c:pt idx="84">
                  <c:v>978</c:v>
                </c:pt>
                <c:pt idx="85">
                  <c:v>986</c:v>
                </c:pt>
                <c:pt idx="86">
                  <c:v>994</c:v>
                </c:pt>
              </c:numCache>
            </c:numRef>
          </c:xVal>
          <c:yVal>
            <c:numRef>
              <c:f>EVALUATION!$B$140:$CP$140</c:f>
              <c:numCache>
                <c:formatCode>0</c:formatCode>
                <c:ptCount val="93"/>
                <c:pt idx="0">
                  <c:v>-15.512792792792792</c:v>
                </c:pt>
                <c:pt idx="1">
                  <c:v>-15.013093093093092</c:v>
                </c:pt>
                <c:pt idx="2">
                  <c:v>-14.513393393393393</c:v>
                </c:pt>
                <c:pt idx="3">
                  <c:v>-14.013693693693693</c:v>
                </c:pt>
                <c:pt idx="4" formatCode="General">
                  <c:v>-13.456826347305389</c:v>
                </c:pt>
                <c:pt idx="5" formatCode="General">
                  <c:v>-12.886766467065867</c:v>
                </c:pt>
                <c:pt idx="6" formatCode="General">
                  <c:v>-12.316706586826346</c:v>
                </c:pt>
                <c:pt idx="7" formatCode="General">
                  <c:v>-11.746646706586823</c:v>
                </c:pt>
                <c:pt idx="8" formatCode="General">
                  <c:v>-11.204988023952094</c:v>
                </c:pt>
                <c:pt idx="9" formatCode="General">
                  <c:v>-10.679479041916167</c:v>
                </c:pt>
                <c:pt idx="10" formatCode="General">
                  <c:v>-10.153970059880239</c:v>
                </c:pt>
                <c:pt idx="11" formatCode="General">
                  <c:v>-9.628461077844312</c:v>
                </c:pt>
                <c:pt idx="12" formatCode="General">
                  <c:v>-9.1539101796407198</c:v>
                </c:pt>
                <c:pt idx="13" formatCode="General">
                  <c:v>-8.7385808383233528</c:v>
                </c:pt>
                <c:pt idx="14" formatCode="General">
                  <c:v>-8.3232514970059874</c:v>
                </c:pt>
                <c:pt idx="15" formatCode="General">
                  <c:v>-7.9079221556886221</c:v>
                </c:pt>
                <c:pt idx="16" formatCode="General">
                  <c:v>-7.5390748502994009</c:v>
                </c:pt>
                <c:pt idx="17" formatCode="General">
                  <c:v>-7.2854221556886225</c:v>
                </c:pt>
                <c:pt idx="18" formatCode="General">
                  <c:v>-7.031769461077845</c:v>
                </c:pt>
                <c:pt idx="19" formatCode="General">
                  <c:v>-6.7781167664670665</c:v>
                </c:pt>
                <c:pt idx="20" formatCode="General">
                  <c:v>-6.5428413173652693</c:v>
                </c:pt>
                <c:pt idx="21" formatCode="General">
                  <c:v>-6.4525419161676645</c:v>
                </c:pt>
                <c:pt idx="22" formatCode="General">
                  <c:v>-6.3622425149700597</c:v>
                </c:pt>
                <c:pt idx="23" formatCode="General">
                  <c:v>-6.2719431137724548</c:v>
                </c:pt>
                <c:pt idx="24" formatCode="General">
                  <c:v>-6.18164371257485</c:v>
                </c:pt>
                <c:pt idx="25" formatCode="General">
                  <c:v>-6.3239729729729737</c:v>
                </c:pt>
                <c:pt idx="26" formatCode="General">
                  <c:v>-6.4818108108108117</c:v>
                </c:pt>
                <c:pt idx="27" formatCode="General">
                  <c:v>-6.6396486486486497</c:v>
                </c:pt>
                <c:pt idx="28" formatCode="General">
                  <c:v>-6.7974864864864877</c:v>
                </c:pt>
                <c:pt idx="29" formatCode="General">
                  <c:v>-6.8348562874251497</c:v>
                </c:pt>
                <c:pt idx="30" formatCode="General">
                  <c:v>-6.8372514970059886</c:v>
                </c:pt>
                <c:pt idx="31" formatCode="General">
                  <c:v>-6.8396467065868265</c:v>
                </c:pt>
                <c:pt idx="32" formatCode="General">
                  <c:v>-6.8420419161676644</c:v>
                </c:pt>
                <c:pt idx="33" formatCode="General">
                  <c:v>-6.8517664670658682</c:v>
                </c:pt>
                <c:pt idx="34" formatCode="General">
                  <c:v>-6.866377245508982</c:v>
                </c:pt>
                <c:pt idx="35" formatCode="General">
                  <c:v>-6.8809880239520957</c:v>
                </c:pt>
                <c:pt idx="36" formatCode="General">
                  <c:v>-6.8955988023952095</c:v>
                </c:pt>
                <c:pt idx="37" formatCode="General">
                  <c:v>-6.911838323353293</c:v>
                </c:pt>
                <c:pt idx="38" formatCode="General">
                  <c:v>-6.930281437125748</c:v>
                </c:pt>
                <c:pt idx="39" formatCode="General">
                  <c:v>-6.9487245508982038</c:v>
                </c:pt>
                <c:pt idx="40" formatCode="General">
                  <c:v>-6.9671676646706588</c:v>
                </c:pt>
                <c:pt idx="41" formatCode="General">
                  <c:v>-6.9858502994011973</c:v>
                </c:pt>
                <c:pt idx="42" formatCode="General">
                  <c:v>-7.0052514970059878</c:v>
                </c:pt>
                <c:pt idx="43" formatCode="General">
                  <c:v>-7.0246526946107783</c:v>
                </c:pt>
                <c:pt idx="44" formatCode="General">
                  <c:v>-7.0440538922155689</c:v>
                </c:pt>
                <c:pt idx="45" formatCode="General">
                  <c:v>-7.0634550898203594</c:v>
                </c:pt>
                <c:pt idx="46" formatCode="General">
                  <c:v>-7.0828562874251499</c:v>
                </c:pt>
                <c:pt idx="47" formatCode="General">
                  <c:v>-7.1022574850299405</c:v>
                </c:pt>
                <c:pt idx="48" formatCode="General">
                  <c:v>-7.1216586826347301</c:v>
                </c:pt>
                <c:pt idx="49" formatCode="General">
                  <c:v>-7.1410598802395207</c:v>
                </c:pt>
                <c:pt idx="50" formatCode="General">
                  <c:v>-7.1602584269662923</c:v>
                </c:pt>
                <c:pt idx="51" formatCode="General">
                  <c:v>-7.1794344569288393</c:v>
                </c:pt>
                <c:pt idx="52" formatCode="General">
                  <c:v>-7.1986104868913854</c:v>
                </c:pt>
                <c:pt idx="53" formatCode="General">
                  <c:v>-7.2177865168539324</c:v>
                </c:pt>
                <c:pt idx="54" formatCode="General">
                  <c:v>-7.2369625468164793</c:v>
                </c:pt>
                <c:pt idx="55" formatCode="General">
                  <c:v>-7.2561385767790263</c:v>
                </c:pt>
                <c:pt idx="56" formatCode="General">
                  <c:v>-7.2753146067415733</c:v>
                </c:pt>
                <c:pt idx="57" formatCode="General">
                  <c:v>-7.2944906367041202</c:v>
                </c:pt>
                <c:pt idx="58" formatCode="General">
                  <c:v>-7.3136666666666663</c:v>
                </c:pt>
                <c:pt idx="59" formatCode="General">
                  <c:v>-7.3328426966292133</c:v>
                </c:pt>
                <c:pt idx="60" formatCode="General">
                  <c:v>-7.3520187265917603</c:v>
                </c:pt>
                <c:pt idx="61" formatCode="General">
                  <c:v>-7.3711947565543072</c:v>
                </c:pt>
                <c:pt idx="62" formatCode="General">
                  <c:v>-7.3903707865168542</c:v>
                </c:pt>
                <c:pt idx="63" formatCode="General">
                  <c:v>-7.4095468164794012</c:v>
                </c:pt>
                <c:pt idx="64" formatCode="General">
                  <c:v>-7.4287228464419481</c:v>
                </c:pt>
                <c:pt idx="65" formatCode="General">
                  <c:v>-7.4478988764044942</c:v>
                </c:pt>
                <c:pt idx="66" formatCode="General">
                  <c:v>-7.4668456928838953</c:v>
                </c:pt>
                <c:pt idx="67" formatCode="General">
                  <c:v>-7.484943071161049</c:v>
                </c:pt>
                <c:pt idx="68" formatCode="General">
                  <c:v>-7.5030404494382026</c:v>
                </c:pt>
                <c:pt idx="69" formatCode="General">
                  <c:v>-7.5211378277153562</c:v>
                </c:pt>
                <c:pt idx="70" formatCode="General">
                  <c:v>-7.5392352059925098</c:v>
                </c:pt>
                <c:pt idx="71" formatCode="General">
                  <c:v>-7.5573325842696626</c:v>
                </c:pt>
                <c:pt idx="72" formatCode="General">
                  <c:v>-7.5754299625468162</c:v>
                </c:pt>
                <c:pt idx="73" formatCode="General">
                  <c:v>-7.5935273408239699</c:v>
                </c:pt>
                <c:pt idx="74" formatCode="General">
                  <c:v>-7.6116247191011235</c:v>
                </c:pt>
                <c:pt idx="75" formatCode="General">
                  <c:v>-7.6297220973782771</c:v>
                </c:pt>
                <c:pt idx="76" formatCode="General">
                  <c:v>-7.6478194756554307</c:v>
                </c:pt>
                <c:pt idx="77" formatCode="General">
                  <c:v>-7.6659168539325844</c:v>
                </c:pt>
                <c:pt idx="78" formatCode="General">
                  <c:v>-7.684014232209738</c:v>
                </c:pt>
                <c:pt idx="79" formatCode="General">
                  <c:v>-7.7021116104868916</c:v>
                </c:pt>
                <c:pt idx="80" formatCode="General">
                  <c:v>-7.7202089887640444</c:v>
                </c:pt>
                <c:pt idx="81" formatCode="General">
                  <c:v>-7.738306367041198</c:v>
                </c:pt>
                <c:pt idx="82" formatCode="General">
                  <c:v>-7.7564037453183516</c:v>
                </c:pt>
                <c:pt idx="83" formatCode="General">
                  <c:v>-7.7739234234234234</c:v>
                </c:pt>
                <c:pt idx="84" formatCode="General">
                  <c:v>-7.7909204204204201</c:v>
                </c:pt>
                <c:pt idx="85" formatCode="General">
                  <c:v>-7.8079174174174168</c:v>
                </c:pt>
                <c:pt idx="86" formatCode="General">
                  <c:v>-7.8249144144144145</c:v>
                </c:pt>
                <c:pt idx="87" formatCode="General">
                  <c:v>-64.814138613861388</c:v>
                </c:pt>
                <c:pt idx="88" formatCode="General">
                  <c:v>-65.022059405940595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1EF-44BA-AAAA-9AD66152902A}"/>
            </c:ext>
          </c:extLst>
        </c:ser>
        <c:ser>
          <c:idx val="53"/>
          <c:order val="54"/>
          <c:tx>
            <c:v>temp</c:v>
          </c:tx>
          <c:marker>
            <c:symbol val="none"/>
          </c:marker>
          <c:dPt>
            <c:idx val="1"/>
            <c:bubble3D val="0"/>
            <c:spPr>
              <a:ln>
                <a:solidFill>
                  <a:schemeClr val="tx1"/>
                </a:solidFill>
              </a:ln>
            </c:spPr>
            <c:extLst>
              <c:ext xmlns:c16="http://schemas.microsoft.com/office/drawing/2014/chart" uri="{C3380CC4-5D6E-409C-BE32-E72D297353CC}">
                <c16:uniqueId val="{00000003-11EF-44BA-AAAA-9AD66152902A}"/>
              </c:ext>
            </c:extLst>
          </c:dPt>
          <c:xVal>
            <c:numRef>
              <c:f>EVALUATION!$A$98:$A$99</c:f>
              <c:numCache>
                <c:formatCode>General</c:formatCode>
                <c:ptCount val="2"/>
                <c:pt idx="0">
                  <c:v>700</c:v>
                </c:pt>
                <c:pt idx="1">
                  <c:v>700</c:v>
                </c:pt>
              </c:numCache>
            </c:numRef>
          </c:xVal>
          <c:yVal>
            <c:numRef>
              <c:f>EVALUATION!$B$98:$B$99</c:f>
              <c:numCache>
                <c:formatCode>0</c:formatCode>
                <c:ptCount val="2"/>
                <c:pt idx="0">
                  <c:v>-184.14450450450451</c:v>
                </c:pt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11EF-44BA-AAAA-9AD6615290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38785983"/>
        <c:axId val="938775583"/>
        <c:extLst>
          <c:ext xmlns:c15="http://schemas.microsoft.com/office/drawing/2012/chart" uri="{02D57815-91ED-43cb-92C2-25804820EDAC}">
            <c15:filteredScatterSeries>
              <c15:ser>
                <c:idx val="39"/>
                <c:order val="1"/>
                <c:spPr>
                  <a:ln w="19050" cap="rnd">
                    <a:solidFill>
                      <a:srgbClr val="FF0000"/>
                    </a:solidFill>
                    <a:prstDash val="sysDash"/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306</c:v>
                      </c:pt>
                      <c:pt idx="1">
                        <c:v>314</c:v>
                      </c:pt>
                      <c:pt idx="2">
                        <c:v>322</c:v>
                      </c:pt>
                      <c:pt idx="3">
                        <c:v>330</c:v>
                      </c:pt>
                      <c:pt idx="4">
                        <c:v>338</c:v>
                      </c:pt>
                      <c:pt idx="5">
                        <c:v>346</c:v>
                      </c:pt>
                      <c:pt idx="6">
                        <c:v>354</c:v>
                      </c:pt>
                      <c:pt idx="7">
                        <c:v>362</c:v>
                      </c:pt>
                      <c:pt idx="8">
                        <c:v>370</c:v>
                      </c:pt>
                      <c:pt idx="9">
                        <c:v>378</c:v>
                      </c:pt>
                      <c:pt idx="10">
                        <c:v>386</c:v>
                      </c:pt>
                      <c:pt idx="11">
                        <c:v>394</c:v>
                      </c:pt>
                      <c:pt idx="12">
                        <c:v>402</c:v>
                      </c:pt>
                      <c:pt idx="13">
                        <c:v>410</c:v>
                      </c:pt>
                      <c:pt idx="14">
                        <c:v>418</c:v>
                      </c:pt>
                      <c:pt idx="15">
                        <c:v>426</c:v>
                      </c:pt>
                      <c:pt idx="16">
                        <c:v>434</c:v>
                      </c:pt>
                      <c:pt idx="17">
                        <c:v>442</c:v>
                      </c:pt>
                      <c:pt idx="18">
                        <c:v>450</c:v>
                      </c:pt>
                      <c:pt idx="19">
                        <c:v>458</c:v>
                      </c:pt>
                      <c:pt idx="20">
                        <c:v>466</c:v>
                      </c:pt>
                      <c:pt idx="21">
                        <c:v>474</c:v>
                      </c:pt>
                      <c:pt idx="22">
                        <c:v>482</c:v>
                      </c:pt>
                      <c:pt idx="23">
                        <c:v>490</c:v>
                      </c:pt>
                      <c:pt idx="24">
                        <c:v>498</c:v>
                      </c:pt>
                      <c:pt idx="25">
                        <c:v>506</c:v>
                      </c:pt>
                      <c:pt idx="26">
                        <c:v>514</c:v>
                      </c:pt>
                      <c:pt idx="27">
                        <c:v>522</c:v>
                      </c:pt>
                      <c:pt idx="28">
                        <c:v>530</c:v>
                      </c:pt>
                      <c:pt idx="29">
                        <c:v>538</c:v>
                      </c:pt>
                      <c:pt idx="30">
                        <c:v>546</c:v>
                      </c:pt>
                      <c:pt idx="31">
                        <c:v>554</c:v>
                      </c:pt>
                      <c:pt idx="32">
                        <c:v>562</c:v>
                      </c:pt>
                      <c:pt idx="33">
                        <c:v>570</c:v>
                      </c:pt>
                      <c:pt idx="34">
                        <c:v>578</c:v>
                      </c:pt>
                      <c:pt idx="35">
                        <c:v>586</c:v>
                      </c:pt>
                      <c:pt idx="36">
                        <c:v>594</c:v>
                      </c:pt>
                      <c:pt idx="37">
                        <c:v>602</c:v>
                      </c:pt>
                      <c:pt idx="38">
                        <c:v>610</c:v>
                      </c:pt>
                      <c:pt idx="39">
                        <c:v>618</c:v>
                      </c:pt>
                      <c:pt idx="40">
                        <c:v>626</c:v>
                      </c:pt>
                      <c:pt idx="41">
                        <c:v>634</c:v>
                      </c:pt>
                      <c:pt idx="42">
                        <c:v>642</c:v>
                      </c:pt>
                      <c:pt idx="43">
                        <c:v>650</c:v>
                      </c:pt>
                      <c:pt idx="44">
                        <c:v>658</c:v>
                      </c:pt>
                      <c:pt idx="45">
                        <c:v>666</c:v>
                      </c:pt>
                      <c:pt idx="46">
                        <c:v>674</c:v>
                      </c:pt>
                      <c:pt idx="47">
                        <c:v>682</c:v>
                      </c:pt>
                      <c:pt idx="48">
                        <c:v>690</c:v>
                      </c:pt>
                      <c:pt idx="49">
                        <c:v>698</c:v>
                      </c:pt>
                      <c:pt idx="50">
                        <c:v>706</c:v>
                      </c:pt>
                      <c:pt idx="51">
                        <c:v>714</c:v>
                      </c:pt>
                      <c:pt idx="52">
                        <c:v>722</c:v>
                      </c:pt>
                      <c:pt idx="53">
                        <c:v>730</c:v>
                      </c:pt>
                      <c:pt idx="54">
                        <c:v>738</c:v>
                      </c:pt>
                      <c:pt idx="55">
                        <c:v>746</c:v>
                      </c:pt>
                      <c:pt idx="56">
                        <c:v>754</c:v>
                      </c:pt>
                      <c:pt idx="57">
                        <c:v>762</c:v>
                      </c:pt>
                      <c:pt idx="58">
                        <c:v>770</c:v>
                      </c:pt>
                      <c:pt idx="59">
                        <c:v>778</c:v>
                      </c:pt>
                      <c:pt idx="60">
                        <c:v>786</c:v>
                      </c:pt>
                      <c:pt idx="61">
                        <c:v>794</c:v>
                      </c:pt>
                      <c:pt idx="62">
                        <c:v>802</c:v>
                      </c:pt>
                      <c:pt idx="63">
                        <c:v>810</c:v>
                      </c:pt>
                      <c:pt idx="64">
                        <c:v>818</c:v>
                      </c:pt>
                      <c:pt idx="65">
                        <c:v>826</c:v>
                      </c:pt>
                      <c:pt idx="66">
                        <c:v>834</c:v>
                      </c:pt>
                      <c:pt idx="67">
                        <c:v>842</c:v>
                      </c:pt>
                      <c:pt idx="68">
                        <c:v>850</c:v>
                      </c:pt>
                      <c:pt idx="69">
                        <c:v>858</c:v>
                      </c:pt>
                      <c:pt idx="70">
                        <c:v>866</c:v>
                      </c:pt>
                      <c:pt idx="71">
                        <c:v>874</c:v>
                      </c:pt>
                      <c:pt idx="72">
                        <c:v>882</c:v>
                      </c:pt>
                      <c:pt idx="73">
                        <c:v>890</c:v>
                      </c:pt>
                      <c:pt idx="74">
                        <c:v>898</c:v>
                      </c:pt>
                      <c:pt idx="75">
                        <c:v>906</c:v>
                      </c:pt>
                      <c:pt idx="76">
                        <c:v>914</c:v>
                      </c:pt>
                      <c:pt idx="77">
                        <c:v>922</c:v>
                      </c:pt>
                      <c:pt idx="78">
                        <c:v>930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EVALUATION!$B$102:$CP$102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-15.118108108108107</c:v>
                      </c:pt>
                      <c:pt idx="1">
                        <c:v>-14.88027027027027</c:v>
                      </c:pt>
                      <c:pt idx="2">
                        <c:v>-14.642432432432432</c:v>
                      </c:pt>
                      <c:pt idx="3">
                        <c:v>-14.404594594594593</c:v>
                      </c:pt>
                      <c:pt idx="4" formatCode="General">
                        <c:v>-13.959101796407184</c:v>
                      </c:pt>
                      <c:pt idx="5" formatCode="General">
                        <c:v>-13.46568862275449</c:v>
                      </c:pt>
                      <c:pt idx="6" formatCode="General">
                        <c:v>-12.972275449101796</c:v>
                      </c:pt>
                      <c:pt idx="7" formatCode="General">
                        <c:v>-12.478862275449101</c:v>
                      </c:pt>
                      <c:pt idx="8" formatCode="General">
                        <c:v>-11.950329341317365</c:v>
                      </c:pt>
                      <c:pt idx="9" formatCode="General">
                        <c:v>-11.40182634730539</c:v>
                      </c:pt>
                      <c:pt idx="10" formatCode="General">
                        <c:v>-10.853323353293414</c:v>
                      </c:pt>
                      <c:pt idx="11" formatCode="General">
                        <c:v>-10.304820359281438</c:v>
                      </c:pt>
                      <c:pt idx="12" formatCode="General">
                        <c:v>-9.7896616766467073</c:v>
                      </c:pt>
                      <c:pt idx="13" formatCode="General">
                        <c:v>-9.3132544910179647</c:v>
                      </c:pt>
                      <c:pt idx="14" formatCode="General">
                        <c:v>-8.836847305389222</c:v>
                      </c:pt>
                      <c:pt idx="15" formatCode="General">
                        <c:v>-8.3604401197604794</c:v>
                      </c:pt>
                      <c:pt idx="16" formatCode="General">
                        <c:v>-7.9011107784431145</c:v>
                      </c:pt>
                      <c:pt idx="17" formatCode="General">
                        <c:v>-7.4841047904191624</c:v>
                      </c:pt>
                      <c:pt idx="18" formatCode="General">
                        <c:v>-7.0670988023952104</c:v>
                      </c:pt>
                      <c:pt idx="19" formatCode="General">
                        <c:v>-6.6500928143712592</c:v>
                      </c:pt>
                      <c:pt idx="20" formatCode="General">
                        <c:v>-6.2383952095808395</c:v>
                      </c:pt>
                      <c:pt idx="21" formatCode="General">
                        <c:v>-5.8685748502994022</c:v>
                      </c:pt>
                      <c:pt idx="22" formatCode="General">
                        <c:v>-5.4987544910179649</c:v>
                      </c:pt>
                      <c:pt idx="23" formatCode="General">
                        <c:v>-5.1289341317365267</c:v>
                      </c:pt>
                      <c:pt idx="24" formatCode="General">
                        <c:v>-4.7591137724550894</c:v>
                      </c:pt>
                      <c:pt idx="25" formatCode="General">
                        <c:v>-4.6019909909909904</c:v>
                      </c:pt>
                      <c:pt idx="26" formatCode="General">
                        <c:v>-4.4590480480480474</c:v>
                      </c:pt>
                      <c:pt idx="27" formatCode="General">
                        <c:v>-4.3161051051051045</c:v>
                      </c:pt>
                      <c:pt idx="28" formatCode="General">
                        <c:v>-4.1731621621621615</c:v>
                      </c:pt>
                      <c:pt idx="29" formatCode="General">
                        <c:v>-4.1562215568862273</c:v>
                      </c:pt>
                      <c:pt idx="30" formatCode="General">
                        <c:v>-4.1758622754491022</c:v>
                      </c:pt>
                      <c:pt idx="31" formatCode="General">
                        <c:v>-4.1955029940119761</c:v>
                      </c:pt>
                      <c:pt idx="32" formatCode="General">
                        <c:v>-4.2151437125748501</c:v>
                      </c:pt>
                      <c:pt idx="33" formatCode="General">
                        <c:v>-4.2348562874251492</c:v>
                      </c:pt>
                      <c:pt idx="34" formatCode="General">
                        <c:v>-4.2546167664670653</c:v>
                      </c:pt>
                      <c:pt idx="35" formatCode="General">
                        <c:v>-4.2743772455089815</c:v>
                      </c:pt>
                      <c:pt idx="36" formatCode="General">
                        <c:v>-4.2941377245508976</c:v>
                      </c:pt>
                      <c:pt idx="37" formatCode="General">
                        <c:v>-4.3138982035928146</c:v>
                      </c:pt>
                      <c:pt idx="38" formatCode="General">
                        <c:v>-4.3336586826347308</c:v>
                      </c:pt>
                      <c:pt idx="39" formatCode="General">
                        <c:v>-4.3534191616766469</c:v>
                      </c:pt>
                      <c:pt idx="40" formatCode="General">
                        <c:v>-4.373179640718563</c:v>
                      </c:pt>
                      <c:pt idx="41" formatCode="General">
                        <c:v>-4.3929401197604792</c:v>
                      </c:pt>
                      <c:pt idx="42" formatCode="General">
                        <c:v>-4.4127005988023953</c:v>
                      </c:pt>
                      <c:pt idx="43" formatCode="General">
                        <c:v>-4.4324610778443114</c:v>
                      </c:pt>
                      <c:pt idx="44" formatCode="General">
                        <c:v>-4.4522215568862276</c:v>
                      </c:pt>
                      <c:pt idx="45" formatCode="General">
                        <c:v>-4.4719820359281437</c:v>
                      </c:pt>
                      <c:pt idx="46" formatCode="General">
                        <c:v>-4.4917425149700598</c:v>
                      </c:pt>
                      <c:pt idx="47" formatCode="General">
                        <c:v>-4.511502994011976</c:v>
                      </c:pt>
                      <c:pt idx="48" formatCode="General">
                        <c:v>-4.5312634730538921</c:v>
                      </c:pt>
                      <c:pt idx="49" formatCode="General">
                        <c:v>-4.5510239520958082</c:v>
                      </c:pt>
                      <c:pt idx="50" formatCode="General">
                        <c:v>-4.5702584269662925</c:v>
                      </c:pt>
                      <c:pt idx="51" formatCode="General">
                        <c:v>-4.5894344569288394</c:v>
                      </c:pt>
                      <c:pt idx="52" formatCode="General">
                        <c:v>-4.6086104868913855</c:v>
                      </c:pt>
                      <c:pt idx="53" formatCode="General">
                        <c:v>-4.6277865168539325</c:v>
                      </c:pt>
                      <c:pt idx="54" formatCode="General">
                        <c:v>-4.6469625468164795</c:v>
                      </c:pt>
                      <c:pt idx="55" formatCode="General">
                        <c:v>-4.6661385767790264</c:v>
                      </c:pt>
                      <c:pt idx="56" formatCode="General">
                        <c:v>-4.6853146067415734</c:v>
                      </c:pt>
                      <c:pt idx="57" formatCode="General">
                        <c:v>-4.7044906367041204</c:v>
                      </c:pt>
                      <c:pt idx="58" formatCode="General">
                        <c:v>-4.7236666666666665</c:v>
                      </c:pt>
                      <c:pt idx="59" formatCode="General">
                        <c:v>-4.7428426966292134</c:v>
                      </c:pt>
                      <c:pt idx="60" formatCode="General">
                        <c:v>-4.7620187265917604</c:v>
                      </c:pt>
                      <c:pt idx="61" formatCode="General">
                        <c:v>-4.7811947565543074</c:v>
                      </c:pt>
                      <c:pt idx="62" formatCode="General">
                        <c:v>-4.8003707865168543</c:v>
                      </c:pt>
                      <c:pt idx="63" formatCode="General">
                        <c:v>-4.8195468164794013</c:v>
                      </c:pt>
                      <c:pt idx="64" formatCode="General">
                        <c:v>-4.8387228464419483</c:v>
                      </c:pt>
                      <c:pt idx="65" formatCode="General">
                        <c:v>-4.8578988764044944</c:v>
                      </c:pt>
                      <c:pt idx="66" formatCode="General">
                        <c:v>-4.8768456928838955</c:v>
                      </c:pt>
                      <c:pt idx="67" formatCode="General">
                        <c:v>-4.8949430711610491</c:v>
                      </c:pt>
                      <c:pt idx="68" formatCode="General">
                        <c:v>-4.9130404494382027</c:v>
                      </c:pt>
                      <c:pt idx="69" formatCode="General">
                        <c:v>-4.9311378277153564</c:v>
                      </c:pt>
                      <c:pt idx="70" formatCode="General">
                        <c:v>-4.94923520599251</c:v>
                      </c:pt>
                      <c:pt idx="71" formatCode="General">
                        <c:v>-4.9673325842696627</c:v>
                      </c:pt>
                      <c:pt idx="72" formatCode="General">
                        <c:v>-4.9854299625468164</c:v>
                      </c:pt>
                      <c:pt idx="73" formatCode="General">
                        <c:v>-5.00352734082397</c:v>
                      </c:pt>
                      <c:pt idx="74" formatCode="General">
                        <c:v>-5.0216247191011236</c:v>
                      </c:pt>
                      <c:pt idx="75" formatCode="General">
                        <c:v>-5.0397220973782773</c:v>
                      </c:pt>
                      <c:pt idx="76" formatCode="General">
                        <c:v>-5.0578194756554309</c:v>
                      </c:pt>
                      <c:pt idx="77" formatCode="General">
                        <c:v>-5.0759168539325845</c:v>
                      </c:pt>
                      <c:pt idx="78" formatCode="General">
                        <c:v>-5.0940142322097381</c:v>
                      </c:pt>
                      <c:pt idx="79" formatCode="General">
                        <c:v>-5.1121116104868918</c:v>
                      </c:pt>
                      <c:pt idx="80" formatCode="General">
                        <c:v>-5.1302089887640445</c:v>
                      </c:pt>
                      <c:pt idx="81" formatCode="General">
                        <c:v>-5.1483063670411982</c:v>
                      </c:pt>
                      <c:pt idx="82" formatCode="General">
                        <c:v>-5.1664037453183518</c:v>
                      </c:pt>
                      <c:pt idx="83" formatCode="General">
                        <c:v>-5.1840538922155686</c:v>
                      </c:pt>
                      <c:pt idx="84" formatCode="General">
                        <c:v>-5.2012994011976046</c:v>
                      </c:pt>
                      <c:pt idx="85" formatCode="General">
                        <c:v>-5.2185449101796406</c:v>
                      </c:pt>
                      <c:pt idx="86" formatCode="General">
                        <c:v>-5.2357904191616766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5-11EF-44BA-AAAA-9AD66152902A}"/>
                  </c:ext>
                </c:extLst>
              </c15:ser>
            </c15:filteredScatterSeries>
            <c15:filteredScatterSeries>
              <c15:ser>
                <c:idx val="54"/>
                <c:order val="2"/>
                <c:spPr>
                  <a:ln w="19050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none"/>
                </c:marker>
                <c:dPt>
                  <c:idx val="1"/>
                  <c:bubble3D val="0"/>
                  <c:spPr>
                    <a:ln w="19050" cap="rnd">
                      <a:solidFill>
                        <a:schemeClr val="tx1"/>
                      </a:solidFill>
                      <a:round/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07-11EF-44BA-AAAA-9AD66152902A}"/>
                    </c:ext>
                  </c:extLst>
                </c:dPt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306</c:v>
                      </c:pt>
                      <c:pt idx="1">
                        <c:v>314</c:v>
                      </c:pt>
                      <c:pt idx="2">
                        <c:v>322</c:v>
                      </c:pt>
                      <c:pt idx="3">
                        <c:v>330</c:v>
                      </c:pt>
                      <c:pt idx="4">
                        <c:v>338</c:v>
                      </c:pt>
                      <c:pt idx="5">
                        <c:v>346</c:v>
                      </c:pt>
                      <c:pt idx="6">
                        <c:v>354</c:v>
                      </c:pt>
                      <c:pt idx="7">
                        <c:v>362</c:v>
                      </c:pt>
                      <c:pt idx="8">
                        <c:v>370</c:v>
                      </c:pt>
                      <c:pt idx="9">
                        <c:v>378</c:v>
                      </c:pt>
                      <c:pt idx="10">
                        <c:v>386</c:v>
                      </c:pt>
                      <c:pt idx="11">
                        <c:v>394</c:v>
                      </c:pt>
                      <c:pt idx="12">
                        <c:v>402</c:v>
                      </c:pt>
                      <c:pt idx="13">
                        <c:v>410</c:v>
                      </c:pt>
                      <c:pt idx="14">
                        <c:v>418</c:v>
                      </c:pt>
                      <c:pt idx="15">
                        <c:v>426</c:v>
                      </c:pt>
                      <c:pt idx="16">
                        <c:v>434</c:v>
                      </c:pt>
                      <c:pt idx="17">
                        <c:v>442</c:v>
                      </c:pt>
                      <c:pt idx="18">
                        <c:v>450</c:v>
                      </c:pt>
                      <c:pt idx="19">
                        <c:v>458</c:v>
                      </c:pt>
                      <c:pt idx="20">
                        <c:v>466</c:v>
                      </c:pt>
                      <c:pt idx="21">
                        <c:v>474</c:v>
                      </c:pt>
                      <c:pt idx="22">
                        <c:v>482</c:v>
                      </c:pt>
                      <c:pt idx="23">
                        <c:v>490</c:v>
                      </c:pt>
                      <c:pt idx="24">
                        <c:v>498</c:v>
                      </c:pt>
                      <c:pt idx="25">
                        <c:v>506</c:v>
                      </c:pt>
                      <c:pt idx="26">
                        <c:v>514</c:v>
                      </c:pt>
                      <c:pt idx="27">
                        <c:v>522</c:v>
                      </c:pt>
                      <c:pt idx="28">
                        <c:v>530</c:v>
                      </c:pt>
                      <c:pt idx="29">
                        <c:v>538</c:v>
                      </c:pt>
                      <c:pt idx="30">
                        <c:v>546</c:v>
                      </c:pt>
                      <c:pt idx="31">
                        <c:v>554</c:v>
                      </c:pt>
                      <c:pt idx="32">
                        <c:v>562</c:v>
                      </c:pt>
                      <c:pt idx="33">
                        <c:v>570</c:v>
                      </c:pt>
                      <c:pt idx="34">
                        <c:v>578</c:v>
                      </c:pt>
                      <c:pt idx="35">
                        <c:v>586</c:v>
                      </c:pt>
                      <c:pt idx="36">
                        <c:v>594</c:v>
                      </c:pt>
                      <c:pt idx="37">
                        <c:v>602</c:v>
                      </c:pt>
                      <c:pt idx="38">
                        <c:v>610</c:v>
                      </c:pt>
                      <c:pt idx="39">
                        <c:v>618</c:v>
                      </c:pt>
                      <c:pt idx="40">
                        <c:v>626</c:v>
                      </c:pt>
                      <c:pt idx="41">
                        <c:v>634</c:v>
                      </c:pt>
                      <c:pt idx="42">
                        <c:v>642</c:v>
                      </c:pt>
                      <c:pt idx="43">
                        <c:v>650</c:v>
                      </c:pt>
                      <c:pt idx="44">
                        <c:v>658</c:v>
                      </c:pt>
                      <c:pt idx="45">
                        <c:v>666</c:v>
                      </c:pt>
                      <c:pt idx="46">
                        <c:v>674</c:v>
                      </c:pt>
                      <c:pt idx="47">
                        <c:v>682</c:v>
                      </c:pt>
                      <c:pt idx="48">
                        <c:v>690</c:v>
                      </c:pt>
                      <c:pt idx="49">
                        <c:v>698</c:v>
                      </c:pt>
                      <c:pt idx="50">
                        <c:v>706</c:v>
                      </c:pt>
                      <c:pt idx="51">
                        <c:v>714</c:v>
                      </c:pt>
                      <c:pt idx="52">
                        <c:v>722</c:v>
                      </c:pt>
                      <c:pt idx="53">
                        <c:v>730</c:v>
                      </c:pt>
                      <c:pt idx="54">
                        <c:v>738</c:v>
                      </c:pt>
                      <c:pt idx="55">
                        <c:v>746</c:v>
                      </c:pt>
                      <c:pt idx="56">
                        <c:v>754</c:v>
                      </c:pt>
                      <c:pt idx="57">
                        <c:v>762</c:v>
                      </c:pt>
                      <c:pt idx="58">
                        <c:v>770</c:v>
                      </c:pt>
                      <c:pt idx="59">
                        <c:v>778</c:v>
                      </c:pt>
                      <c:pt idx="60">
                        <c:v>786</c:v>
                      </c:pt>
                      <c:pt idx="61">
                        <c:v>794</c:v>
                      </c:pt>
                      <c:pt idx="62">
                        <c:v>802</c:v>
                      </c:pt>
                      <c:pt idx="63">
                        <c:v>810</c:v>
                      </c:pt>
                      <c:pt idx="64">
                        <c:v>818</c:v>
                      </c:pt>
                      <c:pt idx="65">
                        <c:v>826</c:v>
                      </c:pt>
                      <c:pt idx="66">
                        <c:v>834</c:v>
                      </c:pt>
                      <c:pt idx="67">
                        <c:v>842</c:v>
                      </c:pt>
                      <c:pt idx="68">
                        <c:v>850</c:v>
                      </c:pt>
                      <c:pt idx="69">
                        <c:v>858</c:v>
                      </c:pt>
                      <c:pt idx="70">
                        <c:v>866</c:v>
                      </c:pt>
                      <c:pt idx="71">
                        <c:v>874</c:v>
                      </c:pt>
                      <c:pt idx="72">
                        <c:v>882</c:v>
                      </c:pt>
                      <c:pt idx="73">
                        <c:v>890</c:v>
                      </c:pt>
                      <c:pt idx="74">
                        <c:v>898</c:v>
                      </c:pt>
                      <c:pt idx="75">
                        <c:v>906</c:v>
                      </c:pt>
                      <c:pt idx="76">
                        <c:v>914</c:v>
                      </c:pt>
                      <c:pt idx="77">
                        <c:v>922</c:v>
                      </c:pt>
                      <c:pt idx="78">
                        <c:v>930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EVALUATION!$B$103:$CP$103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-36.591171171171169</c:v>
                      </c:pt>
                      <c:pt idx="1">
                        <c:v>-35.925705705705703</c:v>
                      </c:pt>
                      <c:pt idx="2">
                        <c:v>-35.260240240240236</c:v>
                      </c:pt>
                      <c:pt idx="3">
                        <c:v>-34.594774774774777</c:v>
                      </c:pt>
                      <c:pt idx="4" formatCode="General">
                        <c:v>-34.041856287425148</c:v>
                      </c:pt>
                      <c:pt idx="5" formatCode="General">
                        <c:v>-33.514910179640715</c:v>
                      </c:pt>
                      <c:pt idx="6" formatCode="General">
                        <c:v>-32.987964071856283</c:v>
                      </c:pt>
                      <c:pt idx="7" formatCode="General">
                        <c:v>-32.46101796407185</c:v>
                      </c:pt>
                      <c:pt idx="8" formatCode="General">
                        <c:v>-31.996676646706582</c:v>
                      </c:pt>
                      <c:pt idx="9" formatCode="General">
                        <c:v>-31.567934131736521</c:v>
                      </c:pt>
                      <c:pt idx="10" formatCode="General">
                        <c:v>-31.139191616766464</c:v>
                      </c:pt>
                      <c:pt idx="11" formatCode="General">
                        <c:v>-30.710449101796403</c:v>
                      </c:pt>
                      <c:pt idx="12" formatCode="General">
                        <c:v>-30.316158682634729</c:v>
                      </c:pt>
                      <c:pt idx="13" formatCode="General">
                        <c:v>-29.961907185628743</c:v>
                      </c:pt>
                      <c:pt idx="14" formatCode="General">
                        <c:v>-29.607655688622753</c:v>
                      </c:pt>
                      <c:pt idx="15" formatCode="General">
                        <c:v>-29.253404191616767</c:v>
                      </c:pt>
                      <c:pt idx="16" formatCode="General">
                        <c:v>-28.916230538922157</c:v>
                      </c:pt>
                      <c:pt idx="17" formatCode="General">
                        <c:v>-28.62138023952096</c:v>
                      </c:pt>
                      <c:pt idx="18" formatCode="General">
                        <c:v>-28.326529940119762</c:v>
                      </c:pt>
                      <c:pt idx="19" formatCode="General">
                        <c:v>-28.031679640718565</c:v>
                      </c:pt>
                      <c:pt idx="20" formatCode="General">
                        <c:v>-27.742407185628743</c:v>
                      </c:pt>
                      <c:pt idx="21" formatCode="General">
                        <c:v>-27.4971377245509</c:v>
                      </c:pt>
                      <c:pt idx="22" formatCode="General">
                        <c:v>-27.251868263473057</c:v>
                      </c:pt>
                      <c:pt idx="23" formatCode="General">
                        <c:v>-27.00659880239521</c:v>
                      </c:pt>
                      <c:pt idx="24" formatCode="General">
                        <c:v>-26.761329341317367</c:v>
                      </c:pt>
                      <c:pt idx="25" formatCode="General">
                        <c:v>-26.724603603603605</c:v>
                      </c:pt>
                      <c:pt idx="26" formatCode="General">
                        <c:v>-26.701780780780783</c:v>
                      </c:pt>
                      <c:pt idx="27" formatCode="General">
                        <c:v>-26.678957957957962</c:v>
                      </c:pt>
                      <c:pt idx="28" formatCode="General">
                        <c:v>-26.656135135135138</c:v>
                      </c:pt>
                      <c:pt idx="29" formatCode="General">
                        <c:v>-26.760892215568866</c:v>
                      </c:pt>
                      <c:pt idx="30" formatCode="General">
                        <c:v>-26.902688622754493</c:v>
                      </c:pt>
                      <c:pt idx="31" formatCode="General">
                        <c:v>-27.04448502994012</c:v>
                      </c:pt>
                      <c:pt idx="32" formatCode="General">
                        <c:v>-27.186281437125746</c:v>
                      </c:pt>
                      <c:pt idx="33" formatCode="General">
                        <c:v>-27.324556886227544</c:v>
                      </c:pt>
                      <c:pt idx="34" formatCode="General">
                        <c:v>-27.460485029940116</c:v>
                      </c:pt>
                      <c:pt idx="35" formatCode="General">
                        <c:v>-27.596413173652692</c:v>
                      </c:pt>
                      <c:pt idx="36" formatCode="General">
                        <c:v>-27.732341317365268</c:v>
                      </c:pt>
                      <c:pt idx="37" formatCode="General">
                        <c:v>-27.868269461077844</c:v>
                      </c:pt>
                      <c:pt idx="38" formatCode="General">
                        <c:v>-28.00419760479042</c:v>
                      </c:pt>
                      <c:pt idx="39" formatCode="General">
                        <c:v>-28.140125748502992</c:v>
                      </c:pt>
                      <c:pt idx="40" formatCode="General">
                        <c:v>-28.276053892215568</c:v>
                      </c:pt>
                      <c:pt idx="41" formatCode="General">
                        <c:v>-28.411982035928144</c:v>
                      </c:pt>
                      <c:pt idx="42" formatCode="General">
                        <c:v>-28.54791017964072</c:v>
                      </c:pt>
                      <c:pt idx="43" formatCode="General">
                        <c:v>-28.683838323353296</c:v>
                      </c:pt>
                      <c:pt idx="44" formatCode="General">
                        <c:v>-28.819766467065868</c:v>
                      </c:pt>
                      <c:pt idx="45" formatCode="General">
                        <c:v>-28.955694610778444</c:v>
                      </c:pt>
                      <c:pt idx="46" formatCode="General">
                        <c:v>-29.09162275449102</c:v>
                      </c:pt>
                      <c:pt idx="47" formatCode="General">
                        <c:v>-29.227550898203596</c:v>
                      </c:pt>
                      <c:pt idx="48" formatCode="General">
                        <c:v>-29.363479041916172</c:v>
                      </c:pt>
                      <c:pt idx="49" formatCode="General">
                        <c:v>-29.499407185628744</c:v>
                      </c:pt>
                      <c:pt idx="50" formatCode="General">
                        <c:v>-29.627876404494383</c:v>
                      </c:pt>
                      <c:pt idx="51" formatCode="General">
                        <c:v>-29.755516853932587</c:v>
                      </c:pt>
                      <c:pt idx="52" formatCode="General">
                        <c:v>-29.88315730337079</c:v>
                      </c:pt>
                      <c:pt idx="53" formatCode="General">
                        <c:v>-30.01079775280899</c:v>
                      </c:pt>
                      <c:pt idx="54" formatCode="General">
                        <c:v>-30.138438202247194</c:v>
                      </c:pt>
                      <c:pt idx="55" formatCode="General">
                        <c:v>-30.266078651685394</c:v>
                      </c:pt>
                      <c:pt idx="56" formatCode="General">
                        <c:v>-30.393719101123597</c:v>
                      </c:pt>
                      <c:pt idx="57" formatCode="General">
                        <c:v>-30.521359550561801</c:v>
                      </c:pt>
                      <c:pt idx="58" formatCode="General">
                        <c:v>-30.649000000000001</c:v>
                      </c:pt>
                      <c:pt idx="59" formatCode="General">
                        <c:v>-30.776640449438204</c:v>
                      </c:pt>
                      <c:pt idx="60" formatCode="General">
                        <c:v>-30.904280898876408</c:v>
                      </c:pt>
                      <c:pt idx="61" formatCode="General">
                        <c:v>-31.031921348314608</c:v>
                      </c:pt>
                      <c:pt idx="62" formatCode="General">
                        <c:v>-31.159561797752811</c:v>
                      </c:pt>
                      <c:pt idx="63" formatCode="General">
                        <c:v>-31.287202247191011</c:v>
                      </c:pt>
                      <c:pt idx="64" formatCode="General">
                        <c:v>-31.414842696629215</c:v>
                      </c:pt>
                      <c:pt idx="65" formatCode="General">
                        <c:v>-31.542483146067418</c:v>
                      </c:pt>
                      <c:pt idx="66" formatCode="General">
                        <c:v>-31.668748314606741</c:v>
                      </c:pt>
                      <c:pt idx="67" formatCode="General">
                        <c:v>-31.789916853932585</c:v>
                      </c:pt>
                      <c:pt idx="68" formatCode="General">
                        <c:v>-31.911085393258428</c:v>
                      </c:pt>
                      <c:pt idx="69" formatCode="General">
                        <c:v>-32.032253932584268</c:v>
                      </c:pt>
                      <c:pt idx="70" formatCode="General">
                        <c:v>-32.153422471910112</c:v>
                      </c:pt>
                      <c:pt idx="71" formatCode="General">
                        <c:v>-32.274591011235955</c:v>
                      </c:pt>
                      <c:pt idx="72" formatCode="General">
                        <c:v>-32.395759550561799</c:v>
                      </c:pt>
                      <c:pt idx="73" formatCode="General">
                        <c:v>-32.516928089887642</c:v>
                      </c:pt>
                      <c:pt idx="74" formatCode="General">
                        <c:v>-32.638096629213486</c:v>
                      </c:pt>
                      <c:pt idx="75" formatCode="General">
                        <c:v>-32.759265168539329</c:v>
                      </c:pt>
                      <c:pt idx="76" formatCode="General">
                        <c:v>-32.880433707865166</c:v>
                      </c:pt>
                      <c:pt idx="77" formatCode="General">
                        <c:v>-33.001602247191009</c:v>
                      </c:pt>
                      <c:pt idx="78" formatCode="General">
                        <c:v>-33.122770786516853</c:v>
                      </c:pt>
                      <c:pt idx="79" formatCode="General">
                        <c:v>-33.243939325842696</c:v>
                      </c:pt>
                      <c:pt idx="80" formatCode="General">
                        <c:v>-33.36510786516854</c:v>
                      </c:pt>
                      <c:pt idx="81" formatCode="General">
                        <c:v>-33.486276404494383</c:v>
                      </c:pt>
                      <c:pt idx="82" formatCode="General">
                        <c:v>-33.607444943820227</c:v>
                      </c:pt>
                      <c:pt idx="83" formatCode="General">
                        <c:v>-33.725610778443112</c:v>
                      </c:pt>
                      <c:pt idx="84" formatCode="General">
                        <c:v>-33.84105988023952</c:v>
                      </c:pt>
                      <c:pt idx="85" formatCode="General">
                        <c:v>-33.956508982035928</c:v>
                      </c:pt>
                      <c:pt idx="86" formatCode="General">
                        <c:v>-34.071958083832335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11EF-44BA-AAAA-9AD66152902A}"/>
                  </c:ext>
                </c:extLst>
              </c15:ser>
            </c15:filteredScatterSeries>
            <c15:filteredScatterSeries>
              <c15:ser>
                <c:idx val="1"/>
                <c:order val="3"/>
                <c:spPr>
                  <a:ln>
                    <a:solidFill>
                      <a:srgbClr val="FF0000"/>
                    </a:solidFill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306</c:v>
                      </c:pt>
                      <c:pt idx="1">
                        <c:v>314</c:v>
                      </c:pt>
                      <c:pt idx="2">
                        <c:v>322</c:v>
                      </c:pt>
                      <c:pt idx="3">
                        <c:v>330</c:v>
                      </c:pt>
                      <c:pt idx="4">
                        <c:v>338</c:v>
                      </c:pt>
                      <c:pt idx="5">
                        <c:v>346</c:v>
                      </c:pt>
                      <c:pt idx="6">
                        <c:v>354</c:v>
                      </c:pt>
                      <c:pt idx="7">
                        <c:v>362</c:v>
                      </c:pt>
                      <c:pt idx="8">
                        <c:v>370</c:v>
                      </c:pt>
                      <c:pt idx="9">
                        <c:v>378</c:v>
                      </c:pt>
                      <c:pt idx="10">
                        <c:v>386</c:v>
                      </c:pt>
                      <c:pt idx="11">
                        <c:v>394</c:v>
                      </c:pt>
                      <c:pt idx="12">
                        <c:v>402</c:v>
                      </c:pt>
                      <c:pt idx="13">
                        <c:v>410</c:v>
                      </c:pt>
                      <c:pt idx="14">
                        <c:v>418</c:v>
                      </c:pt>
                      <c:pt idx="15">
                        <c:v>426</c:v>
                      </c:pt>
                      <c:pt idx="16">
                        <c:v>434</c:v>
                      </c:pt>
                      <c:pt idx="17">
                        <c:v>442</c:v>
                      </c:pt>
                      <c:pt idx="18">
                        <c:v>450</c:v>
                      </c:pt>
                      <c:pt idx="19">
                        <c:v>458</c:v>
                      </c:pt>
                      <c:pt idx="20">
                        <c:v>466</c:v>
                      </c:pt>
                      <c:pt idx="21">
                        <c:v>474</c:v>
                      </c:pt>
                      <c:pt idx="22">
                        <c:v>482</c:v>
                      </c:pt>
                      <c:pt idx="23">
                        <c:v>490</c:v>
                      </c:pt>
                      <c:pt idx="24">
                        <c:v>498</c:v>
                      </c:pt>
                      <c:pt idx="25">
                        <c:v>506</c:v>
                      </c:pt>
                      <c:pt idx="26">
                        <c:v>514</c:v>
                      </c:pt>
                      <c:pt idx="27">
                        <c:v>522</c:v>
                      </c:pt>
                      <c:pt idx="28">
                        <c:v>530</c:v>
                      </c:pt>
                      <c:pt idx="29">
                        <c:v>538</c:v>
                      </c:pt>
                      <c:pt idx="30">
                        <c:v>546</c:v>
                      </c:pt>
                      <c:pt idx="31">
                        <c:v>554</c:v>
                      </c:pt>
                      <c:pt idx="32">
                        <c:v>562</c:v>
                      </c:pt>
                      <c:pt idx="33">
                        <c:v>570</c:v>
                      </c:pt>
                      <c:pt idx="34">
                        <c:v>578</c:v>
                      </c:pt>
                      <c:pt idx="35">
                        <c:v>586</c:v>
                      </c:pt>
                      <c:pt idx="36">
                        <c:v>594</c:v>
                      </c:pt>
                      <c:pt idx="37">
                        <c:v>602</c:v>
                      </c:pt>
                      <c:pt idx="38">
                        <c:v>610</c:v>
                      </c:pt>
                      <c:pt idx="39">
                        <c:v>618</c:v>
                      </c:pt>
                      <c:pt idx="40">
                        <c:v>626</c:v>
                      </c:pt>
                      <c:pt idx="41">
                        <c:v>634</c:v>
                      </c:pt>
                      <c:pt idx="42">
                        <c:v>642</c:v>
                      </c:pt>
                      <c:pt idx="43">
                        <c:v>650</c:v>
                      </c:pt>
                      <c:pt idx="44">
                        <c:v>658</c:v>
                      </c:pt>
                      <c:pt idx="45">
                        <c:v>666</c:v>
                      </c:pt>
                      <c:pt idx="46">
                        <c:v>674</c:v>
                      </c:pt>
                      <c:pt idx="47">
                        <c:v>682</c:v>
                      </c:pt>
                      <c:pt idx="48">
                        <c:v>690</c:v>
                      </c:pt>
                      <c:pt idx="49">
                        <c:v>698</c:v>
                      </c:pt>
                      <c:pt idx="50">
                        <c:v>706</c:v>
                      </c:pt>
                      <c:pt idx="51">
                        <c:v>714</c:v>
                      </c:pt>
                      <c:pt idx="52">
                        <c:v>722</c:v>
                      </c:pt>
                      <c:pt idx="53">
                        <c:v>730</c:v>
                      </c:pt>
                      <c:pt idx="54">
                        <c:v>738</c:v>
                      </c:pt>
                      <c:pt idx="55">
                        <c:v>746</c:v>
                      </c:pt>
                      <c:pt idx="56">
                        <c:v>754</c:v>
                      </c:pt>
                      <c:pt idx="57">
                        <c:v>762</c:v>
                      </c:pt>
                      <c:pt idx="58">
                        <c:v>770</c:v>
                      </c:pt>
                      <c:pt idx="59">
                        <c:v>778</c:v>
                      </c:pt>
                      <c:pt idx="60">
                        <c:v>786</c:v>
                      </c:pt>
                      <c:pt idx="61">
                        <c:v>794</c:v>
                      </c:pt>
                      <c:pt idx="62">
                        <c:v>802</c:v>
                      </c:pt>
                      <c:pt idx="63">
                        <c:v>810</c:v>
                      </c:pt>
                      <c:pt idx="64">
                        <c:v>818</c:v>
                      </c:pt>
                      <c:pt idx="65">
                        <c:v>826</c:v>
                      </c:pt>
                      <c:pt idx="66">
                        <c:v>834</c:v>
                      </c:pt>
                      <c:pt idx="67">
                        <c:v>842</c:v>
                      </c:pt>
                      <c:pt idx="68">
                        <c:v>850</c:v>
                      </c:pt>
                      <c:pt idx="69">
                        <c:v>858</c:v>
                      </c:pt>
                      <c:pt idx="70">
                        <c:v>866</c:v>
                      </c:pt>
                      <c:pt idx="71">
                        <c:v>874</c:v>
                      </c:pt>
                      <c:pt idx="72">
                        <c:v>882</c:v>
                      </c:pt>
                      <c:pt idx="73">
                        <c:v>890</c:v>
                      </c:pt>
                      <c:pt idx="74">
                        <c:v>898</c:v>
                      </c:pt>
                      <c:pt idx="75">
                        <c:v>906</c:v>
                      </c:pt>
                      <c:pt idx="76">
                        <c:v>914</c:v>
                      </c:pt>
                      <c:pt idx="77">
                        <c:v>922</c:v>
                      </c:pt>
                      <c:pt idx="78">
                        <c:v>930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EVALUATION!$B$104:$CP$104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-59.678288288288286</c:v>
                      </c:pt>
                      <c:pt idx="1">
                        <c:v>-58.332942942942942</c:v>
                      </c:pt>
                      <c:pt idx="2">
                        <c:v>-56.987597597597599</c:v>
                      </c:pt>
                      <c:pt idx="3">
                        <c:v>-55.642252252252256</c:v>
                      </c:pt>
                      <c:pt idx="4" formatCode="General">
                        <c:v>-54.130868263473054</c:v>
                      </c:pt>
                      <c:pt idx="5" formatCode="General">
                        <c:v>-52.581167664670659</c:v>
                      </c:pt>
                      <c:pt idx="6" formatCode="General">
                        <c:v>-51.031467065868263</c:v>
                      </c:pt>
                      <c:pt idx="7" formatCode="General">
                        <c:v>-49.481766467065867</c:v>
                      </c:pt>
                      <c:pt idx="8" formatCode="General">
                        <c:v>-47.964131736526944</c:v>
                      </c:pt>
                      <c:pt idx="9" formatCode="General">
                        <c:v>-46.464730538922154</c:v>
                      </c:pt>
                      <c:pt idx="10" formatCode="General">
                        <c:v>-44.965329341317364</c:v>
                      </c:pt>
                      <c:pt idx="11" formatCode="General">
                        <c:v>-43.465928143712574</c:v>
                      </c:pt>
                      <c:pt idx="12" formatCode="General">
                        <c:v>-42.064011976047901</c:v>
                      </c:pt>
                      <c:pt idx="13" formatCode="General">
                        <c:v>-40.775389221556885</c:v>
                      </c:pt>
                      <c:pt idx="14" formatCode="General">
                        <c:v>-39.48676646706587</c:v>
                      </c:pt>
                      <c:pt idx="15" formatCode="General">
                        <c:v>-38.198143712574847</c:v>
                      </c:pt>
                      <c:pt idx="16" formatCode="General">
                        <c:v>-36.957724550898206</c:v>
                      </c:pt>
                      <c:pt idx="17" formatCode="General">
                        <c:v>-35.836766467065871</c:v>
                      </c:pt>
                      <c:pt idx="18" formatCode="General">
                        <c:v>-34.715808383233536</c:v>
                      </c:pt>
                      <c:pt idx="19" formatCode="General">
                        <c:v>-33.594850299401202</c:v>
                      </c:pt>
                      <c:pt idx="20" formatCode="General">
                        <c:v>-32.488982035928146</c:v>
                      </c:pt>
                      <c:pt idx="21" formatCode="General">
                        <c:v>-31.502155688622757</c:v>
                      </c:pt>
                      <c:pt idx="22" formatCode="General">
                        <c:v>-30.515329341317369</c:v>
                      </c:pt>
                      <c:pt idx="23" formatCode="General">
                        <c:v>-29.528502994011976</c:v>
                      </c:pt>
                      <c:pt idx="24" formatCode="General">
                        <c:v>-28.541676646706588</c:v>
                      </c:pt>
                      <c:pt idx="25" formatCode="General">
                        <c:v>-27.788558558558559</c:v>
                      </c:pt>
                      <c:pt idx="26" formatCode="General">
                        <c:v>-27.051021021021018</c:v>
                      </c:pt>
                      <c:pt idx="27" formatCode="General">
                        <c:v>-26.313483483483481</c:v>
                      </c:pt>
                      <c:pt idx="28" formatCode="General">
                        <c:v>-25.575945945945943</c:v>
                      </c:pt>
                      <c:pt idx="29" formatCode="General">
                        <c:v>-25.655029940119761</c:v>
                      </c:pt>
                      <c:pt idx="30" formatCode="General">
                        <c:v>-25.971197604790419</c:v>
                      </c:pt>
                      <c:pt idx="31" formatCode="General">
                        <c:v>-26.287365269461077</c:v>
                      </c:pt>
                      <c:pt idx="32" formatCode="General">
                        <c:v>-26.603532934131735</c:v>
                      </c:pt>
                      <c:pt idx="33" formatCode="General">
                        <c:v>-26.911437125748503</c:v>
                      </c:pt>
                      <c:pt idx="34" formatCode="General">
                        <c:v>-27.213832335329339</c:v>
                      </c:pt>
                      <c:pt idx="35" formatCode="General">
                        <c:v>-27.51622754491018</c:v>
                      </c:pt>
                      <c:pt idx="36" formatCode="General">
                        <c:v>-27.818622754491017</c:v>
                      </c:pt>
                      <c:pt idx="37" formatCode="General">
                        <c:v>-28.121017964071857</c:v>
                      </c:pt>
                      <c:pt idx="38" formatCode="General">
                        <c:v>-28.423413173652694</c:v>
                      </c:pt>
                      <c:pt idx="39" formatCode="General">
                        <c:v>-28.725808383233534</c:v>
                      </c:pt>
                      <c:pt idx="40" formatCode="General">
                        <c:v>-29.028203592814371</c:v>
                      </c:pt>
                      <c:pt idx="41" formatCode="General">
                        <c:v>-29.330598802395212</c:v>
                      </c:pt>
                      <c:pt idx="42" formatCode="General">
                        <c:v>-29.632994011976049</c:v>
                      </c:pt>
                      <c:pt idx="43" formatCode="General">
                        <c:v>-29.935389221556889</c:v>
                      </c:pt>
                      <c:pt idx="44" formatCode="General">
                        <c:v>-30.237784431137726</c:v>
                      </c:pt>
                      <c:pt idx="45" formatCode="General">
                        <c:v>-30.540179640718566</c:v>
                      </c:pt>
                      <c:pt idx="46" formatCode="General">
                        <c:v>-30.842574850299403</c:v>
                      </c:pt>
                      <c:pt idx="47" formatCode="General">
                        <c:v>-31.144970059880244</c:v>
                      </c:pt>
                      <c:pt idx="48" formatCode="General">
                        <c:v>-31.447365269461081</c:v>
                      </c:pt>
                      <c:pt idx="49" formatCode="General">
                        <c:v>-31.749760479041917</c:v>
                      </c:pt>
                      <c:pt idx="50" formatCode="General">
                        <c:v>-32.022696629213485</c:v>
                      </c:pt>
                      <c:pt idx="51" formatCode="General">
                        <c:v>-32.292359550561798</c:v>
                      </c:pt>
                      <c:pt idx="52" formatCode="General">
                        <c:v>-32.562022471910112</c:v>
                      </c:pt>
                      <c:pt idx="53" formatCode="General">
                        <c:v>-32.831685393258432</c:v>
                      </c:pt>
                      <c:pt idx="54" formatCode="General">
                        <c:v>-33.101348314606746</c:v>
                      </c:pt>
                      <c:pt idx="55" formatCode="General">
                        <c:v>-33.371011235955059</c:v>
                      </c:pt>
                      <c:pt idx="56" formatCode="General">
                        <c:v>-33.640674157303373</c:v>
                      </c:pt>
                      <c:pt idx="57" formatCode="General">
                        <c:v>-33.910337078651686</c:v>
                      </c:pt>
                      <c:pt idx="58" formatCode="General">
                        <c:v>-34.18</c:v>
                      </c:pt>
                      <c:pt idx="59" formatCode="General">
                        <c:v>-34.44966292134832</c:v>
                      </c:pt>
                      <c:pt idx="60" formatCode="General">
                        <c:v>-34.719325842696634</c:v>
                      </c:pt>
                      <c:pt idx="61" formatCode="General">
                        <c:v>-34.988988764044947</c:v>
                      </c:pt>
                      <c:pt idx="62" formatCode="General">
                        <c:v>-35.258651685393261</c:v>
                      </c:pt>
                      <c:pt idx="63" formatCode="General">
                        <c:v>-35.528314606741574</c:v>
                      </c:pt>
                      <c:pt idx="64" formatCode="General">
                        <c:v>-35.797977528089888</c:v>
                      </c:pt>
                      <c:pt idx="65" formatCode="General">
                        <c:v>-36.067640449438201</c:v>
                      </c:pt>
                      <c:pt idx="66" formatCode="General">
                        <c:v>-36.328007490636708</c:v>
                      </c:pt>
                      <c:pt idx="67" formatCode="General">
                        <c:v>-36.553925093632962</c:v>
                      </c:pt>
                      <c:pt idx="68" formatCode="General">
                        <c:v>-36.779842696629217</c:v>
                      </c:pt>
                      <c:pt idx="69" formatCode="General">
                        <c:v>-37.005760299625472</c:v>
                      </c:pt>
                      <c:pt idx="70" formatCode="General">
                        <c:v>-37.231677902621726</c:v>
                      </c:pt>
                      <c:pt idx="71" formatCode="General">
                        <c:v>-37.457595505617981</c:v>
                      </c:pt>
                      <c:pt idx="72" formatCode="General">
                        <c:v>-37.683513108614235</c:v>
                      </c:pt>
                      <c:pt idx="73" formatCode="General">
                        <c:v>-37.90943071161049</c:v>
                      </c:pt>
                      <c:pt idx="74" formatCode="General">
                        <c:v>-38.135348314606745</c:v>
                      </c:pt>
                      <c:pt idx="75" formatCode="General">
                        <c:v>-38.361265917602999</c:v>
                      </c:pt>
                      <c:pt idx="76" formatCode="General">
                        <c:v>-38.587183520599254</c:v>
                      </c:pt>
                      <c:pt idx="77" formatCode="General">
                        <c:v>-38.813101123595509</c:v>
                      </c:pt>
                      <c:pt idx="78" formatCode="General">
                        <c:v>-39.039018726591763</c:v>
                      </c:pt>
                      <c:pt idx="79" formatCode="General">
                        <c:v>-39.264936329588011</c:v>
                      </c:pt>
                      <c:pt idx="80" formatCode="General">
                        <c:v>-39.490853932584265</c:v>
                      </c:pt>
                      <c:pt idx="81" formatCode="General">
                        <c:v>-39.71677153558052</c:v>
                      </c:pt>
                      <c:pt idx="82" formatCode="General">
                        <c:v>-39.942689138576775</c:v>
                      </c:pt>
                      <c:pt idx="83" formatCode="General">
                        <c:v>-40.151856287425147</c:v>
                      </c:pt>
                      <c:pt idx="84" formatCode="General">
                        <c:v>-40.345868263473051</c:v>
                      </c:pt>
                      <c:pt idx="85" formatCode="General">
                        <c:v>-40.539880239520954</c:v>
                      </c:pt>
                      <c:pt idx="86" formatCode="General">
                        <c:v>-40.733892215568858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11EF-44BA-AAAA-9AD66152902A}"/>
                  </c:ext>
                </c:extLst>
              </c15:ser>
            </c15:filteredScatterSeries>
            <c15:filteredScatterSeries>
              <c15:ser>
                <c:idx val="2"/>
                <c:order val="4"/>
                <c:spPr>
                  <a:ln>
                    <a:solidFill>
                      <a:srgbClr val="FF0000"/>
                    </a:solidFill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306</c:v>
                      </c:pt>
                      <c:pt idx="1">
                        <c:v>314</c:v>
                      </c:pt>
                      <c:pt idx="2">
                        <c:v>322</c:v>
                      </c:pt>
                      <c:pt idx="3">
                        <c:v>330</c:v>
                      </c:pt>
                      <c:pt idx="4">
                        <c:v>338</c:v>
                      </c:pt>
                      <c:pt idx="5">
                        <c:v>346</c:v>
                      </c:pt>
                      <c:pt idx="6">
                        <c:v>354</c:v>
                      </c:pt>
                      <c:pt idx="7">
                        <c:v>362</c:v>
                      </c:pt>
                      <c:pt idx="8">
                        <c:v>370</c:v>
                      </c:pt>
                      <c:pt idx="9">
                        <c:v>378</c:v>
                      </c:pt>
                      <c:pt idx="10">
                        <c:v>386</c:v>
                      </c:pt>
                      <c:pt idx="11">
                        <c:v>394</c:v>
                      </c:pt>
                      <c:pt idx="12">
                        <c:v>402</c:v>
                      </c:pt>
                      <c:pt idx="13">
                        <c:v>410</c:v>
                      </c:pt>
                      <c:pt idx="14">
                        <c:v>418</c:v>
                      </c:pt>
                      <c:pt idx="15">
                        <c:v>426</c:v>
                      </c:pt>
                      <c:pt idx="16">
                        <c:v>434</c:v>
                      </c:pt>
                      <c:pt idx="17">
                        <c:v>442</c:v>
                      </c:pt>
                      <c:pt idx="18">
                        <c:v>450</c:v>
                      </c:pt>
                      <c:pt idx="19">
                        <c:v>458</c:v>
                      </c:pt>
                      <c:pt idx="20">
                        <c:v>466</c:v>
                      </c:pt>
                      <c:pt idx="21">
                        <c:v>474</c:v>
                      </c:pt>
                      <c:pt idx="22">
                        <c:v>482</c:v>
                      </c:pt>
                      <c:pt idx="23">
                        <c:v>490</c:v>
                      </c:pt>
                      <c:pt idx="24">
                        <c:v>498</c:v>
                      </c:pt>
                      <c:pt idx="25">
                        <c:v>506</c:v>
                      </c:pt>
                      <c:pt idx="26">
                        <c:v>514</c:v>
                      </c:pt>
                      <c:pt idx="27">
                        <c:v>522</c:v>
                      </c:pt>
                      <c:pt idx="28">
                        <c:v>530</c:v>
                      </c:pt>
                      <c:pt idx="29">
                        <c:v>538</c:v>
                      </c:pt>
                      <c:pt idx="30">
                        <c:v>546</c:v>
                      </c:pt>
                      <c:pt idx="31">
                        <c:v>554</c:v>
                      </c:pt>
                      <c:pt idx="32">
                        <c:v>562</c:v>
                      </c:pt>
                      <c:pt idx="33">
                        <c:v>570</c:v>
                      </c:pt>
                      <c:pt idx="34">
                        <c:v>578</c:v>
                      </c:pt>
                      <c:pt idx="35">
                        <c:v>586</c:v>
                      </c:pt>
                      <c:pt idx="36">
                        <c:v>594</c:v>
                      </c:pt>
                      <c:pt idx="37">
                        <c:v>602</c:v>
                      </c:pt>
                      <c:pt idx="38">
                        <c:v>610</c:v>
                      </c:pt>
                      <c:pt idx="39">
                        <c:v>618</c:v>
                      </c:pt>
                      <c:pt idx="40">
                        <c:v>626</c:v>
                      </c:pt>
                      <c:pt idx="41">
                        <c:v>634</c:v>
                      </c:pt>
                      <c:pt idx="42">
                        <c:v>642</c:v>
                      </c:pt>
                      <c:pt idx="43">
                        <c:v>650</c:v>
                      </c:pt>
                      <c:pt idx="44">
                        <c:v>658</c:v>
                      </c:pt>
                      <c:pt idx="45">
                        <c:v>666</c:v>
                      </c:pt>
                      <c:pt idx="46">
                        <c:v>674</c:v>
                      </c:pt>
                      <c:pt idx="47">
                        <c:v>682</c:v>
                      </c:pt>
                      <c:pt idx="48">
                        <c:v>690</c:v>
                      </c:pt>
                      <c:pt idx="49">
                        <c:v>698</c:v>
                      </c:pt>
                      <c:pt idx="50">
                        <c:v>706</c:v>
                      </c:pt>
                      <c:pt idx="51">
                        <c:v>714</c:v>
                      </c:pt>
                      <c:pt idx="52">
                        <c:v>722</c:v>
                      </c:pt>
                      <c:pt idx="53">
                        <c:v>730</c:v>
                      </c:pt>
                      <c:pt idx="54">
                        <c:v>738</c:v>
                      </c:pt>
                      <c:pt idx="55">
                        <c:v>746</c:v>
                      </c:pt>
                      <c:pt idx="56">
                        <c:v>754</c:v>
                      </c:pt>
                      <c:pt idx="57">
                        <c:v>762</c:v>
                      </c:pt>
                      <c:pt idx="58">
                        <c:v>770</c:v>
                      </c:pt>
                      <c:pt idx="59">
                        <c:v>778</c:v>
                      </c:pt>
                      <c:pt idx="60">
                        <c:v>786</c:v>
                      </c:pt>
                      <c:pt idx="61">
                        <c:v>794</c:v>
                      </c:pt>
                      <c:pt idx="62">
                        <c:v>802</c:v>
                      </c:pt>
                      <c:pt idx="63">
                        <c:v>810</c:v>
                      </c:pt>
                      <c:pt idx="64">
                        <c:v>818</c:v>
                      </c:pt>
                      <c:pt idx="65">
                        <c:v>826</c:v>
                      </c:pt>
                      <c:pt idx="66">
                        <c:v>834</c:v>
                      </c:pt>
                      <c:pt idx="67">
                        <c:v>842</c:v>
                      </c:pt>
                      <c:pt idx="68">
                        <c:v>850</c:v>
                      </c:pt>
                      <c:pt idx="69">
                        <c:v>858</c:v>
                      </c:pt>
                      <c:pt idx="70">
                        <c:v>866</c:v>
                      </c:pt>
                      <c:pt idx="71">
                        <c:v>874</c:v>
                      </c:pt>
                      <c:pt idx="72">
                        <c:v>882</c:v>
                      </c:pt>
                      <c:pt idx="73">
                        <c:v>890</c:v>
                      </c:pt>
                      <c:pt idx="74">
                        <c:v>898</c:v>
                      </c:pt>
                      <c:pt idx="75">
                        <c:v>906</c:v>
                      </c:pt>
                      <c:pt idx="76">
                        <c:v>914</c:v>
                      </c:pt>
                      <c:pt idx="77">
                        <c:v>922</c:v>
                      </c:pt>
                      <c:pt idx="78">
                        <c:v>930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EVALUATION!$B$105:$CP$105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-15.118108108108107</c:v>
                      </c:pt>
                      <c:pt idx="1">
                        <c:v>-14.88027027027027</c:v>
                      </c:pt>
                      <c:pt idx="2">
                        <c:v>-14.642432432432432</c:v>
                      </c:pt>
                      <c:pt idx="3">
                        <c:v>-14.404594594594593</c:v>
                      </c:pt>
                      <c:pt idx="4" formatCode="General">
                        <c:v>-13.959101796407184</c:v>
                      </c:pt>
                      <c:pt idx="5" formatCode="General">
                        <c:v>-13.46568862275449</c:v>
                      </c:pt>
                      <c:pt idx="6" formatCode="General">
                        <c:v>-12.972275449101796</c:v>
                      </c:pt>
                      <c:pt idx="7" formatCode="General">
                        <c:v>-12.478862275449101</c:v>
                      </c:pt>
                      <c:pt idx="8" formatCode="General">
                        <c:v>-11.950329341317365</c:v>
                      </c:pt>
                      <c:pt idx="9" formatCode="General">
                        <c:v>-11.40182634730539</c:v>
                      </c:pt>
                      <c:pt idx="10" formatCode="General">
                        <c:v>-10.853323353293414</c:v>
                      </c:pt>
                      <c:pt idx="11" formatCode="General">
                        <c:v>-10.304820359281438</c:v>
                      </c:pt>
                      <c:pt idx="12" formatCode="General">
                        <c:v>-9.7896616766467073</c:v>
                      </c:pt>
                      <c:pt idx="13" formatCode="General">
                        <c:v>-9.3132544910179647</c:v>
                      </c:pt>
                      <c:pt idx="14" formatCode="General">
                        <c:v>-8.836847305389222</c:v>
                      </c:pt>
                      <c:pt idx="15" formatCode="General">
                        <c:v>-8.3604401197604794</c:v>
                      </c:pt>
                      <c:pt idx="16" formatCode="General">
                        <c:v>-7.9011107784431145</c:v>
                      </c:pt>
                      <c:pt idx="17" formatCode="General">
                        <c:v>-7.4841047904191624</c:v>
                      </c:pt>
                      <c:pt idx="18" formatCode="General">
                        <c:v>-7.0670988023952104</c:v>
                      </c:pt>
                      <c:pt idx="19" formatCode="General">
                        <c:v>-6.6500928143712592</c:v>
                      </c:pt>
                      <c:pt idx="20" formatCode="General">
                        <c:v>-6.2383952095808395</c:v>
                      </c:pt>
                      <c:pt idx="21" formatCode="General">
                        <c:v>-5.8685748502994022</c:v>
                      </c:pt>
                      <c:pt idx="22" formatCode="General">
                        <c:v>-5.4987544910179649</c:v>
                      </c:pt>
                      <c:pt idx="23" formatCode="General">
                        <c:v>-5.1289341317365267</c:v>
                      </c:pt>
                      <c:pt idx="24" formatCode="General">
                        <c:v>-4.7591137724550894</c:v>
                      </c:pt>
                      <c:pt idx="25" formatCode="General">
                        <c:v>-4.6019909909909904</c:v>
                      </c:pt>
                      <c:pt idx="26" formatCode="General">
                        <c:v>-4.4590480480480474</c:v>
                      </c:pt>
                      <c:pt idx="27" formatCode="General">
                        <c:v>-4.3161051051051045</c:v>
                      </c:pt>
                      <c:pt idx="28" formatCode="General">
                        <c:v>-4.1731621621621615</c:v>
                      </c:pt>
                      <c:pt idx="29" formatCode="General">
                        <c:v>-4.1562215568862273</c:v>
                      </c:pt>
                      <c:pt idx="30" formatCode="General">
                        <c:v>-4.1758622754491022</c:v>
                      </c:pt>
                      <c:pt idx="31" formatCode="General">
                        <c:v>-4.1955029940119761</c:v>
                      </c:pt>
                      <c:pt idx="32" formatCode="General">
                        <c:v>-4.2151437125748501</c:v>
                      </c:pt>
                      <c:pt idx="33" formatCode="General">
                        <c:v>-4.2348562874251492</c:v>
                      </c:pt>
                      <c:pt idx="34" formatCode="General">
                        <c:v>-4.2546167664670653</c:v>
                      </c:pt>
                      <c:pt idx="35" formatCode="General">
                        <c:v>-4.2743772455089815</c:v>
                      </c:pt>
                      <c:pt idx="36" formatCode="General">
                        <c:v>-4.2941377245508976</c:v>
                      </c:pt>
                      <c:pt idx="37" formatCode="General">
                        <c:v>-4.3138982035928146</c:v>
                      </c:pt>
                      <c:pt idx="38" formatCode="General">
                        <c:v>-4.3336586826347308</c:v>
                      </c:pt>
                      <c:pt idx="39" formatCode="General">
                        <c:v>-4.3534191616766469</c:v>
                      </c:pt>
                      <c:pt idx="40" formatCode="General">
                        <c:v>-4.373179640718563</c:v>
                      </c:pt>
                      <c:pt idx="41" formatCode="General">
                        <c:v>-4.3929401197604792</c:v>
                      </c:pt>
                      <c:pt idx="42" formatCode="General">
                        <c:v>-4.4127005988023953</c:v>
                      </c:pt>
                      <c:pt idx="43" formatCode="General">
                        <c:v>-4.4324610778443114</c:v>
                      </c:pt>
                      <c:pt idx="44" formatCode="General">
                        <c:v>-4.4522215568862276</c:v>
                      </c:pt>
                      <c:pt idx="45" formatCode="General">
                        <c:v>-4.4719820359281437</c:v>
                      </c:pt>
                      <c:pt idx="46" formatCode="General">
                        <c:v>-4.4917425149700598</c:v>
                      </c:pt>
                      <c:pt idx="47" formatCode="General">
                        <c:v>-4.511502994011976</c:v>
                      </c:pt>
                      <c:pt idx="48" formatCode="General">
                        <c:v>-4.5312634730538921</c:v>
                      </c:pt>
                      <c:pt idx="49" formatCode="General">
                        <c:v>-4.5510239520958082</c:v>
                      </c:pt>
                      <c:pt idx="50" formatCode="General">
                        <c:v>-4.5702584269662925</c:v>
                      </c:pt>
                      <c:pt idx="51" formatCode="General">
                        <c:v>-4.5894344569288394</c:v>
                      </c:pt>
                      <c:pt idx="52" formatCode="General">
                        <c:v>-4.6086104868913855</c:v>
                      </c:pt>
                      <c:pt idx="53" formatCode="General">
                        <c:v>-4.6277865168539325</c:v>
                      </c:pt>
                      <c:pt idx="54" formatCode="General">
                        <c:v>-4.6469625468164795</c:v>
                      </c:pt>
                      <c:pt idx="55" formatCode="General">
                        <c:v>-4.6661385767790264</c:v>
                      </c:pt>
                      <c:pt idx="56" formatCode="General">
                        <c:v>-4.6853146067415734</c:v>
                      </c:pt>
                      <c:pt idx="57" formatCode="General">
                        <c:v>-4.7044906367041204</c:v>
                      </c:pt>
                      <c:pt idx="58" formatCode="General">
                        <c:v>-4.7236666666666665</c:v>
                      </c:pt>
                      <c:pt idx="59" formatCode="General">
                        <c:v>-4.7428426966292134</c:v>
                      </c:pt>
                      <c:pt idx="60" formatCode="General">
                        <c:v>-4.7620187265917604</c:v>
                      </c:pt>
                      <c:pt idx="61" formatCode="General">
                        <c:v>-4.7811947565543074</c:v>
                      </c:pt>
                      <c:pt idx="62" formatCode="General">
                        <c:v>-4.8003707865168543</c:v>
                      </c:pt>
                      <c:pt idx="63" formatCode="General">
                        <c:v>-4.8195468164794013</c:v>
                      </c:pt>
                      <c:pt idx="64" formatCode="General">
                        <c:v>-4.8387228464419483</c:v>
                      </c:pt>
                      <c:pt idx="65" formatCode="General">
                        <c:v>-4.8578988764044944</c:v>
                      </c:pt>
                      <c:pt idx="66" formatCode="General">
                        <c:v>-4.8768456928838955</c:v>
                      </c:pt>
                      <c:pt idx="67" formatCode="General">
                        <c:v>-4.8949430711610491</c:v>
                      </c:pt>
                      <c:pt idx="68" formatCode="General">
                        <c:v>-4.9130404494382027</c:v>
                      </c:pt>
                      <c:pt idx="69" formatCode="General">
                        <c:v>-4.9311378277153564</c:v>
                      </c:pt>
                      <c:pt idx="70" formatCode="General">
                        <c:v>-4.94923520599251</c:v>
                      </c:pt>
                      <c:pt idx="71" formatCode="General">
                        <c:v>-4.9673325842696627</c:v>
                      </c:pt>
                      <c:pt idx="72" formatCode="General">
                        <c:v>-4.9854299625468164</c:v>
                      </c:pt>
                      <c:pt idx="73" formatCode="General">
                        <c:v>-5.00352734082397</c:v>
                      </c:pt>
                      <c:pt idx="74" formatCode="General">
                        <c:v>-5.0216247191011236</c:v>
                      </c:pt>
                      <c:pt idx="75" formatCode="General">
                        <c:v>-5.0397220973782773</c:v>
                      </c:pt>
                      <c:pt idx="76" formatCode="General">
                        <c:v>-5.0578194756554309</c:v>
                      </c:pt>
                      <c:pt idx="77" formatCode="General">
                        <c:v>-5.0759168539325845</c:v>
                      </c:pt>
                      <c:pt idx="78" formatCode="General">
                        <c:v>-5.0940142322097381</c:v>
                      </c:pt>
                      <c:pt idx="79" formatCode="General">
                        <c:v>-5.1121116104868918</c:v>
                      </c:pt>
                      <c:pt idx="80" formatCode="General">
                        <c:v>-5.1302089887640445</c:v>
                      </c:pt>
                      <c:pt idx="81" formatCode="General">
                        <c:v>-5.1483063670411982</c:v>
                      </c:pt>
                      <c:pt idx="82" formatCode="General">
                        <c:v>-5.1664037453183518</c:v>
                      </c:pt>
                      <c:pt idx="83" formatCode="General">
                        <c:v>-5.1840538922155686</c:v>
                      </c:pt>
                      <c:pt idx="84" formatCode="General">
                        <c:v>-5.2012994011976046</c:v>
                      </c:pt>
                      <c:pt idx="85" formatCode="General">
                        <c:v>-5.2185449101796406</c:v>
                      </c:pt>
                      <c:pt idx="86" formatCode="General">
                        <c:v>-5.2357904191616766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A-11EF-44BA-AAAA-9AD66152902A}"/>
                  </c:ext>
                </c:extLst>
              </c15:ser>
            </c15:filteredScatterSeries>
            <c15:filteredScatterSeries>
              <c15:ser>
                <c:idx val="3"/>
                <c:order val="5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306</c:v>
                      </c:pt>
                      <c:pt idx="1">
                        <c:v>314</c:v>
                      </c:pt>
                      <c:pt idx="2">
                        <c:v>322</c:v>
                      </c:pt>
                      <c:pt idx="3">
                        <c:v>330</c:v>
                      </c:pt>
                      <c:pt idx="4">
                        <c:v>338</c:v>
                      </c:pt>
                      <c:pt idx="5">
                        <c:v>346</c:v>
                      </c:pt>
                      <c:pt idx="6">
                        <c:v>354</c:v>
                      </c:pt>
                      <c:pt idx="7">
                        <c:v>362</c:v>
                      </c:pt>
                      <c:pt idx="8">
                        <c:v>370</c:v>
                      </c:pt>
                      <c:pt idx="9">
                        <c:v>378</c:v>
                      </c:pt>
                      <c:pt idx="10">
                        <c:v>386</c:v>
                      </c:pt>
                      <c:pt idx="11">
                        <c:v>394</c:v>
                      </c:pt>
                      <c:pt idx="12">
                        <c:v>402</c:v>
                      </c:pt>
                      <c:pt idx="13">
                        <c:v>410</c:v>
                      </c:pt>
                      <c:pt idx="14">
                        <c:v>418</c:v>
                      </c:pt>
                      <c:pt idx="15">
                        <c:v>426</c:v>
                      </c:pt>
                      <c:pt idx="16">
                        <c:v>434</c:v>
                      </c:pt>
                      <c:pt idx="17">
                        <c:v>442</c:v>
                      </c:pt>
                      <c:pt idx="18">
                        <c:v>450</c:v>
                      </c:pt>
                      <c:pt idx="19">
                        <c:v>458</c:v>
                      </c:pt>
                      <c:pt idx="20">
                        <c:v>466</c:v>
                      </c:pt>
                      <c:pt idx="21">
                        <c:v>474</c:v>
                      </c:pt>
                      <c:pt idx="22">
                        <c:v>482</c:v>
                      </c:pt>
                      <c:pt idx="23">
                        <c:v>490</c:v>
                      </c:pt>
                      <c:pt idx="24">
                        <c:v>498</c:v>
                      </c:pt>
                      <c:pt idx="25">
                        <c:v>506</c:v>
                      </c:pt>
                      <c:pt idx="26">
                        <c:v>514</c:v>
                      </c:pt>
                      <c:pt idx="27">
                        <c:v>522</c:v>
                      </c:pt>
                      <c:pt idx="28">
                        <c:v>530</c:v>
                      </c:pt>
                      <c:pt idx="29">
                        <c:v>538</c:v>
                      </c:pt>
                      <c:pt idx="30">
                        <c:v>546</c:v>
                      </c:pt>
                      <c:pt idx="31">
                        <c:v>554</c:v>
                      </c:pt>
                      <c:pt idx="32">
                        <c:v>562</c:v>
                      </c:pt>
                      <c:pt idx="33">
                        <c:v>570</c:v>
                      </c:pt>
                      <c:pt idx="34">
                        <c:v>578</c:v>
                      </c:pt>
                      <c:pt idx="35">
                        <c:v>586</c:v>
                      </c:pt>
                      <c:pt idx="36">
                        <c:v>594</c:v>
                      </c:pt>
                      <c:pt idx="37">
                        <c:v>602</c:v>
                      </c:pt>
                      <c:pt idx="38">
                        <c:v>610</c:v>
                      </c:pt>
                      <c:pt idx="39">
                        <c:v>618</c:v>
                      </c:pt>
                      <c:pt idx="40">
                        <c:v>626</c:v>
                      </c:pt>
                      <c:pt idx="41">
                        <c:v>634</c:v>
                      </c:pt>
                      <c:pt idx="42">
                        <c:v>642</c:v>
                      </c:pt>
                      <c:pt idx="43">
                        <c:v>650</c:v>
                      </c:pt>
                      <c:pt idx="44">
                        <c:v>658</c:v>
                      </c:pt>
                      <c:pt idx="45">
                        <c:v>666</c:v>
                      </c:pt>
                      <c:pt idx="46">
                        <c:v>674</c:v>
                      </c:pt>
                      <c:pt idx="47">
                        <c:v>682</c:v>
                      </c:pt>
                      <c:pt idx="48">
                        <c:v>690</c:v>
                      </c:pt>
                      <c:pt idx="49">
                        <c:v>698</c:v>
                      </c:pt>
                      <c:pt idx="50">
                        <c:v>706</c:v>
                      </c:pt>
                      <c:pt idx="51">
                        <c:v>714</c:v>
                      </c:pt>
                      <c:pt idx="52">
                        <c:v>722</c:v>
                      </c:pt>
                      <c:pt idx="53">
                        <c:v>730</c:v>
                      </c:pt>
                      <c:pt idx="54">
                        <c:v>738</c:v>
                      </c:pt>
                      <c:pt idx="55">
                        <c:v>746</c:v>
                      </c:pt>
                      <c:pt idx="56">
                        <c:v>754</c:v>
                      </c:pt>
                      <c:pt idx="57">
                        <c:v>762</c:v>
                      </c:pt>
                      <c:pt idx="58">
                        <c:v>770</c:v>
                      </c:pt>
                      <c:pt idx="59">
                        <c:v>778</c:v>
                      </c:pt>
                      <c:pt idx="60">
                        <c:v>786</c:v>
                      </c:pt>
                      <c:pt idx="61">
                        <c:v>794</c:v>
                      </c:pt>
                      <c:pt idx="62">
                        <c:v>802</c:v>
                      </c:pt>
                      <c:pt idx="63">
                        <c:v>810</c:v>
                      </c:pt>
                      <c:pt idx="64">
                        <c:v>818</c:v>
                      </c:pt>
                      <c:pt idx="65">
                        <c:v>826</c:v>
                      </c:pt>
                      <c:pt idx="66">
                        <c:v>834</c:v>
                      </c:pt>
                      <c:pt idx="67">
                        <c:v>842</c:v>
                      </c:pt>
                      <c:pt idx="68">
                        <c:v>850</c:v>
                      </c:pt>
                      <c:pt idx="69">
                        <c:v>858</c:v>
                      </c:pt>
                      <c:pt idx="70">
                        <c:v>866</c:v>
                      </c:pt>
                      <c:pt idx="71">
                        <c:v>874</c:v>
                      </c:pt>
                      <c:pt idx="72">
                        <c:v>882</c:v>
                      </c:pt>
                      <c:pt idx="73">
                        <c:v>890</c:v>
                      </c:pt>
                      <c:pt idx="74">
                        <c:v>898</c:v>
                      </c:pt>
                      <c:pt idx="75">
                        <c:v>906</c:v>
                      </c:pt>
                      <c:pt idx="76">
                        <c:v>914</c:v>
                      </c:pt>
                      <c:pt idx="77">
                        <c:v>922</c:v>
                      </c:pt>
                      <c:pt idx="78">
                        <c:v>930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EVALUATION!$B$106:$CP$106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-21.473063063063062</c:v>
                      </c:pt>
                      <c:pt idx="1">
                        <c:v>-21.045435435435436</c:v>
                      </c:pt>
                      <c:pt idx="2">
                        <c:v>-20.617807807807807</c:v>
                      </c:pt>
                      <c:pt idx="3">
                        <c:v>-20.190180180180178</c:v>
                      </c:pt>
                      <c:pt idx="4" formatCode="General">
                        <c:v>-20.082754491017962</c:v>
                      </c:pt>
                      <c:pt idx="5" formatCode="General">
                        <c:v>-20.049221556886227</c:v>
                      </c:pt>
                      <c:pt idx="6" formatCode="General">
                        <c:v>-20.015688622754489</c:v>
                      </c:pt>
                      <c:pt idx="7" formatCode="General">
                        <c:v>-19.982155688622754</c:v>
                      </c:pt>
                      <c:pt idx="8" formatCode="General">
                        <c:v>-20.046347305389222</c:v>
                      </c:pt>
                      <c:pt idx="9" formatCode="General">
                        <c:v>-20.166107784431137</c:v>
                      </c:pt>
                      <c:pt idx="10" formatCode="General">
                        <c:v>-20.285868263473052</c:v>
                      </c:pt>
                      <c:pt idx="11" formatCode="General">
                        <c:v>-20.40562874251497</c:v>
                      </c:pt>
                      <c:pt idx="12" formatCode="General">
                        <c:v>-20.526497005988023</c:v>
                      </c:pt>
                      <c:pt idx="13" formatCode="General">
                        <c:v>-20.648652694610778</c:v>
                      </c:pt>
                      <c:pt idx="14" formatCode="General">
                        <c:v>-20.770808383233533</c:v>
                      </c:pt>
                      <c:pt idx="15" formatCode="General">
                        <c:v>-20.892964071856287</c:v>
                      </c:pt>
                      <c:pt idx="16" formatCode="General">
                        <c:v>-21.015119760479042</c:v>
                      </c:pt>
                      <c:pt idx="17" formatCode="General">
                        <c:v>-21.137275449101796</c:v>
                      </c:pt>
                      <c:pt idx="18" formatCode="General">
                        <c:v>-21.259431137724551</c:v>
                      </c:pt>
                      <c:pt idx="19" formatCode="General">
                        <c:v>-21.381586826347306</c:v>
                      </c:pt>
                      <c:pt idx="20" formatCode="General">
                        <c:v>-21.504011976047902</c:v>
                      </c:pt>
                      <c:pt idx="21" formatCode="General">
                        <c:v>-21.628562874251497</c:v>
                      </c:pt>
                      <c:pt idx="22" formatCode="General">
                        <c:v>-21.753113772455091</c:v>
                      </c:pt>
                      <c:pt idx="23" formatCode="General">
                        <c:v>-21.877664670658682</c:v>
                      </c:pt>
                      <c:pt idx="24" formatCode="General">
                        <c:v>-22.002215568862276</c:v>
                      </c:pt>
                      <c:pt idx="25" formatCode="General">
                        <c:v>-22.122612612612613</c:v>
                      </c:pt>
                      <c:pt idx="26" formatCode="General">
                        <c:v>-22.242732732732733</c:v>
                      </c:pt>
                      <c:pt idx="27" formatCode="General">
                        <c:v>-22.362852852852853</c:v>
                      </c:pt>
                      <c:pt idx="28" formatCode="General">
                        <c:v>-22.482972972972973</c:v>
                      </c:pt>
                      <c:pt idx="29" formatCode="General">
                        <c:v>-22.604670658682636</c:v>
                      </c:pt>
                      <c:pt idx="30" formatCode="General">
                        <c:v>-22.726826347305391</c:v>
                      </c:pt>
                      <c:pt idx="31" formatCode="General">
                        <c:v>-22.848982035928145</c:v>
                      </c:pt>
                      <c:pt idx="32" formatCode="General">
                        <c:v>-22.971137724550896</c:v>
                      </c:pt>
                      <c:pt idx="33" formatCode="General">
                        <c:v>-23.089700598802395</c:v>
                      </c:pt>
                      <c:pt idx="34" formatCode="General">
                        <c:v>-23.205868263473054</c:v>
                      </c:pt>
                      <c:pt idx="35" formatCode="General">
                        <c:v>-23.322035928143713</c:v>
                      </c:pt>
                      <c:pt idx="36" formatCode="General">
                        <c:v>-23.438203592814371</c:v>
                      </c:pt>
                      <c:pt idx="37" formatCode="General">
                        <c:v>-23.55437125748503</c:v>
                      </c:pt>
                      <c:pt idx="38" formatCode="General">
                        <c:v>-23.670538922155689</c:v>
                      </c:pt>
                      <c:pt idx="39" formatCode="General">
                        <c:v>-23.786706586826348</c:v>
                      </c:pt>
                      <c:pt idx="40" formatCode="General">
                        <c:v>-23.902874251497007</c:v>
                      </c:pt>
                      <c:pt idx="41" formatCode="General">
                        <c:v>-24.019041916167666</c:v>
                      </c:pt>
                      <c:pt idx="42" formatCode="General">
                        <c:v>-24.135209580838325</c:v>
                      </c:pt>
                      <c:pt idx="43" formatCode="General">
                        <c:v>-24.251377245508984</c:v>
                      </c:pt>
                      <c:pt idx="44" formatCode="General">
                        <c:v>-24.367544910179642</c:v>
                      </c:pt>
                      <c:pt idx="45" formatCode="General">
                        <c:v>-24.483712574850301</c:v>
                      </c:pt>
                      <c:pt idx="46" formatCode="General">
                        <c:v>-24.59988023952096</c:v>
                      </c:pt>
                      <c:pt idx="47" formatCode="General">
                        <c:v>-24.716047904191619</c:v>
                      </c:pt>
                      <c:pt idx="48" formatCode="General">
                        <c:v>-24.832215568862278</c:v>
                      </c:pt>
                      <c:pt idx="49" formatCode="General">
                        <c:v>-24.948383233532937</c:v>
                      </c:pt>
                      <c:pt idx="50" formatCode="General">
                        <c:v>-25.057617977528093</c:v>
                      </c:pt>
                      <c:pt idx="51" formatCode="General">
                        <c:v>-25.166082397003748</c:v>
                      </c:pt>
                      <c:pt idx="52" formatCode="General">
                        <c:v>-25.2745468164794</c:v>
                      </c:pt>
                      <c:pt idx="53" formatCode="General">
                        <c:v>-25.383011235955056</c:v>
                      </c:pt>
                      <c:pt idx="54" formatCode="General">
                        <c:v>-25.491475655430712</c:v>
                      </c:pt>
                      <c:pt idx="55" formatCode="General">
                        <c:v>-25.599940074906367</c:v>
                      </c:pt>
                      <c:pt idx="56" formatCode="General">
                        <c:v>-25.708404494382023</c:v>
                      </c:pt>
                      <c:pt idx="57" formatCode="General">
                        <c:v>-25.816868913857679</c:v>
                      </c:pt>
                      <c:pt idx="58" formatCode="General">
                        <c:v>-25.925333333333334</c:v>
                      </c:pt>
                      <c:pt idx="59" formatCode="General">
                        <c:v>-26.03379775280899</c:v>
                      </c:pt>
                      <c:pt idx="60" formatCode="General">
                        <c:v>-26.142262172284646</c:v>
                      </c:pt>
                      <c:pt idx="61" formatCode="General">
                        <c:v>-26.250726591760301</c:v>
                      </c:pt>
                      <c:pt idx="62" formatCode="General">
                        <c:v>-26.359191011235957</c:v>
                      </c:pt>
                      <c:pt idx="63" formatCode="General">
                        <c:v>-26.467655430711609</c:v>
                      </c:pt>
                      <c:pt idx="64" formatCode="General">
                        <c:v>-26.576119850187265</c:v>
                      </c:pt>
                      <c:pt idx="65" formatCode="General">
                        <c:v>-26.684584269662921</c:v>
                      </c:pt>
                      <c:pt idx="66" formatCode="General">
                        <c:v>-26.791902621722848</c:v>
                      </c:pt>
                      <c:pt idx="67" formatCode="General">
                        <c:v>-26.894973782771537</c:v>
                      </c:pt>
                      <c:pt idx="68" formatCode="General">
                        <c:v>-26.998044943820226</c:v>
                      </c:pt>
                      <c:pt idx="69" formatCode="General">
                        <c:v>-27.101116104868915</c:v>
                      </c:pt>
                      <c:pt idx="70" formatCode="General">
                        <c:v>-27.204187265917604</c:v>
                      </c:pt>
                      <c:pt idx="71" formatCode="General">
                        <c:v>-27.307258426966293</c:v>
                      </c:pt>
                      <c:pt idx="72" formatCode="General">
                        <c:v>-27.410329588014982</c:v>
                      </c:pt>
                      <c:pt idx="73" formatCode="General">
                        <c:v>-27.513400749063671</c:v>
                      </c:pt>
                      <c:pt idx="74" formatCode="General">
                        <c:v>-27.616471910112359</c:v>
                      </c:pt>
                      <c:pt idx="75" formatCode="General">
                        <c:v>-27.719543071161048</c:v>
                      </c:pt>
                      <c:pt idx="76" formatCode="General">
                        <c:v>-27.822614232209737</c:v>
                      </c:pt>
                      <c:pt idx="77" formatCode="General">
                        <c:v>-27.925685393258426</c:v>
                      </c:pt>
                      <c:pt idx="78" formatCode="General">
                        <c:v>-28.028756554307115</c:v>
                      </c:pt>
                      <c:pt idx="79" formatCode="General">
                        <c:v>-28.131827715355804</c:v>
                      </c:pt>
                      <c:pt idx="80" formatCode="General">
                        <c:v>-28.234898876404493</c:v>
                      </c:pt>
                      <c:pt idx="81" formatCode="General">
                        <c:v>-28.337970037453182</c:v>
                      </c:pt>
                      <c:pt idx="82" formatCode="General">
                        <c:v>-28.441041198501871</c:v>
                      </c:pt>
                      <c:pt idx="83" formatCode="General">
                        <c:v>-28.541556886227543</c:v>
                      </c:pt>
                      <c:pt idx="84" formatCode="General">
                        <c:v>-28.639760479041914</c:v>
                      </c:pt>
                      <c:pt idx="85" formatCode="General">
                        <c:v>-28.737964071856286</c:v>
                      </c:pt>
                      <c:pt idx="86" formatCode="General">
                        <c:v>-28.836167664670658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B-11EF-44BA-AAAA-9AD66152902A}"/>
                  </c:ext>
                </c:extLst>
              </c15:ser>
            </c15:filteredScatterSeries>
            <c15:filteredScatterSeries>
              <c15:ser>
                <c:idx val="4"/>
                <c:order val="6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306</c:v>
                      </c:pt>
                      <c:pt idx="1">
                        <c:v>314</c:v>
                      </c:pt>
                      <c:pt idx="2">
                        <c:v>322</c:v>
                      </c:pt>
                      <c:pt idx="3">
                        <c:v>330</c:v>
                      </c:pt>
                      <c:pt idx="4">
                        <c:v>338</c:v>
                      </c:pt>
                      <c:pt idx="5">
                        <c:v>346</c:v>
                      </c:pt>
                      <c:pt idx="6">
                        <c:v>354</c:v>
                      </c:pt>
                      <c:pt idx="7">
                        <c:v>362</c:v>
                      </c:pt>
                      <c:pt idx="8">
                        <c:v>370</c:v>
                      </c:pt>
                      <c:pt idx="9">
                        <c:v>378</c:v>
                      </c:pt>
                      <c:pt idx="10">
                        <c:v>386</c:v>
                      </c:pt>
                      <c:pt idx="11">
                        <c:v>394</c:v>
                      </c:pt>
                      <c:pt idx="12">
                        <c:v>402</c:v>
                      </c:pt>
                      <c:pt idx="13">
                        <c:v>410</c:v>
                      </c:pt>
                      <c:pt idx="14">
                        <c:v>418</c:v>
                      </c:pt>
                      <c:pt idx="15">
                        <c:v>426</c:v>
                      </c:pt>
                      <c:pt idx="16">
                        <c:v>434</c:v>
                      </c:pt>
                      <c:pt idx="17">
                        <c:v>442</c:v>
                      </c:pt>
                      <c:pt idx="18">
                        <c:v>450</c:v>
                      </c:pt>
                      <c:pt idx="19">
                        <c:v>458</c:v>
                      </c:pt>
                      <c:pt idx="20">
                        <c:v>466</c:v>
                      </c:pt>
                      <c:pt idx="21">
                        <c:v>474</c:v>
                      </c:pt>
                      <c:pt idx="22">
                        <c:v>482</c:v>
                      </c:pt>
                      <c:pt idx="23">
                        <c:v>490</c:v>
                      </c:pt>
                      <c:pt idx="24">
                        <c:v>498</c:v>
                      </c:pt>
                      <c:pt idx="25">
                        <c:v>506</c:v>
                      </c:pt>
                      <c:pt idx="26">
                        <c:v>514</c:v>
                      </c:pt>
                      <c:pt idx="27">
                        <c:v>522</c:v>
                      </c:pt>
                      <c:pt idx="28">
                        <c:v>530</c:v>
                      </c:pt>
                      <c:pt idx="29">
                        <c:v>538</c:v>
                      </c:pt>
                      <c:pt idx="30">
                        <c:v>546</c:v>
                      </c:pt>
                      <c:pt idx="31">
                        <c:v>554</c:v>
                      </c:pt>
                      <c:pt idx="32">
                        <c:v>562</c:v>
                      </c:pt>
                      <c:pt idx="33">
                        <c:v>570</c:v>
                      </c:pt>
                      <c:pt idx="34">
                        <c:v>578</c:v>
                      </c:pt>
                      <c:pt idx="35">
                        <c:v>586</c:v>
                      </c:pt>
                      <c:pt idx="36">
                        <c:v>594</c:v>
                      </c:pt>
                      <c:pt idx="37">
                        <c:v>602</c:v>
                      </c:pt>
                      <c:pt idx="38">
                        <c:v>610</c:v>
                      </c:pt>
                      <c:pt idx="39">
                        <c:v>618</c:v>
                      </c:pt>
                      <c:pt idx="40">
                        <c:v>626</c:v>
                      </c:pt>
                      <c:pt idx="41">
                        <c:v>634</c:v>
                      </c:pt>
                      <c:pt idx="42">
                        <c:v>642</c:v>
                      </c:pt>
                      <c:pt idx="43">
                        <c:v>650</c:v>
                      </c:pt>
                      <c:pt idx="44">
                        <c:v>658</c:v>
                      </c:pt>
                      <c:pt idx="45">
                        <c:v>666</c:v>
                      </c:pt>
                      <c:pt idx="46">
                        <c:v>674</c:v>
                      </c:pt>
                      <c:pt idx="47">
                        <c:v>682</c:v>
                      </c:pt>
                      <c:pt idx="48">
                        <c:v>690</c:v>
                      </c:pt>
                      <c:pt idx="49">
                        <c:v>698</c:v>
                      </c:pt>
                      <c:pt idx="50">
                        <c:v>706</c:v>
                      </c:pt>
                      <c:pt idx="51">
                        <c:v>714</c:v>
                      </c:pt>
                      <c:pt idx="52">
                        <c:v>722</c:v>
                      </c:pt>
                      <c:pt idx="53">
                        <c:v>730</c:v>
                      </c:pt>
                      <c:pt idx="54">
                        <c:v>738</c:v>
                      </c:pt>
                      <c:pt idx="55">
                        <c:v>746</c:v>
                      </c:pt>
                      <c:pt idx="56">
                        <c:v>754</c:v>
                      </c:pt>
                      <c:pt idx="57">
                        <c:v>762</c:v>
                      </c:pt>
                      <c:pt idx="58">
                        <c:v>770</c:v>
                      </c:pt>
                      <c:pt idx="59">
                        <c:v>778</c:v>
                      </c:pt>
                      <c:pt idx="60">
                        <c:v>786</c:v>
                      </c:pt>
                      <c:pt idx="61">
                        <c:v>794</c:v>
                      </c:pt>
                      <c:pt idx="62">
                        <c:v>802</c:v>
                      </c:pt>
                      <c:pt idx="63">
                        <c:v>810</c:v>
                      </c:pt>
                      <c:pt idx="64">
                        <c:v>818</c:v>
                      </c:pt>
                      <c:pt idx="65">
                        <c:v>826</c:v>
                      </c:pt>
                      <c:pt idx="66">
                        <c:v>834</c:v>
                      </c:pt>
                      <c:pt idx="67">
                        <c:v>842</c:v>
                      </c:pt>
                      <c:pt idx="68">
                        <c:v>850</c:v>
                      </c:pt>
                      <c:pt idx="69">
                        <c:v>858</c:v>
                      </c:pt>
                      <c:pt idx="70">
                        <c:v>866</c:v>
                      </c:pt>
                      <c:pt idx="71">
                        <c:v>874</c:v>
                      </c:pt>
                      <c:pt idx="72">
                        <c:v>882</c:v>
                      </c:pt>
                      <c:pt idx="73">
                        <c:v>890</c:v>
                      </c:pt>
                      <c:pt idx="74">
                        <c:v>898</c:v>
                      </c:pt>
                      <c:pt idx="75">
                        <c:v>906</c:v>
                      </c:pt>
                      <c:pt idx="76">
                        <c:v>914</c:v>
                      </c:pt>
                      <c:pt idx="77">
                        <c:v>922</c:v>
                      </c:pt>
                      <c:pt idx="78">
                        <c:v>930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EVALUATION!$B$107:$CP$107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-58.064234234234235</c:v>
                      </c:pt>
                      <c:pt idx="1">
                        <c:v>-56.971141141141139</c:v>
                      </c:pt>
                      <c:pt idx="2">
                        <c:v>-55.878048048048043</c:v>
                      </c:pt>
                      <c:pt idx="3">
                        <c:v>-54.784954954954955</c:v>
                      </c:pt>
                      <c:pt idx="4" formatCode="General">
                        <c:v>-54.124610778443113</c:v>
                      </c:pt>
                      <c:pt idx="5" formatCode="General">
                        <c:v>-53.564131736526946</c:v>
                      </c:pt>
                      <c:pt idx="6" formatCode="General">
                        <c:v>-53.003652694610771</c:v>
                      </c:pt>
                      <c:pt idx="7" formatCode="General">
                        <c:v>-52.443173652694604</c:v>
                      </c:pt>
                      <c:pt idx="8" formatCode="General">
                        <c:v>-52.043023952095801</c:v>
                      </c:pt>
                      <c:pt idx="9" formatCode="General">
                        <c:v>-51.734041916167662</c:v>
                      </c:pt>
                      <c:pt idx="10" formatCode="General">
                        <c:v>-51.425059880239516</c:v>
                      </c:pt>
                      <c:pt idx="11" formatCode="General">
                        <c:v>-51.11607784431137</c:v>
                      </c:pt>
                      <c:pt idx="12" formatCode="General">
                        <c:v>-50.842655688622749</c:v>
                      </c:pt>
                      <c:pt idx="13" formatCode="General">
                        <c:v>-50.610559880239521</c:v>
                      </c:pt>
                      <c:pt idx="14" formatCode="General">
                        <c:v>-50.378464071856285</c:v>
                      </c:pt>
                      <c:pt idx="15" formatCode="General">
                        <c:v>-50.146368263473057</c:v>
                      </c:pt>
                      <c:pt idx="16" formatCode="General">
                        <c:v>-49.931350299401196</c:v>
                      </c:pt>
                      <c:pt idx="17" formatCode="General">
                        <c:v>-49.758655688622753</c:v>
                      </c:pt>
                      <c:pt idx="18" formatCode="General">
                        <c:v>-49.58596107784431</c:v>
                      </c:pt>
                      <c:pt idx="19" formatCode="General">
                        <c:v>-49.413266467065867</c:v>
                      </c:pt>
                      <c:pt idx="20" formatCode="General">
                        <c:v>-49.246419161676648</c:v>
                      </c:pt>
                      <c:pt idx="21" formatCode="General">
                        <c:v>-49.125700598802396</c:v>
                      </c:pt>
                      <c:pt idx="22" formatCode="General">
                        <c:v>-49.004982035928144</c:v>
                      </c:pt>
                      <c:pt idx="23" formatCode="General">
                        <c:v>-48.884263473053892</c:v>
                      </c:pt>
                      <c:pt idx="24" formatCode="General">
                        <c:v>-48.76354491017964</c:v>
                      </c:pt>
                      <c:pt idx="25" formatCode="General">
                        <c:v>-48.847216216216218</c:v>
                      </c:pt>
                      <c:pt idx="26" formatCode="General">
                        <c:v>-48.944513513513513</c:v>
                      </c:pt>
                      <c:pt idx="27" formatCode="General">
                        <c:v>-49.041810810810816</c:v>
                      </c:pt>
                      <c:pt idx="28" formatCode="General">
                        <c:v>-49.139108108108111</c:v>
                      </c:pt>
                      <c:pt idx="29" formatCode="General">
                        <c:v>-49.365562874251502</c:v>
                      </c:pt>
                      <c:pt idx="30" formatCode="General">
                        <c:v>-49.62951497005988</c:v>
                      </c:pt>
                      <c:pt idx="31" formatCode="General">
                        <c:v>-49.893467065868265</c:v>
                      </c:pt>
                      <c:pt idx="32" formatCode="General">
                        <c:v>-50.157419161676643</c:v>
                      </c:pt>
                      <c:pt idx="33" formatCode="General">
                        <c:v>-50.414257485029935</c:v>
                      </c:pt>
                      <c:pt idx="34" formatCode="General">
                        <c:v>-50.666353293413174</c:v>
                      </c:pt>
                      <c:pt idx="35" formatCode="General">
                        <c:v>-50.918449101796405</c:v>
                      </c:pt>
                      <c:pt idx="36" formatCode="General">
                        <c:v>-51.170544910179636</c:v>
                      </c:pt>
                      <c:pt idx="37" formatCode="General">
                        <c:v>-51.422640718562874</c:v>
                      </c:pt>
                      <c:pt idx="38" formatCode="General">
                        <c:v>-51.674736526946106</c:v>
                      </c:pt>
                      <c:pt idx="39" formatCode="General">
                        <c:v>-51.926832335329337</c:v>
                      </c:pt>
                      <c:pt idx="40" formatCode="General">
                        <c:v>-52.178928143712575</c:v>
                      </c:pt>
                      <c:pt idx="41" formatCode="General">
                        <c:v>-52.431023952095806</c:v>
                      </c:pt>
                      <c:pt idx="42" formatCode="General">
                        <c:v>-52.683119760479038</c:v>
                      </c:pt>
                      <c:pt idx="43" formatCode="General">
                        <c:v>-52.935215568862276</c:v>
                      </c:pt>
                      <c:pt idx="44" formatCode="General">
                        <c:v>-53.187311377245507</c:v>
                      </c:pt>
                      <c:pt idx="45" formatCode="General">
                        <c:v>-53.439407185628738</c:v>
                      </c:pt>
                      <c:pt idx="46" formatCode="General">
                        <c:v>-53.691502994011977</c:v>
                      </c:pt>
                      <c:pt idx="47" formatCode="General">
                        <c:v>-53.943598802395208</c:v>
                      </c:pt>
                      <c:pt idx="48" formatCode="General">
                        <c:v>-54.195694610778446</c:v>
                      </c:pt>
                      <c:pt idx="49" formatCode="General">
                        <c:v>-54.447790419161677</c:v>
                      </c:pt>
                      <c:pt idx="50" formatCode="General">
                        <c:v>-54.685494382022469</c:v>
                      </c:pt>
                      <c:pt idx="51" formatCode="General">
                        <c:v>-54.921599250936332</c:v>
                      </c:pt>
                      <c:pt idx="52" formatCode="General">
                        <c:v>-55.157704119850187</c:v>
                      </c:pt>
                      <c:pt idx="53" formatCode="General">
                        <c:v>-55.393808988764043</c:v>
                      </c:pt>
                      <c:pt idx="54" formatCode="General">
                        <c:v>-55.629913857677906</c:v>
                      </c:pt>
                      <c:pt idx="55" formatCode="General">
                        <c:v>-55.866018726591761</c:v>
                      </c:pt>
                      <c:pt idx="56" formatCode="General">
                        <c:v>-56.102123595505617</c:v>
                      </c:pt>
                      <c:pt idx="57" formatCode="General">
                        <c:v>-56.338228464419473</c:v>
                      </c:pt>
                      <c:pt idx="58" formatCode="General">
                        <c:v>-56.574333333333335</c:v>
                      </c:pt>
                      <c:pt idx="59" formatCode="General">
                        <c:v>-56.810438202247191</c:v>
                      </c:pt>
                      <c:pt idx="60" formatCode="General">
                        <c:v>-57.046543071161047</c:v>
                      </c:pt>
                      <c:pt idx="61" formatCode="General">
                        <c:v>-57.282647940074902</c:v>
                      </c:pt>
                      <c:pt idx="62" formatCode="General">
                        <c:v>-57.518752808988765</c:v>
                      </c:pt>
                      <c:pt idx="63" formatCode="General">
                        <c:v>-57.754857677902621</c:v>
                      </c:pt>
                      <c:pt idx="64" formatCode="General">
                        <c:v>-57.990962546816476</c:v>
                      </c:pt>
                      <c:pt idx="65" formatCode="General">
                        <c:v>-58.227067415730332</c:v>
                      </c:pt>
                      <c:pt idx="66" formatCode="General">
                        <c:v>-58.460650936329586</c:v>
                      </c:pt>
                      <c:pt idx="67" formatCode="General">
                        <c:v>-58.684890636704118</c:v>
                      </c:pt>
                      <c:pt idx="68" formatCode="General">
                        <c:v>-58.909130337078651</c:v>
                      </c:pt>
                      <c:pt idx="69" formatCode="General">
                        <c:v>-59.133370037453183</c:v>
                      </c:pt>
                      <c:pt idx="70" formatCode="General">
                        <c:v>-59.357609737827715</c:v>
                      </c:pt>
                      <c:pt idx="71" formatCode="General">
                        <c:v>-59.581849438202241</c:v>
                      </c:pt>
                      <c:pt idx="72" formatCode="General">
                        <c:v>-59.806089138576773</c:v>
                      </c:pt>
                      <c:pt idx="73" formatCode="General">
                        <c:v>-60.030328838951306</c:v>
                      </c:pt>
                      <c:pt idx="74" formatCode="General">
                        <c:v>-60.254568539325838</c:v>
                      </c:pt>
                      <c:pt idx="75" formatCode="General">
                        <c:v>-60.478808239700371</c:v>
                      </c:pt>
                      <c:pt idx="76" formatCode="General">
                        <c:v>-60.703047940074903</c:v>
                      </c:pt>
                      <c:pt idx="77" formatCode="General">
                        <c:v>-60.927287640449435</c:v>
                      </c:pt>
                      <c:pt idx="78" formatCode="General">
                        <c:v>-61.151527340823968</c:v>
                      </c:pt>
                      <c:pt idx="79" formatCode="General">
                        <c:v>-61.3757670411985</c:v>
                      </c:pt>
                      <c:pt idx="80" formatCode="General">
                        <c:v>-61.600006741573026</c:v>
                      </c:pt>
                      <c:pt idx="81" formatCode="General">
                        <c:v>-61.824246441947558</c:v>
                      </c:pt>
                      <c:pt idx="82" formatCode="General">
                        <c:v>-62.048486142322091</c:v>
                      </c:pt>
                      <c:pt idx="83" formatCode="General">
                        <c:v>-62.267167664670652</c:v>
                      </c:pt>
                      <c:pt idx="84" formatCode="General">
                        <c:v>-62.480820359281431</c:v>
                      </c:pt>
                      <c:pt idx="85" formatCode="General">
                        <c:v>-62.69447305389221</c:v>
                      </c:pt>
                      <c:pt idx="86" formatCode="General">
                        <c:v>-62.908125748502989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C-11EF-44BA-AAAA-9AD66152902A}"/>
                  </c:ext>
                </c:extLst>
              </c15:ser>
            </c15:filteredScatterSeries>
            <c15:filteredScatterSeries>
              <c15:ser>
                <c:idx val="5"/>
                <c:order val="7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306</c:v>
                      </c:pt>
                      <c:pt idx="1">
                        <c:v>314</c:v>
                      </c:pt>
                      <c:pt idx="2">
                        <c:v>322</c:v>
                      </c:pt>
                      <c:pt idx="3">
                        <c:v>330</c:v>
                      </c:pt>
                      <c:pt idx="4">
                        <c:v>338</c:v>
                      </c:pt>
                      <c:pt idx="5">
                        <c:v>346</c:v>
                      </c:pt>
                      <c:pt idx="6">
                        <c:v>354</c:v>
                      </c:pt>
                      <c:pt idx="7">
                        <c:v>362</c:v>
                      </c:pt>
                      <c:pt idx="8">
                        <c:v>370</c:v>
                      </c:pt>
                      <c:pt idx="9">
                        <c:v>378</c:v>
                      </c:pt>
                      <c:pt idx="10">
                        <c:v>386</c:v>
                      </c:pt>
                      <c:pt idx="11">
                        <c:v>394</c:v>
                      </c:pt>
                      <c:pt idx="12">
                        <c:v>402</c:v>
                      </c:pt>
                      <c:pt idx="13">
                        <c:v>410</c:v>
                      </c:pt>
                      <c:pt idx="14">
                        <c:v>418</c:v>
                      </c:pt>
                      <c:pt idx="15">
                        <c:v>426</c:v>
                      </c:pt>
                      <c:pt idx="16">
                        <c:v>434</c:v>
                      </c:pt>
                      <c:pt idx="17">
                        <c:v>442</c:v>
                      </c:pt>
                      <c:pt idx="18">
                        <c:v>450</c:v>
                      </c:pt>
                      <c:pt idx="19">
                        <c:v>458</c:v>
                      </c:pt>
                      <c:pt idx="20">
                        <c:v>466</c:v>
                      </c:pt>
                      <c:pt idx="21">
                        <c:v>474</c:v>
                      </c:pt>
                      <c:pt idx="22">
                        <c:v>482</c:v>
                      </c:pt>
                      <c:pt idx="23">
                        <c:v>490</c:v>
                      </c:pt>
                      <c:pt idx="24">
                        <c:v>498</c:v>
                      </c:pt>
                      <c:pt idx="25">
                        <c:v>506</c:v>
                      </c:pt>
                      <c:pt idx="26">
                        <c:v>514</c:v>
                      </c:pt>
                      <c:pt idx="27">
                        <c:v>522</c:v>
                      </c:pt>
                      <c:pt idx="28">
                        <c:v>530</c:v>
                      </c:pt>
                      <c:pt idx="29">
                        <c:v>538</c:v>
                      </c:pt>
                      <c:pt idx="30">
                        <c:v>546</c:v>
                      </c:pt>
                      <c:pt idx="31">
                        <c:v>554</c:v>
                      </c:pt>
                      <c:pt idx="32">
                        <c:v>562</c:v>
                      </c:pt>
                      <c:pt idx="33">
                        <c:v>570</c:v>
                      </c:pt>
                      <c:pt idx="34">
                        <c:v>578</c:v>
                      </c:pt>
                      <c:pt idx="35">
                        <c:v>586</c:v>
                      </c:pt>
                      <c:pt idx="36">
                        <c:v>594</c:v>
                      </c:pt>
                      <c:pt idx="37">
                        <c:v>602</c:v>
                      </c:pt>
                      <c:pt idx="38">
                        <c:v>610</c:v>
                      </c:pt>
                      <c:pt idx="39">
                        <c:v>618</c:v>
                      </c:pt>
                      <c:pt idx="40">
                        <c:v>626</c:v>
                      </c:pt>
                      <c:pt idx="41">
                        <c:v>634</c:v>
                      </c:pt>
                      <c:pt idx="42">
                        <c:v>642</c:v>
                      </c:pt>
                      <c:pt idx="43">
                        <c:v>650</c:v>
                      </c:pt>
                      <c:pt idx="44">
                        <c:v>658</c:v>
                      </c:pt>
                      <c:pt idx="45">
                        <c:v>666</c:v>
                      </c:pt>
                      <c:pt idx="46">
                        <c:v>674</c:v>
                      </c:pt>
                      <c:pt idx="47">
                        <c:v>682</c:v>
                      </c:pt>
                      <c:pt idx="48">
                        <c:v>690</c:v>
                      </c:pt>
                      <c:pt idx="49">
                        <c:v>698</c:v>
                      </c:pt>
                      <c:pt idx="50">
                        <c:v>706</c:v>
                      </c:pt>
                      <c:pt idx="51">
                        <c:v>714</c:v>
                      </c:pt>
                      <c:pt idx="52">
                        <c:v>722</c:v>
                      </c:pt>
                      <c:pt idx="53">
                        <c:v>730</c:v>
                      </c:pt>
                      <c:pt idx="54">
                        <c:v>738</c:v>
                      </c:pt>
                      <c:pt idx="55">
                        <c:v>746</c:v>
                      </c:pt>
                      <c:pt idx="56">
                        <c:v>754</c:v>
                      </c:pt>
                      <c:pt idx="57">
                        <c:v>762</c:v>
                      </c:pt>
                      <c:pt idx="58">
                        <c:v>770</c:v>
                      </c:pt>
                      <c:pt idx="59">
                        <c:v>778</c:v>
                      </c:pt>
                      <c:pt idx="60">
                        <c:v>786</c:v>
                      </c:pt>
                      <c:pt idx="61">
                        <c:v>794</c:v>
                      </c:pt>
                      <c:pt idx="62">
                        <c:v>802</c:v>
                      </c:pt>
                      <c:pt idx="63">
                        <c:v>810</c:v>
                      </c:pt>
                      <c:pt idx="64">
                        <c:v>818</c:v>
                      </c:pt>
                      <c:pt idx="65">
                        <c:v>826</c:v>
                      </c:pt>
                      <c:pt idx="66">
                        <c:v>834</c:v>
                      </c:pt>
                      <c:pt idx="67">
                        <c:v>842</c:v>
                      </c:pt>
                      <c:pt idx="68">
                        <c:v>850</c:v>
                      </c:pt>
                      <c:pt idx="69">
                        <c:v>858</c:v>
                      </c:pt>
                      <c:pt idx="70">
                        <c:v>866</c:v>
                      </c:pt>
                      <c:pt idx="71">
                        <c:v>874</c:v>
                      </c:pt>
                      <c:pt idx="72">
                        <c:v>882</c:v>
                      </c:pt>
                      <c:pt idx="73">
                        <c:v>890</c:v>
                      </c:pt>
                      <c:pt idx="74">
                        <c:v>898</c:v>
                      </c:pt>
                      <c:pt idx="75">
                        <c:v>906</c:v>
                      </c:pt>
                      <c:pt idx="76">
                        <c:v>914</c:v>
                      </c:pt>
                      <c:pt idx="77">
                        <c:v>922</c:v>
                      </c:pt>
                      <c:pt idx="78">
                        <c:v>930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EVALUATION!$B$108:$CP$108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-183.77576576576575</c:v>
                      </c:pt>
                      <c:pt idx="1">
                        <c:v>-179.80219219219219</c:v>
                      </c:pt>
                      <c:pt idx="2">
                        <c:v>-175.82861861861863</c:v>
                      </c:pt>
                      <c:pt idx="3">
                        <c:v>-171.85504504504505</c:v>
                      </c:pt>
                      <c:pt idx="4" formatCode="General">
                        <c:v>-168.51000000000002</c:v>
                      </c:pt>
                      <c:pt idx="5" formatCode="General">
                        <c:v>-165.31</c:v>
                      </c:pt>
                      <c:pt idx="6" formatCode="General">
                        <c:v>-162.10999999999999</c:v>
                      </c:pt>
                      <c:pt idx="7" formatCode="General">
                        <c:v>-158.91</c:v>
                      </c:pt>
                      <c:pt idx="8" formatCode="General">
                        <c:v>-156.06730538922156</c:v>
                      </c:pt>
                      <c:pt idx="9" formatCode="General">
                        <c:v>-153.42778443113772</c:v>
                      </c:pt>
                      <c:pt idx="10" formatCode="General">
                        <c:v>-150.78826347305389</c:v>
                      </c:pt>
                      <c:pt idx="11" formatCode="General">
                        <c:v>-148.14874251497005</c:v>
                      </c:pt>
                      <c:pt idx="12" formatCode="General">
                        <c:v>-145.70751497005986</c:v>
                      </c:pt>
                      <c:pt idx="13" formatCode="General">
                        <c:v>-143.49673652694611</c:v>
                      </c:pt>
                      <c:pt idx="14" formatCode="General">
                        <c:v>-141.28595808383233</c:v>
                      </c:pt>
                      <c:pt idx="15" formatCode="General">
                        <c:v>-139.07517964071855</c:v>
                      </c:pt>
                      <c:pt idx="16" formatCode="General">
                        <c:v>-136.96080838323354</c:v>
                      </c:pt>
                      <c:pt idx="17" formatCode="General">
                        <c:v>-135.08535928143712</c:v>
                      </c:pt>
                      <c:pt idx="18" formatCode="General">
                        <c:v>-133.20991017964073</c:v>
                      </c:pt>
                      <c:pt idx="19" formatCode="General">
                        <c:v>-131.33446107784434</c:v>
                      </c:pt>
                      <c:pt idx="20" formatCode="General">
                        <c:v>-129.49</c:v>
                      </c:pt>
                      <c:pt idx="21" formatCode="General">
                        <c:v>-127.89000000000001</c:v>
                      </c:pt>
                      <c:pt idx="22" formatCode="General">
                        <c:v>-126.29000000000002</c:v>
                      </c:pt>
                      <c:pt idx="23" formatCode="General">
                        <c:v>-124.69000000000001</c:v>
                      </c:pt>
                      <c:pt idx="24" formatCode="General">
                        <c:v>-123.09</c:v>
                      </c:pt>
                      <c:pt idx="25" formatCode="General">
                        <c:v>-121.94495495495497</c:v>
                      </c:pt>
                      <c:pt idx="26" formatCode="General">
                        <c:v>-120.83024024024024</c:v>
                      </c:pt>
                      <c:pt idx="27" formatCode="General">
                        <c:v>-119.71552552552552</c:v>
                      </c:pt>
                      <c:pt idx="28" formatCode="General">
                        <c:v>-118.6008108108108</c:v>
                      </c:pt>
                      <c:pt idx="29" formatCode="General">
                        <c:v>-119.12407185628743</c:v>
                      </c:pt>
                      <c:pt idx="30" formatCode="General">
                        <c:v>-120.12287425149701</c:v>
                      </c:pt>
                      <c:pt idx="31" formatCode="General">
                        <c:v>-121.12167664670659</c:v>
                      </c:pt>
                      <c:pt idx="32" formatCode="General">
                        <c:v>-122.12047904191617</c:v>
                      </c:pt>
                      <c:pt idx="33" formatCode="General">
                        <c:v>-123.0919760479042</c:v>
                      </c:pt>
                      <c:pt idx="34" formatCode="General">
                        <c:v>-124.04526946107785</c:v>
                      </c:pt>
                      <c:pt idx="35" formatCode="General">
                        <c:v>-124.9985628742515</c:v>
                      </c:pt>
                      <c:pt idx="36" formatCode="General">
                        <c:v>-125.95185628742516</c:v>
                      </c:pt>
                      <c:pt idx="37" formatCode="General">
                        <c:v>-126.90514970059881</c:v>
                      </c:pt>
                      <c:pt idx="38" formatCode="General">
                        <c:v>-127.85844311377247</c:v>
                      </c:pt>
                      <c:pt idx="39" formatCode="General">
                        <c:v>-128.81173652694611</c:v>
                      </c:pt>
                      <c:pt idx="40" formatCode="General">
                        <c:v>-129.76502994011977</c:v>
                      </c:pt>
                      <c:pt idx="41" formatCode="General">
                        <c:v>-130.71832335329341</c:v>
                      </c:pt>
                      <c:pt idx="42" formatCode="General">
                        <c:v>-131.67161676646708</c:v>
                      </c:pt>
                      <c:pt idx="43" formatCode="General">
                        <c:v>-132.62491017964072</c:v>
                      </c:pt>
                      <c:pt idx="44" formatCode="General">
                        <c:v>-133.57820359281436</c:v>
                      </c:pt>
                      <c:pt idx="45" formatCode="General">
                        <c:v>-134.53149700598803</c:v>
                      </c:pt>
                      <c:pt idx="46" formatCode="General">
                        <c:v>-135.48479041916167</c:v>
                      </c:pt>
                      <c:pt idx="47" formatCode="General">
                        <c:v>-136.43808383233534</c:v>
                      </c:pt>
                      <c:pt idx="48" formatCode="General">
                        <c:v>-137.39137724550898</c:v>
                      </c:pt>
                      <c:pt idx="49" formatCode="General">
                        <c:v>-138.34467065868265</c:v>
                      </c:pt>
                      <c:pt idx="50" formatCode="General">
                        <c:v>-139.21824719101124</c:v>
                      </c:pt>
                      <c:pt idx="51" formatCode="General">
                        <c:v>-140.08296629213484</c:v>
                      </c:pt>
                      <c:pt idx="52" formatCode="General">
                        <c:v>-140.94768539325844</c:v>
                      </c:pt>
                      <c:pt idx="53" formatCode="General">
                        <c:v>-141.81240449438204</c:v>
                      </c:pt>
                      <c:pt idx="54" formatCode="General">
                        <c:v>-142.67712359550563</c:v>
                      </c:pt>
                      <c:pt idx="55" formatCode="General">
                        <c:v>-143.54184269662923</c:v>
                      </c:pt>
                      <c:pt idx="56" formatCode="General">
                        <c:v>-144.40656179775283</c:v>
                      </c:pt>
                      <c:pt idx="57" formatCode="General">
                        <c:v>-145.2712808988764</c:v>
                      </c:pt>
                      <c:pt idx="58" formatCode="General">
                        <c:v>-146.136</c:v>
                      </c:pt>
                      <c:pt idx="59" formatCode="General">
                        <c:v>-147.00071910112359</c:v>
                      </c:pt>
                      <c:pt idx="60" formatCode="General">
                        <c:v>-147.86543820224719</c:v>
                      </c:pt>
                      <c:pt idx="61" formatCode="General">
                        <c:v>-148.73015730337079</c:v>
                      </c:pt>
                      <c:pt idx="62" formatCode="General">
                        <c:v>-149.59487640449439</c:v>
                      </c:pt>
                      <c:pt idx="63" formatCode="General">
                        <c:v>-150.45959550561798</c:v>
                      </c:pt>
                      <c:pt idx="64" formatCode="General">
                        <c:v>-151.32431460674158</c:v>
                      </c:pt>
                      <c:pt idx="65" formatCode="General">
                        <c:v>-152.18903370786518</c:v>
                      </c:pt>
                      <c:pt idx="66" formatCode="General">
                        <c:v>-153.03172284644197</c:v>
                      </c:pt>
                      <c:pt idx="67" formatCode="General">
                        <c:v>-153.79277153558053</c:v>
                      </c:pt>
                      <c:pt idx="68" formatCode="General">
                        <c:v>-154.55382022471912</c:v>
                      </c:pt>
                      <c:pt idx="69" formatCode="General">
                        <c:v>-155.31486891385768</c:v>
                      </c:pt>
                      <c:pt idx="70" formatCode="General">
                        <c:v>-156.07591760299627</c:v>
                      </c:pt>
                      <c:pt idx="71" formatCode="General">
                        <c:v>-156.83696629213483</c:v>
                      </c:pt>
                      <c:pt idx="72" formatCode="General">
                        <c:v>-157.59801498127342</c:v>
                      </c:pt>
                      <c:pt idx="73" formatCode="General">
                        <c:v>-158.35906367041198</c:v>
                      </c:pt>
                      <c:pt idx="74" formatCode="General">
                        <c:v>-159.12011235955057</c:v>
                      </c:pt>
                      <c:pt idx="75" formatCode="General">
                        <c:v>-159.88116104868914</c:v>
                      </c:pt>
                      <c:pt idx="76" formatCode="General">
                        <c:v>-160.64220973782773</c:v>
                      </c:pt>
                      <c:pt idx="77" formatCode="General">
                        <c:v>-161.40325842696629</c:v>
                      </c:pt>
                      <c:pt idx="78" formatCode="General">
                        <c:v>-162.16430711610488</c:v>
                      </c:pt>
                      <c:pt idx="79" formatCode="General">
                        <c:v>-162.92535580524344</c:v>
                      </c:pt>
                      <c:pt idx="80" formatCode="General">
                        <c:v>-163.68640449438203</c:v>
                      </c:pt>
                      <c:pt idx="81" formatCode="General">
                        <c:v>-164.44745318352059</c:v>
                      </c:pt>
                      <c:pt idx="82" formatCode="General">
                        <c:v>-165.20850187265918</c:v>
                      </c:pt>
                      <c:pt idx="83" formatCode="General">
                        <c:v>-165.92838323353294</c:v>
                      </c:pt>
                      <c:pt idx="84" formatCode="General">
                        <c:v>-166.61101796407183</c:v>
                      </c:pt>
                      <c:pt idx="85" formatCode="General">
                        <c:v>-167.29365269461076</c:v>
                      </c:pt>
                      <c:pt idx="86" formatCode="General">
                        <c:v>-167.97628742514968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D-11EF-44BA-AAAA-9AD66152902A}"/>
                  </c:ext>
                </c:extLst>
              </c15:ser>
            </c15:filteredScatterSeries>
            <c15:filteredScatterSeries>
              <c15:ser>
                <c:idx val="6"/>
                <c:order val="8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306</c:v>
                      </c:pt>
                      <c:pt idx="1">
                        <c:v>314</c:v>
                      </c:pt>
                      <c:pt idx="2">
                        <c:v>322</c:v>
                      </c:pt>
                      <c:pt idx="3">
                        <c:v>330</c:v>
                      </c:pt>
                      <c:pt idx="4">
                        <c:v>338</c:v>
                      </c:pt>
                      <c:pt idx="5">
                        <c:v>346</c:v>
                      </c:pt>
                      <c:pt idx="6">
                        <c:v>354</c:v>
                      </c:pt>
                      <c:pt idx="7">
                        <c:v>362</c:v>
                      </c:pt>
                      <c:pt idx="8">
                        <c:v>370</c:v>
                      </c:pt>
                      <c:pt idx="9">
                        <c:v>378</c:v>
                      </c:pt>
                      <c:pt idx="10">
                        <c:v>386</c:v>
                      </c:pt>
                      <c:pt idx="11">
                        <c:v>394</c:v>
                      </c:pt>
                      <c:pt idx="12">
                        <c:v>402</c:v>
                      </c:pt>
                      <c:pt idx="13">
                        <c:v>410</c:v>
                      </c:pt>
                      <c:pt idx="14">
                        <c:v>418</c:v>
                      </c:pt>
                      <c:pt idx="15">
                        <c:v>426</c:v>
                      </c:pt>
                      <c:pt idx="16">
                        <c:v>434</c:v>
                      </c:pt>
                      <c:pt idx="17">
                        <c:v>442</c:v>
                      </c:pt>
                      <c:pt idx="18">
                        <c:v>450</c:v>
                      </c:pt>
                      <c:pt idx="19">
                        <c:v>458</c:v>
                      </c:pt>
                      <c:pt idx="20">
                        <c:v>466</c:v>
                      </c:pt>
                      <c:pt idx="21">
                        <c:v>474</c:v>
                      </c:pt>
                      <c:pt idx="22">
                        <c:v>482</c:v>
                      </c:pt>
                      <c:pt idx="23">
                        <c:v>490</c:v>
                      </c:pt>
                      <c:pt idx="24">
                        <c:v>498</c:v>
                      </c:pt>
                      <c:pt idx="25">
                        <c:v>506</c:v>
                      </c:pt>
                      <c:pt idx="26">
                        <c:v>514</c:v>
                      </c:pt>
                      <c:pt idx="27">
                        <c:v>522</c:v>
                      </c:pt>
                      <c:pt idx="28">
                        <c:v>530</c:v>
                      </c:pt>
                      <c:pt idx="29">
                        <c:v>538</c:v>
                      </c:pt>
                      <c:pt idx="30">
                        <c:v>546</c:v>
                      </c:pt>
                      <c:pt idx="31">
                        <c:v>554</c:v>
                      </c:pt>
                      <c:pt idx="32">
                        <c:v>562</c:v>
                      </c:pt>
                      <c:pt idx="33">
                        <c:v>570</c:v>
                      </c:pt>
                      <c:pt idx="34">
                        <c:v>578</c:v>
                      </c:pt>
                      <c:pt idx="35">
                        <c:v>586</c:v>
                      </c:pt>
                      <c:pt idx="36">
                        <c:v>594</c:v>
                      </c:pt>
                      <c:pt idx="37">
                        <c:v>602</c:v>
                      </c:pt>
                      <c:pt idx="38">
                        <c:v>610</c:v>
                      </c:pt>
                      <c:pt idx="39">
                        <c:v>618</c:v>
                      </c:pt>
                      <c:pt idx="40">
                        <c:v>626</c:v>
                      </c:pt>
                      <c:pt idx="41">
                        <c:v>634</c:v>
                      </c:pt>
                      <c:pt idx="42">
                        <c:v>642</c:v>
                      </c:pt>
                      <c:pt idx="43">
                        <c:v>650</c:v>
                      </c:pt>
                      <c:pt idx="44">
                        <c:v>658</c:v>
                      </c:pt>
                      <c:pt idx="45">
                        <c:v>666</c:v>
                      </c:pt>
                      <c:pt idx="46">
                        <c:v>674</c:v>
                      </c:pt>
                      <c:pt idx="47">
                        <c:v>682</c:v>
                      </c:pt>
                      <c:pt idx="48">
                        <c:v>690</c:v>
                      </c:pt>
                      <c:pt idx="49">
                        <c:v>698</c:v>
                      </c:pt>
                      <c:pt idx="50">
                        <c:v>706</c:v>
                      </c:pt>
                      <c:pt idx="51">
                        <c:v>714</c:v>
                      </c:pt>
                      <c:pt idx="52">
                        <c:v>722</c:v>
                      </c:pt>
                      <c:pt idx="53">
                        <c:v>730</c:v>
                      </c:pt>
                      <c:pt idx="54">
                        <c:v>738</c:v>
                      </c:pt>
                      <c:pt idx="55">
                        <c:v>746</c:v>
                      </c:pt>
                      <c:pt idx="56">
                        <c:v>754</c:v>
                      </c:pt>
                      <c:pt idx="57">
                        <c:v>762</c:v>
                      </c:pt>
                      <c:pt idx="58">
                        <c:v>770</c:v>
                      </c:pt>
                      <c:pt idx="59">
                        <c:v>778</c:v>
                      </c:pt>
                      <c:pt idx="60">
                        <c:v>786</c:v>
                      </c:pt>
                      <c:pt idx="61">
                        <c:v>794</c:v>
                      </c:pt>
                      <c:pt idx="62">
                        <c:v>802</c:v>
                      </c:pt>
                      <c:pt idx="63">
                        <c:v>810</c:v>
                      </c:pt>
                      <c:pt idx="64">
                        <c:v>818</c:v>
                      </c:pt>
                      <c:pt idx="65">
                        <c:v>826</c:v>
                      </c:pt>
                      <c:pt idx="66">
                        <c:v>834</c:v>
                      </c:pt>
                      <c:pt idx="67">
                        <c:v>842</c:v>
                      </c:pt>
                      <c:pt idx="68">
                        <c:v>850</c:v>
                      </c:pt>
                      <c:pt idx="69">
                        <c:v>858</c:v>
                      </c:pt>
                      <c:pt idx="70">
                        <c:v>866</c:v>
                      </c:pt>
                      <c:pt idx="71">
                        <c:v>874</c:v>
                      </c:pt>
                      <c:pt idx="72">
                        <c:v>882</c:v>
                      </c:pt>
                      <c:pt idx="73">
                        <c:v>890</c:v>
                      </c:pt>
                      <c:pt idx="74">
                        <c:v>898</c:v>
                      </c:pt>
                      <c:pt idx="75">
                        <c:v>906</c:v>
                      </c:pt>
                      <c:pt idx="76">
                        <c:v>914</c:v>
                      </c:pt>
                      <c:pt idx="77">
                        <c:v>922</c:v>
                      </c:pt>
                      <c:pt idx="78">
                        <c:v>930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EVALUATION!$B$109:$CP$109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-30.236216216216214</c:v>
                      </c:pt>
                      <c:pt idx="1">
                        <c:v>-29.760540540540539</c:v>
                      </c:pt>
                      <c:pt idx="2">
                        <c:v>-29.284864864864865</c:v>
                      </c:pt>
                      <c:pt idx="3">
                        <c:v>-28.809189189189187</c:v>
                      </c:pt>
                      <c:pt idx="4" formatCode="General">
                        <c:v>-27.918203592814368</c:v>
                      </c:pt>
                      <c:pt idx="5" formatCode="General">
                        <c:v>-26.93137724550898</c:v>
                      </c:pt>
                      <c:pt idx="6" formatCode="General">
                        <c:v>-25.944550898203591</c:v>
                      </c:pt>
                      <c:pt idx="7" formatCode="General">
                        <c:v>-24.957724550898202</c:v>
                      </c:pt>
                      <c:pt idx="8" formatCode="General">
                        <c:v>-23.900658682634731</c:v>
                      </c:pt>
                      <c:pt idx="9" formatCode="General">
                        <c:v>-22.803652694610779</c:v>
                      </c:pt>
                      <c:pt idx="10" formatCode="General">
                        <c:v>-21.706646706586827</c:v>
                      </c:pt>
                      <c:pt idx="11" formatCode="General">
                        <c:v>-20.609640718562876</c:v>
                      </c:pt>
                      <c:pt idx="12" formatCode="General">
                        <c:v>-19.579323353293415</c:v>
                      </c:pt>
                      <c:pt idx="13" formatCode="General">
                        <c:v>-18.626508982035929</c:v>
                      </c:pt>
                      <c:pt idx="14" formatCode="General">
                        <c:v>-17.673694610778444</c:v>
                      </c:pt>
                      <c:pt idx="15" formatCode="General">
                        <c:v>-16.720880239520959</c:v>
                      </c:pt>
                      <c:pt idx="16" formatCode="General">
                        <c:v>-15.802221556886229</c:v>
                      </c:pt>
                      <c:pt idx="17" formatCode="General">
                        <c:v>-14.968209580838325</c:v>
                      </c:pt>
                      <c:pt idx="18" formatCode="General">
                        <c:v>-14.134197604790421</c:v>
                      </c:pt>
                      <c:pt idx="19" formatCode="General">
                        <c:v>-13.300185628742518</c:v>
                      </c:pt>
                      <c:pt idx="20" formatCode="General">
                        <c:v>-12.476790419161679</c:v>
                      </c:pt>
                      <c:pt idx="21" formatCode="General">
                        <c:v>-11.737149700598804</c:v>
                      </c:pt>
                      <c:pt idx="22" formatCode="General">
                        <c:v>-10.99750898203593</c:v>
                      </c:pt>
                      <c:pt idx="23" formatCode="General">
                        <c:v>-10.257868263473053</c:v>
                      </c:pt>
                      <c:pt idx="24" formatCode="General">
                        <c:v>-9.5182275449101788</c:v>
                      </c:pt>
                      <c:pt idx="25" formatCode="General">
                        <c:v>-9.2039819819819808</c:v>
                      </c:pt>
                      <c:pt idx="26" formatCode="General">
                        <c:v>-8.9180960960960949</c:v>
                      </c:pt>
                      <c:pt idx="27" formatCode="General">
                        <c:v>-8.632210210210209</c:v>
                      </c:pt>
                      <c:pt idx="28" formatCode="General">
                        <c:v>-8.346324324324323</c:v>
                      </c:pt>
                      <c:pt idx="29" formatCode="General">
                        <c:v>-8.3124431137724546</c:v>
                      </c:pt>
                      <c:pt idx="30" formatCode="General">
                        <c:v>-8.3517245508982043</c:v>
                      </c:pt>
                      <c:pt idx="31" formatCode="General">
                        <c:v>-8.3910059880239523</c:v>
                      </c:pt>
                      <c:pt idx="32" formatCode="General">
                        <c:v>-8.4302874251497002</c:v>
                      </c:pt>
                      <c:pt idx="33" formatCode="General">
                        <c:v>-8.4697125748502984</c:v>
                      </c:pt>
                      <c:pt idx="34" formatCode="General">
                        <c:v>-8.5092335329341307</c:v>
                      </c:pt>
                      <c:pt idx="35" formatCode="General">
                        <c:v>-8.5487544910179629</c:v>
                      </c:pt>
                      <c:pt idx="36" formatCode="General">
                        <c:v>-8.5882754491017952</c:v>
                      </c:pt>
                      <c:pt idx="37" formatCode="General">
                        <c:v>-8.6277964071856292</c:v>
                      </c:pt>
                      <c:pt idx="38" formatCode="General">
                        <c:v>-8.6673173652694615</c:v>
                      </c:pt>
                      <c:pt idx="39" formatCode="General">
                        <c:v>-8.7068383233532938</c:v>
                      </c:pt>
                      <c:pt idx="40" formatCode="General">
                        <c:v>-8.746359281437126</c:v>
                      </c:pt>
                      <c:pt idx="41" formatCode="General">
                        <c:v>-8.7858802395209583</c:v>
                      </c:pt>
                      <c:pt idx="42" formatCode="General">
                        <c:v>-8.8254011976047906</c:v>
                      </c:pt>
                      <c:pt idx="43" formatCode="General">
                        <c:v>-8.8649221556886229</c:v>
                      </c:pt>
                      <c:pt idx="44" formatCode="General">
                        <c:v>-8.9044431137724551</c:v>
                      </c:pt>
                      <c:pt idx="45" formatCode="General">
                        <c:v>-8.9439640718562874</c:v>
                      </c:pt>
                      <c:pt idx="46" formatCode="General">
                        <c:v>-8.9834850299401197</c:v>
                      </c:pt>
                      <c:pt idx="47" formatCode="General">
                        <c:v>-9.0230059880239519</c:v>
                      </c:pt>
                      <c:pt idx="48" formatCode="General">
                        <c:v>-9.0625269461077842</c:v>
                      </c:pt>
                      <c:pt idx="49" formatCode="General">
                        <c:v>-9.1020479041916165</c:v>
                      </c:pt>
                      <c:pt idx="50" formatCode="General">
                        <c:v>-9.140516853932585</c:v>
                      </c:pt>
                      <c:pt idx="51" formatCode="General">
                        <c:v>-9.1788689138576789</c:v>
                      </c:pt>
                      <c:pt idx="52" formatCode="General">
                        <c:v>-9.2172209737827711</c:v>
                      </c:pt>
                      <c:pt idx="53" formatCode="General">
                        <c:v>-9.255573033707865</c:v>
                      </c:pt>
                      <c:pt idx="54" formatCode="General">
                        <c:v>-9.2939250936329589</c:v>
                      </c:pt>
                      <c:pt idx="55" formatCode="General">
                        <c:v>-9.3322771535580529</c:v>
                      </c:pt>
                      <c:pt idx="56" formatCode="General">
                        <c:v>-9.3706292134831468</c:v>
                      </c:pt>
                      <c:pt idx="57" formatCode="General">
                        <c:v>-9.4089812734082408</c:v>
                      </c:pt>
                      <c:pt idx="58" formatCode="General">
                        <c:v>-9.4473333333333329</c:v>
                      </c:pt>
                      <c:pt idx="59" formatCode="General">
                        <c:v>-9.4856853932584269</c:v>
                      </c:pt>
                      <c:pt idx="60" formatCode="General">
                        <c:v>-9.5240374531835208</c:v>
                      </c:pt>
                      <c:pt idx="61" formatCode="General">
                        <c:v>-9.5623895131086147</c:v>
                      </c:pt>
                      <c:pt idx="62" formatCode="General">
                        <c:v>-9.6007415730337087</c:v>
                      </c:pt>
                      <c:pt idx="63" formatCode="General">
                        <c:v>-9.6390936329588026</c:v>
                      </c:pt>
                      <c:pt idx="64" formatCode="General">
                        <c:v>-9.6774456928838966</c:v>
                      </c:pt>
                      <c:pt idx="65" formatCode="General">
                        <c:v>-9.7157977528089887</c:v>
                      </c:pt>
                      <c:pt idx="66" formatCode="General">
                        <c:v>-9.7536913857677909</c:v>
                      </c:pt>
                      <c:pt idx="67" formatCode="General">
                        <c:v>-9.7898861423220982</c:v>
                      </c:pt>
                      <c:pt idx="68" formatCode="General">
                        <c:v>-9.8260808988764055</c:v>
                      </c:pt>
                      <c:pt idx="69" formatCode="General">
                        <c:v>-9.8622756554307127</c:v>
                      </c:pt>
                      <c:pt idx="70" formatCode="General">
                        <c:v>-9.89847041198502</c:v>
                      </c:pt>
                      <c:pt idx="71" formatCode="General">
                        <c:v>-9.9346651685393255</c:v>
                      </c:pt>
                      <c:pt idx="72" formatCode="General">
                        <c:v>-9.9708599250936327</c:v>
                      </c:pt>
                      <c:pt idx="73" formatCode="General">
                        <c:v>-10.00705468164794</c:v>
                      </c:pt>
                      <c:pt idx="74" formatCode="General">
                        <c:v>-10.043249438202247</c:v>
                      </c:pt>
                      <c:pt idx="75" formatCode="General">
                        <c:v>-10.079444194756555</c:v>
                      </c:pt>
                      <c:pt idx="76" formatCode="General">
                        <c:v>-10.115638951310862</c:v>
                      </c:pt>
                      <c:pt idx="77" formatCode="General">
                        <c:v>-10.151833707865169</c:v>
                      </c:pt>
                      <c:pt idx="78" formatCode="General">
                        <c:v>-10.188028464419476</c:v>
                      </c:pt>
                      <c:pt idx="79" formatCode="General">
                        <c:v>-10.224223220973784</c:v>
                      </c:pt>
                      <c:pt idx="80" formatCode="General">
                        <c:v>-10.260417977528089</c:v>
                      </c:pt>
                      <c:pt idx="81" formatCode="General">
                        <c:v>-10.296612734082396</c:v>
                      </c:pt>
                      <c:pt idx="82" formatCode="General">
                        <c:v>-10.332807490636704</c:v>
                      </c:pt>
                      <c:pt idx="83" formatCode="General">
                        <c:v>-10.368107784431137</c:v>
                      </c:pt>
                      <c:pt idx="84" formatCode="General">
                        <c:v>-10.402598802395209</c:v>
                      </c:pt>
                      <c:pt idx="85" formatCode="General">
                        <c:v>-10.437089820359281</c:v>
                      </c:pt>
                      <c:pt idx="86" formatCode="General">
                        <c:v>-10.471580838323353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E-11EF-44BA-AAAA-9AD66152902A}"/>
                  </c:ext>
                </c:extLst>
              </c15:ser>
            </c15:filteredScatterSeries>
            <c15:filteredScatterSeries>
              <c15:ser>
                <c:idx val="7"/>
                <c:order val="9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306</c:v>
                      </c:pt>
                      <c:pt idx="1">
                        <c:v>314</c:v>
                      </c:pt>
                      <c:pt idx="2">
                        <c:v>322</c:v>
                      </c:pt>
                      <c:pt idx="3">
                        <c:v>330</c:v>
                      </c:pt>
                      <c:pt idx="4">
                        <c:v>338</c:v>
                      </c:pt>
                      <c:pt idx="5">
                        <c:v>346</c:v>
                      </c:pt>
                      <c:pt idx="6">
                        <c:v>354</c:v>
                      </c:pt>
                      <c:pt idx="7">
                        <c:v>362</c:v>
                      </c:pt>
                      <c:pt idx="8">
                        <c:v>370</c:v>
                      </c:pt>
                      <c:pt idx="9">
                        <c:v>378</c:v>
                      </c:pt>
                      <c:pt idx="10">
                        <c:v>386</c:v>
                      </c:pt>
                      <c:pt idx="11">
                        <c:v>394</c:v>
                      </c:pt>
                      <c:pt idx="12">
                        <c:v>402</c:v>
                      </c:pt>
                      <c:pt idx="13">
                        <c:v>410</c:v>
                      </c:pt>
                      <c:pt idx="14">
                        <c:v>418</c:v>
                      </c:pt>
                      <c:pt idx="15">
                        <c:v>426</c:v>
                      </c:pt>
                      <c:pt idx="16">
                        <c:v>434</c:v>
                      </c:pt>
                      <c:pt idx="17">
                        <c:v>442</c:v>
                      </c:pt>
                      <c:pt idx="18">
                        <c:v>450</c:v>
                      </c:pt>
                      <c:pt idx="19">
                        <c:v>458</c:v>
                      </c:pt>
                      <c:pt idx="20">
                        <c:v>466</c:v>
                      </c:pt>
                      <c:pt idx="21">
                        <c:v>474</c:v>
                      </c:pt>
                      <c:pt idx="22">
                        <c:v>482</c:v>
                      </c:pt>
                      <c:pt idx="23">
                        <c:v>490</c:v>
                      </c:pt>
                      <c:pt idx="24">
                        <c:v>498</c:v>
                      </c:pt>
                      <c:pt idx="25">
                        <c:v>506</c:v>
                      </c:pt>
                      <c:pt idx="26">
                        <c:v>514</c:v>
                      </c:pt>
                      <c:pt idx="27">
                        <c:v>522</c:v>
                      </c:pt>
                      <c:pt idx="28">
                        <c:v>530</c:v>
                      </c:pt>
                      <c:pt idx="29">
                        <c:v>538</c:v>
                      </c:pt>
                      <c:pt idx="30">
                        <c:v>546</c:v>
                      </c:pt>
                      <c:pt idx="31">
                        <c:v>554</c:v>
                      </c:pt>
                      <c:pt idx="32">
                        <c:v>562</c:v>
                      </c:pt>
                      <c:pt idx="33">
                        <c:v>570</c:v>
                      </c:pt>
                      <c:pt idx="34">
                        <c:v>578</c:v>
                      </c:pt>
                      <c:pt idx="35">
                        <c:v>586</c:v>
                      </c:pt>
                      <c:pt idx="36">
                        <c:v>594</c:v>
                      </c:pt>
                      <c:pt idx="37">
                        <c:v>602</c:v>
                      </c:pt>
                      <c:pt idx="38">
                        <c:v>610</c:v>
                      </c:pt>
                      <c:pt idx="39">
                        <c:v>618</c:v>
                      </c:pt>
                      <c:pt idx="40">
                        <c:v>626</c:v>
                      </c:pt>
                      <c:pt idx="41">
                        <c:v>634</c:v>
                      </c:pt>
                      <c:pt idx="42">
                        <c:v>642</c:v>
                      </c:pt>
                      <c:pt idx="43">
                        <c:v>650</c:v>
                      </c:pt>
                      <c:pt idx="44">
                        <c:v>658</c:v>
                      </c:pt>
                      <c:pt idx="45">
                        <c:v>666</c:v>
                      </c:pt>
                      <c:pt idx="46">
                        <c:v>674</c:v>
                      </c:pt>
                      <c:pt idx="47">
                        <c:v>682</c:v>
                      </c:pt>
                      <c:pt idx="48">
                        <c:v>690</c:v>
                      </c:pt>
                      <c:pt idx="49">
                        <c:v>698</c:v>
                      </c:pt>
                      <c:pt idx="50">
                        <c:v>706</c:v>
                      </c:pt>
                      <c:pt idx="51">
                        <c:v>714</c:v>
                      </c:pt>
                      <c:pt idx="52">
                        <c:v>722</c:v>
                      </c:pt>
                      <c:pt idx="53">
                        <c:v>730</c:v>
                      </c:pt>
                      <c:pt idx="54">
                        <c:v>738</c:v>
                      </c:pt>
                      <c:pt idx="55">
                        <c:v>746</c:v>
                      </c:pt>
                      <c:pt idx="56">
                        <c:v>754</c:v>
                      </c:pt>
                      <c:pt idx="57">
                        <c:v>762</c:v>
                      </c:pt>
                      <c:pt idx="58">
                        <c:v>770</c:v>
                      </c:pt>
                      <c:pt idx="59">
                        <c:v>778</c:v>
                      </c:pt>
                      <c:pt idx="60">
                        <c:v>786</c:v>
                      </c:pt>
                      <c:pt idx="61">
                        <c:v>794</c:v>
                      </c:pt>
                      <c:pt idx="62">
                        <c:v>802</c:v>
                      </c:pt>
                      <c:pt idx="63">
                        <c:v>810</c:v>
                      </c:pt>
                      <c:pt idx="64">
                        <c:v>818</c:v>
                      </c:pt>
                      <c:pt idx="65">
                        <c:v>826</c:v>
                      </c:pt>
                      <c:pt idx="66">
                        <c:v>834</c:v>
                      </c:pt>
                      <c:pt idx="67">
                        <c:v>842</c:v>
                      </c:pt>
                      <c:pt idx="68">
                        <c:v>850</c:v>
                      </c:pt>
                      <c:pt idx="69">
                        <c:v>858</c:v>
                      </c:pt>
                      <c:pt idx="70">
                        <c:v>866</c:v>
                      </c:pt>
                      <c:pt idx="71">
                        <c:v>874</c:v>
                      </c:pt>
                      <c:pt idx="72">
                        <c:v>882</c:v>
                      </c:pt>
                      <c:pt idx="73">
                        <c:v>890</c:v>
                      </c:pt>
                      <c:pt idx="74">
                        <c:v>898</c:v>
                      </c:pt>
                      <c:pt idx="75">
                        <c:v>906</c:v>
                      </c:pt>
                      <c:pt idx="76">
                        <c:v>914</c:v>
                      </c:pt>
                      <c:pt idx="77">
                        <c:v>922</c:v>
                      </c:pt>
                      <c:pt idx="78">
                        <c:v>930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EVALUATION!$B$110:$CP$110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-15.118108108108107</c:v>
                      </c:pt>
                      <c:pt idx="1">
                        <c:v>-14.88027027027027</c:v>
                      </c:pt>
                      <c:pt idx="2">
                        <c:v>-14.642432432432432</c:v>
                      </c:pt>
                      <c:pt idx="3">
                        <c:v>-14.404594594594593</c:v>
                      </c:pt>
                      <c:pt idx="4" formatCode="General">
                        <c:v>-13.959101796407184</c:v>
                      </c:pt>
                      <c:pt idx="5" formatCode="General">
                        <c:v>-13.46568862275449</c:v>
                      </c:pt>
                      <c:pt idx="6" formatCode="General">
                        <c:v>-12.972275449101796</c:v>
                      </c:pt>
                      <c:pt idx="7" formatCode="General">
                        <c:v>-12.478862275449101</c:v>
                      </c:pt>
                      <c:pt idx="8" formatCode="General">
                        <c:v>-11.950329341317365</c:v>
                      </c:pt>
                      <c:pt idx="9" formatCode="General">
                        <c:v>-11.40182634730539</c:v>
                      </c:pt>
                      <c:pt idx="10" formatCode="General">
                        <c:v>-10.853323353293414</c:v>
                      </c:pt>
                      <c:pt idx="11" formatCode="General">
                        <c:v>-10.304820359281438</c:v>
                      </c:pt>
                      <c:pt idx="12" formatCode="General">
                        <c:v>-9.7896616766467073</c:v>
                      </c:pt>
                      <c:pt idx="13" formatCode="General">
                        <c:v>-9.3132544910179647</c:v>
                      </c:pt>
                      <c:pt idx="14" formatCode="General">
                        <c:v>-8.836847305389222</c:v>
                      </c:pt>
                      <c:pt idx="15" formatCode="General">
                        <c:v>-8.3604401197604794</c:v>
                      </c:pt>
                      <c:pt idx="16" formatCode="General">
                        <c:v>-7.9011107784431145</c:v>
                      </c:pt>
                      <c:pt idx="17" formatCode="General">
                        <c:v>-7.4841047904191624</c:v>
                      </c:pt>
                      <c:pt idx="18" formatCode="General">
                        <c:v>-7.0670988023952104</c:v>
                      </c:pt>
                      <c:pt idx="19" formatCode="General">
                        <c:v>-6.6500928143712592</c:v>
                      </c:pt>
                      <c:pt idx="20" formatCode="General">
                        <c:v>-6.2383952095808395</c:v>
                      </c:pt>
                      <c:pt idx="21" formatCode="General">
                        <c:v>-5.8685748502994022</c:v>
                      </c:pt>
                      <c:pt idx="22" formatCode="General">
                        <c:v>-5.4987544910179649</c:v>
                      </c:pt>
                      <c:pt idx="23" formatCode="General">
                        <c:v>-5.1289341317365267</c:v>
                      </c:pt>
                      <c:pt idx="24" formatCode="General">
                        <c:v>-4.7591137724550894</c:v>
                      </c:pt>
                      <c:pt idx="25" formatCode="General">
                        <c:v>-4.6019909909909904</c:v>
                      </c:pt>
                      <c:pt idx="26" formatCode="General">
                        <c:v>-4.4590480480480474</c:v>
                      </c:pt>
                      <c:pt idx="27" formatCode="General">
                        <c:v>-4.3161051051051045</c:v>
                      </c:pt>
                      <c:pt idx="28" formatCode="General">
                        <c:v>-4.1731621621621615</c:v>
                      </c:pt>
                      <c:pt idx="29" formatCode="General">
                        <c:v>-4.1562215568862273</c:v>
                      </c:pt>
                      <c:pt idx="30" formatCode="General">
                        <c:v>-4.1758622754491022</c:v>
                      </c:pt>
                      <c:pt idx="31" formatCode="General">
                        <c:v>-4.1955029940119761</c:v>
                      </c:pt>
                      <c:pt idx="32" formatCode="General">
                        <c:v>-4.2151437125748501</c:v>
                      </c:pt>
                      <c:pt idx="33" formatCode="General">
                        <c:v>-4.2348562874251492</c:v>
                      </c:pt>
                      <c:pt idx="34" formatCode="General">
                        <c:v>-4.2546167664670653</c:v>
                      </c:pt>
                      <c:pt idx="35" formatCode="General">
                        <c:v>-4.2743772455089815</c:v>
                      </c:pt>
                      <c:pt idx="36" formatCode="General">
                        <c:v>-4.2941377245508976</c:v>
                      </c:pt>
                      <c:pt idx="37" formatCode="General">
                        <c:v>-4.3138982035928146</c:v>
                      </c:pt>
                      <c:pt idx="38" formatCode="General">
                        <c:v>-4.3336586826347308</c:v>
                      </c:pt>
                      <c:pt idx="39" formatCode="General">
                        <c:v>-4.3534191616766469</c:v>
                      </c:pt>
                      <c:pt idx="40" formatCode="General">
                        <c:v>-4.373179640718563</c:v>
                      </c:pt>
                      <c:pt idx="41" formatCode="General">
                        <c:v>-4.3929401197604792</c:v>
                      </c:pt>
                      <c:pt idx="42" formatCode="General">
                        <c:v>-4.4127005988023953</c:v>
                      </c:pt>
                      <c:pt idx="43" formatCode="General">
                        <c:v>-4.4324610778443114</c:v>
                      </c:pt>
                      <c:pt idx="44" formatCode="General">
                        <c:v>-4.4522215568862276</c:v>
                      </c:pt>
                      <c:pt idx="45" formatCode="General">
                        <c:v>-4.4719820359281437</c:v>
                      </c:pt>
                      <c:pt idx="46" formatCode="General">
                        <c:v>-4.4917425149700598</c:v>
                      </c:pt>
                      <c:pt idx="47" formatCode="General">
                        <c:v>-4.511502994011976</c:v>
                      </c:pt>
                      <c:pt idx="48" formatCode="General">
                        <c:v>-4.5312634730538921</c:v>
                      </c:pt>
                      <c:pt idx="49" formatCode="General">
                        <c:v>-4.5510239520958082</c:v>
                      </c:pt>
                      <c:pt idx="50" formatCode="General">
                        <c:v>-4.5702584269662925</c:v>
                      </c:pt>
                      <c:pt idx="51" formatCode="General">
                        <c:v>-4.5894344569288394</c:v>
                      </c:pt>
                      <c:pt idx="52" formatCode="General">
                        <c:v>-4.6086104868913855</c:v>
                      </c:pt>
                      <c:pt idx="53" formatCode="General">
                        <c:v>-4.6277865168539325</c:v>
                      </c:pt>
                      <c:pt idx="54" formatCode="General">
                        <c:v>-4.6469625468164795</c:v>
                      </c:pt>
                      <c:pt idx="55" formatCode="General">
                        <c:v>-4.6661385767790264</c:v>
                      </c:pt>
                      <c:pt idx="56" formatCode="General">
                        <c:v>-4.6853146067415734</c:v>
                      </c:pt>
                      <c:pt idx="57" formatCode="General">
                        <c:v>-4.7044906367041204</c:v>
                      </c:pt>
                      <c:pt idx="58" formatCode="General">
                        <c:v>-4.7236666666666665</c:v>
                      </c:pt>
                      <c:pt idx="59" formatCode="General">
                        <c:v>-4.7428426966292134</c:v>
                      </c:pt>
                      <c:pt idx="60" formatCode="General">
                        <c:v>-4.7620187265917604</c:v>
                      </c:pt>
                      <c:pt idx="61" formatCode="General">
                        <c:v>-4.7811947565543074</c:v>
                      </c:pt>
                      <c:pt idx="62" formatCode="General">
                        <c:v>-4.8003707865168543</c:v>
                      </c:pt>
                      <c:pt idx="63" formatCode="General">
                        <c:v>-4.8195468164794013</c:v>
                      </c:pt>
                      <c:pt idx="64" formatCode="General">
                        <c:v>-4.8387228464419483</c:v>
                      </c:pt>
                      <c:pt idx="65" formatCode="General">
                        <c:v>-4.8578988764044944</c:v>
                      </c:pt>
                      <c:pt idx="66" formatCode="General">
                        <c:v>-4.8768456928838955</c:v>
                      </c:pt>
                      <c:pt idx="67" formatCode="General">
                        <c:v>-4.8949430711610491</c:v>
                      </c:pt>
                      <c:pt idx="68" formatCode="General">
                        <c:v>-4.9130404494382027</c:v>
                      </c:pt>
                      <c:pt idx="69" formatCode="General">
                        <c:v>-4.9311378277153564</c:v>
                      </c:pt>
                      <c:pt idx="70" formatCode="General">
                        <c:v>-4.94923520599251</c:v>
                      </c:pt>
                      <c:pt idx="71" formatCode="General">
                        <c:v>-4.9673325842696627</c:v>
                      </c:pt>
                      <c:pt idx="72" formatCode="General">
                        <c:v>-4.9854299625468164</c:v>
                      </c:pt>
                      <c:pt idx="73" formatCode="General">
                        <c:v>-5.00352734082397</c:v>
                      </c:pt>
                      <c:pt idx="74" formatCode="General">
                        <c:v>-5.0216247191011236</c:v>
                      </c:pt>
                      <c:pt idx="75" formatCode="General">
                        <c:v>-5.0397220973782773</c:v>
                      </c:pt>
                      <c:pt idx="76" formatCode="General">
                        <c:v>-5.0578194756554309</c:v>
                      </c:pt>
                      <c:pt idx="77" formatCode="General">
                        <c:v>-5.0759168539325845</c:v>
                      </c:pt>
                      <c:pt idx="78" formatCode="General">
                        <c:v>-5.0940142322097381</c:v>
                      </c:pt>
                      <c:pt idx="79" formatCode="General">
                        <c:v>-5.1121116104868918</c:v>
                      </c:pt>
                      <c:pt idx="80" formatCode="General">
                        <c:v>-5.1302089887640445</c:v>
                      </c:pt>
                      <c:pt idx="81" formatCode="General">
                        <c:v>-5.1483063670411982</c:v>
                      </c:pt>
                      <c:pt idx="82" formatCode="General">
                        <c:v>-5.1664037453183518</c:v>
                      </c:pt>
                      <c:pt idx="83" formatCode="General">
                        <c:v>-5.1840538922155686</c:v>
                      </c:pt>
                      <c:pt idx="84" formatCode="General">
                        <c:v>-5.2012994011976046</c:v>
                      </c:pt>
                      <c:pt idx="85" formatCode="General">
                        <c:v>-5.2185449101796406</c:v>
                      </c:pt>
                      <c:pt idx="86" formatCode="General">
                        <c:v>-5.2357904191616766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F-11EF-44BA-AAAA-9AD66152902A}"/>
                  </c:ext>
                </c:extLst>
              </c15:ser>
            </c15:filteredScatterSeries>
            <c15:filteredScatterSeries>
              <c15:ser>
                <c:idx val="8"/>
                <c:order val="10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306</c:v>
                      </c:pt>
                      <c:pt idx="1">
                        <c:v>314</c:v>
                      </c:pt>
                      <c:pt idx="2">
                        <c:v>322</c:v>
                      </c:pt>
                      <c:pt idx="3">
                        <c:v>330</c:v>
                      </c:pt>
                      <c:pt idx="4">
                        <c:v>338</c:v>
                      </c:pt>
                      <c:pt idx="5">
                        <c:v>346</c:v>
                      </c:pt>
                      <c:pt idx="6">
                        <c:v>354</c:v>
                      </c:pt>
                      <c:pt idx="7">
                        <c:v>362</c:v>
                      </c:pt>
                      <c:pt idx="8">
                        <c:v>370</c:v>
                      </c:pt>
                      <c:pt idx="9">
                        <c:v>378</c:v>
                      </c:pt>
                      <c:pt idx="10">
                        <c:v>386</c:v>
                      </c:pt>
                      <c:pt idx="11">
                        <c:v>394</c:v>
                      </c:pt>
                      <c:pt idx="12">
                        <c:v>402</c:v>
                      </c:pt>
                      <c:pt idx="13">
                        <c:v>410</c:v>
                      </c:pt>
                      <c:pt idx="14">
                        <c:v>418</c:v>
                      </c:pt>
                      <c:pt idx="15">
                        <c:v>426</c:v>
                      </c:pt>
                      <c:pt idx="16">
                        <c:v>434</c:v>
                      </c:pt>
                      <c:pt idx="17">
                        <c:v>442</c:v>
                      </c:pt>
                      <c:pt idx="18">
                        <c:v>450</c:v>
                      </c:pt>
                      <c:pt idx="19">
                        <c:v>458</c:v>
                      </c:pt>
                      <c:pt idx="20">
                        <c:v>466</c:v>
                      </c:pt>
                      <c:pt idx="21">
                        <c:v>474</c:v>
                      </c:pt>
                      <c:pt idx="22">
                        <c:v>482</c:v>
                      </c:pt>
                      <c:pt idx="23">
                        <c:v>490</c:v>
                      </c:pt>
                      <c:pt idx="24">
                        <c:v>498</c:v>
                      </c:pt>
                      <c:pt idx="25">
                        <c:v>506</c:v>
                      </c:pt>
                      <c:pt idx="26">
                        <c:v>514</c:v>
                      </c:pt>
                      <c:pt idx="27">
                        <c:v>522</c:v>
                      </c:pt>
                      <c:pt idx="28">
                        <c:v>530</c:v>
                      </c:pt>
                      <c:pt idx="29">
                        <c:v>538</c:v>
                      </c:pt>
                      <c:pt idx="30">
                        <c:v>546</c:v>
                      </c:pt>
                      <c:pt idx="31">
                        <c:v>554</c:v>
                      </c:pt>
                      <c:pt idx="32">
                        <c:v>562</c:v>
                      </c:pt>
                      <c:pt idx="33">
                        <c:v>570</c:v>
                      </c:pt>
                      <c:pt idx="34">
                        <c:v>578</c:v>
                      </c:pt>
                      <c:pt idx="35">
                        <c:v>586</c:v>
                      </c:pt>
                      <c:pt idx="36">
                        <c:v>594</c:v>
                      </c:pt>
                      <c:pt idx="37">
                        <c:v>602</c:v>
                      </c:pt>
                      <c:pt idx="38">
                        <c:v>610</c:v>
                      </c:pt>
                      <c:pt idx="39">
                        <c:v>618</c:v>
                      </c:pt>
                      <c:pt idx="40">
                        <c:v>626</c:v>
                      </c:pt>
                      <c:pt idx="41">
                        <c:v>634</c:v>
                      </c:pt>
                      <c:pt idx="42">
                        <c:v>642</c:v>
                      </c:pt>
                      <c:pt idx="43">
                        <c:v>650</c:v>
                      </c:pt>
                      <c:pt idx="44">
                        <c:v>658</c:v>
                      </c:pt>
                      <c:pt idx="45">
                        <c:v>666</c:v>
                      </c:pt>
                      <c:pt idx="46">
                        <c:v>674</c:v>
                      </c:pt>
                      <c:pt idx="47">
                        <c:v>682</c:v>
                      </c:pt>
                      <c:pt idx="48">
                        <c:v>690</c:v>
                      </c:pt>
                      <c:pt idx="49">
                        <c:v>698</c:v>
                      </c:pt>
                      <c:pt idx="50">
                        <c:v>706</c:v>
                      </c:pt>
                      <c:pt idx="51">
                        <c:v>714</c:v>
                      </c:pt>
                      <c:pt idx="52">
                        <c:v>722</c:v>
                      </c:pt>
                      <c:pt idx="53">
                        <c:v>730</c:v>
                      </c:pt>
                      <c:pt idx="54">
                        <c:v>738</c:v>
                      </c:pt>
                      <c:pt idx="55">
                        <c:v>746</c:v>
                      </c:pt>
                      <c:pt idx="56">
                        <c:v>754</c:v>
                      </c:pt>
                      <c:pt idx="57">
                        <c:v>762</c:v>
                      </c:pt>
                      <c:pt idx="58">
                        <c:v>770</c:v>
                      </c:pt>
                      <c:pt idx="59">
                        <c:v>778</c:v>
                      </c:pt>
                      <c:pt idx="60">
                        <c:v>786</c:v>
                      </c:pt>
                      <c:pt idx="61">
                        <c:v>794</c:v>
                      </c:pt>
                      <c:pt idx="62">
                        <c:v>802</c:v>
                      </c:pt>
                      <c:pt idx="63">
                        <c:v>810</c:v>
                      </c:pt>
                      <c:pt idx="64">
                        <c:v>818</c:v>
                      </c:pt>
                      <c:pt idx="65">
                        <c:v>826</c:v>
                      </c:pt>
                      <c:pt idx="66">
                        <c:v>834</c:v>
                      </c:pt>
                      <c:pt idx="67">
                        <c:v>842</c:v>
                      </c:pt>
                      <c:pt idx="68">
                        <c:v>850</c:v>
                      </c:pt>
                      <c:pt idx="69">
                        <c:v>858</c:v>
                      </c:pt>
                      <c:pt idx="70">
                        <c:v>866</c:v>
                      </c:pt>
                      <c:pt idx="71">
                        <c:v>874</c:v>
                      </c:pt>
                      <c:pt idx="72">
                        <c:v>882</c:v>
                      </c:pt>
                      <c:pt idx="73">
                        <c:v>890</c:v>
                      </c:pt>
                      <c:pt idx="74">
                        <c:v>898</c:v>
                      </c:pt>
                      <c:pt idx="75">
                        <c:v>906</c:v>
                      </c:pt>
                      <c:pt idx="76">
                        <c:v>914</c:v>
                      </c:pt>
                      <c:pt idx="77">
                        <c:v>922</c:v>
                      </c:pt>
                      <c:pt idx="78">
                        <c:v>930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EVALUATION!$B$111:$CP$111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-19.022342342342341</c:v>
                      </c:pt>
                      <c:pt idx="1">
                        <c:v>-19.024744744744744</c:v>
                      </c:pt>
                      <c:pt idx="2">
                        <c:v>-19.027147147147147</c:v>
                      </c:pt>
                      <c:pt idx="3">
                        <c:v>-19.02954954954955</c:v>
                      </c:pt>
                      <c:pt idx="4" formatCode="General">
                        <c:v>-19.035838323353293</c:v>
                      </c:pt>
                      <c:pt idx="5" formatCode="General">
                        <c:v>-19.043023952095808</c:v>
                      </c:pt>
                      <c:pt idx="6" formatCode="General">
                        <c:v>-19.050209580838324</c:v>
                      </c:pt>
                      <c:pt idx="7" formatCode="General">
                        <c:v>-19.057395209580836</c:v>
                      </c:pt>
                      <c:pt idx="8" formatCode="General">
                        <c:v>-19.06763473053892</c:v>
                      </c:pt>
                      <c:pt idx="9" formatCode="General">
                        <c:v>-19.079610778443111</c:v>
                      </c:pt>
                      <c:pt idx="10" formatCode="General">
                        <c:v>-19.091586826347303</c:v>
                      </c:pt>
                      <c:pt idx="11" formatCode="General">
                        <c:v>-19.103562874251498</c:v>
                      </c:pt>
                      <c:pt idx="12" formatCode="General">
                        <c:v>-19.116646706586828</c:v>
                      </c:pt>
                      <c:pt idx="13" formatCode="General">
                        <c:v>-19.131017964071855</c:v>
                      </c:pt>
                      <c:pt idx="14" formatCode="General">
                        <c:v>-19.145389221556886</c:v>
                      </c:pt>
                      <c:pt idx="15" formatCode="General">
                        <c:v>-19.159760479041918</c:v>
                      </c:pt>
                      <c:pt idx="16" formatCode="General">
                        <c:v>-19.174131736526949</c:v>
                      </c:pt>
                      <c:pt idx="17" formatCode="General">
                        <c:v>-19.188502994011976</c:v>
                      </c:pt>
                      <c:pt idx="18" formatCode="General">
                        <c:v>-19.202874251497008</c:v>
                      </c:pt>
                      <c:pt idx="19" formatCode="General">
                        <c:v>-19.217245508982035</c:v>
                      </c:pt>
                      <c:pt idx="20" formatCode="General">
                        <c:v>-19.231886227544912</c:v>
                      </c:pt>
                      <c:pt idx="21" formatCode="General">
                        <c:v>-19.248652694610779</c:v>
                      </c:pt>
                      <c:pt idx="22" formatCode="General">
                        <c:v>-19.265419161676647</c:v>
                      </c:pt>
                      <c:pt idx="23" formatCode="General">
                        <c:v>-19.282185628742514</c:v>
                      </c:pt>
                      <c:pt idx="24" formatCode="General">
                        <c:v>-19.298952095808385</c:v>
                      </c:pt>
                      <c:pt idx="25" formatCode="General">
                        <c:v>-19.2481981981982</c:v>
                      </c:pt>
                      <c:pt idx="26" formatCode="General">
                        <c:v>-19.192942942942942</c:v>
                      </c:pt>
                      <c:pt idx="27" formatCode="General">
                        <c:v>-19.137687687687688</c:v>
                      </c:pt>
                      <c:pt idx="28" formatCode="General">
                        <c:v>-19.082432432432434</c:v>
                      </c:pt>
                      <c:pt idx="29" formatCode="General">
                        <c:v>-19.062574850299402</c:v>
                      </c:pt>
                      <c:pt idx="30" formatCode="General">
                        <c:v>-19.052994011976047</c:v>
                      </c:pt>
                      <c:pt idx="31" formatCode="General">
                        <c:v>-19.043413173652695</c:v>
                      </c:pt>
                      <c:pt idx="32" formatCode="General">
                        <c:v>-19.033832335329343</c:v>
                      </c:pt>
                      <c:pt idx="33" formatCode="General">
                        <c:v>-19.040059880239522</c:v>
                      </c:pt>
                      <c:pt idx="34" formatCode="General">
                        <c:v>-19.056826347305389</c:v>
                      </c:pt>
                      <c:pt idx="35" formatCode="General">
                        <c:v>-19.07359281437126</c:v>
                      </c:pt>
                      <c:pt idx="36" formatCode="General">
                        <c:v>-19.090359281437127</c:v>
                      </c:pt>
                      <c:pt idx="37" formatCode="General">
                        <c:v>-19.107125748502995</c:v>
                      </c:pt>
                      <c:pt idx="38" formatCode="General">
                        <c:v>-19.123892215568862</c:v>
                      </c:pt>
                      <c:pt idx="39" formatCode="General">
                        <c:v>-19.140658682634729</c:v>
                      </c:pt>
                      <c:pt idx="40" formatCode="General">
                        <c:v>-19.1574251497006</c:v>
                      </c:pt>
                      <c:pt idx="41" formatCode="General">
                        <c:v>-19.174191616766468</c:v>
                      </c:pt>
                      <c:pt idx="42" formatCode="General">
                        <c:v>-19.190958083832335</c:v>
                      </c:pt>
                      <c:pt idx="43" formatCode="General">
                        <c:v>-19.207724550898202</c:v>
                      </c:pt>
                      <c:pt idx="44" formatCode="General">
                        <c:v>-19.22449101796407</c:v>
                      </c:pt>
                      <c:pt idx="45" formatCode="General">
                        <c:v>-19.241257485029941</c:v>
                      </c:pt>
                      <c:pt idx="46" formatCode="General">
                        <c:v>-19.258023952095808</c:v>
                      </c:pt>
                      <c:pt idx="47" formatCode="General">
                        <c:v>-19.274790419161675</c:v>
                      </c:pt>
                      <c:pt idx="48" formatCode="General">
                        <c:v>-19.291556886227543</c:v>
                      </c:pt>
                      <c:pt idx="49" formatCode="General">
                        <c:v>-19.30832335329341</c:v>
                      </c:pt>
                      <c:pt idx="50" formatCode="General">
                        <c:v>-19.324022471910112</c:v>
                      </c:pt>
                      <c:pt idx="51" formatCode="General">
                        <c:v>-19.33960299625468</c:v>
                      </c:pt>
                      <c:pt idx="52" formatCode="General">
                        <c:v>-19.355183520599251</c:v>
                      </c:pt>
                      <c:pt idx="53" formatCode="General">
                        <c:v>-19.370764044943819</c:v>
                      </c:pt>
                      <c:pt idx="54" formatCode="General">
                        <c:v>-19.38634456928839</c:v>
                      </c:pt>
                      <c:pt idx="55" formatCode="General">
                        <c:v>-19.401925093632958</c:v>
                      </c:pt>
                      <c:pt idx="56" formatCode="General">
                        <c:v>-19.417505617977529</c:v>
                      </c:pt>
                      <c:pt idx="57" formatCode="General">
                        <c:v>-19.433086142322097</c:v>
                      </c:pt>
                      <c:pt idx="58" formatCode="General">
                        <c:v>-19.448666666666668</c:v>
                      </c:pt>
                      <c:pt idx="59" formatCode="General">
                        <c:v>-19.464247191011236</c:v>
                      </c:pt>
                      <c:pt idx="60" formatCode="General">
                        <c:v>-19.479827715355807</c:v>
                      </c:pt>
                      <c:pt idx="61" formatCode="General">
                        <c:v>-19.495408239700375</c:v>
                      </c:pt>
                      <c:pt idx="62" formatCode="General">
                        <c:v>-19.510988764044942</c:v>
                      </c:pt>
                      <c:pt idx="63" formatCode="General">
                        <c:v>-19.526569288389513</c:v>
                      </c:pt>
                      <c:pt idx="64" formatCode="General">
                        <c:v>-19.542149812734081</c:v>
                      </c:pt>
                      <c:pt idx="65" formatCode="General">
                        <c:v>-19.557730337078652</c:v>
                      </c:pt>
                      <c:pt idx="66" formatCode="General">
                        <c:v>-19.573183520599251</c:v>
                      </c:pt>
                      <c:pt idx="67" formatCode="General">
                        <c:v>-19.58816479400749</c:v>
                      </c:pt>
                      <c:pt idx="68" formatCode="General">
                        <c:v>-19.603146067415732</c:v>
                      </c:pt>
                      <c:pt idx="69" formatCode="General">
                        <c:v>-19.618127340823971</c:v>
                      </c:pt>
                      <c:pt idx="70" formatCode="General">
                        <c:v>-19.63310861423221</c:v>
                      </c:pt>
                      <c:pt idx="71" formatCode="General">
                        <c:v>-19.648089887640449</c:v>
                      </c:pt>
                      <c:pt idx="72" formatCode="General">
                        <c:v>-19.663071161048691</c:v>
                      </c:pt>
                      <c:pt idx="73" formatCode="General">
                        <c:v>-19.67805243445693</c:v>
                      </c:pt>
                      <c:pt idx="74" formatCode="General">
                        <c:v>-19.693033707865169</c:v>
                      </c:pt>
                      <c:pt idx="75" formatCode="General">
                        <c:v>-19.708014981273408</c:v>
                      </c:pt>
                      <c:pt idx="76" formatCode="General">
                        <c:v>-19.722996254681647</c:v>
                      </c:pt>
                      <c:pt idx="77" formatCode="General">
                        <c:v>-19.737977528089889</c:v>
                      </c:pt>
                      <c:pt idx="78" formatCode="General">
                        <c:v>-19.752958801498128</c:v>
                      </c:pt>
                      <c:pt idx="79" formatCode="General">
                        <c:v>-19.767940074906367</c:v>
                      </c:pt>
                      <c:pt idx="80" formatCode="General">
                        <c:v>-19.782921348314606</c:v>
                      </c:pt>
                      <c:pt idx="81" formatCode="General">
                        <c:v>-19.797902621722848</c:v>
                      </c:pt>
                      <c:pt idx="82" formatCode="General">
                        <c:v>-19.812883895131087</c:v>
                      </c:pt>
                      <c:pt idx="83" formatCode="General">
                        <c:v>-19.82754491017964</c:v>
                      </c:pt>
                      <c:pt idx="84" formatCode="General">
                        <c:v>-19.841916167664671</c:v>
                      </c:pt>
                      <c:pt idx="85" formatCode="General">
                        <c:v>-19.856287425149699</c:v>
                      </c:pt>
                      <c:pt idx="86" formatCode="General">
                        <c:v>-19.87065868263473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0-11EF-44BA-AAAA-9AD66152902A}"/>
                  </c:ext>
                </c:extLst>
              </c15:ser>
            </c15:filteredScatterSeries>
            <c15:filteredScatterSeries>
              <c15:ser>
                <c:idx val="9"/>
                <c:order val="11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306</c:v>
                      </c:pt>
                      <c:pt idx="1">
                        <c:v>314</c:v>
                      </c:pt>
                      <c:pt idx="2">
                        <c:v>322</c:v>
                      </c:pt>
                      <c:pt idx="3">
                        <c:v>330</c:v>
                      </c:pt>
                      <c:pt idx="4">
                        <c:v>338</c:v>
                      </c:pt>
                      <c:pt idx="5">
                        <c:v>346</c:v>
                      </c:pt>
                      <c:pt idx="6">
                        <c:v>354</c:v>
                      </c:pt>
                      <c:pt idx="7">
                        <c:v>362</c:v>
                      </c:pt>
                      <c:pt idx="8">
                        <c:v>370</c:v>
                      </c:pt>
                      <c:pt idx="9">
                        <c:v>378</c:v>
                      </c:pt>
                      <c:pt idx="10">
                        <c:v>386</c:v>
                      </c:pt>
                      <c:pt idx="11">
                        <c:v>394</c:v>
                      </c:pt>
                      <c:pt idx="12">
                        <c:v>402</c:v>
                      </c:pt>
                      <c:pt idx="13">
                        <c:v>410</c:v>
                      </c:pt>
                      <c:pt idx="14">
                        <c:v>418</c:v>
                      </c:pt>
                      <c:pt idx="15">
                        <c:v>426</c:v>
                      </c:pt>
                      <c:pt idx="16">
                        <c:v>434</c:v>
                      </c:pt>
                      <c:pt idx="17">
                        <c:v>442</c:v>
                      </c:pt>
                      <c:pt idx="18">
                        <c:v>450</c:v>
                      </c:pt>
                      <c:pt idx="19">
                        <c:v>458</c:v>
                      </c:pt>
                      <c:pt idx="20">
                        <c:v>466</c:v>
                      </c:pt>
                      <c:pt idx="21">
                        <c:v>474</c:v>
                      </c:pt>
                      <c:pt idx="22">
                        <c:v>482</c:v>
                      </c:pt>
                      <c:pt idx="23">
                        <c:v>490</c:v>
                      </c:pt>
                      <c:pt idx="24">
                        <c:v>498</c:v>
                      </c:pt>
                      <c:pt idx="25">
                        <c:v>506</c:v>
                      </c:pt>
                      <c:pt idx="26">
                        <c:v>514</c:v>
                      </c:pt>
                      <c:pt idx="27">
                        <c:v>522</c:v>
                      </c:pt>
                      <c:pt idx="28">
                        <c:v>530</c:v>
                      </c:pt>
                      <c:pt idx="29">
                        <c:v>538</c:v>
                      </c:pt>
                      <c:pt idx="30">
                        <c:v>546</c:v>
                      </c:pt>
                      <c:pt idx="31">
                        <c:v>554</c:v>
                      </c:pt>
                      <c:pt idx="32">
                        <c:v>562</c:v>
                      </c:pt>
                      <c:pt idx="33">
                        <c:v>570</c:v>
                      </c:pt>
                      <c:pt idx="34">
                        <c:v>578</c:v>
                      </c:pt>
                      <c:pt idx="35">
                        <c:v>586</c:v>
                      </c:pt>
                      <c:pt idx="36">
                        <c:v>594</c:v>
                      </c:pt>
                      <c:pt idx="37">
                        <c:v>602</c:v>
                      </c:pt>
                      <c:pt idx="38">
                        <c:v>610</c:v>
                      </c:pt>
                      <c:pt idx="39">
                        <c:v>618</c:v>
                      </c:pt>
                      <c:pt idx="40">
                        <c:v>626</c:v>
                      </c:pt>
                      <c:pt idx="41">
                        <c:v>634</c:v>
                      </c:pt>
                      <c:pt idx="42">
                        <c:v>642</c:v>
                      </c:pt>
                      <c:pt idx="43">
                        <c:v>650</c:v>
                      </c:pt>
                      <c:pt idx="44">
                        <c:v>658</c:v>
                      </c:pt>
                      <c:pt idx="45">
                        <c:v>666</c:v>
                      </c:pt>
                      <c:pt idx="46">
                        <c:v>674</c:v>
                      </c:pt>
                      <c:pt idx="47">
                        <c:v>682</c:v>
                      </c:pt>
                      <c:pt idx="48">
                        <c:v>690</c:v>
                      </c:pt>
                      <c:pt idx="49">
                        <c:v>698</c:v>
                      </c:pt>
                      <c:pt idx="50">
                        <c:v>706</c:v>
                      </c:pt>
                      <c:pt idx="51">
                        <c:v>714</c:v>
                      </c:pt>
                      <c:pt idx="52">
                        <c:v>722</c:v>
                      </c:pt>
                      <c:pt idx="53">
                        <c:v>730</c:v>
                      </c:pt>
                      <c:pt idx="54">
                        <c:v>738</c:v>
                      </c:pt>
                      <c:pt idx="55">
                        <c:v>746</c:v>
                      </c:pt>
                      <c:pt idx="56">
                        <c:v>754</c:v>
                      </c:pt>
                      <c:pt idx="57">
                        <c:v>762</c:v>
                      </c:pt>
                      <c:pt idx="58">
                        <c:v>770</c:v>
                      </c:pt>
                      <c:pt idx="59">
                        <c:v>778</c:v>
                      </c:pt>
                      <c:pt idx="60">
                        <c:v>786</c:v>
                      </c:pt>
                      <c:pt idx="61">
                        <c:v>794</c:v>
                      </c:pt>
                      <c:pt idx="62">
                        <c:v>802</c:v>
                      </c:pt>
                      <c:pt idx="63">
                        <c:v>810</c:v>
                      </c:pt>
                      <c:pt idx="64">
                        <c:v>818</c:v>
                      </c:pt>
                      <c:pt idx="65">
                        <c:v>826</c:v>
                      </c:pt>
                      <c:pt idx="66">
                        <c:v>834</c:v>
                      </c:pt>
                      <c:pt idx="67">
                        <c:v>842</c:v>
                      </c:pt>
                      <c:pt idx="68">
                        <c:v>850</c:v>
                      </c:pt>
                      <c:pt idx="69">
                        <c:v>858</c:v>
                      </c:pt>
                      <c:pt idx="70">
                        <c:v>866</c:v>
                      </c:pt>
                      <c:pt idx="71">
                        <c:v>874</c:v>
                      </c:pt>
                      <c:pt idx="72">
                        <c:v>882</c:v>
                      </c:pt>
                      <c:pt idx="73">
                        <c:v>890</c:v>
                      </c:pt>
                      <c:pt idx="74">
                        <c:v>898</c:v>
                      </c:pt>
                      <c:pt idx="75">
                        <c:v>906</c:v>
                      </c:pt>
                      <c:pt idx="76">
                        <c:v>914</c:v>
                      </c:pt>
                      <c:pt idx="77">
                        <c:v>922</c:v>
                      </c:pt>
                      <c:pt idx="78">
                        <c:v>930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EVALUATION!$B$112:$CP$112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-15.118108108108107</c:v>
                      </c:pt>
                      <c:pt idx="1">
                        <c:v>-14.88027027027027</c:v>
                      </c:pt>
                      <c:pt idx="2">
                        <c:v>-14.642432432432432</c:v>
                      </c:pt>
                      <c:pt idx="3">
                        <c:v>-14.404594594594593</c:v>
                      </c:pt>
                      <c:pt idx="4" formatCode="General">
                        <c:v>-13.959101796407184</c:v>
                      </c:pt>
                      <c:pt idx="5" formatCode="General">
                        <c:v>-13.46568862275449</c:v>
                      </c:pt>
                      <c:pt idx="6" formatCode="General">
                        <c:v>-12.972275449101796</c:v>
                      </c:pt>
                      <c:pt idx="7" formatCode="General">
                        <c:v>-12.478862275449101</c:v>
                      </c:pt>
                      <c:pt idx="8" formatCode="General">
                        <c:v>-11.950329341317365</c:v>
                      </c:pt>
                      <c:pt idx="9" formatCode="General">
                        <c:v>-11.40182634730539</c:v>
                      </c:pt>
                      <c:pt idx="10" formatCode="General">
                        <c:v>-10.853323353293414</c:v>
                      </c:pt>
                      <c:pt idx="11" formatCode="General">
                        <c:v>-10.304820359281438</c:v>
                      </c:pt>
                      <c:pt idx="12" formatCode="General">
                        <c:v>-9.7896616766467073</c:v>
                      </c:pt>
                      <c:pt idx="13" formatCode="General">
                        <c:v>-9.3132544910179647</c:v>
                      </c:pt>
                      <c:pt idx="14" formatCode="General">
                        <c:v>-8.836847305389222</c:v>
                      </c:pt>
                      <c:pt idx="15" formatCode="General">
                        <c:v>-8.3604401197604794</c:v>
                      </c:pt>
                      <c:pt idx="16" formatCode="General">
                        <c:v>-7.9011107784431145</c:v>
                      </c:pt>
                      <c:pt idx="17" formatCode="General">
                        <c:v>-7.4841047904191624</c:v>
                      </c:pt>
                      <c:pt idx="18" formatCode="General">
                        <c:v>-7.0670988023952104</c:v>
                      </c:pt>
                      <c:pt idx="19" formatCode="General">
                        <c:v>-6.6500928143712592</c:v>
                      </c:pt>
                      <c:pt idx="20" formatCode="General">
                        <c:v>-6.2383952095808395</c:v>
                      </c:pt>
                      <c:pt idx="21" formatCode="General">
                        <c:v>-5.8685748502994022</c:v>
                      </c:pt>
                      <c:pt idx="22" formatCode="General">
                        <c:v>-5.4987544910179649</c:v>
                      </c:pt>
                      <c:pt idx="23" formatCode="General">
                        <c:v>-5.1289341317365267</c:v>
                      </c:pt>
                      <c:pt idx="24" formatCode="General">
                        <c:v>-4.7591137724550894</c:v>
                      </c:pt>
                      <c:pt idx="25" formatCode="General">
                        <c:v>-4.6019909909909904</c:v>
                      </c:pt>
                      <c:pt idx="26" formatCode="General">
                        <c:v>-4.4590480480480474</c:v>
                      </c:pt>
                      <c:pt idx="27" formatCode="General">
                        <c:v>-4.3161051051051045</c:v>
                      </c:pt>
                      <c:pt idx="28" formatCode="General">
                        <c:v>-4.1731621621621615</c:v>
                      </c:pt>
                      <c:pt idx="29" formatCode="General">
                        <c:v>-4.1562215568862273</c:v>
                      </c:pt>
                      <c:pt idx="30" formatCode="General">
                        <c:v>-4.1758622754491022</c:v>
                      </c:pt>
                      <c:pt idx="31" formatCode="General">
                        <c:v>-4.1955029940119761</c:v>
                      </c:pt>
                      <c:pt idx="32" formatCode="General">
                        <c:v>-4.2151437125748501</c:v>
                      </c:pt>
                      <c:pt idx="33" formatCode="General">
                        <c:v>-4.2348562874251492</c:v>
                      </c:pt>
                      <c:pt idx="34" formatCode="General">
                        <c:v>-4.2546167664670653</c:v>
                      </c:pt>
                      <c:pt idx="35" formatCode="General">
                        <c:v>-4.2743772455089815</c:v>
                      </c:pt>
                      <c:pt idx="36" formatCode="General">
                        <c:v>-4.2941377245508976</c:v>
                      </c:pt>
                      <c:pt idx="37" formatCode="General">
                        <c:v>-4.3138982035928146</c:v>
                      </c:pt>
                      <c:pt idx="38" formatCode="General">
                        <c:v>-4.3336586826347308</c:v>
                      </c:pt>
                      <c:pt idx="39" formatCode="General">
                        <c:v>-4.3534191616766469</c:v>
                      </c:pt>
                      <c:pt idx="40" formatCode="General">
                        <c:v>-4.373179640718563</c:v>
                      </c:pt>
                      <c:pt idx="41" formatCode="General">
                        <c:v>-4.3929401197604792</c:v>
                      </c:pt>
                      <c:pt idx="42" formatCode="General">
                        <c:v>-4.4127005988023953</c:v>
                      </c:pt>
                      <c:pt idx="43" formatCode="General">
                        <c:v>-4.4324610778443114</c:v>
                      </c:pt>
                      <c:pt idx="44" formatCode="General">
                        <c:v>-4.4522215568862276</c:v>
                      </c:pt>
                      <c:pt idx="45" formatCode="General">
                        <c:v>-4.4719820359281437</c:v>
                      </c:pt>
                      <c:pt idx="46" formatCode="General">
                        <c:v>-4.4917425149700598</c:v>
                      </c:pt>
                      <c:pt idx="47" formatCode="General">
                        <c:v>-4.511502994011976</c:v>
                      </c:pt>
                      <c:pt idx="48" formatCode="General">
                        <c:v>-4.5312634730538921</c:v>
                      </c:pt>
                      <c:pt idx="49" formatCode="General">
                        <c:v>-4.5510239520958082</c:v>
                      </c:pt>
                      <c:pt idx="50" formatCode="General">
                        <c:v>-4.5702584269662925</c:v>
                      </c:pt>
                      <c:pt idx="51" formatCode="General">
                        <c:v>-4.5894344569288394</c:v>
                      </c:pt>
                      <c:pt idx="52" formatCode="General">
                        <c:v>-4.6086104868913855</c:v>
                      </c:pt>
                      <c:pt idx="53" formatCode="General">
                        <c:v>-4.6277865168539325</c:v>
                      </c:pt>
                      <c:pt idx="54" formatCode="General">
                        <c:v>-4.6469625468164795</c:v>
                      </c:pt>
                      <c:pt idx="55" formatCode="General">
                        <c:v>-4.6661385767790264</c:v>
                      </c:pt>
                      <c:pt idx="56" formatCode="General">
                        <c:v>-4.6853146067415734</c:v>
                      </c:pt>
                      <c:pt idx="57" formatCode="General">
                        <c:v>-4.7044906367041204</c:v>
                      </c:pt>
                      <c:pt idx="58" formatCode="General">
                        <c:v>-4.7236666666666665</c:v>
                      </c:pt>
                      <c:pt idx="59" formatCode="General">
                        <c:v>-4.7428426966292134</c:v>
                      </c:pt>
                      <c:pt idx="60" formatCode="General">
                        <c:v>-4.7620187265917604</c:v>
                      </c:pt>
                      <c:pt idx="61" formatCode="General">
                        <c:v>-4.7811947565543074</c:v>
                      </c:pt>
                      <c:pt idx="62" formatCode="General">
                        <c:v>-4.8003707865168543</c:v>
                      </c:pt>
                      <c:pt idx="63" formatCode="General">
                        <c:v>-4.8195468164794013</c:v>
                      </c:pt>
                      <c:pt idx="64" formatCode="General">
                        <c:v>-4.8387228464419483</c:v>
                      </c:pt>
                      <c:pt idx="65" formatCode="General">
                        <c:v>-4.8578988764044944</c:v>
                      </c:pt>
                      <c:pt idx="66" formatCode="General">
                        <c:v>-4.8768456928838955</c:v>
                      </c:pt>
                      <c:pt idx="67" formatCode="General">
                        <c:v>-4.8949430711610491</c:v>
                      </c:pt>
                      <c:pt idx="68" formatCode="General">
                        <c:v>-4.9130404494382027</c:v>
                      </c:pt>
                      <c:pt idx="69" formatCode="General">
                        <c:v>-4.9311378277153564</c:v>
                      </c:pt>
                      <c:pt idx="70" formatCode="General">
                        <c:v>-4.94923520599251</c:v>
                      </c:pt>
                      <c:pt idx="71" formatCode="General">
                        <c:v>-4.9673325842696627</c:v>
                      </c:pt>
                      <c:pt idx="72" formatCode="General">
                        <c:v>-4.9854299625468164</c:v>
                      </c:pt>
                      <c:pt idx="73" formatCode="General">
                        <c:v>-5.00352734082397</c:v>
                      </c:pt>
                      <c:pt idx="74" formatCode="General">
                        <c:v>-5.0216247191011236</c:v>
                      </c:pt>
                      <c:pt idx="75" formatCode="General">
                        <c:v>-5.0397220973782773</c:v>
                      </c:pt>
                      <c:pt idx="76" formatCode="General">
                        <c:v>-5.0578194756554309</c:v>
                      </c:pt>
                      <c:pt idx="77" formatCode="General">
                        <c:v>-5.0759168539325845</c:v>
                      </c:pt>
                      <c:pt idx="78" formatCode="General">
                        <c:v>-5.0940142322097381</c:v>
                      </c:pt>
                      <c:pt idx="79" formatCode="General">
                        <c:v>-5.1121116104868918</c:v>
                      </c:pt>
                      <c:pt idx="80" formatCode="General">
                        <c:v>-5.1302089887640445</c:v>
                      </c:pt>
                      <c:pt idx="81" formatCode="General">
                        <c:v>-5.1483063670411982</c:v>
                      </c:pt>
                      <c:pt idx="82" formatCode="General">
                        <c:v>-5.1664037453183518</c:v>
                      </c:pt>
                      <c:pt idx="83" formatCode="General">
                        <c:v>-5.1840538922155686</c:v>
                      </c:pt>
                      <c:pt idx="84" formatCode="General">
                        <c:v>-5.2012994011976046</c:v>
                      </c:pt>
                      <c:pt idx="85" formatCode="General">
                        <c:v>-5.2185449101796406</c:v>
                      </c:pt>
                      <c:pt idx="86" formatCode="General">
                        <c:v>-5.2357904191616766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1-11EF-44BA-AAAA-9AD66152902A}"/>
                  </c:ext>
                </c:extLst>
              </c15:ser>
            </c15:filteredScatterSeries>
            <c15:filteredScatterSeries>
              <c15:ser>
                <c:idx val="10"/>
                <c:order val="12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306</c:v>
                      </c:pt>
                      <c:pt idx="1">
                        <c:v>314</c:v>
                      </c:pt>
                      <c:pt idx="2">
                        <c:v>322</c:v>
                      </c:pt>
                      <c:pt idx="3">
                        <c:v>330</c:v>
                      </c:pt>
                      <c:pt idx="4">
                        <c:v>338</c:v>
                      </c:pt>
                      <c:pt idx="5">
                        <c:v>346</c:v>
                      </c:pt>
                      <c:pt idx="6">
                        <c:v>354</c:v>
                      </c:pt>
                      <c:pt idx="7">
                        <c:v>362</c:v>
                      </c:pt>
                      <c:pt idx="8">
                        <c:v>370</c:v>
                      </c:pt>
                      <c:pt idx="9">
                        <c:v>378</c:v>
                      </c:pt>
                      <c:pt idx="10">
                        <c:v>386</c:v>
                      </c:pt>
                      <c:pt idx="11">
                        <c:v>394</c:v>
                      </c:pt>
                      <c:pt idx="12">
                        <c:v>402</c:v>
                      </c:pt>
                      <c:pt idx="13">
                        <c:v>410</c:v>
                      </c:pt>
                      <c:pt idx="14">
                        <c:v>418</c:v>
                      </c:pt>
                      <c:pt idx="15">
                        <c:v>426</c:v>
                      </c:pt>
                      <c:pt idx="16">
                        <c:v>434</c:v>
                      </c:pt>
                      <c:pt idx="17">
                        <c:v>442</c:v>
                      </c:pt>
                      <c:pt idx="18">
                        <c:v>450</c:v>
                      </c:pt>
                      <c:pt idx="19">
                        <c:v>458</c:v>
                      </c:pt>
                      <c:pt idx="20">
                        <c:v>466</c:v>
                      </c:pt>
                      <c:pt idx="21">
                        <c:v>474</c:v>
                      </c:pt>
                      <c:pt idx="22">
                        <c:v>482</c:v>
                      </c:pt>
                      <c:pt idx="23">
                        <c:v>490</c:v>
                      </c:pt>
                      <c:pt idx="24">
                        <c:v>498</c:v>
                      </c:pt>
                      <c:pt idx="25">
                        <c:v>506</c:v>
                      </c:pt>
                      <c:pt idx="26">
                        <c:v>514</c:v>
                      </c:pt>
                      <c:pt idx="27">
                        <c:v>522</c:v>
                      </c:pt>
                      <c:pt idx="28">
                        <c:v>530</c:v>
                      </c:pt>
                      <c:pt idx="29">
                        <c:v>538</c:v>
                      </c:pt>
                      <c:pt idx="30">
                        <c:v>546</c:v>
                      </c:pt>
                      <c:pt idx="31">
                        <c:v>554</c:v>
                      </c:pt>
                      <c:pt idx="32">
                        <c:v>562</c:v>
                      </c:pt>
                      <c:pt idx="33">
                        <c:v>570</c:v>
                      </c:pt>
                      <c:pt idx="34">
                        <c:v>578</c:v>
                      </c:pt>
                      <c:pt idx="35">
                        <c:v>586</c:v>
                      </c:pt>
                      <c:pt idx="36">
                        <c:v>594</c:v>
                      </c:pt>
                      <c:pt idx="37">
                        <c:v>602</c:v>
                      </c:pt>
                      <c:pt idx="38">
                        <c:v>610</c:v>
                      </c:pt>
                      <c:pt idx="39">
                        <c:v>618</c:v>
                      </c:pt>
                      <c:pt idx="40">
                        <c:v>626</c:v>
                      </c:pt>
                      <c:pt idx="41">
                        <c:v>634</c:v>
                      </c:pt>
                      <c:pt idx="42">
                        <c:v>642</c:v>
                      </c:pt>
                      <c:pt idx="43">
                        <c:v>650</c:v>
                      </c:pt>
                      <c:pt idx="44">
                        <c:v>658</c:v>
                      </c:pt>
                      <c:pt idx="45">
                        <c:v>666</c:v>
                      </c:pt>
                      <c:pt idx="46">
                        <c:v>674</c:v>
                      </c:pt>
                      <c:pt idx="47">
                        <c:v>682</c:v>
                      </c:pt>
                      <c:pt idx="48">
                        <c:v>690</c:v>
                      </c:pt>
                      <c:pt idx="49">
                        <c:v>698</c:v>
                      </c:pt>
                      <c:pt idx="50">
                        <c:v>706</c:v>
                      </c:pt>
                      <c:pt idx="51">
                        <c:v>714</c:v>
                      </c:pt>
                      <c:pt idx="52">
                        <c:v>722</c:v>
                      </c:pt>
                      <c:pt idx="53">
                        <c:v>730</c:v>
                      </c:pt>
                      <c:pt idx="54">
                        <c:v>738</c:v>
                      </c:pt>
                      <c:pt idx="55">
                        <c:v>746</c:v>
                      </c:pt>
                      <c:pt idx="56">
                        <c:v>754</c:v>
                      </c:pt>
                      <c:pt idx="57">
                        <c:v>762</c:v>
                      </c:pt>
                      <c:pt idx="58">
                        <c:v>770</c:v>
                      </c:pt>
                      <c:pt idx="59">
                        <c:v>778</c:v>
                      </c:pt>
                      <c:pt idx="60">
                        <c:v>786</c:v>
                      </c:pt>
                      <c:pt idx="61">
                        <c:v>794</c:v>
                      </c:pt>
                      <c:pt idx="62">
                        <c:v>802</c:v>
                      </c:pt>
                      <c:pt idx="63">
                        <c:v>810</c:v>
                      </c:pt>
                      <c:pt idx="64">
                        <c:v>818</c:v>
                      </c:pt>
                      <c:pt idx="65">
                        <c:v>826</c:v>
                      </c:pt>
                      <c:pt idx="66">
                        <c:v>834</c:v>
                      </c:pt>
                      <c:pt idx="67">
                        <c:v>842</c:v>
                      </c:pt>
                      <c:pt idx="68">
                        <c:v>850</c:v>
                      </c:pt>
                      <c:pt idx="69">
                        <c:v>858</c:v>
                      </c:pt>
                      <c:pt idx="70">
                        <c:v>866</c:v>
                      </c:pt>
                      <c:pt idx="71">
                        <c:v>874</c:v>
                      </c:pt>
                      <c:pt idx="72">
                        <c:v>882</c:v>
                      </c:pt>
                      <c:pt idx="73">
                        <c:v>890</c:v>
                      </c:pt>
                      <c:pt idx="74">
                        <c:v>898</c:v>
                      </c:pt>
                      <c:pt idx="75">
                        <c:v>906</c:v>
                      </c:pt>
                      <c:pt idx="76">
                        <c:v>914</c:v>
                      </c:pt>
                      <c:pt idx="77">
                        <c:v>922</c:v>
                      </c:pt>
                      <c:pt idx="78">
                        <c:v>930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EVALUATION!$B$113:$CP$113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-19.022342342342341</c:v>
                      </c:pt>
                      <c:pt idx="1">
                        <c:v>-19.024744744744744</c:v>
                      </c:pt>
                      <c:pt idx="2">
                        <c:v>-19.027147147147147</c:v>
                      </c:pt>
                      <c:pt idx="3">
                        <c:v>-19.02954954954955</c:v>
                      </c:pt>
                      <c:pt idx="4" formatCode="General">
                        <c:v>-19.035838323353293</c:v>
                      </c:pt>
                      <c:pt idx="5" formatCode="General">
                        <c:v>-19.043023952095808</c:v>
                      </c:pt>
                      <c:pt idx="6" formatCode="General">
                        <c:v>-19.050209580838324</c:v>
                      </c:pt>
                      <c:pt idx="7" formatCode="General">
                        <c:v>-19.057395209580836</c:v>
                      </c:pt>
                      <c:pt idx="8" formatCode="General">
                        <c:v>-19.06763473053892</c:v>
                      </c:pt>
                      <c:pt idx="9" formatCode="General">
                        <c:v>-19.079610778443111</c:v>
                      </c:pt>
                      <c:pt idx="10" formatCode="General">
                        <c:v>-19.091586826347303</c:v>
                      </c:pt>
                      <c:pt idx="11" formatCode="General">
                        <c:v>-19.103562874251498</c:v>
                      </c:pt>
                      <c:pt idx="12" formatCode="General">
                        <c:v>-19.116646706586828</c:v>
                      </c:pt>
                      <c:pt idx="13" formatCode="General">
                        <c:v>-19.131017964071855</c:v>
                      </c:pt>
                      <c:pt idx="14" formatCode="General">
                        <c:v>-19.145389221556886</c:v>
                      </c:pt>
                      <c:pt idx="15" formatCode="General">
                        <c:v>-19.159760479041918</c:v>
                      </c:pt>
                      <c:pt idx="16" formatCode="General">
                        <c:v>-19.174131736526949</c:v>
                      </c:pt>
                      <c:pt idx="17" formatCode="General">
                        <c:v>-19.188502994011976</c:v>
                      </c:pt>
                      <c:pt idx="18" formatCode="General">
                        <c:v>-19.202874251497008</c:v>
                      </c:pt>
                      <c:pt idx="19" formatCode="General">
                        <c:v>-19.217245508982035</c:v>
                      </c:pt>
                      <c:pt idx="20" formatCode="General">
                        <c:v>-19.231886227544912</c:v>
                      </c:pt>
                      <c:pt idx="21" formatCode="General">
                        <c:v>-19.248652694610779</c:v>
                      </c:pt>
                      <c:pt idx="22" formatCode="General">
                        <c:v>-19.265419161676647</c:v>
                      </c:pt>
                      <c:pt idx="23" formatCode="General">
                        <c:v>-19.282185628742514</c:v>
                      </c:pt>
                      <c:pt idx="24" formatCode="General">
                        <c:v>-19.298952095808385</c:v>
                      </c:pt>
                      <c:pt idx="25" formatCode="General">
                        <c:v>-19.2481981981982</c:v>
                      </c:pt>
                      <c:pt idx="26" formatCode="General">
                        <c:v>-19.192942942942942</c:v>
                      </c:pt>
                      <c:pt idx="27" formatCode="General">
                        <c:v>-19.137687687687688</c:v>
                      </c:pt>
                      <c:pt idx="28" formatCode="General">
                        <c:v>-19.082432432432434</c:v>
                      </c:pt>
                      <c:pt idx="29" formatCode="General">
                        <c:v>-19.062574850299402</c:v>
                      </c:pt>
                      <c:pt idx="30" formatCode="General">
                        <c:v>-19.052994011976047</c:v>
                      </c:pt>
                      <c:pt idx="31" formatCode="General">
                        <c:v>-19.043413173652695</c:v>
                      </c:pt>
                      <c:pt idx="32" formatCode="General">
                        <c:v>-19.033832335329343</c:v>
                      </c:pt>
                      <c:pt idx="33" formatCode="General">
                        <c:v>-19.040059880239522</c:v>
                      </c:pt>
                      <c:pt idx="34" formatCode="General">
                        <c:v>-19.056826347305389</c:v>
                      </c:pt>
                      <c:pt idx="35" formatCode="General">
                        <c:v>-19.07359281437126</c:v>
                      </c:pt>
                      <c:pt idx="36" formatCode="General">
                        <c:v>-19.090359281437127</c:v>
                      </c:pt>
                      <c:pt idx="37" formatCode="General">
                        <c:v>-19.107125748502995</c:v>
                      </c:pt>
                      <c:pt idx="38" formatCode="General">
                        <c:v>-19.123892215568862</c:v>
                      </c:pt>
                      <c:pt idx="39" formatCode="General">
                        <c:v>-19.140658682634729</c:v>
                      </c:pt>
                      <c:pt idx="40" formatCode="General">
                        <c:v>-19.1574251497006</c:v>
                      </c:pt>
                      <c:pt idx="41" formatCode="General">
                        <c:v>-19.174191616766468</c:v>
                      </c:pt>
                      <c:pt idx="42" formatCode="General">
                        <c:v>-19.190958083832335</c:v>
                      </c:pt>
                      <c:pt idx="43" formatCode="General">
                        <c:v>-19.207724550898202</c:v>
                      </c:pt>
                      <c:pt idx="44" formatCode="General">
                        <c:v>-19.22449101796407</c:v>
                      </c:pt>
                      <c:pt idx="45" formatCode="General">
                        <c:v>-19.241257485029941</c:v>
                      </c:pt>
                      <c:pt idx="46" formatCode="General">
                        <c:v>-19.258023952095808</c:v>
                      </c:pt>
                      <c:pt idx="47" formatCode="General">
                        <c:v>-19.274790419161675</c:v>
                      </c:pt>
                      <c:pt idx="48" formatCode="General">
                        <c:v>-19.291556886227543</c:v>
                      </c:pt>
                      <c:pt idx="49" formatCode="General">
                        <c:v>-19.30832335329341</c:v>
                      </c:pt>
                      <c:pt idx="50" formatCode="General">
                        <c:v>-19.324022471910112</c:v>
                      </c:pt>
                      <c:pt idx="51" formatCode="General">
                        <c:v>-19.33960299625468</c:v>
                      </c:pt>
                      <c:pt idx="52" formatCode="General">
                        <c:v>-19.355183520599251</c:v>
                      </c:pt>
                      <c:pt idx="53" formatCode="General">
                        <c:v>-19.370764044943819</c:v>
                      </c:pt>
                      <c:pt idx="54" formatCode="General">
                        <c:v>-19.38634456928839</c:v>
                      </c:pt>
                      <c:pt idx="55" formatCode="General">
                        <c:v>-19.401925093632958</c:v>
                      </c:pt>
                      <c:pt idx="56" formatCode="General">
                        <c:v>-19.417505617977529</c:v>
                      </c:pt>
                      <c:pt idx="57" formatCode="General">
                        <c:v>-19.433086142322097</c:v>
                      </c:pt>
                      <c:pt idx="58" formatCode="General">
                        <c:v>-19.448666666666668</c:v>
                      </c:pt>
                      <c:pt idx="59" formatCode="General">
                        <c:v>-19.464247191011236</c:v>
                      </c:pt>
                      <c:pt idx="60" formatCode="General">
                        <c:v>-19.479827715355807</c:v>
                      </c:pt>
                      <c:pt idx="61" formatCode="General">
                        <c:v>-19.495408239700375</c:v>
                      </c:pt>
                      <c:pt idx="62" formatCode="General">
                        <c:v>-19.510988764044942</c:v>
                      </c:pt>
                      <c:pt idx="63" formatCode="General">
                        <c:v>-19.526569288389513</c:v>
                      </c:pt>
                      <c:pt idx="64" formatCode="General">
                        <c:v>-19.542149812734081</c:v>
                      </c:pt>
                      <c:pt idx="65" formatCode="General">
                        <c:v>-19.557730337078652</c:v>
                      </c:pt>
                      <c:pt idx="66" formatCode="General">
                        <c:v>-19.573183520599251</c:v>
                      </c:pt>
                      <c:pt idx="67" formatCode="General">
                        <c:v>-19.58816479400749</c:v>
                      </c:pt>
                      <c:pt idx="68" formatCode="General">
                        <c:v>-19.603146067415732</c:v>
                      </c:pt>
                      <c:pt idx="69" formatCode="General">
                        <c:v>-19.618127340823971</c:v>
                      </c:pt>
                      <c:pt idx="70" formatCode="General">
                        <c:v>-19.63310861423221</c:v>
                      </c:pt>
                      <c:pt idx="71" formatCode="General">
                        <c:v>-19.648089887640449</c:v>
                      </c:pt>
                      <c:pt idx="72" formatCode="General">
                        <c:v>-19.663071161048691</c:v>
                      </c:pt>
                      <c:pt idx="73" formatCode="General">
                        <c:v>-19.67805243445693</c:v>
                      </c:pt>
                      <c:pt idx="74" formatCode="General">
                        <c:v>-19.693033707865169</c:v>
                      </c:pt>
                      <c:pt idx="75" formatCode="General">
                        <c:v>-19.708014981273408</c:v>
                      </c:pt>
                      <c:pt idx="76" formatCode="General">
                        <c:v>-19.722996254681647</c:v>
                      </c:pt>
                      <c:pt idx="77" formatCode="General">
                        <c:v>-19.737977528089889</c:v>
                      </c:pt>
                      <c:pt idx="78" formatCode="General">
                        <c:v>-19.752958801498128</c:v>
                      </c:pt>
                      <c:pt idx="79" formatCode="General">
                        <c:v>-19.767940074906367</c:v>
                      </c:pt>
                      <c:pt idx="80" formatCode="General">
                        <c:v>-19.782921348314606</c:v>
                      </c:pt>
                      <c:pt idx="81" formatCode="General">
                        <c:v>-19.797902621722848</c:v>
                      </c:pt>
                      <c:pt idx="82" formatCode="General">
                        <c:v>-19.812883895131087</c:v>
                      </c:pt>
                      <c:pt idx="83" formatCode="General">
                        <c:v>-19.82754491017964</c:v>
                      </c:pt>
                      <c:pt idx="84" formatCode="General">
                        <c:v>-19.841916167664671</c:v>
                      </c:pt>
                      <c:pt idx="85" formatCode="General">
                        <c:v>-19.856287425149699</c:v>
                      </c:pt>
                      <c:pt idx="86" formatCode="General">
                        <c:v>-19.87065868263473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2-11EF-44BA-AAAA-9AD66152902A}"/>
                  </c:ext>
                </c:extLst>
              </c15:ser>
            </c15:filteredScatterSeries>
            <c15:filteredScatterSeries>
              <c15:ser>
                <c:idx val="11"/>
                <c:order val="13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306</c:v>
                      </c:pt>
                      <c:pt idx="1">
                        <c:v>314</c:v>
                      </c:pt>
                      <c:pt idx="2">
                        <c:v>322</c:v>
                      </c:pt>
                      <c:pt idx="3">
                        <c:v>330</c:v>
                      </c:pt>
                      <c:pt idx="4">
                        <c:v>338</c:v>
                      </c:pt>
                      <c:pt idx="5">
                        <c:v>346</c:v>
                      </c:pt>
                      <c:pt idx="6">
                        <c:v>354</c:v>
                      </c:pt>
                      <c:pt idx="7">
                        <c:v>362</c:v>
                      </c:pt>
                      <c:pt idx="8">
                        <c:v>370</c:v>
                      </c:pt>
                      <c:pt idx="9">
                        <c:v>378</c:v>
                      </c:pt>
                      <c:pt idx="10">
                        <c:v>386</c:v>
                      </c:pt>
                      <c:pt idx="11">
                        <c:v>394</c:v>
                      </c:pt>
                      <c:pt idx="12">
                        <c:v>402</c:v>
                      </c:pt>
                      <c:pt idx="13">
                        <c:v>410</c:v>
                      </c:pt>
                      <c:pt idx="14">
                        <c:v>418</c:v>
                      </c:pt>
                      <c:pt idx="15">
                        <c:v>426</c:v>
                      </c:pt>
                      <c:pt idx="16">
                        <c:v>434</c:v>
                      </c:pt>
                      <c:pt idx="17">
                        <c:v>442</c:v>
                      </c:pt>
                      <c:pt idx="18">
                        <c:v>450</c:v>
                      </c:pt>
                      <c:pt idx="19">
                        <c:v>458</c:v>
                      </c:pt>
                      <c:pt idx="20">
                        <c:v>466</c:v>
                      </c:pt>
                      <c:pt idx="21">
                        <c:v>474</c:v>
                      </c:pt>
                      <c:pt idx="22">
                        <c:v>482</c:v>
                      </c:pt>
                      <c:pt idx="23">
                        <c:v>490</c:v>
                      </c:pt>
                      <c:pt idx="24">
                        <c:v>498</c:v>
                      </c:pt>
                      <c:pt idx="25">
                        <c:v>506</c:v>
                      </c:pt>
                      <c:pt idx="26">
                        <c:v>514</c:v>
                      </c:pt>
                      <c:pt idx="27">
                        <c:v>522</c:v>
                      </c:pt>
                      <c:pt idx="28">
                        <c:v>530</c:v>
                      </c:pt>
                      <c:pt idx="29">
                        <c:v>538</c:v>
                      </c:pt>
                      <c:pt idx="30">
                        <c:v>546</c:v>
                      </c:pt>
                      <c:pt idx="31">
                        <c:v>554</c:v>
                      </c:pt>
                      <c:pt idx="32">
                        <c:v>562</c:v>
                      </c:pt>
                      <c:pt idx="33">
                        <c:v>570</c:v>
                      </c:pt>
                      <c:pt idx="34">
                        <c:v>578</c:v>
                      </c:pt>
                      <c:pt idx="35">
                        <c:v>586</c:v>
                      </c:pt>
                      <c:pt idx="36">
                        <c:v>594</c:v>
                      </c:pt>
                      <c:pt idx="37">
                        <c:v>602</c:v>
                      </c:pt>
                      <c:pt idx="38">
                        <c:v>610</c:v>
                      </c:pt>
                      <c:pt idx="39">
                        <c:v>618</c:v>
                      </c:pt>
                      <c:pt idx="40">
                        <c:v>626</c:v>
                      </c:pt>
                      <c:pt idx="41">
                        <c:v>634</c:v>
                      </c:pt>
                      <c:pt idx="42">
                        <c:v>642</c:v>
                      </c:pt>
                      <c:pt idx="43">
                        <c:v>650</c:v>
                      </c:pt>
                      <c:pt idx="44">
                        <c:v>658</c:v>
                      </c:pt>
                      <c:pt idx="45">
                        <c:v>666</c:v>
                      </c:pt>
                      <c:pt idx="46">
                        <c:v>674</c:v>
                      </c:pt>
                      <c:pt idx="47">
                        <c:v>682</c:v>
                      </c:pt>
                      <c:pt idx="48">
                        <c:v>690</c:v>
                      </c:pt>
                      <c:pt idx="49">
                        <c:v>698</c:v>
                      </c:pt>
                      <c:pt idx="50">
                        <c:v>706</c:v>
                      </c:pt>
                      <c:pt idx="51">
                        <c:v>714</c:v>
                      </c:pt>
                      <c:pt idx="52">
                        <c:v>722</c:v>
                      </c:pt>
                      <c:pt idx="53">
                        <c:v>730</c:v>
                      </c:pt>
                      <c:pt idx="54">
                        <c:v>738</c:v>
                      </c:pt>
                      <c:pt idx="55">
                        <c:v>746</c:v>
                      </c:pt>
                      <c:pt idx="56">
                        <c:v>754</c:v>
                      </c:pt>
                      <c:pt idx="57">
                        <c:v>762</c:v>
                      </c:pt>
                      <c:pt idx="58">
                        <c:v>770</c:v>
                      </c:pt>
                      <c:pt idx="59">
                        <c:v>778</c:v>
                      </c:pt>
                      <c:pt idx="60">
                        <c:v>786</c:v>
                      </c:pt>
                      <c:pt idx="61">
                        <c:v>794</c:v>
                      </c:pt>
                      <c:pt idx="62">
                        <c:v>802</c:v>
                      </c:pt>
                      <c:pt idx="63">
                        <c:v>810</c:v>
                      </c:pt>
                      <c:pt idx="64">
                        <c:v>818</c:v>
                      </c:pt>
                      <c:pt idx="65">
                        <c:v>826</c:v>
                      </c:pt>
                      <c:pt idx="66">
                        <c:v>834</c:v>
                      </c:pt>
                      <c:pt idx="67">
                        <c:v>842</c:v>
                      </c:pt>
                      <c:pt idx="68">
                        <c:v>850</c:v>
                      </c:pt>
                      <c:pt idx="69">
                        <c:v>858</c:v>
                      </c:pt>
                      <c:pt idx="70">
                        <c:v>866</c:v>
                      </c:pt>
                      <c:pt idx="71">
                        <c:v>874</c:v>
                      </c:pt>
                      <c:pt idx="72">
                        <c:v>882</c:v>
                      </c:pt>
                      <c:pt idx="73">
                        <c:v>890</c:v>
                      </c:pt>
                      <c:pt idx="74">
                        <c:v>898</c:v>
                      </c:pt>
                      <c:pt idx="75">
                        <c:v>906</c:v>
                      </c:pt>
                      <c:pt idx="76">
                        <c:v>914</c:v>
                      </c:pt>
                      <c:pt idx="77">
                        <c:v>922</c:v>
                      </c:pt>
                      <c:pt idx="78">
                        <c:v>930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EVALUATION!$B$114:$CP$114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-59.678288288288286</c:v>
                      </c:pt>
                      <c:pt idx="1">
                        <c:v>-58.332942942942942</c:v>
                      </c:pt>
                      <c:pt idx="2">
                        <c:v>-56.987597597597599</c:v>
                      </c:pt>
                      <c:pt idx="3">
                        <c:v>-55.642252252252256</c:v>
                      </c:pt>
                      <c:pt idx="4" formatCode="General">
                        <c:v>-54.130868263473054</c:v>
                      </c:pt>
                      <c:pt idx="5" formatCode="General">
                        <c:v>-52.581167664670659</c:v>
                      </c:pt>
                      <c:pt idx="6" formatCode="General">
                        <c:v>-51.031467065868263</c:v>
                      </c:pt>
                      <c:pt idx="7" formatCode="General">
                        <c:v>-49.481766467065867</c:v>
                      </c:pt>
                      <c:pt idx="8" formatCode="General">
                        <c:v>-47.964131736526944</c:v>
                      </c:pt>
                      <c:pt idx="9" formatCode="General">
                        <c:v>-46.464730538922154</c:v>
                      </c:pt>
                      <c:pt idx="10" formatCode="General">
                        <c:v>-44.965329341317364</c:v>
                      </c:pt>
                      <c:pt idx="11" formatCode="General">
                        <c:v>-43.465928143712574</c:v>
                      </c:pt>
                      <c:pt idx="12" formatCode="General">
                        <c:v>-42.064011976047901</c:v>
                      </c:pt>
                      <c:pt idx="13" formatCode="General">
                        <c:v>-40.775389221556885</c:v>
                      </c:pt>
                      <c:pt idx="14" formatCode="General">
                        <c:v>-39.48676646706587</c:v>
                      </c:pt>
                      <c:pt idx="15" formatCode="General">
                        <c:v>-38.198143712574847</c:v>
                      </c:pt>
                      <c:pt idx="16" formatCode="General">
                        <c:v>-36.957724550898206</c:v>
                      </c:pt>
                      <c:pt idx="17" formatCode="General">
                        <c:v>-35.836766467065871</c:v>
                      </c:pt>
                      <c:pt idx="18" formatCode="General">
                        <c:v>-34.715808383233536</c:v>
                      </c:pt>
                      <c:pt idx="19" formatCode="General">
                        <c:v>-33.594850299401202</c:v>
                      </c:pt>
                      <c:pt idx="20" formatCode="General">
                        <c:v>-32.488982035928146</c:v>
                      </c:pt>
                      <c:pt idx="21" formatCode="General">
                        <c:v>-31.502155688622757</c:v>
                      </c:pt>
                      <c:pt idx="22" formatCode="General">
                        <c:v>-30.515329341317369</c:v>
                      </c:pt>
                      <c:pt idx="23" formatCode="General">
                        <c:v>-29.528502994011976</c:v>
                      </c:pt>
                      <c:pt idx="24" formatCode="General">
                        <c:v>-28.541676646706588</c:v>
                      </c:pt>
                      <c:pt idx="25" formatCode="General">
                        <c:v>-27.788558558558559</c:v>
                      </c:pt>
                      <c:pt idx="26" formatCode="General">
                        <c:v>-27.051021021021018</c:v>
                      </c:pt>
                      <c:pt idx="27" formatCode="General">
                        <c:v>-26.313483483483481</c:v>
                      </c:pt>
                      <c:pt idx="28" formatCode="General">
                        <c:v>-25.575945945945943</c:v>
                      </c:pt>
                      <c:pt idx="29" formatCode="General">
                        <c:v>-25.655029940119761</c:v>
                      </c:pt>
                      <c:pt idx="30" formatCode="General">
                        <c:v>-25.971197604790419</c:v>
                      </c:pt>
                      <c:pt idx="31" formatCode="General">
                        <c:v>-26.287365269461077</c:v>
                      </c:pt>
                      <c:pt idx="32" formatCode="General">
                        <c:v>-26.603532934131735</c:v>
                      </c:pt>
                      <c:pt idx="33" formatCode="General">
                        <c:v>-26.911437125748503</c:v>
                      </c:pt>
                      <c:pt idx="34" formatCode="General">
                        <c:v>-27.213832335329339</c:v>
                      </c:pt>
                      <c:pt idx="35" formatCode="General">
                        <c:v>-27.51622754491018</c:v>
                      </c:pt>
                      <c:pt idx="36" formatCode="General">
                        <c:v>-27.818622754491017</c:v>
                      </c:pt>
                      <c:pt idx="37" formatCode="General">
                        <c:v>-28.121017964071857</c:v>
                      </c:pt>
                      <c:pt idx="38" formatCode="General">
                        <c:v>-28.423413173652694</c:v>
                      </c:pt>
                      <c:pt idx="39" formatCode="General">
                        <c:v>-28.725808383233534</c:v>
                      </c:pt>
                      <c:pt idx="40" formatCode="General">
                        <c:v>-29.028203592814371</c:v>
                      </c:pt>
                      <c:pt idx="41" formatCode="General">
                        <c:v>-29.330598802395212</c:v>
                      </c:pt>
                      <c:pt idx="42" formatCode="General">
                        <c:v>-29.632994011976049</c:v>
                      </c:pt>
                      <c:pt idx="43" formatCode="General">
                        <c:v>-29.935389221556889</c:v>
                      </c:pt>
                      <c:pt idx="44" formatCode="General">
                        <c:v>-30.237784431137726</c:v>
                      </c:pt>
                      <c:pt idx="45" formatCode="General">
                        <c:v>-30.540179640718566</c:v>
                      </c:pt>
                      <c:pt idx="46" formatCode="General">
                        <c:v>-30.842574850299403</c:v>
                      </c:pt>
                      <c:pt idx="47" formatCode="General">
                        <c:v>-31.144970059880244</c:v>
                      </c:pt>
                      <c:pt idx="48" formatCode="General">
                        <c:v>-31.447365269461081</c:v>
                      </c:pt>
                      <c:pt idx="49" formatCode="General">
                        <c:v>-31.749760479041917</c:v>
                      </c:pt>
                      <c:pt idx="50" formatCode="General">
                        <c:v>-32.022696629213485</c:v>
                      </c:pt>
                      <c:pt idx="51" formatCode="General">
                        <c:v>-32.292359550561798</c:v>
                      </c:pt>
                      <c:pt idx="52" formatCode="General">
                        <c:v>-32.562022471910112</c:v>
                      </c:pt>
                      <c:pt idx="53" formatCode="General">
                        <c:v>-32.831685393258432</c:v>
                      </c:pt>
                      <c:pt idx="54" formatCode="General">
                        <c:v>-33.101348314606746</c:v>
                      </c:pt>
                      <c:pt idx="55" formatCode="General">
                        <c:v>-33.371011235955059</c:v>
                      </c:pt>
                      <c:pt idx="56" formatCode="General">
                        <c:v>-33.640674157303373</c:v>
                      </c:pt>
                      <c:pt idx="57" formatCode="General">
                        <c:v>-33.910337078651686</c:v>
                      </c:pt>
                      <c:pt idx="58" formatCode="General">
                        <c:v>-34.18</c:v>
                      </c:pt>
                      <c:pt idx="59" formatCode="General">
                        <c:v>-34.44966292134832</c:v>
                      </c:pt>
                      <c:pt idx="60" formatCode="General">
                        <c:v>-34.719325842696634</c:v>
                      </c:pt>
                      <c:pt idx="61" formatCode="General">
                        <c:v>-34.988988764044947</c:v>
                      </c:pt>
                      <c:pt idx="62" formatCode="General">
                        <c:v>-35.258651685393261</c:v>
                      </c:pt>
                      <c:pt idx="63" formatCode="General">
                        <c:v>-35.528314606741574</c:v>
                      </c:pt>
                      <c:pt idx="64" formatCode="General">
                        <c:v>-35.797977528089888</c:v>
                      </c:pt>
                      <c:pt idx="65" formatCode="General">
                        <c:v>-36.067640449438201</c:v>
                      </c:pt>
                      <c:pt idx="66" formatCode="General">
                        <c:v>-36.328007490636708</c:v>
                      </c:pt>
                      <c:pt idx="67" formatCode="General">
                        <c:v>-36.553925093632962</c:v>
                      </c:pt>
                      <c:pt idx="68" formatCode="General">
                        <c:v>-36.779842696629217</c:v>
                      </c:pt>
                      <c:pt idx="69" formatCode="General">
                        <c:v>-37.005760299625472</c:v>
                      </c:pt>
                      <c:pt idx="70" formatCode="General">
                        <c:v>-37.231677902621726</c:v>
                      </c:pt>
                      <c:pt idx="71" formatCode="General">
                        <c:v>-37.457595505617981</c:v>
                      </c:pt>
                      <c:pt idx="72" formatCode="General">
                        <c:v>-37.683513108614235</c:v>
                      </c:pt>
                      <c:pt idx="73" formatCode="General">
                        <c:v>-37.90943071161049</c:v>
                      </c:pt>
                      <c:pt idx="74" formatCode="General">
                        <c:v>-38.135348314606745</c:v>
                      </c:pt>
                      <c:pt idx="75" formatCode="General">
                        <c:v>-38.361265917602999</c:v>
                      </c:pt>
                      <c:pt idx="76" formatCode="General">
                        <c:v>-38.587183520599254</c:v>
                      </c:pt>
                      <c:pt idx="77" formatCode="General">
                        <c:v>-38.813101123595509</c:v>
                      </c:pt>
                      <c:pt idx="78" formatCode="General">
                        <c:v>-39.039018726591763</c:v>
                      </c:pt>
                      <c:pt idx="79" formatCode="General">
                        <c:v>-39.264936329588011</c:v>
                      </c:pt>
                      <c:pt idx="80" formatCode="General">
                        <c:v>-39.490853932584265</c:v>
                      </c:pt>
                      <c:pt idx="81" formatCode="General">
                        <c:v>-39.71677153558052</c:v>
                      </c:pt>
                      <c:pt idx="82" formatCode="General">
                        <c:v>-39.942689138576775</c:v>
                      </c:pt>
                      <c:pt idx="83" formatCode="General">
                        <c:v>-40.151856287425147</c:v>
                      </c:pt>
                      <c:pt idx="84" formatCode="General">
                        <c:v>-40.345868263473051</c:v>
                      </c:pt>
                      <c:pt idx="85" formatCode="General">
                        <c:v>-40.539880239520954</c:v>
                      </c:pt>
                      <c:pt idx="86" formatCode="General">
                        <c:v>-40.733892215568858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3-11EF-44BA-AAAA-9AD66152902A}"/>
                  </c:ext>
                </c:extLst>
              </c15:ser>
            </c15:filteredScatterSeries>
            <c15:filteredScatterSeries>
              <c15:ser>
                <c:idx val="12"/>
                <c:order val="14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306</c:v>
                      </c:pt>
                      <c:pt idx="1">
                        <c:v>314</c:v>
                      </c:pt>
                      <c:pt idx="2">
                        <c:v>322</c:v>
                      </c:pt>
                      <c:pt idx="3">
                        <c:v>330</c:v>
                      </c:pt>
                      <c:pt idx="4">
                        <c:v>338</c:v>
                      </c:pt>
                      <c:pt idx="5">
                        <c:v>346</c:v>
                      </c:pt>
                      <c:pt idx="6">
                        <c:v>354</c:v>
                      </c:pt>
                      <c:pt idx="7">
                        <c:v>362</c:v>
                      </c:pt>
                      <c:pt idx="8">
                        <c:v>370</c:v>
                      </c:pt>
                      <c:pt idx="9">
                        <c:v>378</c:v>
                      </c:pt>
                      <c:pt idx="10">
                        <c:v>386</c:v>
                      </c:pt>
                      <c:pt idx="11">
                        <c:v>394</c:v>
                      </c:pt>
                      <c:pt idx="12">
                        <c:v>402</c:v>
                      </c:pt>
                      <c:pt idx="13">
                        <c:v>410</c:v>
                      </c:pt>
                      <c:pt idx="14">
                        <c:v>418</c:v>
                      </c:pt>
                      <c:pt idx="15">
                        <c:v>426</c:v>
                      </c:pt>
                      <c:pt idx="16">
                        <c:v>434</c:v>
                      </c:pt>
                      <c:pt idx="17">
                        <c:v>442</c:v>
                      </c:pt>
                      <c:pt idx="18">
                        <c:v>450</c:v>
                      </c:pt>
                      <c:pt idx="19">
                        <c:v>458</c:v>
                      </c:pt>
                      <c:pt idx="20">
                        <c:v>466</c:v>
                      </c:pt>
                      <c:pt idx="21">
                        <c:v>474</c:v>
                      </c:pt>
                      <c:pt idx="22">
                        <c:v>482</c:v>
                      </c:pt>
                      <c:pt idx="23">
                        <c:v>490</c:v>
                      </c:pt>
                      <c:pt idx="24">
                        <c:v>498</c:v>
                      </c:pt>
                      <c:pt idx="25">
                        <c:v>506</c:v>
                      </c:pt>
                      <c:pt idx="26">
                        <c:v>514</c:v>
                      </c:pt>
                      <c:pt idx="27">
                        <c:v>522</c:v>
                      </c:pt>
                      <c:pt idx="28">
                        <c:v>530</c:v>
                      </c:pt>
                      <c:pt idx="29">
                        <c:v>538</c:v>
                      </c:pt>
                      <c:pt idx="30">
                        <c:v>546</c:v>
                      </c:pt>
                      <c:pt idx="31">
                        <c:v>554</c:v>
                      </c:pt>
                      <c:pt idx="32">
                        <c:v>562</c:v>
                      </c:pt>
                      <c:pt idx="33">
                        <c:v>570</c:v>
                      </c:pt>
                      <c:pt idx="34">
                        <c:v>578</c:v>
                      </c:pt>
                      <c:pt idx="35">
                        <c:v>586</c:v>
                      </c:pt>
                      <c:pt idx="36">
                        <c:v>594</c:v>
                      </c:pt>
                      <c:pt idx="37">
                        <c:v>602</c:v>
                      </c:pt>
                      <c:pt idx="38">
                        <c:v>610</c:v>
                      </c:pt>
                      <c:pt idx="39">
                        <c:v>618</c:v>
                      </c:pt>
                      <c:pt idx="40">
                        <c:v>626</c:v>
                      </c:pt>
                      <c:pt idx="41">
                        <c:v>634</c:v>
                      </c:pt>
                      <c:pt idx="42">
                        <c:v>642</c:v>
                      </c:pt>
                      <c:pt idx="43">
                        <c:v>650</c:v>
                      </c:pt>
                      <c:pt idx="44">
                        <c:v>658</c:v>
                      </c:pt>
                      <c:pt idx="45">
                        <c:v>666</c:v>
                      </c:pt>
                      <c:pt idx="46">
                        <c:v>674</c:v>
                      </c:pt>
                      <c:pt idx="47">
                        <c:v>682</c:v>
                      </c:pt>
                      <c:pt idx="48">
                        <c:v>690</c:v>
                      </c:pt>
                      <c:pt idx="49">
                        <c:v>698</c:v>
                      </c:pt>
                      <c:pt idx="50">
                        <c:v>706</c:v>
                      </c:pt>
                      <c:pt idx="51">
                        <c:v>714</c:v>
                      </c:pt>
                      <c:pt idx="52">
                        <c:v>722</c:v>
                      </c:pt>
                      <c:pt idx="53">
                        <c:v>730</c:v>
                      </c:pt>
                      <c:pt idx="54">
                        <c:v>738</c:v>
                      </c:pt>
                      <c:pt idx="55">
                        <c:v>746</c:v>
                      </c:pt>
                      <c:pt idx="56">
                        <c:v>754</c:v>
                      </c:pt>
                      <c:pt idx="57">
                        <c:v>762</c:v>
                      </c:pt>
                      <c:pt idx="58">
                        <c:v>770</c:v>
                      </c:pt>
                      <c:pt idx="59">
                        <c:v>778</c:v>
                      </c:pt>
                      <c:pt idx="60">
                        <c:v>786</c:v>
                      </c:pt>
                      <c:pt idx="61">
                        <c:v>794</c:v>
                      </c:pt>
                      <c:pt idx="62">
                        <c:v>802</c:v>
                      </c:pt>
                      <c:pt idx="63">
                        <c:v>810</c:v>
                      </c:pt>
                      <c:pt idx="64">
                        <c:v>818</c:v>
                      </c:pt>
                      <c:pt idx="65">
                        <c:v>826</c:v>
                      </c:pt>
                      <c:pt idx="66">
                        <c:v>834</c:v>
                      </c:pt>
                      <c:pt idx="67">
                        <c:v>842</c:v>
                      </c:pt>
                      <c:pt idx="68">
                        <c:v>850</c:v>
                      </c:pt>
                      <c:pt idx="69">
                        <c:v>858</c:v>
                      </c:pt>
                      <c:pt idx="70">
                        <c:v>866</c:v>
                      </c:pt>
                      <c:pt idx="71">
                        <c:v>874</c:v>
                      </c:pt>
                      <c:pt idx="72">
                        <c:v>882</c:v>
                      </c:pt>
                      <c:pt idx="73">
                        <c:v>890</c:v>
                      </c:pt>
                      <c:pt idx="74">
                        <c:v>898</c:v>
                      </c:pt>
                      <c:pt idx="75">
                        <c:v>906</c:v>
                      </c:pt>
                      <c:pt idx="76">
                        <c:v>914</c:v>
                      </c:pt>
                      <c:pt idx="77">
                        <c:v>922</c:v>
                      </c:pt>
                      <c:pt idx="78">
                        <c:v>930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EVALUATION!$B$115:$CP$115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-15.118108108108107</c:v>
                      </c:pt>
                      <c:pt idx="1">
                        <c:v>-14.88027027027027</c:v>
                      </c:pt>
                      <c:pt idx="2">
                        <c:v>-14.642432432432432</c:v>
                      </c:pt>
                      <c:pt idx="3">
                        <c:v>-14.404594594594593</c:v>
                      </c:pt>
                      <c:pt idx="4" formatCode="General">
                        <c:v>-13.959101796407184</c:v>
                      </c:pt>
                      <c:pt idx="5" formatCode="General">
                        <c:v>-13.46568862275449</c:v>
                      </c:pt>
                      <c:pt idx="6" formatCode="General">
                        <c:v>-12.972275449101796</c:v>
                      </c:pt>
                      <c:pt idx="7" formatCode="General">
                        <c:v>-12.478862275449101</c:v>
                      </c:pt>
                      <c:pt idx="8" formatCode="General">
                        <c:v>-11.950329341317365</c:v>
                      </c:pt>
                      <c:pt idx="9" formatCode="General">
                        <c:v>-11.40182634730539</c:v>
                      </c:pt>
                      <c:pt idx="10" formatCode="General">
                        <c:v>-10.853323353293414</c:v>
                      </c:pt>
                      <c:pt idx="11" formatCode="General">
                        <c:v>-10.304820359281438</c:v>
                      </c:pt>
                      <c:pt idx="12" formatCode="General">
                        <c:v>-9.7896616766467073</c:v>
                      </c:pt>
                      <c:pt idx="13" formatCode="General">
                        <c:v>-9.3132544910179647</c:v>
                      </c:pt>
                      <c:pt idx="14" formatCode="General">
                        <c:v>-8.836847305389222</c:v>
                      </c:pt>
                      <c:pt idx="15" formatCode="General">
                        <c:v>-8.3604401197604794</c:v>
                      </c:pt>
                      <c:pt idx="16" formatCode="General">
                        <c:v>-7.9011107784431145</c:v>
                      </c:pt>
                      <c:pt idx="17" formatCode="General">
                        <c:v>-7.4841047904191624</c:v>
                      </c:pt>
                      <c:pt idx="18" formatCode="General">
                        <c:v>-7.0670988023952104</c:v>
                      </c:pt>
                      <c:pt idx="19" formatCode="General">
                        <c:v>-6.6500928143712592</c:v>
                      </c:pt>
                      <c:pt idx="20" formatCode="General">
                        <c:v>-6.2383952095808395</c:v>
                      </c:pt>
                      <c:pt idx="21" formatCode="General">
                        <c:v>-5.8685748502994022</c:v>
                      </c:pt>
                      <c:pt idx="22" formatCode="General">
                        <c:v>-5.4987544910179649</c:v>
                      </c:pt>
                      <c:pt idx="23" formatCode="General">
                        <c:v>-5.1289341317365267</c:v>
                      </c:pt>
                      <c:pt idx="24" formatCode="General">
                        <c:v>-4.7591137724550894</c:v>
                      </c:pt>
                      <c:pt idx="25" formatCode="General">
                        <c:v>-4.6019909909909904</c:v>
                      </c:pt>
                      <c:pt idx="26" formatCode="General">
                        <c:v>-4.4590480480480474</c:v>
                      </c:pt>
                      <c:pt idx="27" formatCode="General">
                        <c:v>-4.3161051051051045</c:v>
                      </c:pt>
                      <c:pt idx="28" formatCode="General">
                        <c:v>-4.1731621621621615</c:v>
                      </c:pt>
                      <c:pt idx="29" formatCode="General">
                        <c:v>-4.1562215568862273</c:v>
                      </c:pt>
                      <c:pt idx="30" formatCode="General">
                        <c:v>-4.1758622754491022</c:v>
                      </c:pt>
                      <c:pt idx="31" formatCode="General">
                        <c:v>-4.1955029940119761</c:v>
                      </c:pt>
                      <c:pt idx="32" formatCode="General">
                        <c:v>-4.2151437125748501</c:v>
                      </c:pt>
                      <c:pt idx="33" formatCode="General">
                        <c:v>-4.2348562874251492</c:v>
                      </c:pt>
                      <c:pt idx="34" formatCode="General">
                        <c:v>-4.2546167664670653</c:v>
                      </c:pt>
                      <c:pt idx="35" formatCode="General">
                        <c:v>-4.2743772455089815</c:v>
                      </c:pt>
                      <c:pt idx="36" formatCode="General">
                        <c:v>-4.2941377245508976</c:v>
                      </c:pt>
                      <c:pt idx="37" formatCode="General">
                        <c:v>-4.3138982035928146</c:v>
                      </c:pt>
                      <c:pt idx="38" formatCode="General">
                        <c:v>-4.3336586826347308</c:v>
                      </c:pt>
                      <c:pt idx="39" formatCode="General">
                        <c:v>-4.3534191616766469</c:v>
                      </c:pt>
                      <c:pt idx="40" formatCode="General">
                        <c:v>-4.373179640718563</c:v>
                      </c:pt>
                      <c:pt idx="41" formatCode="General">
                        <c:v>-4.3929401197604792</c:v>
                      </c:pt>
                      <c:pt idx="42" formatCode="General">
                        <c:v>-4.4127005988023953</c:v>
                      </c:pt>
                      <c:pt idx="43" formatCode="General">
                        <c:v>-4.4324610778443114</c:v>
                      </c:pt>
                      <c:pt idx="44" formatCode="General">
                        <c:v>-4.4522215568862276</c:v>
                      </c:pt>
                      <c:pt idx="45" formatCode="General">
                        <c:v>-4.4719820359281437</c:v>
                      </c:pt>
                      <c:pt idx="46" formatCode="General">
                        <c:v>-4.4917425149700598</c:v>
                      </c:pt>
                      <c:pt idx="47" formatCode="General">
                        <c:v>-4.511502994011976</c:v>
                      </c:pt>
                      <c:pt idx="48" formatCode="General">
                        <c:v>-4.5312634730538921</c:v>
                      </c:pt>
                      <c:pt idx="49" formatCode="General">
                        <c:v>-4.5510239520958082</c:v>
                      </c:pt>
                      <c:pt idx="50" formatCode="General">
                        <c:v>-4.5702584269662925</c:v>
                      </c:pt>
                      <c:pt idx="51" formatCode="General">
                        <c:v>-4.5894344569288394</c:v>
                      </c:pt>
                      <c:pt idx="52" formatCode="General">
                        <c:v>-4.6086104868913855</c:v>
                      </c:pt>
                      <c:pt idx="53" formatCode="General">
                        <c:v>-4.6277865168539325</c:v>
                      </c:pt>
                      <c:pt idx="54" formatCode="General">
                        <c:v>-4.6469625468164795</c:v>
                      </c:pt>
                      <c:pt idx="55" formatCode="General">
                        <c:v>-4.6661385767790264</c:v>
                      </c:pt>
                      <c:pt idx="56" formatCode="General">
                        <c:v>-4.6853146067415734</c:v>
                      </c:pt>
                      <c:pt idx="57" formatCode="General">
                        <c:v>-4.7044906367041204</c:v>
                      </c:pt>
                      <c:pt idx="58" formatCode="General">
                        <c:v>-4.7236666666666665</c:v>
                      </c:pt>
                      <c:pt idx="59" formatCode="General">
                        <c:v>-4.7428426966292134</c:v>
                      </c:pt>
                      <c:pt idx="60" formatCode="General">
                        <c:v>-4.7620187265917604</c:v>
                      </c:pt>
                      <c:pt idx="61" formatCode="General">
                        <c:v>-4.7811947565543074</c:v>
                      </c:pt>
                      <c:pt idx="62" formatCode="General">
                        <c:v>-4.8003707865168543</c:v>
                      </c:pt>
                      <c:pt idx="63" formatCode="General">
                        <c:v>-4.8195468164794013</c:v>
                      </c:pt>
                      <c:pt idx="64" formatCode="General">
                        <c:v>-4.8387228464419483</c:v>
                      </c:pt>
                      <c:pt idx="65" formatCode="General">
                        <c:v>-4.8578988764044944</c:v>
                      </c:pt>
                      <c:pt idx="66" formatCode="General">
                        <c:v>-4.8768456928838955</c:v>
                      </c:pt>
                      <c:pt idx="67" formatCode="General">
                        <c:v>-4.8949430711610491</c:v>
                      </c:pt>
                      <c:pt idx="68" formatCode="General">
                        <c:v>-4.9130404494382027</c:v>
                      </c:pt>
                      <c:pt idx="69" formatCode="General">
                        <c:v>-4.9311378277153564</c:v>
                      </c:pt>
                      <c:pt idx="70" formatCode="General">
                        <c:v>-4.94923520599251</c:v>
                      </c:pt>
                      <c:pt idx="71" formatCode="General">
                        <c:v>-4.9673325842696627</c:v>
                      </c:pt>
                      <c:pt idx="72" formatCode="General">
                        <c:v>-4.9854299625468164</c:v>
                      </c:pt>
                      <c:pt idx="73" formatCode="General">
                        <c:v>-5.00352734082397</c:v>
                      </c:pt>
                      <c:pt idx="74" formatCode="General">
                        <c:v>-5.0216247191011236</c:v>
                      </c:pt>
                      <c:pt idx="75" formatCode="General">
                        <c:v>-5.0397220973782773</c:v>
                      </c:pt>
                      <c:pt idx="76" formatCode="General">
                        <c:v>-5.0578194756554309</c:v>
                      </c:pt>
                      <c:pt idx="77" formatCode="General">
                        <c:v>-5.0759168539325845</c:v>
                      </c:pt>
                      <c:pt idx="78" formatCode="General">
                        <c:v>-5.0940142322097381</c:v>
                      </c:pt>
                      <c:pt idx="79" formatCode="General">
                        <c:v>-5.1121116104868918</c:v>
                      </c:pt>
                      <c:pt idx="80" formatCode="General">
                        <c:v>-5.1302089887640445</c:v>
                      </c:pt>
                      <c:pt idx="81" formatCode="General">
                        <c:v>-5.1483063670411982</c:v>
                      </c:pt>
                      <c:pt idx="82" formatCode="General">
                        <c:v>-5.1664037453183518</c:v>
                      </c:pt>
                      <c:pt idx="83" formatCode="General">
                        <c:v>-5.1840538922155686</c:v>
                      </c:pt>
                      <c:pt idx="84" formatCode="General">
                        <c:v>-5.2012994011976046</c:v>
                      </c:pt>
                      <c:pt idx="85" formatCode="General">
                        <c:v>-5.2185449101796406</c:v>
                      </c:pt>
                      <c:pt idx="86" formatCode="General">
                        <c:v>-5.2357904191616766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4-11EF-44BA-AAAA-9AD66152902A}"/>
                  </c:ext>
                </c:extLst>
              </c15:ser>
            </c15:filteredScatterSeries>
            <c15:filteredScatterSeries>
              <c15:ser>
                <c:idx val="13"/>
                <c:order val="15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306</c:v>
                      </c:pt>
                      <c:pt idx="1">
                        <c:v>314</c:v>
                      </c:pt>
                      <c:pt idx="2">
                        <c:v>322</c:v>
                      </c:pt>
                      <c:pt idx="3">
                        <c:v>330</c:v>
                      </c:pt>
                      <c:pt idx="4">
                        <c:v>338</c:v>
                      </c:pt>
                      <c:pt idx="5">
                        <c:v>346</c:v>
                      </c:pt>
                      <c:pt idx="6">
                        <c:v>354</c:v>
                      </c:pt>
                      <c:pt idx="7">
                        <c:v>362</c:v>
                      </c:pt>
                      <c:pt idx="8">
                        <c:v>370</c:v>
                      </c:pt>
                      <c:pt idx="9">
                        <c:v>378</c:v>
                      </c:pt>
                      <c:pt idx="10">
                        <c:v>386</c:v>
                      </c:pt>
                      <c:pt idx="11">
                        <c:v>394</c:v>
                      </c:pt>
                      <c:pt idx="12">
                        <c:v>402</c:v>
                      </c:pt>
                      <c:pt idx="13">
                        <c:v>410</c:v>
                      </c:pt>
                      <c:pt idx="14">
                        <c:v>418</c:v>
                      </c:pt>
                      <c:pt idx="15">
                        <c:v>426</c:v>
                      </c:pt>
                      <c:pt idx="16">
                        <c:v>434</c:v>
                      </c:pt>
                      <c:pt idx="17">
                        <c:v>442</c:v>
                      </c:pt>
                      <c:pt idx="18">
                        <c:v>450</c:v>
                      </c:pt>
                      <c:pt idx="19">
                        <c:v>458</c:v>
                      </c:pt>
                      <c:pt idx="20">
                        <c:v>466</c:v>
                      </c:pt>
                      <c:pt idx="21">
                        <c:v>474</c:v>
                      </c:pt>
                      <c:pt idx="22">
                        <c:v>482</c:v>
                      </c:pt>
                      <c:pt idx="23">
                        <c:v>490</c:v>
                      </c:pt>
                      <c:pt idx="24">
                        <c:v>498</c:v>
                      </c:pt>
                      <c:pt idx="25">
                        <c:v>506</c:v>
                      </c:pt>
                      <c:pt idx="26">
                        <c:v>514</c:v>
                      </c:pt>
                      <c:pt idx="27">
                        <c:v>522</c:v>
                      </c:pt>
                      <c:pt idx="28">
                        <c:v>530</c:v>
                      </c:pt>
                      <c:pt idx="29">
                        <c:v>538</c:v>
                      </c:pt>
                      <c:pt idx="30">
                        <c:v>546</c:v>
                      </c:pt>
                      <c:pt idx="31">
                        <c:v>554</c:v>
                      </c:pt>
                      <c:pt idx="32">
                        <c:v>562</c:v>
                      </c:pt>
                      <c:pt idx="33">
                        <c:v>570</c:v>
                      </c:pt>
                      <c:pt idx="34">
                        <c:v>578</c:v>
                      </c:pt>
                      <c:pt idx="35">
                        <c:v>586</c:v>
                      </c:pt>
                      <c:pt idx="36">
                        <c:v>594</c:v>
                      </c:pt>
                      <c:pt idx="37">
                        <c:v>602</c:v>
                      </c:pt>
                      <c:pt idx="38">
                        <c:v>610</c:v>
                      </c:pt>
                      <c:pt idx="39">
                        <c:v>618</c:v>
                      </c:pt>
                      <c:pt idx="40">
                        <c:v>626</c:v>
                      </c:pt>
                      <c:pt idx="41">
                        <c:v>634</c:v>
                      </c:pt>
                      <c:pt idx="42">
                        <c:v>642</c:v>
                      </c:pt>
                      <c:pt idx="43">
                        <c:v>650</c:v>
                      </c:pt>
                      <c:pt idx="44">
                        <c:v>658</c:v>
                      </c:pt>
                      <c:pt idx="45">
                        <c:v>666</c:v>
                      </c:pt>
                      <c:pt idx="46">
                        <c:v>674</c:v>
                      </c:pt>
                      <c:pt idx="47">
                        <c:v>682</c:v>
                      </c:pt>
                      <c:pt idx="48">
                        <c:v>690</c:v>
                      </c:pt>
                      <c:pt idx="49">
                        <c:v>698</c:v>
                      </c:pt>
                      <c:pt idx="50">
                        <c:v>706</c:v>
                      </c:pt>
                      <c:pt idx="51">
                        <c:v>714</c:v>
                      </c:pt>
                      <c:pt idx="52">
                        <c:v>722</c:v>
                      </c:pt>
                      <c:pt idx="53">
                        <c:v>730</c:v>
                      </c:pt>
                      <c:pt idx="54">
                        <c:v>738</c:v>
                      </c:pt>
                      <c:pt idx="55">
                        <c:v>746</c:v>
                      </c:pt>
                      <c:pt idx="56">
                        <c:v>754</c:v>
                      </c:pt>
                      <c:pt idx="57">
                        <c:v>762</c:v>
                      </c:pt>
                      <c:pt idx="58">
                        <c:v>770</c:v>
                      </c:pt>
                      <c:pt idx="59">
                        <c:v>778</c:v>
                      </c:pt>
                      <c:pt idx="60">
                        <c:v>786</c:v>
                      </c:pt>
                      <c:pt idx="61">
                        <c:v>794</c:v>
                      </c:pt>
                      <c:pt idx="62">
                        <c:v>802</c:v>
                      </c:pt>
                      <c:pt idx="63">
                        <c:v>810</c:v>
                      </c:pt>
                      <c:pt idx="64">
                        <c:v>818</c:v>
                      </c:pt>
                      <c:pt idx="65">
                        <c:v>826</c:v>
                      </c:pt>
                      <c:pt idx="66">
                        <c:v>834</c:v>
                      </c:pt>
                      <c:pt idx="67">
                        <c:v>842</c:v>
                      </c:pt>
                      <c:pt idx="68">
                        <c:v>850</c:v>
                      </c:pt>
                      <c:pt idx="69">
                        <c:v>858</c:v>
                      </c:pt>
                      <c:pt idx="70">
                        <c:v>866</c:v>
                      </c:pt>
                      <c:pt idx="71">
                        <c:v>874</c:v>
                      </c:pt>
                      <c:pt idx="72">
                        <c:v>882</c:v>
                      </c:pt>
                      <c:pt idx="73">
                        <c:v>890</c:v>
                      </c:pt>
                      <c:pt idx="74">
                        <c:v>898</c:v>
                      </c:pt>
                      <c:pt idx="75">
                        <c:v>906</c:v>
                      </c:pt>
                      <c:pt idx="76">
                        <c:v>914</c:v>
                      </c:pt>
                      <c:pt idx="77">
                        <c:v>922</c:v>
                      </c:pt>
                      <c:pt idx="78">
                        <c:v>930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EVALUATION!$B$116:$CP$116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-21.473063063063062</c:v>
                      </c:pt>
                      <c:pt idx="1">
                        <c:v>-21.045435435435436</c:v>
                      </c:pt>
                      <c:pt idx="2">
                        <c:v>-20.617807807807807</c:v>
                      </c:pt>
                      <c:pt idx="3">
                        <c:v>-20.190180180180178</c:v>
                      </c:pt>
                      <c:pt idx="4" formatCode="General">
                        <c:v>-20.082754491017962</c:v>
                      </c:pt>
                      <c:pt idx="5" formatCode="General">
                        <c:v>-20.049221556886227</c:v>
                      </c:pt>
                      <c:pt idx="6" formatCode="General">
                        <c:v>-20.015688622754489</c:v>
                      </c:pt>
                      <c:pt idx="7" formatCode="General">
                        <c:v>-19.982155688622754</c:v>
                      </c:pt>
                      <c:pt idx="8" formatCode="General">
                        <c:v>-20.046347305389222</c:v>
                      </c:pt>
                      <c:pt idx="9" formatCode="General">
                        <c:v>-20.166107784431137</c:v>
                      </c:pt>
                      <c:pt idx="10" formatCode="General">
                        <c:v>-20.285868263473052</c:v>
                      </c:pt>
                      <c:pt idx="11" formatCode="General">
                        <c:v>-20.40562874251497</c:v>
                      </c:pt>
                      <c:pt idx="12" formatCode="General">
                        <c:v>-20.526497005988023</c:v>
                      </c:pt>
                      <c:pt idx="13" formatCode="General">
                        <c:v>-20.648652694610778</c:v>
                      </c:pt>
                      <c:pt idx="14" formatCode="General">
                        <c:v>-20.770808383233533</c:v>
                      </c:pt>
                      <c:pt idx="15" formatCode="General">
                        <c:v>-20.892964071856287</c:v>
                      </c:pt>
                      <c:pt idx="16" formatCode="General">
                        <c:v>-21.015119760479042</c:v>
                      </c:pt>
                      <c:pt idx="17" formatCode="General">
                        <c:v>-21.137275449101796</c:v>
                      </c:pt>
                      <c:pt idx="18" formatCode="General">
                        <c:v>-21.259431137724551</c:v>
                      </c:pt>
                      <c:pt idx="19" formatCode="General">
                        <c:v>-21.381586826347306</c:v>
                      </c:pt>
                      <c:pt idx="20" formatCode="General">
                        <c:v>-21.504011976047902</c:v>
                      </c:pt>
                      <c:pt idx="21" formatCode="General">
                        <c:v>-21.628562874251497</c:v>
                      </c:pt>
                      <c:pt idx="22" formatCode="General">
                        <c:v>-21.753113772455091</c:v>
                      </c:pt>
                      <c:pt idx="23" formatCode="General">
                        <c:v>-21.877664670658682</c:v>
                      </c:pt>
                      <c:pt idx="24" formatCode="General">
                        <c:v>-22.002215568862276</c:v>
                      </c:pt>
                      <c:pt idx="25" formatCode="General">
                        <c:v>-22.122612612612613</c:v>
                      </c:pt>
                      <c:pt idx="26" formatCode="General">
                        <c:v>-22.242732732732733</c:v>
                      </c:pt>
                      <c:pt idx="27" formatCode="General">
                        <c:v>-22.362852852852853</c:v>
                      </c:pt>
                      <c:pt idx="28" formatCode="General">
                        <c:v>-22.482972972972973</c:v>
                      </c:pt>
                      <c:pt idx="29" formatCode="General">
                        <c:v>-22.604670658682636</c:v>
                      </c:pt>
                      <c:pt idx="30" formatCode="General">
                        <c:v>-22.726826347305391</c:v>
                      </c:pt>
                      <c:pt idx="31" formatCode="General">
                        <c:v>-22.848982035928145</c:v>
                      </c:pt>
                      <c:pt idx="32" formatCode="General">
                        <c:v>-22.971137724550896</c:v>
                      </c:pt>
                      <c:pt idx="33" formatCode="General">
                        <c:v>-23.089700598802395</c:v>
                      </c:pt>
                      <c:pt idx="34" formatCode="General">
                        <c:v>-23.205868263473054</c:v>
                      </c:pt>
                      <c:pt idx="35" formatCode="General">
                        <c:v>-23.322035928143713</c:v>
                      </c:pt>
                      <c:pt idx="36" formatCode="General">
                        <c:v>-23.438203592814371</c:v>
                      </c:pt>
                      <c:pt idx="37" formatCode="General">
                        <c:v>-23.55437125748503</c:v>
                      </c:pt>
                      <c:pt idx="38" formatCode="General">
                        <c:v>-23.670538922155689</c:v>
                      </c:pt>
                      <c:pt idx="39" formatCode="General">
                        <c:v>-23.786706586826348</c:v>
                      </c:pt>
                      <c:pt idx="40" formatCode="General">
                        <c:v>-23.902874251497007</c:v>
                      </c:pt>
                      <c:pt idx="41" formatCode="General">
                        <c:v>-24.019041916167666</c:v>
                      </c:pt>
                      <c:pt idx="42" formatCode="General">
                        <c:v>-24.135209580838325</c:v>
                      </c:pt>
                      <c:pt idx="43" formatCode="General">
                        <c:v>-24.251377245508984</c:v>
                      </c:pt>
                      <c:pt idx="44" formatCode="General">
                        <c:v>-24.367544910179642</c:v>
                      </c:pt>
                      <c:pt idx="45" formatCode="General">
                        <c:v>-24.483712574850301</c:v>
                      </c:pt>
                      <c:pt idx="46" formatCode="General">
                        <c:v>-24.59988023952096</c:v>
                      </c:pt>
                      <c:pt idx="47" formatCode="General">
                        <c:v>-24.716047904191619</c:v>
                      </c:pt>
                      <c:pt idx="48" formatCode="General">
                        <c:v>-24.832215568862278</c:v>
                      </c:pt>
                      <c:pt idx="49" formatCode="General">
                        <c:v>-24.948383233532937</c:v>
                      </c:pt>
                      <c:pt idx="50" formatCode="General">
                        <c:v>-25.057617977528093</c:v>
                      </c:pt>
                      <c:pt idx="51" formatCode="General">
                        <c:v>-25.166082397003748</c:v>
                      </c:pt>
                      <c:pt idx="52" formatCode="General">
                        <c:v>-25.2745468164794</c:v>
                      </c:pt>
                      <c:pt idx="53" formatCode="General">
                        <c:v>-25.383011235955056</c:v>
                      </c:pt>
                      <c:pt idx="54" formatCode="General">
                        <c:v>-25.491475655430712</c:v>
                      </c:pt>
                      <c:pt idx="55" formatCode="General">
                        <c:v>-25.599940074906367</c:v>
                      </c:pt>
                      <c:pt idx="56" formatCode="General">
                        <c:v>-25.708404494382023</c:v>
                      </c:pt>
                      <c:pt idx="57" formatCode="General">
                        <c:v>-25.816868913857679</c:v>
                      </c:pt>
                      <c:pt idx="58" formatCode="General">
                        <c:v>-25.925333333333334</c:v>
                      </c:pt>
                      <c:pt idx="59" formatCode="General">
                        <c:v>-26.03379775280899</c:v>
                      </c:pt>
                      <c:pt idx="60" formatCode="General">
                        <c:v>-26.142262172284646</c:v>
                      </c:pt>
                      <c:pt idx="61" formatCode="General">
                        <c:v>-26.250726591760301</c:v>
                      </c:pt>
                      <c:pt idx="62" formatCode="General">
                        <c:v>-26.359191011235957</c:v>
                      </c:pt>
                      <c:pt idx="63" formatCode="General">
                        <c:v>-26.467655430711609</c:v>
                      </c:pt>
                      <c:pt idx="64" formatCode="General">
                        <c:v>-26.576119850187265</c:v>
                      </c:pt>
                      <c:pt idx="65" formatCode="General">
                        <c:v>-26.684584269662921</c:v>
                      </c:pt>
                      <c:pt idx="66" formatCode="General">
                        <c:v>-26.791902621722848</c:v>
                      </c:pt>
                      <c:pt idx="67" formatCode="General">
                        <c:v>-26.894973782771537</c:v>
                      </c:pt>
                      <c:pt idx="68" formatCode="General">
                        <c:v>-26.998044943820226</c:v>
                      </c:pt>
                      <c:pt idx="69" formatCode="General">
                        <c:v>-27.101116104868915</c:v>
                      </c:pt>
                      <c:pt idx="70" formatCode="General">
                        <c:v>-27.204187265917604</c:v>
                      </c:pt>
                      <c:pt idx="71" formatCode="General">
                        <c:v>-27.307258426966293</c:v>
                      </c:pt>
                      <c:pt idx="72" formatCode="General">
                        <c:v>-27.410329588014982</c:v>
                      </c:pt>
                      <c:pt idx="73" formatCode="General">
                        <c:v>-27.513400749063671</c:v>
                      </c:pt>
                      <c:pt idx="74" formatCode="General">
                        <c:v>-27.616471910112359</c:v>
                      </c:pt>
                      <c:pt idx="75" formatCode="General">
                        <c:v>-27.719543071161048</c:v>
                      </c:pt>
                      <c:pt idx="76" formatCode="General">
                        <c:v>-27.822614232209737</c:v>
                      </c:pt>
                      <c:pt idx="77" formatCode="General">
                        <c:v>-27.925685393258426</c:v>
                      </c:pt>
                      <c:pt idx="78" formatCode="General">
                        <c:v>-28.028756554307115</c:v>
                      </c:pt>
                      <c:pt idx="79" formatCode="General">
                        <c:v>-28.131827715355804</c:v>
                      </c:pt>
                      <c:pt idx="80" formatCode="General">
                        <c:v>-28.234898876404493</c:v>
                      </c:pt>
                      <c:pt idx="81" formatCode="General">
                        <c:v>-28.337970037453182</c:v>
                      </c:pt>
                      <c:pt idx="82" formatCode="General">
                        <c:v>-28.441041198501871</c:v>
                      </c:pt>
                      <c:pt idx="83" formatCode="General">
                        <c:v>-28.541556886227543</c:v>
                      </c:pt>
                      <c:pt idx="84" formatCode="General">
                        <c:v>-28.639760479041914</c:v>
                      </c:pt>
                      <c:pt idx="85" formatCode="General">
                        <c:v>-28.737964071856286</c:v>
                      </c:pt>
                      <c:pt idx="86" formatCode="General">
                        <c:v>-28.836167664670658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5-11EF-44BA-AAAA-9AD66152902A}"/>
                  </c:ext>
                </c:extLst>
              </c15:ser>
            </c15:filteredScatterSeries>
            <c15:filteredScatterSeries>
              <c15:ser>
                <c:idx val="14"/>
                <c:order val="16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306</c:v>
                      </c:pt>
                      <c:pt idx="1">
                        <c:v>314</c:v>
                      </c:pt>
                      <c:pt idx="2">
                        <c:v>322</c:v>
                      </c:pt>
                      <c:pt idx="3">
                        <c:v>330</c:v>
                      </c:pt>
                      <c:pt idx="4">
                        <c:v>338</c:v>
                      </c:pt>
                      <c:pt idx="5">
                        <c:v>346</c:v>
                      </c:pt>
                      <c:pt idx="6">
                        <c:v>354</c:v>
                      </c:pt>
                      <c:pt idx="7">
                        <c:v>362</c:v>
                      </c:pt>
                      <c:pt idx="8">
                        <c:v>370</c:v>
                      </c:pt>
                      <c:pt idx="9">
                        <c:v>378</c:v>
                      </c:pt>
                      <c:pt idx="10">
                        <c:v>386</c:v>
                      </c:pt>
                      <c:pt idx="11">
                        <c:v>394</c:v>
                      </c:pt>
                      <c:pt idx="12">
                        <c:v>402</c:v>
                      </c:pt>
                      <c:pt idx="13">
                        <c:v>410</c:v>
                      </c:pt>
                      <c:pt idx="14">
                        <c:v>418</c:v>
                      </c:pt>
                      <c:pt idx="15">
                        <c:v>426</c:v>
                      </c:pt>
                      <c:pt idx="16">
                        <c:v>434</c:v>
                      </c:pt>
                      <c:pt idx="17">
                        <c:v>442</c:v>
                      </c:pt>
                      <c:pt idx="18">
                        <c:v>450</c:v>
                      </c:pt>
                      <c:pt idx="19">
                        <c:v>458</c:v>
                      </c:pt>
                      <c:pt idx="20">
                        <c:v>466</c:v>
                      </c:pt>
                      <c:pt idx="21">
                        <c:v>474</c:v>
                      </c:pt>
                      <c:pt idx="22">
                        <c:v>482</c:v>
                      </c:pt>
                      <c:pt idx="23">
                        <c:v>490</c:v>
                      </c:pt>
                      <c:pt idx="24">
                        <c:v>498</c:v>
                      </c:pt>
                      <c:pt idx="25">
                        <c:v>506</c:v>
                      </c:pt>
                      <c:pt idx="26">
                        <c:v>514</c:v>
                      </c:pt>
                      <c:pt idx="27">
                        <c:v>522</c:v>
                      </c:pt>
                      <c:pt idx="28">
                        <c:v>530</c:v>
                      </c:pt>
                      <c:pt idx="29">
                        <c:v>538</c:v>
                      </c:pt>
                      <c:pt idx="30">
                        <c:v>546</c:v>
                      </c:pt>
                      <c:pt idx="31">
                        <c:v>554</c:v>
                      </c:pt>
                      <c:pt idx="32">
                        <c:v>562</c:v>
                      </c:pt>
                      <c:pt idx="33">
                        <c:v>570</c:v>
                      </c:pt>
                      <c:pt idx="34">
                        <c:v>578</c:v>
                      </c:pt>
                      <c:pt idx="35">
                        <c:v>586</c:v>
                      </c:pt>
                      <c:pt idx="36">
                        <c:v>594</c:v>
                      </c:pt>
                      <c:pt idx="37">
                        <c:v>602</c:v>
                      </c:pt>
                      <c:pt idx="38">
                        <c:v>610</c:v>
                      </c:pt>
                      <c:pt idx="39">
                        <c:v>618</c:v>
                      </c:pt>
                      <c:pt idx="40">
                        <c:v>626</c:v>
                      </c:pt>
                      <c:pt idx="41">
                        <c:v>634</c:v>
                      </c:pt>
                      <c:pt idx="42">
                        <c:v>642</c:v>
                      </c:pt>
                      <c:pt idx="43">
                        <c:v>650</c:v>
                      </c:pt>
                      <c:pt idx="44">
                        <c:v>658</c:v>
                      </c:pt>
                      <c:pt idx="45">
                        <c:v>666</c:v>
                      </c:pt>
                      <c:pt idx="46">
                        <c:v>674</c:v>
                      </c:pt>
                      <c:pt idx="47">
                        <c:v>682</c:v>
                      </c:pt>
                      <c:pt idx="48">
                        <c:v>690</c:v>
                      </c:pt>
                      <c:pt idx="49">
                        <c:v>698</c:v>
                      </c:pt>
                      <c:pt idx="50">
                        <c:v>706</c:v>
                      </c:pt>
                      <c:pt idx="51">
                        <c:v>714</c:v>
                      </c:pt>
                      <c:pt idx="52">
                        <c:v>722</c:v>
                      </c:pt>
                      <c:pt idx="53">
                        <c:v>730</c:v>
                      </c:pt>
                      <c:pt idx="54">
                        <c:v>738</c:v>
                      </c:pt>
                      <c:pt idx="55">
                        <c:v>746</c:v>
                      </c:pt>
                      <c:pt idx="56">
                        <c:v>754</c:v>
                      </c:pt>
                      <c:pt idx="57">
                        <c:v>762</c:v>
                      </c:pt>
                      <c:pt idx="58">
                        <c:v>770</c:v>
                      </c:pt>
                      <c:pt idx="59">
                        <c:v>778</c:v>
                      </c:pt>
                      <c:pt idx="60">
                        <c:v>786</c:v>
                      </c:pt>
                      <c:pt idx="61">
                        <c:v>794</c:v>
                      </c:pt>
                      <c:pt idx="62">
                        <c:v>802</c:v>
                      </c:pt>
                      <c:pt idx="63">
                        <c:v>810</c:v>
                      </c:pt>
                      <c:pt idx="64">
                        <c:v>818</c:v>
                      </c:pt>
                      <c:pt idx="65">
                        <c:v>826</c:v>
                      </c:pt>
                      <c:pt idx="66">
                        <c:v>834</c:v>
                      </c:pt>
                      <c:pt idx="67">
                        <c:v>842</c:v>
                      </c:pt>
                      <c:pt idx="68">
                        <c:v>850</c:v>
                      </c:pt>
                      <c:pt idx="69">
                        <c:v>858</c:v>
                      </c:pt>
                      <c:pt idx="70">
                        <c:v>866</c:v>
                      </c:pt>
                      <c:pt idx="71">
                        <c:v>874</c:v>
                      </c:pt>
                      <c:pt idx="72">
                        <c:v>882</c:v>
                      </c:pt>
                      <c:pt idx="73">
                        <c:v>890</c:v>
                      </c:pt>
                      <c:pt idx="74">
                        <c:v>898</c:v>
                      </c:pt>
                      <c:pt idx="75">
                        <c:v>906</c:v>
                      </c:pt>
                      <c:pt idx="76">
                        <c:v>914</c:v>
                      </c:pt>
                      <c:pt idx="77">
                        <c:v>922</c:v>
                      </c:pt>
                      <c:pt idx="78">
                        <c:v>930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EVALUATION!$B$117:$CP$117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6-11EF-44BA-AAAA-9AD66152902A}"/>
                  </c:ext>
                </c:extLst>
              </c15:ser>
            </c15:filteredScatterSeries>
            <c15:filteredScatterSeries>
              <c15:ser>
                <c:idx val="15"/>
                <c:order val="17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306</c:v>
                      </c:pt>
                      <c:pt idx="1">
                        <c:v>314</c:v>
                      </c:pt>
                      <c:pt idx="2">
                        <c:v>322</c:v>
                      </c:pt>
                      <c:pt idx="3">
                        <c:v>330</c:v>
                      </c:pt>
                      <c:pt idx="4">
                        <c:v>338</c:v>
                      </c:pt>
                      <c:pt idx="5">
                        <c:v>346</c:v>
                      </c:pt>
                      <c:pt idx="6">
                        <c:v>354</c:v>
                      </c:pt>
                      <c:pt idx="7">
                        <c:v>362</c:v>
                      </c:pt>
                      <c:pt idx="8">
                        <c:v>370</c:v>
                      </c:pt>
                      <c:pt idx="9">
                        <c:v>378</c:v>
                      </c:pt>
                      <c:pt idx="10">
                        <c:v>386</c:v>
                      </c:pt>
                      <c:pt idx="11">
                        <c:v>394</c:v>
                      </c:pt>
                      <c:pt idx="12">
                        <c:v>402</c:v>
                      </c:pt>
                      <c:pt idx="13">
                        <c:v>410</c:v>
                      </c:pt>
                      <c:pt idx="14">
                        <c:v>418</c:v>
                      </c:pt>
                      <c:pt idx="15">
                        <c:v>426</c:v>
                      </c:pt>
                      <c:pt idx="16">
                        <c:v>434</c:v>
                      </c:pt>
                      <c:pt idx="17">
                        <c:v>442</c:v>
                      </c:pt>
                      <c:pt idx="18">
                        <c:v>450</c:v>
                      </c:pt>
                      <c:pt idx="19">
                        <c:v>458</c:v>
                      </c:pt>
                      <c:pt idx="20">
                        <c:v>466</c:v>
                      </c:pt>
                      <c:pt idx="21">
                        <c:v>474</c:v>
                      </c:pt>
                      <c:pt idx="22">
                        <c:v>482</c:v>
                      </c:pt>
                      <c:pt idx="23">
                        <c:v>490</c:v>
                      </c:pt>
                      <c:pt idx="24">
                        <c:v>498</c:v>
                      </c:pt>
                      <c:pt idx="25">
                        <c:v>506</c:v>
                      </c:pt>
                      <c:pt idx="26">
                        <c:v>514</c:v>
                      </c:pt>
                      <c:pt idx="27">
                        <c:v>522</c:v>
                      </c:pt>
                      <c:pt idx="28">
                        <c:v>530</c:v>
                      </c:pt>
                      <c:pt idx="29">
                        <c:v>538</c:v>
                      </c:pt>
                      <c:pt idx="30">
                        <c:v>546</c:v>
                      </c:pt>
                      <c:pt idx="31">
                        <c:v>554</c:v>
                      </c:pt>
                      <c:pt idx="32">
                        <c:v>562</c:v>
                      </c:pt>
                      <c:pt idx="33">
                        <c:v>570</c:v>
                      </c:pt>
                      <c:pt idx="34">
                        <c:v>578</c:v>
                      </c:pt>
                      <c:pt idx="35">
                        <c:v>586</c:v>
                      </c:pt>
                      <c:pt idx="36">
                        <c:v>594</c:v>
                      </c:pt>
                      <c:pt idx="37">
                        <c:v>602</c:v>
                      </c:pt>
                      <c:pt idx="38">
                        <c:v>610</c:v>
                      </c:pt>
                      <c:pt idx="39">
                        <c:v>618</c:v>
                      </c:pt>
                      <c:pt idx="40">
                        <c:v>626</c:v>
                      </c:pt>
                      <c:pt idx="41">
                        <c:v>634</c:v>
                      </c:pt>
                      <c:pt idx="42">
                        <c:v>642</c:v>
                      </c:pt>
                      <c:pt idx="43">
                        <c:v>650</c:v>
                      </c:pt>
                      <c:pt idx="44">
                        <c:v>658</c:v>
                      </c:pt>
                      <c:pt idx="45">
                        <c:v>666</c:v>
                      </c:pt>
                      <c:pt idx="46">
                        <c:v>674</c:v>
                      </c:pt>
                      <c:pt idx="47">
                        <c:v>682</c:v>
                      </c:pt>
                      <c:pt idx="48">
                        <c:v>690</c:v>
                      </c:pt>
                      <c:pt idx="49">
                        <c:v>698</c:v>
                      </c:pt>
                      <c:pt idx="50">
                        <c:v>706</c:v>
                      </c:pt>
                      <c:pt idx="51">
                        <c:v>714</c:v>
                      </c:pt>
                      <c:pt idx="52">
                        <c:v>722</c:v>
                      </c:pt>
                      <c:pt idx="53">
                        <c:v>730</c:v>
                      </c:pt>
                      <c:pt idx="54">
                        <c:v>738</c:v>
                      </c:pt>
                      <c:pt idx="55">
                        <c:v>746</c:v>
                      </c:pt>
                      <c:pt idx="56">
                        <c:v>754</c:v>
                      </c:pt>
                      <c:pt idx="57">
                        <c:v>762</c:v>
                      </c:pt>
                      <c:pt idx="58">
                        <c:v>770</c:v>
                      </c:pt>
                      <c:pt idx="59">
                        <c:v>778</c:v>
                      </c:pt>
                      <c:pt idx="60">
                        <c:v>786</c:v>
                      </c:pt>
                      <c:pt idx="61">
                        <c:v>794</c:v>
                      </c:pt>
                      <c:pt idx="62">
                        <c:v>802</c:v>
                      </c:pt>
                      <c:pt idx="63">
                        <c:v>810</c:v>
                      </c:pt>
                      <c:pt idx="64">
                        <c:v>818</c:v>
                      </c:pt>
                      <c:pt idx="65">
                        <c:v>826</c:v>
                      </c:pt>
                      <c:pt idx="66">
                        <c:v>834</c:v>
                      </c:pt>
                      <c:pt idx="67">
                        <c:v>842</c:v>
                      </c:pt>
                      <c:pt idx="68">
                        <c:v>850</c:v>
                      </c:pt>
                      <c:pt idx="69">
                        <c:v>858</c:v>
                      </c:pt>
                      <c:pt idx="70">
                        <c:v>866</c:v>
                      </c:pt>
                      <c:pt idx="71">
                        <c:v>874</c:v>
                      </c:pt>
                      <c:pt idx="72">
                        <c:v>882</c:v>
                      </c:pt>
                      <c:pt idx="73">
                        <c:v>890</c:v>
                      </c:pt>
                      <c:pt idx="74">
                        <c:v>898</c:v>
                      </c:pt>
                      <c:pt idx="75">
                        <c:v>906</c:v>
                      </c:pt>
                      <c:pt idx="76">
                        <c:v>914</c:v>
                      </c:pt>
                      <c:pt idx="77">
                        <c:v>922</c:v>
                      </c:pt>
                      <c:pt idx="78">
                        <c:v>930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EVALUATION!$B$118:$CP$118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7-11EF-44BA-AAAA-9AD66152902A}"/>
                  </c:ext>
                </c:extLst>
              </c15:ser>
            </c15:filteredScatterSeries>
            <c15:filteredScatterSeries>
              <c15:ser>
                <c:idx val="16"/>
                <c:order val="18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306</c:v>
                      </c:pt>
                      <c:pt idx="1">
                        <c:v>314</c:v>
                      </c:pt>
                      <c:pt idx="2">
                        <c:v>322</c:v>
                      </c:pt>
                      <c:pt idx="3">
                        <c:v>330</c:v>
                      </c:pt>
                      <c:pt idx="4">
                        <c:v>338</c:v>
                      </c:pt>
                      <c:pt idx="5">
                        <c:v>346</c:v>
                      </c:pt>
                      <c:pt idx="6">
                        <c:v>354</c:v>
                      </c:pt>
                      <c:pt idx="7">
                        <c:v>362</c:v>
                      </c:pt>
                      <c:pt idx="8">
                        <c:v>370</c:v>
                      </c:pt>
                      <c:pt idx="9">
                        <c:v>378</c:v>
                      </c:pt>
                      <c:pt idx="10">
                        <c:v>386</c:v>
                      </c:pt>
                      <c:pt idx="11">
                        <c:v>394</c:v>
                      </c:pt>
                      <c:pt idx="12">
                        <c:v>402</c:v>
                      </c:pt>
                      <c:pt idx="13">
                        <c:v>410</c:v>
                      </c:pt>
                      <c:pt idx="14">
                        <c:v>418</c:v>
                      </c:pt>
                      <c:pt idx="15">
                        <c:v>426</c:v>
                      </c:pt>
                      <c:pt idx="16">
                        <c:v>434</c:v>
                      </c:pt>
                      <c:pt idx="17">
                        <c:v>442</c:v>
                      </c:pt>
                      <c:pt idx="18">
                        <c:v>450</c:v>
                      </c:pt>
                      <c:pt idx="19">
                        <c:v>458</c:v>
                      </c:pt>
                      <c:pt idx="20">
                        <c:v>466</c:v>
                      </c:pt>
                      <c:pt idx="21">
                        <c:v>474</c:v>
                      </c:pt>
                      <c:pt idx="22">
                        <c:v>482</c:v>
                      </c:pt>
                      <c:pt idx="23">
                        <c:v>490</c:v>
                      </c:pt>
                      <c:pt idx="24">
                        <c:v>498</c:v>
                      </c:pt>
                      <c:pt idx="25">
                        <c:v>506</c:v>
                      </c:pt>
                      <c:pt idx="26">
                        <c:v>514</c:v>
                      </c:pt>
                      <c:pt idx="27">
                        <c:v>522</c:v>
                      </c:pt>
                      <c:pt idx="28">
                        <c:v>530</c:v>
                      </c:pt>
                      <c:pt idx="29">
                        <c:v>538</c:v>
                      </c:pt>
                      <c:pt idx="30">
                        <c:v>546</c:v>
                      </c:pt>
                      <c:pt idx="31">
                        <c:v>554</c:v>
                      </c:pt>
                      <c:pt idx="32">
                        <c:v>562</c:v>
                      </c:pt>
                      <c:pt idx="33">
                        <c:v>570</c:v>
                      </c:pt>
                      <c:pt idx="34">
                        <c:v>578</c:v>
                      </c:pt>
                      <c:pt idx="35">
                        <c:v>586</c:v>
                      </c:pt>
                      <c:pt idx="36">
                        <c:v>594</c:v>
                      </c:pt>
                      <c:pt idx="37">
                        <c:v>602</c:v>
                      </c:pt>
                      <c:pt idx="38">
                        <c:v>610</c:v>
                      </c:pt>
                      <c:pt idx="39">
                        <c:v>618</c:v>
                      </c:pt>
                      <c:pt idx="40">
                        <c:v>626</c:v>
                      </c:pt>
                      <c:pt idx="41">
                        <c:v>634</c:v>
                      </c:pt>
                      <c:pt idx="42">
                        <c:v>642</c:v>
                      </c:pt>
                      <c:pt idx="43">
                        <c:v>650</c:v>
                      </c:pt>
                      <c:pt idx="44">
                        <c:v>658</c:v>
                      </c:pt>
                      <c:pt idx="45">
                        <c:v>666</c:v>
                      </c:pt>
                      <c:pt idx="46">
                        <c:v>674</c:v>
                      </c:pt>
                      <c:pt idx="47">
                        <c:v>682</c:v>
                      </c:pt>
                      <c:pt idx="48">
                        <c:v>690</c:v>
                      </c:pt>
                      <c:pt idx="49">
                        <c:v>698</c:v>
                      </c:pt>
                      <c:pt idx="50">
                        <c:v>706</c:v>
                      </c:pt>
                      <c:pt idx="51">
                        <c:v>714</c:v>
                      </c:pt>
                      <c:pt idx="52">
                        <c:v>722</c:v>
                      </c:pt>
                      <c:pt idx="53">
                        <c:v>730</c:v>
                      </c:pt>
                      <c:pt idx="54">
                        <c:v>738</c:v>
                      </c:pt>
                      <c:pt idx="55">
                        <c:v>746</c:v>
                      </c:pt>
                      <c:pt idx="56">
                        <c:v>754</c:v>
                      </c:pt>
                      <c:pt idx="57">
                        <c:v>762</c:v>
                      </c:pt>
                      <c:pt idx="58">
                        <c:v>770</c:v>
                      </c:pt>
                      <c:pt idx="59">
                        <c:v>778</c:v>
                      </c:pt>
                      <c:pt idx="60">
                        <c:v>786</c:v>
                      </c:pt>
                      <c:pt idx="61">
                        <c:v>794</c:v>
                      </c:pt>
                      <c:pt idx="62">
                        <c:v>802</c:v>
                      </c:pt>
                      <c:pt idx="63">
                        <c:v>810</c:v>
                      </c:pt>
                      <c:pt idx="64">
                        <c:v>818</c:v>
                      </c:pt>
                      <c:pt idx="65">
                        <c:v>826</c:v>
                      </c:pt>
                      <c:pt idx="66">
                        <c:v>834</c:v>
                      </c:pt>
                      <c:pt idx="67">
                        <c:v>842</c:v>
                      </c:pt>
                      <c:pt idx="68">
                        <c:v>850</c:v>
                      </c:pt>
                      <c:pt idx="69">
                        <c:v>858</c:v>
                      </c:pt>
                      <c:pt idx="70">
                        <c:v>866</c:v>
                      </c:pt>
                      <c:pt idx="71">
                        <c:v>874</c:v>
                      </c:pt>
                      <c:pt idx="72">
                        <c:v>882</c:v>
                      </c:pt>
                      <c:pt idx="73">
                        <c:v>890</c:v>
                      </c:pt>
                      <c:pt idx="74">
                        <c:v>898</c:v>
                      </c:pt>
                      <c:pt idx="75">
                        <c:v>906</c:v>
                      </c:pt>
                      <c:pt idx="76">
                        <c:v>914</c:v>
                      </c:pt>
                      <c:pt idx="77">
                        <c:v>922</c:v>
                      </c:pt>
                      <c:pt idx="78">
                        <c:v>930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EVALUATION!$B$119:$CP$119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8-11EF-44BA-AAAA-9AD66152902A}"/>
                  </c:ext>
                </c:extLst>
              </c15:ser>
            </c15:filteredScatterSeries>
            <c15:filteredScatterSeries>
              <c15:ser>
                <c:idx val="17"/>
                <c:order val="19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306</c:v>
                      </c:pt>
                      <c:pt idx="1">
                        <c:v>314</c:v>
                      </c:pt>
                      <c:pt idx="2">
                        <c:v>322</c:v>
                      </c:pt>
                      <c:pt idx="3">
                        <c:v>330</c:v>
                      </c:pt>
                      <c:pt idx="4">
                        <c:v>338</c:v>
                      </c:pt>
                      <c:pt idx="5">
                        <c:v>346</c:v>
                      </c:pt>
                      <c:pt idx="6">
                        <c:v>354</c:v>
                      </c:pt>
                      <c:pt idx="7">
                        <c:v>362</c:v>
                      </c:pt>
                      <c:pt idx="8">
                        <c:v>370</c:v>
                      </c:pt>
                      <c:pt idx="9">
                        <c:v>378</c:v>
                      </c:pt>
                      <c:pt idx="10">
                        <c:v>386</c:v>
                      </c:pt>
                      <c:pt idx="11">
                        <c:v>394</c:v>
                      </c:pt>
                      <c:pt idx="12">
                        <c:v>402</c:v>
                      </c:pt>
                      <c:pt idx="13">
                        <c:v>410</c:v>
                      </c:pt>
                      <c:pt idx="14">
                        <c:v>418</c:v>
                      </c:pt>
                      <c:pt idx="15">
                        <c:v>426</c:v>
                      </c:pt>
                      <c:pt idx="16">
                        <c:v>434</c:v>
                      </c:pt>
                      <c:pt idx="17">
                        <c:v>442</c:v>
                      </c:pt>
                      <c:pt idx="18">
                        <c:v>450</c:v>
                      </c:pt>
                      <c:pt idx="19">
                        <c:v>458</c:v>
                      </c:pt>
                      <c:pt idx="20">
                        <c:v>466</c:v>
                      </c:pt>
                      <c:pt idx="21">
                        <c:v>474</c:v>
                      </c:pt>
                      <c:pt idx="22">
                        <c:v>482</c:v>
                      </c:pt>
                      <c:pt idx="23">
                        <c:v>490</c:v>
                      </c:pt>
                      <c:pt idx="24">
                        <c:v>498</c:v>
                      </c:pt>
                      <c:pt idx="25">
                        <c:v>506</c:v>
                      </c:pt>
                      <c:pt idx="26">
                        <c:v>514</c:v>
                      </c:pt>
                      <c:pt idx="27">
                        <c:v>522</c:v>
                      </c:pt>
                      <c:pt idx="28">
                        <c:v>530</c:v>
                      </c:pt>
                      <c:pt idx="29">
                        <c:v>538</c:v>
                      </c:pt>
                      <c:pt idx="30">
                        <c:v>546</c:v>
                      </c:pt>
                      <c:pt idx="31">
                        <c:v>554</c:v>
                      </c:pt>
                      <c:pt idx="32">
                        <c:v>562</c:v>
                      </c:pt>
                      <c:pt idx="33">
                        <c:v>570</c:v>
                      </c:pt>
                      <c:pt idx="34">
                        <c:v>578</c:v>
                      </c:pt>
                      <c:pt idx="35">
                        <c:v>586</c:v>
                      </c:pt>
                      <c:pt idx="36">
                        <c:v>594</c:v>
                      </c:pt>
                      <c:pt idx="37">
                        <c:v>602</c:v>
                      </c:pt>
                      <c:pt idx="38">
                        <c:v>610</c:v>
                      </c:pt>
                      <c:pt idx="39">
                        <c:v>618</c:v>
                      </c:pt>
                      <c:pt idx="40">
                        <c:v>626</c:v>
                      </c:pt>
                      <c:pt idx="41">
                        <c:v>634</c:v>
                      </c:pt>
                      <c:pt idx="42">
                        <c:v>642</c:v>
                      </c:pt>
                      <c:pt idx="43">
                        <c:v>650</c:v>
                      </c:pt>
                      <c:pt idx="44">
                        <c:v>658</c:v>
                      </c:pt>
                      <c:pt idx="45">
                        <c:v>666</c:v>
                      </c:pt>
                      <c:pt idx="46">
                        <c:v>674</c:v>
                      </c:pt>
                      <c:pt idx="47">
                        <c:v>682</c:v>
                      </c:pt>
                      <c:pt idx="48">
                        <c:v>690</c:v>
                      </c:pt>
                      <c:pt idx="49">
                        <c:v>698</c:v>
                      </c:pt>
                      <c:pt idx="50">
                        <c:v>706</c:v>
                      </c:pt>
                      <c:pt idx="51">
                        <c:v>714</c:v>
                      </c:pt>
                      <c:pt idx="52">
                        <c:v>722</c:v>
                      </c:pt>
                      <c:pt idx="53">
                        <c:v>730</c:v>
                      </c:pt>
                      <c:pt idx="54">
                        <c:v>738</c:v>
                      </c:pt>
                      <c:pt idx="55">
                        <c:v>746</c:v>
                      </c:pt>
                      <c:pt idx="56">
                        <c:v>754</c:v>
                      </c:pt>
                      <c:pt idx="57">
                        <c:v>762</c:v>
                      </c:pt>
                      <c:pt idx="58">
                        <c:v>770</c:v>
                      </c:pt>
                      <c:pt idx="59">
                        <c:v>778</c:v>
                      </c:pt>
                      <c:pt idx="60">
                        <c:v>786</c:v>
                      </c:pt>
                      <c:pt idx="61">
                        <c:v>794</c:v>
                      </c:pt>
                      <c:pt idx="62">
                        <c:v>802</c:v>
                      </c:pt>
                      <c:pt idx="63">
                        <c:v>810</c:v>
                      </c:pt>
                      <c:pt idx="64">
                        <c:v>818</c:v>
                      </c:pt>
                      <c:pt idx="65">
                        <c:v>826</c:v>
                      </c:pt>
                      <c:pt idx="66">
                        <c:v>834</c:v>
                      </c:pt>
                      <c:pt idx="67">
                        <c:v>842</c:v>
                      </c:pt>
                      <c:pt idx="68">
                        <c:v>850</c:v>
                      </c:pt>
                      <c:pt idx="69">
                        <c:v>858</c:v>
                      </c:pt>
                      <c:pt idx="70">
                        <c:v>866</c:v>
                      </c:pt>
                      <c:pt idx="71">
                        <c:v>874</c:v>
                      </c:pt>
                      <c:pt idx="72">
                        <c:v>882</c:v>
                      </c:pt>
                      <c:pt idx="73">
                        <c:v>890</c:v>
                      </c:pt>
                      <c:pt idx="74">
                        <c:v>898</c:v>
                      </c:pt>
                      <c:pt idx="75">
                        <c:v>906</c:v>
                      </c:pt>
                      <c:pt idx="76">
                        <c:v>914</c:v>
                      </c:pt>
                      <c:pt idx="77">
                        <c:v>922</c:v>
                      </c:pt>
                      <c:pt idx="78">
                        <c:v>930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EVALUATION!$B$120:$CP$120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9-11EF-44BA-AAAA-9AD66152902A}"/>
                  </c:ext>
                </c:extLst>
              </c15:ser>
            </c15:filteredScatterSeries>
            <c15:filteredScatterSeries>
              <c15:ser>
                <c:idx val="18"/>
                <c:order val="20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306</c:v>
                      </c:pt>
                      <c:pt idx="1">
                        <c:v>314</c:v>
                      </c:pt>
                      <c:pt idx="2">
                        <c:v>322</c:v>
                      </c:pt>
                      <c:pt idx="3">
                        <c:v>330</c:v>
                      </c:pt>
                      <c:pt idx="4">
                        <c:v>338</c:v>
                      </c:pt>
                      <c:pt idx="5">
                        <c:v>346</c:v>
                      </c:pt>
                      <c:pt idx="6">
                        <c:v>354</c:v>
                      </c:pt>
                      <c:pt idx="7">
                        <c:v>362</c:v>
                      </c:pt>
                      <c:pt idx="8">
                        <c:v>370</c:v>
                      </c:pt>
                      <c:pt idx="9">
                        <c:v>378</c:v>
                      </c:pt>
                      <c:pt idx="10">
                        <c:v>386</c:v>
                      </c:pt>
                      <c:pt idx="11">
                        <c:v>394</c:v>
                      </c:pt>
                      <c:pt idx="12">
                        <c:v>402</c:v>
                      </c:pt>
                      <c:pt idx="13">
                        <c:v>410</c:v>
                      </c:pt>
                      <c:pt idx="14">
                        <c:v>418</c:v>
                      </c:pt>
                      <c:pt idx="15">
                        <c:v>426</c:v>
                      </c:pt>
                      <c:pt idx="16">
                        <c:v>434</c:v>
                      </c:pt>
                      <c:pt idx="17">
                        <c:v>442</c:v>
                      </c:pt>
                      <c:pt idx="18">
                        <c:v>450</c:v>
                      </c:pt>
                      <c:pt idx="19">
                        <c:v>458</c:v>
                      </c:pt>
                      <c:pt idx="20">
                        <c:v>466</c:v>
                      </c:pt>
                      <c:pt idx="21">
                        <c:v>474</c:v>
                      </c:pt>
                      <c:pt idx="22">
                        <c:v>482</c:v>
                      </c:pt>
                      <c:pt idx="23">
                        <c:v>490</c:v>
                      </c:pt>
                      <c:pt idx="24">
                        <c:v>498</c:v>
                      </c:pt>
                      <c:pt idx="25">
                        <c:v>506</c:v>
                      </c:pt>
                      <c:pt idx="26">
                        <c:v>514</c:v>
                      </c:pt>
                      <c:pt idx="27">
                        <c:v>522</c:v>
                      </c:pt>
                      <c:pt idx="28">
                        <c:v>530</c:v>
                      </c:pt>
                      <c:pt idx="29">
                        <c:v>538</c:v>
                      </c:pt>
                      <c:pt idx="30">
                        <c:v>546</c:v>
                      </c:pt>
                      <c:pt idx="31">
                        <c:v>554</c:v>
                      </c:pt>
                      <c:pt idx="32">
                        <c:v>562</c:v>
                      </c:pt>
                      <c:pt idx="33">
                        <c:v>570</c:v>
                      </c:pt>
                      <c:pt idx="34">
                        <c:v>578</c:v>
                      </c:pt>
                      <c:pt idx="35">
                        <c:v>586</c:v>
                      </c:pt>
                      <c:pt idx="36">
                        <c:v>594</c:v>
                      </c:pt>
                      <c:pt idx="37">
                        <c:v>602</c:v>
                      </c:pt>
                      <c:pt idx="38">
                        <c:v>610</c:v>
                      </c:pt>
                      <c:pt idx="39">
                        <c:v>618</c:v>
                      </c:pt>
                      <c:pt idx="40">
                        <c:v>626</c:v>
                      </c:pt>
                      <c:pt idx="41">
                        <c:v>634</c:v>
                      </c:pt>
                      <c:pt idx="42">
                        <c:v>642</c:v>
                      </c:pt>
                      <c:pt idx="43">
                        <c:v>650</c:v>
                      </c:pt>
                      <c:pt idx="44">
                        <c:v>658</c:v>
                      </c:pt>
                      <c:pt idx="45">
                        <c:v>666</c:v>
                      </c:pt>
                      <c:pt idx="46">
                        <c:v>674</c:v>
                      </c:pt>
                      <c:pt idx="47">
                        <c:v>682</c:v>
                      </c:pt>
                      <c:pt idx="48">
                        <c:v>690</c:v>
                      </c:pt>
                      <c:pt idx="49">
                        <c:v>698</c:v>
                      </c:pt>
                      <c:pt idx="50">
                        <c:v>706</c:v>
                      </c:pt>
                      <c:pt idx="51">
                        <c:v>714</c:v>
                      </c:pt>
                      <c:pt idx="52">
                        <c:v>722</c:v>
                      </c:pt>
                      <c:pt idx="53">
                        <c:v>730</c:v>
                      </c:pt>
                      <c:pt idx="54">
                        <c:v>738</c:v>
                      </c:pt>
                      <c:pt idx="55">
                        <c:v>746</c:v>
                      </c:pt>
                      <c:pt idx="56">
                        <c:v>754</c:v>
                      </c:pt>
                      <c:pt idx="57">
                        <c:v>762</c:v>
                      </c:pt>
                      <c:pt idx="58">
                        <c:v>770</c:v>
                      </c:pt>
                      <c:pt idx="59">
                        <c:v>778</c:v>
                      </c:pt>
                      <c:pt idx="60">
                        <c:v>786</c:v>
                      </c:pt>
                      <c:pt idx="61">
                        <c:v>794</c:v>
                      </c:pt>
                      <c:pt idx="62">
                        <c:v>802</c:v>
                      </c:pt>
                      <c:pt idx="63">
                        <c:v>810</c:v>
                      </c:pt>
                      <c:pt idx="64">
                        <c:v>818</c:v>
                      </c:pt>
                      <c:pt idx="65">
                        <c:v>826</c:v>
                      </c:pt>
                      <c:pt idx="66">
                        <c:v>834</c:v>
                      </c:pt>
                      <c:pt idx="67">
                        <c:v>842</c:v>
                      </c:pt>
                      <c:pt idx="68">
                        <c:v>850</c:v>
                      </c:pt>
                      <c:pt idx="69">
                        <c:v>858</c:v>
                      </c:pt>
                      <c:pt idx="70">
                        <c:v>866</c:v>
                      </c:pt>
                      <c:pt idx="71">
                        <c:v>874</c:v>
                      </c:pt>
                      <c:pt idx="72">
                        <c:v>882</c:v>
                      </c:pt>
                      <c:pt idx="73">
                        <c:v>890</c:v>
                      </c:pt>
                      <c:pt idx="74">
                        <c:v>898</c:v>
                      </c:pt>
                      <c:pt idx="75">
                        <c:v>906</c:v>
                      </c:pt>
                      <c:pt idx="76">
                        <c:v>914</c:v>
                      </c:pt>
                      <c:pt idx="77">
                        <c:v>922</c:v>
                      </c:pt>
                      <c:pt idx="78">
                        <c:v>930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EVALUATION!$B$121:$CP$121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A-11EF-44BA-AAAA-9AD66152902A}"/>
                  </c:ext>
                </c:extLst>
              </c15:ser>
            </c15:filteredScatterSeries>
            <c15:filteredScatterSeries>
              <c15:ser>
                <c:idx val="19"/>
                <c:order val="21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306</c:v>
                      </c:pt>
                      <c:pt idx="1">
                        <c:v>314</c:v>
                      </c:pt>
                      <c:pt idx="2">
                        <c:v>322</c:v>
                      </c:pt>
                      <c:pt idx="3">
                        <c:v>330</c:v>
                      </c:pt>
                      <c:pt idx="4">
                        <c:v>338</c:v>
                      </c:pt>
                      <c:pt idx="5">
                        <c:v>346</c:v>
                      </c:pt>
                      <c:pt idx="6">
                        <c:v>354</c:v>
                      </c:pt>
                      <c:pt idx="7">
                        <c:v>362</c:v>
                      </c:pt>
                      <c:pt idx="8">
                        <c:v>370</c:v>
                      </c:pt>
                      <c:pt idx="9">
                        <c:v>378</c:v>
                      </c:pt>
                      <c:pt idx="10">
                        <c:v>386</c:v>
                      </c:pt>
                      <c:pt idx="11">
                        <c:v>394</c:v>
                      </c:pt>
                      <c:pt idx="12">
                        <c:v>402</c:v>
                      </c:pt>
                      <c:pt idx="13">
                        <c:v>410</c:v>
                      </c:pt>
                      <c:pt idx="14">
                        <c:v>418</c:v>
                      </c:pt>
                      <c:pt idx="15">
                        <c:v>426</c:v>
                      </c:pt>
                      <c:pt idx="16">
                        <c:v>434</c:v>
                      </c:pt>
                      <c:pt idx="17">
                        <c:v>442</c:v>
                      </c:pt>
                      <c:pt idx="18">
                        <c:v>450</c:v>
                      </c:pt>
                      <c:pt idx="19">
                        <c:v>458</c:v>
                      </c:pt>
                      <c:pt idx="20">
                        <c:v>466</c:v>
                      </c:pt>
                      <c:pt idx="21">
                        <c:v>474</c:v>
                      </c:pt>
                      <c:pt idx="22">
                        <c:v>482</c:v>
                      </c:pt>
                      <c:pt idx="23">
                        <c:v>490</c:v>
                      </c:pt>
                      <c:pt idx="24">
                        <c:v>498</c:v>
                      </c:pt>
                      <c:pt idx="25">
                        <c:v>506</c:v>
                      </c:pt>
                      <c:pt idx="26">
                        <c:v>514</c:v>
                      </c:pt>
                      <c:pt idx="27">
                        <c:v>522</c:v>
                      </c:pt>
                      <c:pt idx="28">
                        <c:v>530</c:v>
                      </c:pt>
                      <c:pt idx="29">
                        <c:v>538</c:v>
                      </c:pt>
                      <c:pt idx="30">
                        <c:v>546</c:v>
                      </c:pt>
                      <c:pt idx="31">
                        <c:v>554</c:v>
                      </c:pt>
                      <c:pt idx="32">
                        <c:v>562</c:v>
                      </c:pt>
                      <c:pt idx="33">
                        <c:v>570</c:v>
                      </c:pt>
                      <c:pt idx="34">
                        <c:v>578</c:v>
                      </c:pt>
                      <c:pt idx="35">
                        <c:v>586</c:v>
                      </c:pt>
                      <c:pt idx="36">
                        <c:v>594</c:v>
                      </c:pt>
                      <c:pt idx="37">
                        <c:v>602</c:v>
                      </c:pt>
                      <c:pt idx="38">
                        <c:v>610</c:v>
                      </c:pt>
                      <c:pt idx="39">
                        <c:v>618</c:v>
                      </c:pt>
                      <c:pt idx="40">
                        <c:v>626</c:v>
                      </c:pt>
                      <c:pt idx="41">
                        <c:v>634</c:v>
                      </c:pt>
                      <c:pt idx="42">
                        <c:v>642</c:v>
                      </c:pt>
                      <c:pt idx="43">
                        <c:v>650</c:v>
                      </c:pt>
                      <c:pt idx="44">
                        <c:v>658</c:v>
                      </c:pt>
                      <c:pt idx="45">
                        <c:v>666</c:v>
                      </c:pt>
                      <c:pt idx="46">
                        <c:v>674</c:v>
                      </c:pt>
                      <c:pt idx="47">
                        <c:v>682</c:v>
                      </c:pt>
                      <c:pt idx="48">
                        <c:v>690</c:v>
                      </c:pt>
                      <c:pt idx="49">
                        <c:v>698</c:v>
                      </c:pt>
                      <c:pt idx="50">
                        <c:v>706</c:v>
                      </c:pt>
                      <c:pt idx="51">
                        <c:v>714</c:v>
                      </c:pt>
                      <c:pt idx="52">
                        <c:v>722</c:v>
                      </c:pt>
                      <c:pt idx="53">
                        <c:v>730</c:v>
                      </c:pt>
                      <c:pt idx="54">
                        <c:v>738</c:v>
                      </c:pt>
                      <c:pt idx="55">
                        <c:v>746</c:v>
                      </c:pt>
                      <c:pt idx="56">
                        <c:v>754</c:v>
                      </c:pt>
                      <c:pt idx="57">
                        <c:v>762</c:v>
                      </c:pt>
                      <c:pt idx="58">
                        <c:v>770</c:v>
                      </c:pt>
                      <c:pt idx="59">
                        <c:v>778</c:v>
                      </c:pt>
                      <c:pt idx="60">
                        <c:v>786</c:v>
                      </c:pt>
                      <c:pt idx="61">
                        <c:v>794</c:v>
                      </c:pt>
                      <c:pt idx="62">
                        <c:v>802</c:v>
                      </c:pt>
                      <c:pt idx="63">
                        <c:v>810</c:v>
                      </c:pt>
                      <c:pt idx="64">
                        <c:v>818</c:v>
                      </c:pt>
                      <c:pt idx="65">
                        <c:v>826</c:v>
                      </c:pt>
                      <c:pt idx="66">
                        <c:v>834</c:v>
                      </c:pt>
                      <c:pt idx="67">
                        <c:v>842</c:v>
                      </c:pt>
                      <c:pt idx="68">
                        <c:v>850</c:v>
                      </c:pt>
                      <c:pt idx="69">
                        <c:v>858</c:v>
                      </c:pt>
                      <c:pt idx="70">
                        <c:v>866</c:v>
                      </c:pt>
                      <c:pt idx="71">
                        <c:v>874</c:v>
                      </c:pt>
                      <c:pt idx="72">
                        <c:v>882</c:v>
                      </c:pt>
                      <c:pt idx="73">
                        <c:v>890</c:v>
                      </c:pt>
                      <c:pt idx="74">
                        <c:v>898</c:v>
                      </c:pt>
                      <c:pt idx="75">
                        <c:v>906</c:v>
                      </c:pt>
                      <c:pt idx="76">
                        <c:v>914</c:v>
                      </c:pt>
                      <c:pt idx="77">
                        <c:v>922</c:v>
                      </c:pt>
                      <c:pt idx="78">
                        <c:v>930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EVALUATION!$B$122:$CP$122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B-11EF-44BA-AAAA-9AD66152902A}"/>
                  </c:ext>
                </c:extLst>
              </c15:ser>
            </c15:filteredScatterSeries>
            <c15:filteredScatterSeries>
              <c15:ser>
                <c:idx val="20"/>
                <c:order val="22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306</c:v>
                      </c:pt>
                      <c:pt idx="1">
                        <c:v>314</c:v>
                      </c:pt>
                      <c:pt idx="2">
                        <c:v>322</c:v>
                      </c:pt>
                      <c:pt idx="3">
                        <c:v>330</c:v>
                      </c:pt>
                      <c:pt idx="4">
                        <c:v>338</c:v>
                      </c:pt>
                      <c:pt idx="5">
                        <c:v>346</c:v>
                      </c:pt>
                      <c:pt idx="6">
                        <c:v>354</c:v>
                      </c:pt>
                      <c:pt idx="7">
                        <c:v>362</c:v>
                      </c:pt>
                      <c:pt idx="8">
                        <c:v>370</c:v>
                      </c:pt>
                      <c:pt idx="9">
                        <c:v>378</c:v>
                      </c:pt>
                      <c:pt idx="10">
                        <c:v>386</c:v>
                      </c:pt>
                      <c:pt idx="11">
                        <c:v>394</c:v>
                      </c:pt>
                      <c:pt idx="12">
                        <c:v>402</c:v>
                      </c:pt>
                      <c:pt idx="13">
                        <c:v>410</c:v>
                      </c:pt>
                      <c:pt idx="14">
                        <c:v>418</c:v>
                      </c:pt>
                      <c:pt idx="15">
                        <c:v>426</c:v>
                      </c:pt>
                      <c:pt idx="16">
                        <c:v>434</c:v>
                      </c:pt>
                      <c:pt idx="17">
                        <c:v>442</c:v>
                      </c:pt>
                      <c:pt idx="18">
                        <c:v>450</c:v>
                      </c:pt>
                      <c:pt idx="19">
                        <c:v>458</c:v>
                      </c:pt>
                      <c:pt idx="20">
                        <c:v>466</c:v>
                      </c:pt>
                      <c:pt idx="21">
                        <c:v>474</c:v>
                      </c:pt>
                      <c:pt idx="22">
                        <c:v>482</c:v>
                      </c:pt>
                      <c:pt idx="23">
                        <c:v>490</c:v>
                      </c:pt>
                      <c:pt idx="24">
                        <c:v>498</c:v>
                      </c:pt>
                      <c:pt idx="25">
                        <c:v>506</c:v>
                      </c:pt>
                      <c:pt idx="26">
                        <c:v>514</c:v>
                      </c:pt>
                      <c:pt idx="27">
                        <c:v>522</c:v>
                      </c:pt>
                      <c:pt idx="28">
                        <c:v>530</c:v>
                      </c:pt>
                      <c:pt idx="29">
                        <c:v>538</c:v>
                      </c:pt>
                      <c:pt idx="30">
                        <c:v>546</c:v>
                      </c:pt>
                      <c:pt idx="31">
                        <c:v>554</c:v>
                      </c:pt>
                      <c:pt idx="32">
                        <c:v>562</c:v>
                      </c:pt>
                      <c:pt idx="33">
                        <c:v>570</c:v>
                      </c:pt>
                      <c:pt idx="34">
                        <c:v>578</c:v>
                      </c:pt>
                      <c:pt idx="35">
                        <c:v>586</c:v>
                      </c:pt>
                      <c:pt idx="36">
                        <c:v>594</c:v>
                      </c:pt>
                      <c:pt idx="37">
                        <c:v>602</c:v>
                      </c:pt>
                      <c:pt idx="38">
                        <c:v>610</c:v>
                      </c:pt>
                      <c:pt idx="39">
                        <c:v>618</c:v>
                      </c:pt>
                      <c:pt idx="40">
                        <c:v>626</c:v>
                      </c:pt>
                      <c:pt idx="41">
                        <c:v>634</c:v>
                      </c:pt>
                      <c:pt idx="42">
                        <c:v>642</c:v>
                      </c:pt>
                      <c:pt idx="43">
                        <c:v>650</c:v>
                      </c:pt>
                      <c:pt idx="44">
                        <c:v>658</c:v>
                      </c:pt>
                      <c:pt idx="45">
                        <c:v>666</c:v>
                      </c:pt>
                      <c:pt idx="46">
                        <c:v>674</c:v>
                      </c:pt>
                      <c:pt idx="47">
                        <c:v>682</c:v>
                      </c:pt>
                      <c:pt idx="48">
                        <c:v>690</c:v>
                      </c:pt>
                      <c:pt idx="49">
                        <c:v>698</c:v>
                      </c:pt>
                      <c:pt idx="50">
                        <c:v>706</c:v>
                      </c:pt>
                      <c:pt idx="51">
                        <c:v>714</c:v>
                      </c:pt>
                      <c:pt idx="52">
                        <c:v>722</c:v>
                      </c:pt>
                      <c:pt idx="53">
                        <c:v>730</c:v>
                      </c:pt>
                      <c:pt idx="54">
                        <c:v>738</c:v>
                      </c:pt>
                      <c:pt idx="55">
                        <c:v>746</c:v>
                      </c:pt>
                      <c:pt idx="56">
                        <c:v>754</c:v>
                      </c:pt>
                      <c:pt idx="57">
                        <c:v>762</c:v>
                      </c:pt>
                      <c:pt idx="58">
                        <c:v>770</c:v>
                      </c:pt>
                      <c:pt idx="59">
                        <c:v>778</c:v>
                      </c:pt>
                      <c:pt idx="60">
                        <c:v>786</c:v>
                      </c:pt>
                      <c:pt idx="61">
                        <c:v>794</c:v>
                      </c:pt>
                      <c:pt idx="62">
                        <c:v>802</c:v>
                      </c:pt>
                      <c:pt idx="63">
                        <c:v>810</c:v>
                      </c:pt>
                      <c:pt idx="64">
                        <c:v>818</c:v>
                      </c:pt>
                      <c:pt idx="65">
                        <c:v>826</c:v>
                      </c:pt>
                      <c:pt idx="66">
                        <c:v>834</c:v>
                      </c:pt>
                      <c:pt idx="67">
                        <c:v>842</c:v>
                      </c:pt>
                      <c:pt idx="68">
                        <c:v>850</c:v>
                      </c:pt>
                      <c:pt idx="69">
                        <c:v>858</c:v>
                      </c:pt>
                      <c:pt idx="70">
                        <c:v>866</c:v>
                      </c:pt>
                      <c:pt idx="71">
                        <c:v>874</c:v>
                      </c:pt>
                      <c:pt idx="72">
                        <c:v>882</c:v>
                      </c:pt>
                      <c:pt idx="73">
                        <c:v>890</c:v>
                      </c:pt>
                      <c:pt idx="74">
                        <c:v>898</c:v>
                      </c:pt>
                      <c:pt idx="75">
                        <c:v>906</c:v>
                      </c:pt>
                      <c:pt idx="76">
                        <c:v>914</c:v>
                      </c:pt>
                      <c:pt idx="77">
                        <c:v>922</c:v>
                      </c:pt>
                      <c:pt idx="78">
                        <c:v>930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EVALUATION!$B$123:$CP$123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C-11EF-44BA-AAAA-9AD66152902A}"/>
                  </c:ext>
                </c:extLst>
              </c15:ser>
            </c15:filteredScatterSeries>
            <c15:filteredScatterSeries>
              <c15:ser>
                <c:idx val="21"/>
                <c:order val="23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306</c:v>
                      </c:pt>
                      <c:pt idx="1">
                        <c:v>314</c:v>
                      </c:pt>
                      <c:pt idx="2">
                        <c:v>322</c:v>
                      </c:pt>
                      <c:pt idx="3">
                        <c:v>330</c:v>
                      </c:pt>
                      <c:pt idx="4">
                        <c:v>338</c:v>
                      </c:pt>
                      <c:pt idx="5">
                        <c:v>346</c:v>
                      </c:pt>
                      <c:pt idx="6">
                        <c:v>354</c:v>
                      </c:pt>
                      <c:pt idx="7">
                        <c:v>362</c:v>
                      </c:pt>
                      <c:pt idx="8">
                        <c:v>370</c:v>
                      </c:pt>
                      <c:pt idx="9">
                        <c:v>378</c:v>
                      </c:pt>
                      <c:pt idx="10">
                        <c:v>386</c:v>
                      </c:pt>
                      <c:pt idx="11">
                        <c:v>394</c:v>
                      </c:pt>
                      <c:pt idx="12">
                        <c:v>402</c:v>
                      </c:pt>
                      <c:pt idx="13">
                        <c:v>410</c:v>
                      </c:pt>
                      <c:pt idx="14">
                        <c:v>418</c:v>
                      </c:pt>
                      <c:pt idx="15">
                        <c:v>426</c:v>
                      </c:pt>
                      <c:pt idx="16">
                        <c:v>434</c:v>
                      </c:pt>
                      <c:pt idx="17">
                        <c:v>442</c:v>
                      </c:pt>
                      <c:pt idx="18">
                        <c:v>450</c:v>
                      </c:pt>
                      <c:pt idx="19">
                        <c:v>458</c:v>
                      </c:pt>
                      <c:pt idx="20">
                        <c:v>466</c:v>
                      </c:pt>
                      <c:pt idx="21">
                        <c:v>474</c:v>
                      </c:pt>
                      <c:pt idx="22">
                        <c:v>482</c:v>
                      </c:pt>
                      <c:pt idx="23">
                        <c:v>490</c:v>
                      </c:pt>
                      <c:pt idx="24">
                        <c:v>498</c:v>
                      </c:pt>
                      <c:pt idx="25">
                        <c:v>506</c:v>
                      </c:pt>
                      <c:pt idx="26">
                        <c:v>514</c:v>
                      </c:pt>
                      <c:pt idx="27">
                        <c:v>522</c:v>
                      </c:pt>
                      <c:pt idx="28">
                        <c:v>530</c:v>
                      </c:pt>
                      <c:pt idx="29">
                        <c:v>538</c:v>
                      </c:pt>
                      <c:pt idx="30">
                        <c:v>546</c:v>
                      </c:pt>
                      <c:pt idx="31">
                        <c:v>554</c:v>
                      </c:pt>
                      <c:pt idx="32">
                        <c:v>562</c:v>
                      </c:pt>
                      <c:pt idx="33">
                        <c:v>570</c:v>
                      </c:pt>
                      <c:pt idx="34">
                        <c:v>578</c:v>
                      </c:pt>
                      <c:pt idx="35">
                        <c:v>586</c:v>
                      </c:pt>
                      <c:pt idx="36">
                        <c:v>594</c:v>
                      </c:pt>
                      <c:pt idx="37">
                        <c:v>602</c:v>
                      </c:pt>
                      <c:pt idx="38">
                        <c:v>610</c:v>
                      </c:pt>
                      <c:pt idx="39">
                        <c:v>618</c:v>
                      </c:pt>
                      <c:pt idx="40">
                        <c:v>626</c:v>
                      </c:pt>
                      <c:pt idx="41">
                        <c:v>634</c:v>
                      </c:pt>
                      <c:pt idx="42">
                        <c:v>642</c:v>
                      </c:pt>
                      <c:pt idx="43">
                        <c:v>650</c:v>
                      </c:pt>
                      <c:pt idx="44">
                        <c:v>658</c:v>
                      </c:pt>
                      <c:pt idx="45">
                        <c:v>666</c:v>
                      </c:pt>
                      <c:pt idx="46">
                        <c:v>674</c:v>
                      </c:pt>
                      <c:pt idx="47">
                        <c:v>682</c:v>
                      </c:pt>
                      <c:pt idx="48">
                        <c:v>690</c:v>
                      </c:pt>
                      <c:pt idx="49">
                        <c:v>698</c:v>
                      </c:pt>
                      <c:pt idx="50">
                        <c:v>706</c:v>
                      </c:pt>
                      <c:pt idx="51">
                        <c:v>714</c:v>
                      </c:pt>
                      <c:pt idx="52">
                        <c:v>722</c:v>
                      </c:pt>
                      <c:pt idx="53">
                        <c:v>730</c:v>
                      </c:pt>
                      <c:pt idx="54">
                        <c:v>738</c:v>
                      </c:pt>
                      <c:pt idx="55">
                        <c:v>746</c:v>
                      </c:pt>
                      <c:pt idx="56">
                        <c:v>754</c:v>
                      </c:pt>
                      <c:pt idx="57">
                        <c:v>762</c:v>
                      </c:pt>
                      <c:pt idx="58">
                        <c:v>770</c:v>
                      </c:pt>
                      <c:pt idx="59">
                        <c:v>778</c:v>
                      </c:pt>
                      <c:pt idx="60">
                        <c:v>786</c:v>
                      </c:pt>
                      <c:pt idx="61">
                        <c:v>794</c:v>
                      </c:pt>
                      <c:pt idx="62">
                        <c:v>802</c:v>
                      </c:pt>
                      <c:pt idx="63">
                        <c:v>810</c:v>
                      </c:pt>
                      <c:pt idx="64">
                        <c:v>818</c:v>
                      </c:pt>
                      <c:pt idx="65">
                        <c:v>826</c:v>
                      </c:pt>
                      <c:pt idx="66">
                        <c:v>834</c:v>
                      </c:pt>
                      <c:pt idx="67">
                        <c:v>842</c:v>
                      </c:pt>
                      <c:pt idx="68">
                        <c:v>850</c:v>
                      </c:pt>
                      <c:pt idx="69">
                        <c:v>858</c:v>
                      </c:pt>
                      <c:pt idx="70">
                        <c:v>866</c:v>
                      </c:pt>
                      <c:pt idx="71">
                        <c:v>874</c:v>
                      </c:pt>
                      <c:pt idx="72">
                        <c:v>882</c:v>
                      </c:pt>
                      <c:pt idx="73">
                        <c:v>890</c:v>
                      </c:pt>
                      <c:pt idx="74">
                        <c:v>898</c:v>
                      </c:pt>
                      <c:pt idx="75">
                        <c:v>906</c:v>
                      </c:pt>
                      <c:pt idx="76">
                        <c:v>914</c:v>
                      </c:pt>
                      <c:pt idx="77">
                        <c:v>922</c:v>
                      </c:pt>
                      <c:pt idx="78">
                        <c:v>930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EVALUATION!$B$124:$CP$124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D-11EF-44BA-AAAA-9AD66152902A}"/>
                  </c:ext>
                </c:extLst>
              </c15:ser>
            </c15:filteredScatterSeries>
            <c15:filteredScatterSeries>
              <c15:ser>
                <c:idx val="22"/>
                <c:order val="24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306</c:v>
                      </c:pt>
                      <c:pt idx="1">
                        <c:v>314</c:v>
                      </c:pt>
                      <c:pt idx="2">
                        <c:v>322</c:v>
                      </c:pt>
                      <c:pt idx="3">
                        <c:v>330</c:v>
                      </c:pt>
                      <c:pt idx="4">
                        <c:v>338</c:v>
                      </c:pt>
                      <c:pt idx="5">
                        <c:v>346</c:v>
                      </c:pt>
                      <c:pt idx="6">
                        <c:v>354</c:v>
                      </c:pt>
                      <c:pt idx="7">
                        <c:v>362</c:v>
                      </c:pt>
                      <c:pt idx="8">
                        <c:v>370</c:v>
                      </c:pt>
                      <c:pt idx="9">
                        <c:v>378</c:v>
                      </c:pt>
                      <c:pt idx="10">
                        <c:v>386</c:v>
                      </c:pt>
                      <c:pt idx="11">
                        <c:v>394</c:v>
                      </c:pt>
                      <c:pt idx="12">
                        <c:v>402</c:v>
                      </c:pt>
                      <c:pt idx="13">
                        <c:v>410</c:v>
                      </c:pt>
                      <c:pt idx="14">
                        <c:v>418</c:v>
                      </c:pt>
                      <c:pt idx="15">
                        <c:v>426</c:v>
                      </c:pt>
                      <c:pt idx="16">
                        <c:v>434</c:v>
                      </c:pt>
                      <c:pt idx="17">
                        <c:v>442</c:v>
                      </c:pt>
                      <c:pt idx="18">
                        <c:v>450</c:v>
                      </c:pt>
                      <c:pt idx="19">
                        <c:v>458</c:v>
                      </c:pt>
                      <c:pt idx="20">
                        <c:v>466</c:v>
                      </c:pt>
                      <c:pt idx="21">
                        <c:v>474</c:v>
                      </c:pt>
                      <c:pt idx="22">
                        <c:v>482</c:v>
                      </c:pt>
                      <c:pt idx="23">
                        <c:v>490</c:v>
                      </c:pt>
                      <c:pt idx="24">
                        <c:v>498</c:v>
                      </c:pt>
                      <c:pt idx="25">
                        <c:v>506</c:v>
                      </c:pt>
                      <c:pt idx="26">
                        <c:v>514</c:v>
                      </c:pt>
                      <c:pt idx="27">
                        <c:v>522</c:v>
                      </c:pt>
                      <c:pt idx="28">
                        <c:v>530</c:v>
                      </c:pt>
                      <c:pt idx="29">
                        <c:v>538</c:v>
                      </c:pt>
                      <c:pt idx="30">
                        <c:v>546</c:v>
                      </c:pt>
                      <c:pt idx="31">
                        <c:v>554</c:v>
                      </c:pt>
                      <c:pt idx="32">
                        <c:v>562</c:v>
                      </c:pt>
                      <c:pt idx="33">
                        <c:v>570</c:v>
                      </c:pt>
                      <c:pt idx="34">
                        <c:v>578</c:v>
                      </c:pt>
                      <c:pt idx="35">
                        <c:v>586</c:v>
                      </c:pt>
                      <c:pt idx="36">
                        <c:v>594</c:v>
                      </c:pt>
                      <c:pt idx="37">
                        <c:v>602</c:v>
                      </c:pt>
                      <c:pt idx="38">
                        <c:v>610</c:v>
                      </c:pt>
                      <c:pt idx="39">
                        <c:v>618</c:v>
                      </c:pt>
                      <c:pt idx="40">
                        <c:v>626</c:v>
                      </c:pt>
                      <c:pt idx="41">
                        <c:v>634</c:v>
                      </c:pt>
                      <c:pt idx="42">
                        <c:v>642</c:v>
                      </c:pt>
                      <c:pt idx="43">
                        <c:v>650</c:v>
                      </c:pt>
                      <c:pt idx="44">
                        <c:v>658</c:v>
                      </c:pt>
                      <c:pt idx="45">
                        <c:v>666</c:v>
                      </c:pt>
                      <c:pt idx="46">
                        <c:v>674</c:v>
                      </c:pt>
                      <c:pt idx="47">
                        <c:v>682</c:v>
                      </c:pt>
                      <c:pt idx="48">
                        <c:v>690</c:v>
                      </c:pt>
                      <c:pt idx="49">
                        <c:v>698</c:v>
                      </c:pt>
                      <c:pt idx="50">
                        <c:v>706</c:v>
                      </c:pt>
                      <c:pt idx="51">
                        <c:v>714</c:v>
                      </c:pt>
                      <c:pt idx="52">
                        <c:v>722</c:v>
                      </c:pt>
                      <c:pt idx="53">
                        <c:v>730</c:v>
                      </c:pt>
                      <c:pt idx="54">
                        <c:v>738</c:v>
                      </c:pt>
                      <c:pt idx="55">
                        <c:v>746</c:v>
                      </c:pt>
                      <c:pt idx="56">
                        <c:v>754</c:v>
                      </c:pt>
                      <c:pt idx="57">
                        <c:v>762</c:v>
                      </c:pt>
                      <c:pt idx="58">
                        <c:v>770</c:v>
                      </c:pt>
                      <c:pt idx="59">
                        <c:v>778</c:v>
                      </c:pt>
                      <c:pt idx="60">
                        <c:v>786</c:v>
                      </c:pt>
                      <c:pt idx="61">
                        <c:v>794</c:v>
                      </c:pt>
                      <c:pt idx="62">
                        <c:v>802</c:v>
                      </c:pt>
                      <c:pt idx="63">
                        <c:v>810</c:v>
                      </c:pt>
                      <c:pt idx="64">
                        <c:v>818</c:v>
                      </c:pt>
                      <c:pt idx="65">
                        <c:v>826</c:v>
                      </c:pt>
                      <c:pt idx="66">
                        <c:v>834</c:v>
                      </c:pt>
                      <c:pt idx="67">
                        <c:v>842</c:v>
                      </c:pt>
                      <c:pt idx="68">
                        <c:v>850</c:v>
                      </c:pt>
                      <c:pt idx="69">
                        <c:v>858</c:v>
                      </c:pt>
                      <c:pt idx="70">
                        <c:v>866</c:v>
                      </c:pt>
                      <c:pt idx="71">
                        <c:v>874</c:v>
                      </c:pt>
                      <c:pt idx="72">
                        <c:v>882</c:v>
                      </c:pt>
                      <c:pt idx="73">
                        <c:v>890</c:v>
                      </c:pt>
                      <c:pt idx="74">
                        <c:v>898</c:v>
                      </c:pt>
                      <c:pt idx="75">
                        <c:v>906</c:v>
                      </c:pt>
                      <c:pt idx="76">
                        <c:v>914</c:v>
                      </c:pt>
                      <c:pt idx="77">
                        <c:v>922</c:v>
                      </c:pt>
                      <c:pt idx="78">
                        <c:v>930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EVALUATION!$B$125:$CP$125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E-11EF-44BA-AAAA-9AD66152902A}"/>
                  </c:ext>
                </c:extLst>
              </c15:ser>
            </c15:filteredScatterSeries>
            <c15:filteredScatterSeries>
              <c15:ser>
                <c:idx val="23"/>
                <c:order val="25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306</c:v>
                      </c:pt>
                      <c:pt idx="1">
                        <c:v>314</c:v>
                      </c:pt>
                      <c:pt idx="2">
                        <c:v>322</c:v>
                      </c:pt>
                      <c:pt idx="3">
                        <c:v>330</c:v>
                      </c:pt>
                      <c:pt idx="4">
                        <c:v>338</c:v>
                      </c:pt>
                      <c:pt idx="5">
                        <c:v>346</c:v>
                      </c:pt>
                      <c:pt idx="6">
                        <c:v>354</c:v>
                      </c:pt>
                      <c:pt idx="7">
                        <c:v>362</c:v>
                      </c:pt>
                      <c:pt idx="8">
                        <c:v>370</c:v>
                      </c:pt>
                      <c:pt idx="9">
                        <c:v>378</c:v>
                      </c:pt>
                      <c:pt idx="10">
                        <c:v>386</c:v>
                      </c:pt>
                      <c:pt idx="11">
                        <c:v>394</c:v>
                      </c:pt>
                      <c:pt idx="12">
                        <c:v>402</c:v>
                      </c:pt>
                      <c:pt idx="13">
                        <c:v>410</c:v>
                      </c:pt>
                      <c:pt idx="14">
                        <c:v>418</c:v>
                      </c:pt>
                      <c:pt idx="15">
                        <c:v>426</c:v>
                      </c:pt>
                      <c:pt idx="16">
                        <c:v>434</c:v>
                      </c:pt>
                      <c:pt idx="17">
                        <c:v>442</c:v>
                      </c:pt>
                      <c:pt idx="18">
                        <c:v>450</c:v>
                      </c:pt>
                      <c:pt idx="19">
                        <c:v>458</c:v>
                      </c:pt>
                      <c:pt idx="20">
                        <c:v>466</c:v>
                      </c:pt>
                      <c:pt idx="21">
                        <c:v>474</c:v>
                      </c:pt>
                      <c:pt idx="22">
                        <c:v>482</c:v>
                      </c:pt>
                      <c:pt idx="23">
                        <c:v>490</c:v>
                      </c:pt>
                      <c:pt idx="24">
                        <c:v>498</c:v>
                      </c:pt>
                      <c:pt idx="25">
                        <c:v>506</c:v>
                      </c:pt>
                      <c:pt idx="26">
                        <c:v>514</c:v>
                      </c:pt>
                      <c:pt idx="27">
                        <c:v>522</c:v>
                      </c:pt>
                      <c:pt idx="28">
                        <c:v>530</c:v>
                      </c:pt>
                      <c:pt idx="29">
                        <c:v>538</c:v>
                      </c:pt>
                      <c:pt idx="30">
                        <c:v>546</c:v>
                      </c:pt>
                      <c:pt idx="31">
                        <c:v>554</c:v>
                      </c:pt>
                      <c:pt idx="32">
                        <c:v>562</c:v>
                      </c:pt>
                      <c:pt idx="33">
                        <c:v>570</c:v>
                      </c:pt>
                      <c:pt idx="34">
                        <c:v>578</c:v>
                      </c:pt>
                      <c:pt idx="35">
                        <c:v>586</c:v>
                      </c:pt>
                      <c:pt idx="36">
                        <c:v>594</c:v>
                      </c:pt>
                      <c:pt idx="37">
                        <c:v>602</c:v>
                      </c:pt>
                      <c:pt idx="38">
                        <c:v>610</c:v>
                      </c:pt>
                      <c:pt idx="39">
                        <c:v>618</c:v>
                      </c:pt>
                      <c:pt idx="40">
                        <c:v>626</c:v>
                      </c:pt>
                      <c:pt idx="41">
                        <c:v>634</c:v>
                      </c:pt>
                      <c:pt idx="42">
                        <c:v>642</c:v>
                      </c:pt>
                      <c:pt idx="43">
                        <c:v>650</c:v>
                      </c:pt>
                      <c:pt idx="44">
                        <c:v>658</c:v>
                      </c:pt>
                      <c:pt idx="45">
                        <c:v>666</c:v>
                      </c:pt>
                      <c:pt idx="46">
                        <c:v>674</c:v>
                      </c:pt>
                      <c:pt idx="47">
                        <c:v>682</c:v>
                      </c:pt>
                      <c:pt idx="48">
                        <c:v>690</c:v>
                      </c:pt>
                      <c:pt idx="49">
                        <c:v>698</c:v>
                      </c:pt>
                      <c:pt idx="50">
                        <c:v>706</c:v>
                      </c:pt>
                      <c:pt idx="51">
                        <c:v>714</c:v>
                      </c:pt>
                      <c:pt idx="52">
                        <c:v>722</c:v>
                      </c:pt>
                      <c:pt idx="53">
                        <c:v>730</c:v>
                      </c:pt>
                      <c:pt idx="54">
                        <c:v>738</c:v>
                      </c:pt>
                      <c:pt idx="55">
                        <c:v>746</c:v>
                      </c:pt>
                      <c:pt idx="56">
                        <c:v>754</c:v>
                      </c:pt>
                      <c:pt idx="57">
                        <c:v>762</c:v>
                      </c:pt>
                      <c:pt idx="58">
                        <c:v>770</c:v>
                      </c:pt>
                      <c:pt idx="59">
                        <c:v>778</c:v>
                      </c:pt>
                      <c:pt idx="60">
                        <c:v>786</c:v>
                      </c:pt>
                      <c:pt idx="61">
                        <c:v>794</c:v>
                      </c:pt>
                      <c:pt idx="62">
                        <c:v>802</c:v>
                      </c:pt>
                      <c:pt idx="63">
                        <c:v>810</c:v>
                      </c:pt>
                      <c:pt idx="64">
                        <c:v>818</c:v>
                      </c:pt>
                      <c:pt idx="65">
                        <c:v>826</c:v>
                      </c:pt>
                      <c:pt idx="66">
                        <c:v>834</c:v>
                      </c:pt>
                      <c:pt idx="67">
                        <c:v>842</c:v>
                      </c:pt>
                      <c:pt idx="68">
                        <c:v>850</c:v>
                      </c:pt>
                      <c:pt idx="69">
                        <c:v>858</c:v>
                      </c:pt>
                      <c:pt idx="70">
                        <c:v>866</c:v>
                      </c:pt>
                      <c:pt idx="71">
                        <c:v>874</c:v>
                      </c:pt>
                      <c:pt idx="72">
                        <c:v>882</c:v>
                      </c:pt>
                      <c:pt idx="73">
                        <c:v>890</c:v>
                      </c:pt>
                      <c:pt idx="74">
                        <c:v>898</c:v>
                      </c:pt>
                      <c:pt idx="75">
                        <c:v>906</c:v>
                      </c:pt>
                      <c:pt idx="76">
                        <c:v>914</c:v>
                      </c:pt>
                      <c:pt idx="77">
                        <c:v>922</c:v>
                      </c:pt>
                      <c:pt idx="78">
                        <c:v>930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EVALUATION!$B$126:$CP$126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F-11EF-44BA-AAAA-9AD66152902A}"/>
                  </c:ext>
                </c:extLst>
              </c15:ser>
            </c15:filteredScatterSeries>
            <c15:filteredScatterSeries>
              <c15:ser>
                <c:idx val="24"/>
                <c:order val="26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306</c:v>
                      </c:pt>
                      <c:pt idx="1">
                        <c:v>314</c:v>
                      </c:pt>
                      <c:pt idx="2">
                        <c:v>322</c:v>
                      </c:pt>
                      <c:pt idx="3">
                        <c:v>330</c:v>
                      </c:pt>
                      <c:pt idx="4">
                        <c:v>338</c:v>
                      </c:pt>
                      <c:pt idx="5">
                        <c:v>346</c:v>
                      </c:pt>
                      <c:pt idx="6">
                        <c:v>354</c:v>
                      </c:pt>
                      <c:pt idx="7">
                        <c:v>362</c:v>
                      </c:pt>
                      <c:pt idx="8">
                        <c:v>370</c:v>
                      </c:pt>
                      <c:pt idx="9">
                        <c:v>378</c:v>
                      </c:pt>
                      <c:pt idx="10">
                        <c:v>386</c:v>
                      </c:pt>
                      <c:pt idx="11">
                        <c:v>394</c:v>
                      </c:pt>
                      <c:pt idx="12">
                        <c:v>402</c:v>
                      </c:pt>
                      <c:pt idx="13">
                        <c:v>410</c:v>
                      </c:pt>
                      <c:pt idx="14">
                        <c:v>418</c:v>
                      </c:pt>
                      <c:pt idx="15">
                        <c:v>426</c:v>
                      </c:pt>
                      <c:pt idx="16">
                        <c:v>434</c:v>
                      </c:pt>
                      <c:pt idx="17">
                        <c:v>442</c:v>
                      </c:pt>
                      <c:pt idx="18">
                        <c:v>450</c:v>
                      </c:pt>
                      <c:pt idx="19">
                        <c:v>458</c:v>
                      </c:pt>
                      <c:pt idx="20">
                        <c:v>466</c:v>
                      </c:pt>
                      <c:pt idx="21">
                        <c:v>474</c:v>
                      </c:pt>
                      <c:pt idx="22">
                        <c:v>482</c:v>
                      </c:pt>
                      <c:pt idx="23">
                        <c:v>490</c:v>
                      </c:pt>
                      <c:pt idx="24">
                        <c:v>498</c:v>
                      </c:pt>
                      <c:pt idx="25">
                        <c:v>506</c:v>
                      </c:pt>
                      <c:pt idx="26">
                        <c:v>514</c:v>
                      </c:pt>
                      <c:pt idx="27">
                        <c:v>522</c:v>
                      </c:pt>
                      <c:pt idx="28">
                        <c:v>530</c:v>
                      </c:pt>
                      <c:pt idx="29">
                        <c:v>538</c:v>
                      </c:pt>
                      <c:pt idx="30">
                        <c:v>546</c:v>
                      </c:pt>
                      <c:pt idx="31">
                        <c:v>554</c:v>
                      </c:pt>
                      <c:pt idx="32">
                        <c:v>562</c:v>
                      </c:pt>
                      <c:pt idx="33">
                        <c:v>570</c:v>
                      </c:pt>
                      <c:pt idx="34">
                        <c:v>578</c:v>
                      </c:pt>
                      <c:pt idx="35">
                        <c:v>586</c:v>
                      </c:pt>
                      <c:pt idx="36">
                        <c:v>594</c:v>
                      </c:pt>
                      <c:pt idx="37">
                        <c:v>602</c:v>
                      </c:pt>
                      <c:pt idx="38">
                        <c:v>610</c:v>
                      </c:pt>
                      <c:pt idx="39">
                        <c:v>618</c:v>
                      </c:pt>
                      <c:pt idx="40">
                        <c:v>626</c:v>
                      </c:pt>
                      <c:pt idx="41">
                        <c:v>634</c:v>
                      </c:pt>
                      <c:pt idx="42">
                        <c:v>642</c:v>
                      </c:pt>
                      <c:pt idx="43">
                        <c:v>650</c:v>
                      </c:pt>
                      <c:pt idx="44">
                        <c:v>658</c:v>
                      </c:pt>
                      <c:pt idx="45">
                        <c:v>666</c:v>
                      </c:pt>
                      <c:pt idx="46">
                        <c:v>674</c:v>
                      </c:pt>
                      <c:pt idx="47">
                        <c:v>682</c:v>
                      </c:pt>
                      <c:pt idx="48">
                        <c:v>690</c:v>
                      </c:pt>
                      <c:pt idx="49">
                        <c:v>698</c:v>
                      </c:pt>
                      <c:pt idx="50">
                        <c:v>706</c:v>
                      </c:pt>
                      <c:pt idx="51">
                        <c:v>714</c:v>
                      </c:pt>
                      <c:pt idx="52">
                        <c:v>722</c:v>
                      </c:pt>
                      <c:pt idx="53">
                        <c:v>730</c:v>
                      </c:pt>
                      <c:pt idx="54">
                        <c:v>738</c:v>
                      </c:pt>
                      <c:pt idx="55">
                        <c:v>746</c:v>
                      </c:pt>
                      <c:pt idx="56">
                        <c:v>754</c:v>
                      </c:pt>
                      <c:pt idx="57">
                        <c:v>762</c:v>
                      </c:pt>
                      <c:pt idx="58">
                        <c:v>770</c:v>
                      </c:pt>
                      <c:pt idx="59">
                        <c:v>778</c:v>
                      </c:pt>
                      <c:pt idx="60">
                        <c:v>786</c:v>
                      </c:pt>
                      <c:pt idx="61">
                        <c:v>794</c:v>
                      </c:pt>
                      <c:pt idx="62">
                        <c:v>802</c:v>
                      </c:pt>
                      <c:pt idx="63">
                        <c:v>810</c:v>
                      </c:pt>
                      <c:pt idx="64">
                        <c:v>818</c:v>
                      </c:pt>
                      <c:pt idx="65">
                        <c:v>826</c:v>
                      </c:pt>
                      <c:pt idx="66">
                        <c:v>834</c:v>
                      </c:pt>
                      <c:pt idx="67">
                        <c:v>842</c:v>
                      </c:pt>
                      <c:pt idx="68">
                        <c:v>850</c:v>
                      </c:pt>
                      <c:pt idx="69">
                        <c:v>858</c:v>
                      </c:pt>
                      <c:pt idx="70">
                        <c:v>866</c:v>
                      </c:pt>
                      <c:pt idx="71">
                        <c:v>874</c:v>
                      </c:pt>
                      <c:pt idx="72">
                        <c:v>882</c:v>
                      </c:pt>
                      <c:pt idx="73">
                        <c:v>890</c:v>
                      </c:pt>
                      <c:pt idx="74">
                        <c:v>898</c:v>
                      </c:pt>
                      <c:pt idx="75">
                        <c:v>906</c:v>
                      </c:pt>
                      <c:pt idx="76">
                        <c:v>914</c:v>
                      </c:pt>
                      <c:pt idx="77">
                        <c:v>922</c:v>
                      </c:pt>
                      <c:pt idx="78">
                        <c:v>930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EVALUATION!$B$127:$CP$127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0-11EF-44BA-AAAA-9AD66152902A}"/>
                  </c:ext>
                </c:extLst>
              </c15:ser>
            </c15:filteredScatterSeries>
            <c15:filteredScatterSeries>
              <c15:ser>
                <c:idx val="25"/>
                <c:order val="27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306</c:v>
                      </c:pt>
                      <c:pt idx="1">
                        <c:v>314</c:v>
                      </c:pt>
                      <c:pt idx="2">
                        <c:v>322</c:v>
                      </c:pt>
                      <c:pt idx="3">
                        <c:v>330</c:v>
                      </c:pt>
                      <c:pt idx="4">
                        <c:v>338</c:v>
                      </c:pt>
                      <c:pt idx="5">
                        <c:v>346</c:v>
                      </c:pt>
                      <c:pt idx="6">
                        <c:v>354</c:v>
                      </c:pt>
                      <c:pt idx="7">
                        <c:v>362</c:v>
                      </c:pt>
                      <c:pt idx="8">
                        <c:v>370</c:v>
                      </c:pt>
                      <c:pt idx="9">
                        <c:v>378</c:v>
                      </c:pt>
                      <c:pt idx="10">
                        <c:v>386</c:v>
                      </c:pt>
                      <c:pt idx="11">
                        <c:v>394</c:v>
                      </c:pt>
                      <c:pt idx="12">
                        <c:v>402</c:v>
                      </c:pt>
                      <c:pt idx="13">
                        <c:v>410</c:v>
                      </c:pt>
                      <c:pt idx="14">
                        <c:v>418</c:v>
                      </c:pt>
                      <c:pt idx="15">
                        <c:v>426</c:v>
                      </c:pt>
                      <c:pt idx="16">
                        <c:v>434</c:v>
                      </c:pt>
                      <c:pt idx="17">
                        <c:v>442</c:v>
                      </c:pt>
                      <c:pt idx="18">
                        <c:v>450</c:v>
                      </c:pt>
                      <c:pt idx="19">
                        <c:v>458</c:v>
                      </c:pt>
                      <c:pt idx="20">
                        <c:v>466</c:v>
                      </c:pt>
                      <c:pt idx="21">
                        <c:v>474</c:v>
                      </c:pt>
                      <c:pt idx="22">
                        <c:v>482</c:v>
                      </c:pt>
                      <c:pt idx="23">
                        <c:v>490</c:v>
                      </c:pt>
                      <c:pt idx="24">
                        <c:v>498</c:v>
                      </c:pt>
                      <c:pt idx="25">
                        <c:v>506</c:v>
                      </c:pt>
                      <c:pt idx="26">
                        <c:v>514</c:v>
                      </c:pt>
                      <c:pt idx="27">
                        <c:v>522</c:v>
                      </c:pt>
                      <c:pt idx="28">
                        <c:v>530</c:v>
                      </c:pt>
                      <c:pt idx="29">
                        <c:v>538</c:v>
                      </c:pt>
                      <c:pt idx="30">
                        <c:v>546</c:v>
                      </c:pt>
                      <c:pt idx="31">
                        <c:v>554</c:v>
                      </c:pt>
                      <c:pt idx="32">
                        <c:v>562</c:v>
                      </c:pt>
                      <c:pt idx="33">
                        <c:v>570</c:v>
                      </c:pt>
                      <c:pt idx="34">
                        <c:v>578</c:v>
                      </c:pt>
                      <c:pt idx="35">
                        <c:v>586</c:v>
                      </c:pt>
                      <c:pt idx="36">
                        <c:v>594</c:v>
                      </c:pt>
                      <c:pt idx="37">
                        <c:v>602</c:v>
                      </c:pt>
                      <c:pt idx="38">
                        <c:v>610</c:v>
                      </c:pt>
                      <c:pt idx="39">
                        <c:v>618</c:v>
                      </c:pt>
                      <c:pt idx="40">
                        <c:v>626</c:v>
                      </c:pt>
                      <c:pt idx="41">
                        <c:v>634</c:v>
                      </c:pt>
                      <c:pt idx="42">
                        <c:v>642</c:v>
                      </c:pt>
                      <c:pt idx="43">
                        <c:v>650</c:v>
                      </c:pt>
                      <c:pt idx="44">
                        <c:v>658</c:v>
                      </c:pt>
                      <c:pt idx="45">
                        <c:v>666</c:v>
                      </c:pt>
                      <c:pt idx="46">
                        <c:v>674</c:v>
                      </c:pt>
                      <c:pt idx="47">
                        <c:v>682</c:v>
                      </c:pt>
                      <c:pt idx="48">
                        <c:v>690</c:v>
                      </c:pt>
                      <c:pt idx="49">
                        <c:v>698</c:v>
                      </c:pt>
                      <c:pt idx="50">
                        <c:v>706</c:v>
                      </c:pt>
                      <c:pt idx="51">
                        <c:v>714</c:v>
                      </c:pt>
                      <c:pt idx="52">
                        <c:v>722</c:v>
                      </c:pt>
                      <c:pt idx="53">
                        <c:v>730</c:v>
                      </c:pt>
                      <c:pt idx="54">
                        <c:v>738</c:v>
                      </c:pt>
                      <c:pt idx="55">
                        <c:v>746</c:v>
                      </c:pt>
                      <c:pt idx="56">
                        <c:v>754</c:v>
                      </c:pt>
                      <c:pt idx="57">
                        <c:v>762</c:v>
                      </c:pt>
                      <c:pt idx="58">
                        <c:v>770</c:v>
                      </c:pt>
                      <c:pt idx="59">
                        <c:v>778</c:v>
                      </c:pt>
                      <c:pt idx="60">
                        <c:v>786</c:v>
                      </c:pt>
                      <c:pt idx="61">
                        <c:v>794</c:v>
                      </c:pt>
                      <c:pt idx="62">
                        <c:v>802</c:v>
                      </c:pt>
                      <c:pt idx="63">
                        <c:v>810</c:v>
                      </c:pt>
                      <c:pt idx="64">
                        <c:v>818</c:v>
                      </c:pt>
                      <c:pt idx="65">
                        <c:v>826</c:v>
                      </c:pt>
                      <c:pt idx="66">
                        <c:v>834</c:v>
                      </c:pt>
                      <c:pt idx="67">
                        <c:v>842</c:v>
                      </c:pt>
                      <c:pt idx="68">
                        <c:v>850</c:v>
                      </c:pt>
                      <c:pt idx="69">
                        <c:v>858</c:v>
                      </c:pt>
                      <c:pt idx="70">
                        <c:v>866</c:v>
                      </c:pt>
                      <c:pt idx="71">
                        <c:v>874</c:v>
                      </c:pt>
                      <c:pt idx="72">
                        <c:v>882</c:v>
                      </c:pt>
                      <c:pt idx="73">
                        <c:v>890</c:v>
                      </c:pt>
                      <c:pt idx="74">
                        <c:v>898</c:v>
                      </c:pt>
                      <c:pt idx="75">
                        <c:v>906</c:v>
                      </c:pt>
                      <c:pt idx="76">
                        <c:v>914</c:v>
                      </c:pt>
                      <c:pt idx="77">
                        <c:v>922</c:v>
                      </c:pt>
                      <c:pt idx="78">
                        <c:v>930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EVALUATION!$B$128:$CP$128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1-11EF-44BA-AAAA-9AD66152902A}"/>
                  </c:ext>
                </c:extLst>
              </c15:ser>
            </c15:filteredScatterSeries>
            <c15:filteredScatterSeries>
              <c15:ser>
                <c:idx val="26"/>
                <c:order val="28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306</c:v>
                      </c:pt>
                      <c:pt idx="1">
                        <c:v>314</c:v>
                      </c:pt>
                      <c:pt idx="2">
                        <c:v>322</c:v>
                      </c:pt>
                      <c:pt idx="3">
                        <c:v>330</c:v>
                      </c:pt>
                      <c:pt idx="4">
                        <c:v>338</c:v>
                      </c:pt>
                      <c:pt idx="5">
                        <c:v>346</c:v>
                      </c:pt>
                      <c:pt idx="6">
                        <c:v>354</c:v>
                      </c:pt>
                      <c:pt idx="7">
                        <c:v>362</c:v>
                      </c:pt>
                      <c:pt idx="8">
                        <c:v>370</c:v>
                      </c:pt>
                      <c:pt idx="9">
                        <c:v>378</c:v>
                      </c:pt>
                      <c:pt idx="10">
                        <c:v>386</c:v>
                      </c:pt>
                      <c:pt idx="11">
                        <c:v>394</c:v>
                      </c:pt>
                      <c:pt idx="12">
                        <c:v>402</c:v>
                      </c:pt>
                      <c:pt idx="13">
                        <c:v>410</c:v>
                      </c:pt>
                      <c:pt idx="14">
                        <c:v>418</c:v>
                      </c:pt>
                      <c:pt idx="15">
                        <c:v>426</c:v>
                      </c:pt>
                      <c:pt idx="16">
                        <c:v>434</c:v>
                      </c:pt>
                      <c:pt idx="17">
                        <c:v>442</c:v>
                      </c:pt>
                      <c:pt idx="18">
                        <c:v>450</c:v>
                      </c:pt>
                      <c:pt idx="19">
                        <c:v>458</c:v>
                      </c:pt>
                      <c:pt idx="20">
                        <c:v>466</c:v>
                      </c:pt>
                      <c:pt idx="21">
                        <c:v>474</c:v>
                      </c:pt>
                      <c:pt idx="22">
                        <c:v>482</c:v>
                      </c:pt>
                      <c:pt idx="23">
                        <c:v>490</c:v>
                      </c:pt>
                      <c:pt idx="24">
                        <c:v>498</c:v>
                      </c:pt>
                      <c:pt idx="25">
                        <c:v>506</c:v>
                      </c:pt>
                      <c:pt idx="26">
                        <c:v>514</c:v>
                      </c:pt>
                      <c:pt idx="27">
                        <c:v>522</c:v>
                      </c:pt>
                      <c:pt idx="28">
                        <c:v>530</c:v>
                      </c:pt>
                      <c:pt idx="29">
                        <c:v>538</c:v>
                      </c:pt>
                      <c:pt idx="30">
                        <c:v>546</c:v>
                      </c:pt>
                      <c:pt idx="31">
                        <c:v>554</c:v>
                      </c:pt>
                      <c:pt idx="32">
                        <c:v>562</c:v>
                      </c:pt>
                      <c:pt idx="33">
                        <c:v>570</c:v>
                      </c:pt>
                      <c:pt idx="34">
                        <c:v>578</c:v>
                      </c:pt>
                      <c:pt idx="35">
                        <c:v>586</c:v>
                      </c:pt>
                      <c:pt idx="36">
                        <c:v>594</c:v>
                      </c:pt>
                      <c:pt idx="37">
                        <c:v>602</c:v>
                      </c:pt>
                      <c:pt idx="38">
                        <c:v>610</c:v>
                      </c:pt>
                      <c:pt idx="39">
                        <c:v>618</c:v>
                      </c:pt>
                      <c:pt idx="40">
                        <c:v>626</c:v>
                      </c:pt>
                      <c:pt idx="41">
                        <c:v>634</c:v>
                      </c:pt>
                      <c:pt idx="42">
                        <c:v>642</c:v>
                      </c:pt>
                      <c:pt idx="43">
                        <c:v>650</c:v>
                      </c:pt>
                      <c:pt idx="44">
                        <c:v>658</c:v>
                      </c:pt>
                      <c:pt idx="45">
                        <c:v>666</c:v>
                      </c:pt>
                      <c:pt idx="46">
                        <c:v>674</c:v>
                      </c:pt>
                      <c:pt idx="47">
                        <c:v>682</c:v>
                      </c:pt>
                      <c:pt idx="48">
                        <c:v>690</c:v>
                      </c:pt>
                      <c:pt idx="49">
                        <c:v>698</c:v>
                      </c:pt>
                      <c:pt idx="50">
                        <c:v>706</c:v>
                      </c:pt>
                      <c:pt idx="51">
                        <c:v>714</c:v>
                      </c:pt>
                      <c:pt idx="52">
                        <c:v>722</c:v>
                      </c:pt>
                      <c:pt idx="53">
                        <c:v>730</c:v>
                      </c:pt>
                      <c:pt idx="54">
                        <c:v>738</c:v>
                      </c:pt>
                      <c:pt idx="55">
                        <c:v>746</c:v>
                      </c:pt>
                      <c:pt idx="56">
                        <c:v>754</c:v>
                      </c:pt>
                      <c:pt idx="57">
                        <c:v>762</c:v>
                      </c:pt>
                      <c:pt idx="58">
                        <c:v>770</c:v>
                      </c:pt>
                      <c:pt idx="59">
                        <c:v>778</c:v>
                      </c:pt>
                      <c:pt idx="60">
                        <c:v>786</c:v>
                      </c:pt>
                      <c:pt idx="61">
                        <c:v>794</c:v>
                      </c:pt>
                      <c:pt idx="62">
                        <c:v>802</c:v>
                      </c:pt>
                      <c:pt idx="63">
                        <c:v>810</c:v>
                      </c:pt>
                      <c:pt idx="64">
                        <c:v>818</c:v>
                      </c:pt>
                      <c:pt idx="65">
                        <c:v>826</c:v>
                      </c:pt>
                      <c:pt idx="66">
                        <c:v>834</c:v>
                      </c:pt>
                      <c:pt idx="67">
                        <c:v>842</c:v>
                      </c:pt>
                      <c:pt idx="68">
                        <c:v>850</c:v>
                      </c:pt>
                      <c:pt idx="69">
                        <c:v>858</c:v>
                      </c:pt>
                      <c:pt idx="70">
                        <c:v>866</c:v>
                      </c:pt>
                      <c:pt idx="71">
                        <c:v>874</c:v>
                      </c:pt>
                      <c:pt idx="72">
                        <c:v>882</c:v>
                      </c:pt>
                      <c:pt idx="73">
                        <c:v>890</c:v>
                      </c:pt>
                      <c:pt idx="74">
                        <c:v>898</c:v>
                      </c:pt>
                      <c:pt idx="75">
                        <c:v>906</c:v>
                      </c:pt>
                      <c:pt idx="76">
                        <c:v>914</c:v>
                      </c:pt>
                      <c:pt idx="77">
                        <c:v>922</c:v>
                      </c:pt>
                      <c:pt idx="78">
                        <c:v>930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EVALUATION!$B$129:$CP$129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2-11EF-44BA-AAAA-9AD66152902A}"/>
                  </c:ext>
                </c:extLst>
              </c15:ser>
            </c15:filteredScatterSeries>
            <c15:filteredScatterSeries>
              <c15:ser>
                <c:idx val="27"/>
                <c:order val="29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306</c:v>
                      </c:pt>
                      <c:pt idx="1">
                        <c:v>314</c:v>
                      </c:pt>
                      <c:pt idx="2">
                        <c:v>322</c:v>
                      </c:pt>
                      <c:pt idx="3">
                        <c:v>330</c:v>
                      </c:pt>
                      <c:pt idx="4">
                        <c:v>338</c:v>
                      </c:pt>
                      <c:pt idx="5">
                        <c:v>346</c:v>
                      </c:pt>
                      <c:pt idx="6">
                        <c:v>354</c:v>
                      </c:pt>
                      <c:pt idx="7">
                        <c:v>362</c:v>
                      </c:pt>
                      <c:pt idx="8">
                        <c:v>370</c:v>
                      </c:pt>
                      <c:pt idx="9">
                        <c:v>378</c:v>
                      </c:pt>
                      <c:pt idx="10">
                        <c:v>386</c:v>
                      </c:pt>
                      <c:pt idx="11">
                        <c:v>394</c:v>
                      </c:pt>
                      <c:pt idx="12">
                        <c:v>402</c:v>
                      </c:pt>
                      <c:pt idx="13">
                        <c:v>410</c:v>
                      </c:pt>
                      <c:pt idx="14">
                        <c:v>418</c:v>
                      </c:pt>
                      <c:pt idx="15">
                        <c:v>426</c:v>
                      </c:pt>
                      <c:pt idx="16">
                        <c:v>434</c:v>
                      </c:pt>
                      <c:pt idx="17">
                        <c:v>442</c:v>
                      </c:pt>
                      <c:pt idx="18">
                        <c:v>450</c:v>
                      </c:pt>
                      <c:pt idx="19">
                        <c:v>458</c:v>
                      </c:pt>
                      <c:pt idx="20">
                        <c:v>466</c:v>
                      </c:pt>
                      <c:pt idx="21">
                        <c:v>474</c:v>
                      </c:pt>
                      <c:pt idx="22">
                        <c:v>482</c:v>
                      </c:pt>
                      <c:pt idx="23">
                        <c:v>490</c:v>
                      </c:pt>
                      <c:pt idx="24">
                        <c:v>498</c:v>
                      </c:pt>
                      <c:pt idx="25">
                        <c:v>506</c:v>
                      </c:pt>
                      <c:pt idx="26">
                        <c:v>514</c:v>
                      </c:pt>
                      <c:pt idx="27">
                        <c:v>522</c:v>
                      </c:pt>
                      <c:pt idx="28">
                        <c:v>530</c:v>
                      </c:pt>
                      <c:pt idx="29">
                        <c:v>538</c:v>
                      </c:pt>
                      <c:pt idx="30">
                        <c:v>546</c:v>
                      </c:pt>
                      <c:pt idx="31">
                        <c:v>554</c:v>
                      </c:pt>
                      <c:pt idx="32">
                        <c:v>562</c:v>
                      </c:pt>
                      <c:pt idx="33">
                        <c:v>570</c:v>
                      </c:pt>
                      <c:pt idx="34">
                        <c:v>578</c:v>
                      </c:pt>
                      <c:pt idx="35">
                        <c:v>586</c:v>
                      </c:pt>
                      <c:pt idx="36">
                        <c:v>594</c:v>
                      </c:pt>
                      <c:pt idx="37">
                        <c:v>602</c:v>
                      </c:pt>
                      <c:pt idx="38">
                        <c:v>610</c:v>
                      </c:pt>
                      <c:pt idx="39">
                        <c:v>618</c:v>
                      </c:pt>
                      <c:pt idx="40">
                        <c:v>626</c:v>
                      </c:pt>
                      <c:pt idx="41">
                        <c:v>634</c:v>
                      </c:pt>
                      <c:pt idx="42">
                        <c:v>642</c:v>
                      </c:pt>
                      <c:pt idx="43">
                        <c:v>650</c:v>
                      </c:pt>
                      <c:pt idx="44">
                        <c:v>658</c:v>
                      </c:pt>
                      <c:pt idx="45">
                        <c:v>666</c:v>
                      </c:pt>
                      <c:pt idx="46">
                        <c:v>674</c:v>
                      </c:pt>
                      <c:pt idx="47">
                        <c:v>682</c:v>
                      </c:pt>
                      <c:pt idx="48">
                        <c:v>690</c:v>
                      </c:pt>
                      <c:pt idx="49">
                        <c:v>698</c:v>
                      </c:pt>
                      <c:pt idx="50">
                        <c:v>706</c:v>
                      </c:pt>
                      <c:pt idx="51">
                        <c:v>714</c:v>
                      </c:pt>
                      <c:pt idx="52">
                        <c:v>722</c:v>
                      </c:pt>
                      <c:pt idx="53">
                        <c:v>730</c:v>
                      </c:pt>
                      <c:pt idx="54">
                        <c:v>738</c:v>
                      </c:pt>
                      <c:pt idx="55">
                        <c:v>746</c:v>
                      </c:pt>
                      <c:pt idx="56">
                        <c:v>754</c:v>
                      </c:pt>
                      <c:pt idx="57">
                        <c:v>762</c:v>
                      </c:pt>
                      <c:pt idx="58">
                        <c:v>770</c:v>
                      </c:pt>
                      <c:pt idx="59">
                        <c:v>778</c:v>
                      </c:pt>
                      <c:pt idx="60">
                        <c:v>786</c:v>
                      </c:pt>
                      <c:pt idx="61">
                        <c:v>794</c:v>
                      </c:pt>
                      <c:pt idx="62">
                        <c:v>802</c:v>
                      </c:pt>
                      <c:pt idx="63">
                        <c:v>810</c:v>
                      </c:pt>
                      <c:pt idx="64">
                        <c:v>818</c:v>
                      </c:pt>
                      <c:pt idx="65">
                        <c:v>826</c:v>
                      </c:pt>
                      <c:pt idx="66">
                        <c:v>834</c:v>
                      </c:pt>
                      <c:pt idx="67">
                        <c:v>842</c:v>
                      </c:pt>
                      <c:pt idx="68">
                        <c:v>850</c:v>
                      </c:pt>
                      <c:pt idx="69">
                        <c:v>858</c:v>
                      </c:pt>
                      <c:pt idx="70">
                        <c:v>866</c:v>
                      </c:pt>
                      <c:pt idx="71">
                        <c:v>874</c:v>
                      </c:pt>
                      <c:pt idx="72">
                        <c:v>882</c:v>
                      </c:pt>
                      <c:pt idx="73">
                        <c:v>890</c:v>
                      </c:pt>
                      <c:pt idx="74">
                        <c:v>898</c:v>
                      </c:pt>
                      <c:pt idx="75">
                        <c:v>906</c:v>
                      </c:pt>
                      <c:pt idx="76">
                        <c:v>914</c:v>
                      </c:pt>
                      <c:pt idx="77">
                        <c:v>922</c:v>
                      </c:pt>
                      <c:pt idx="78">
                        <c:v>930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EVALUATION!$B$130:$CP$130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3-11EF-44BA-AAAA-9AD66152902A}"/>
                  </c:ext>
                </c:extLst>
              </c15:ser>
            </c15:filteredScatterSeries>
            <c15:filteredScatterSeries>
              <c15:ser>
                <c:idx val="28"/>
                <c:order val="30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306</c:v>
                      </c:pt>
                      <c:pt idx="1">
                        <c:v>314</c:v>
                      </c:pt>
                      <c:pt idx="2">
                        <c:v>322</c:v>
                      </c:pt>
                      <c:pt idx="3">
                        <c:v>330</c:v>
                      </c:pt>
                      <c:pt idx="4">
                        <c:v>338</c:v>
                      </c:pt>
                      <c:pt idx="5">
                        <c:v>346</c:v>
                      </c:pt>
                      <c:pt idx="6">
                        <c:v>354</c:v>
                      </c:pt>
                      <c:pt idx="7">
                        <c:v>362</c:v>
                      </c:pt>
                      <c:pt idx="8">
                        <c:v>370</c:v>
                      </c:pt>
                      <c:pt idx="9">
                        <c:v>378</c:v>
                      </c:pt>
                      <c:pt idx="10">
                        <c:v>386</c:v>
                      </c:pt>
                      <c:pt idx="11">
                        <c:v>394</c:v>
                      </c:pt>
                      <c:pt idx="12">
                        <c:v>402</c:v>
                      </c:pt>
                      <c:pt idx="13">
                        <c:v>410</c:v>
                      </c:pt>
                      <c:pt idx="14">
                        <c:v>418</c:v>
                      </c:pt>
                      <c:pt idx="15">
                        <c:v>426</c:v>
                      </c:pt>
                      <c:pt idx="16">
                        <c:v>434</c:v>
                      </c:pt>
                      <c:pt idx="17">
                        <c:v>442</c:v>
                      </c:pt>
                      <c:pt idx="18">
                        <c:v>450</c:v>
                      </c:pt>
                      <c:pt idx="19">
                        <c:v>458</c:v>
                      </c:pt>
                      <c:pt idx="20">
                        <c:v>466</c:v>
                      </c:pt>
                      <c:pt idx="21">
                        <c:v>474</c:v>
                      </c:pt>
                      <c:pt idx="22">
                        <c:v>482</c:v>
                      </c:pt>
                      <c:pt idx="23">
                        <c:v>490</c:v>
                      </c:pt>
                      <c:pt idx="24">
                        <c:v>498</c:v>
                      </c:pt>
                      <c:pt idx="25">
                        <c:v>506</c:v>
                      </c:pt>
                      <c:pt idx="26">
                        <c:v>514</c:v>
                      </c:pt>
                      <c:pt idx="27">
                        <c:v>522</c:v>
                      </c:pt>
                      <c:pt idx="28">
                        <c:v>530</c:v>
                      </c:pt>
                      <c:pt idx="29">
                        <c:v>538</c:v>
                      </c:pt>
                      <c:pt idx="30">
                        <c:v>546</c:v>
                      </c:pt>
                      <c:pt idx="31">
                        <c:v>554</c:v>
                      </c:pt>
                      <c:pt idx="32">
                        <c:v>562</c:v>
                      </c:pt>
                      <c:pt idx="33">
                        <c:v>570</c:v>
                      </c:pt>
                      <c:pt idx="34">
                        <c:v>578</c:v>
                      </c:pt>
                      <c:pt idx="35">
                        <c:v>586</c:v>
                      </c:pt>
                      <c:pt idx="36">
                        <c:v>594</c:v>
                      </c:pt>
                      <c:pt idx="37">
                        <c:v>602</c:v>
                      </c:pt>
                      <c:pt idx="38">
                        <c:v>610</c:v>
                      </c:pt>
                      <c:pt idx="39">
                        <c:v>618</c:v>
                      </c:pt>
                      <c:pt idx="40">
                        <c:v>626</c:v>
                      </c:pt>
                      <c:pt idx="41">
                        <c:v>634</c:v>
                      </c:pt>
                      <c:pt idx="42">
                        <c:v>642</c:v>
                      </c:pt>
                      <c:pt idx="43">
                        <c:v>650</c:v>
                      </c:pt>
                      <c:pt idx="44">
                        <c:v>658</c:v>
                      </c:pt>
                      <c:pt idx="45">
                        <c:v>666</c:v>
                      </c:pt>
                      <c:pt idx="46">
                        <c:v>674</c:v>
                      </c:pt>
                      <c:pt idx="47">
                        <c:v>682</c:v>
                      </c:pt>
                      <c:pt idx="48">
                        <c:v>690</c:v>
                      </c:pt>
                      <c:pt idx="49">
                        <c:v>698</c:v>
                      </c:pt>
                      <c:pt idx="50">
                        <c:v>706</c:v>
                      </c:pt>
                      <c:pt idx="51">
                        <c:v>714</c:v>
                      </c:pt>
                      <c:pt idx="52">
                        <c:v>722</c:v>
                      </c:pt>
                      <c:pt idx="53">
                        <c:v>730</c:v>
                      </c:pt>
                      <c:pt idx="54">
                        <c:v>738</c:v>
                      </c:pt>
                      <c:pt idx="55">
                        <c:v>746</c:v>
                      </c:pt>
                      <c:pt idx="56">
                        <c:v>754</c:v>
                      </c:pt>
                      <c:pt idx="57">
                        <c:v>762</c:v>
                      </c:pt>
                      <c:pt idx="58">
                        <c:v>770</c:v>
                      </c:pt>
                      <c:pt idx="59">
                        <c:v>778</c:v>
                      </c:pt>
                      <c:pt idx="60">
                        <c:v>786</c:v>
                      </c:pt>
                      <c:pt idx="61">
                        <c:v>794</c:v>
                      </c:pt>
                      <c:pt idx="62">
                        <c:v>802</c:v>
                      </c:pt>
                      <c:pt idx="63">
                        <c:v>810</c:v>
                      </c:pt>
                      <c:pt idx="64">
                        <c:v>818</c:v>
                      </c:pt>
                      <c:pt idx="65">
                        <c:v>826</c:v>
                      </c:pt>
                      <c:pt idx="66">
                        <c:v>834</c:v>
                      </c:pt>
                      <c:pt idx="67">
                        <c:v>842</c:v>
                      </c:pt>
                      <c:pt idx="68">
                        <c:v>850</c:v>
                      </c:pt>
                      <c:pt idx="69">
                        <c:v>858</c:v>
                      </c:pt>
                      <c:pt idx="70">
                        <c:v>866</c:v>
                      </c:pt>
                      <c:pt idx="71">
                        <c:v>874</c:v>
                      </c:pt>
                      <c:pt idx="72">
                        <c:v>882</c:v>
                      </c:pt>
                      <c:pt idx="73">
                        <c:v>890</c:v>
                      </c:pt>
                      <c:pt idx="74">
                        <c:v>898</c:v>
                      </c:pt>
                      <c:pt idx="75">
                        <c:v>906</c:v>
                      </c:pt>
                      <c:pt idx="76">
                        <c:v>914</c:v>
                      </c:pt>
                      <c:pt idx="77">
                        <c:v>922</c:v>
                      </c:pt>
                      <c:pt idx="78">
                        <c:v>930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EVALUATION!$B$131:$CP$131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4-11EF-44BA-AAAA-9AD66152902A}"/>
                  </c:ext>
                </c:extLst>
              </c15:ser>
            </c15:filteredScatterSeries>
            <c15:filteredScatterSeries>
              <c15:ser>
                <c:idx val="29"/>
                <c:order val="31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306</c:v>
                      </c:pt>
                      <c:pt idx="1">
                        <c:v>314</c:v>
                      </c:pt>
                      <c:pt idx="2">
                        <c:v>322</c:v>
                      </c:pt>
                      <c:pt idx="3">
                        <c:v>330</c:v>
                      </c:pt>
                      <c:pt idx="4">
                        <c:v>338</c:v>
                      </c:pt>
                      <c:pt idx="5">
                        <c:v>346</c:v>
                      </c:pt>
                      <c:pt idx="6">
                        <c:v>354</c:v>
                      </c:pt>
                      <c:pt idx="7">
                        <c:v>362</c:v>
                      </c:pt>
                      <c:pt idx="8">
                        <c:v>370</c:v>
                      </c:pt>
                      <c:pt idx="9">
                        <c:v>378</c:v>
                      </c:pt>
                      <c:pt idx="10">
                        <c:v>386</c:v>
                      </c:pt>
                      <c:pt idx="11">
                        <c:v>394</c:v>
                      </c:pt>
                      <c:pt idx="12">
                        <c:v>402</c:v>
                      </c:pt>
                      <c:pt idx="13">
                        <c:v>410</c:v>
                      </c:pt>
                      <c:pt idx="14">
                        <c:v>418</c:v>
                      </c:pt>
                      <c:pt idx="15">
                        <c:v>426</c:v>
                      </c:pt>
                      <c:pt idx="16">
                        <c:v>434</c:v>
                      </c:pt>
                      <c:pt idx="17">
                        <c:v>442</c:v>
                      </c:pt>
                      <c:pt idx="18">
                        <c:v>450</c:v>
                      </c:pt>
                      <c:pt idx="19">
                        <c:v>458</c:v>
                      </c:pt>
                      <c:pt idx="20">
                        <c:v>466</c:v>
                      </c:pt>
                      <c:pt idx="21">
                        <c:v>474</c:v>
                      </c:pt>
                      <c:pt idx="22">
                        <c:v>482</c:v>
                      </c:pt>
                      <c:pt idx="23">
                        <c:v>490</c:v>
                      </c:pt>
                      <c:pt idx="24">
                        <c:v>498</c:v>
                      </c:pt>
                      <c:pt idx="25">
                        <c:v>506</c:v>
                      </c:pt>
                      <c:pt idx="26">
                        <c:v>514</c:v>
                      </c:pt>
                      <c:pt idx="27">
                        <c:v>522</c:v>
                      </c:pt>
                      <c:pt idx="28">
                        <c:v>530</c:v>
                      </c:pt>
                      <c:pt idx="29">
                        <c:v>538</c:v>
                      </c:pt>
                      <c:pt idx="30">
                        <c:v>546</c:v>
                      </c:pt>
                      <c:pt idx="31">
                        <c:v>554</c:v>
                      </c:pt>
                      <c:pt idx="32">
                        <c:v>562</c:v>
                      </c:pt>
                      <c:pt idx="33">
                        <c:v>570</c:v>
                      </c:pt>
                      <c:pt idx="34">
                        <c:v>578</c:v>
                      </c:pt>
                      <c:pt idx="35">
                        <c:v>586</c:v>
                      </c:pt>
                      <c:pt idx="36">
                        <c:v>594</c:v>
                      </c:pt>
                      <c:pt idx="37">
                        <c:v>602</c:v>
                      </c:pt>
                      <c:pt idx="38">
                        <c:v>610</c:v>
                      </c:pt>
                      <c:pt idx="39">
                        <c:v>618</c:v>
                      </c:pt>
                      <c:pt idx="40">
                        <c:v>626</c:v>
                      </c:pt>
                      <c:pt idx="41">
                        <c:v>634</c:v>
                      </c:pt>
                      <c:pt idx="42">
                        <c:v>642</c:v>
                      </c:pt>
                      <c:pt idx="43">
                        <c:v>650</c:v>
                      </c:pt>
                      <c:pt idx="44">
                        <c:v>658</c:v>
                      </c:pt>
                      <c:pt idx="45">
                        <c:v>666</c:v>
                      </c:pt>
                      <c:pt idx="46">
                        <c:v>674</c:v>
                      </c:pt>
                      <c:pt idx="47">
                        <c:v>682</c:v>
                      </c:pt>
                      <c:pt idx="48">
                        <c:v>690</c:v>
                      </c:pt>
                      <c:pt idx="49">
                        <c:v>698</c:v>
                      </c:pt>
                      <c:pt idx="50">
                        <c:v>706</c:v>
                      </c:pt>
                      <c:pt idx="51">
                        <c:v>714</c:v>
                      </c:pt>
                      <c:pt idx="52">
                        <c:v>722</c:v>
                      </c:pt>
                      <c:pt idx="53">
                        <c:v>730</c:v>
                      </c:pt>
                      <c:pt idx="54">
                        <c:v>738</c:v>
                      </c:pt>
                      <c:pt idx="55">
                        <c:v>746</c:v>
                      </c:pt>
                      <c:pt idx="56">
                        <c:v>754</c:v>
                      </c:pt>
                      <c:pt idx="57">
                        <c:v>762</c:v>
                      </c:pt>
                      <c:pt idx="58">
                        <c:v>770</c:v>
                      </c:pt>
                      <c:pt idx="59">
                        <c:v>778</c:v>
                      </c:pt>
                      <c:pt idx="60">
                        <c:v>786</c:v>
                      </c:pt>
                      <c:pt idx="61">
                        <c:v>794</c:v>
                      </c:pt>
                      <c:pt idx="62">
                        <c:v>802</c:v>
                      </c:pt>
                      <c:pt idx="63">
                        <c:v>810</c:v>
                      </c:pt>
                      <c:pt idx="64">
                        <c:v>818</c:v>
                      </c:pt>
                      <c:pt idx="65">
                        <c:v>826</c:v>
                      </c:pt>
                      <c:pt idx="66">
                        <c:v>834</c:v>
                      </c:pt>
                      <c:pt idx="67">
                        <c:v>842</c:v>
                      </c:pt>
                      <c:pt idx="68">
                        <c:v>850</c:v>
                      </c:pt>
                      <c:pt idx="69">
                        <c:v>858</c:v>
                      </c:pt>
                      <c:pt idx="70">
                        <c:v>866</c:v>
                      </c:pt>
                      <c:pt idx="71">
                        <c:v>874</c:v>
                      </c:pt>
                      <c:pt idx="72">
                        <c:v>882</c:v>
                      </c:pt>
                      <c:pt idx="73">
                        <c:v>890</c:v>
                      </c:pt>
                      <c:pt idx="74">
                        <c:v>898</c:v>
                      </c:pt>
                      <c:pt idx="75">
                        <c:v>906</c:v>
                      </c:pt>
                      <c:pt idx="76">
                        <c:v>914</c:v>
                      </c:pt>
                      <c:pt idx="77">
                        <c:v>922</c:v>
                      </c:pt>
                      <c:pt idx="78">
                        <c:v>930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EVALUATION!$B$132:$CP$132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-37.456036036036032</c:v>
                      </c:pt>
                      <c:pt idx="1">
                        <c:v>-36.754534534534535</c:v>
                      </c:pt>
                      <c:pt idx="2">
                        <c:v>-36.053033033033032</c:v>
                      </c:pt>
                      <c:pt idx="3">
                        <c:v>-35.351531531531528</c:v>
                      </c:pt>
                      <c:pt idx="4" formatCode="General">
                        <c:v>-34.77434131736527</c:v>
                      </c:pt>
                      <c:pt idx="5" formatCode="General">
                        <c:v>-34.225838323353294</c:v>
                      </c:pt>
                      <c:pt idx="6" formatCode="General">
                        <c:v>-33.677335329341318</c:v>
                      </c:pt>
                      <c:pt idx="7" formatCode="General">
                        <c:v>-33.128832335329342</c:v>
                      </c:pt>
                      <c:pt idx="8" formatCode="General">
                        <c:v>-32.657592814371256</c:v>
                      </c:pt>
                      <c:pt idx="9" formatCode="General">
                        <c:v>-32.230287425149697</c:v>
                      </c:pt>
                      <c:pt idx="10" formatCode="General">
                        <c:v>-31.802982035928146</c:v>
                      </c:pt>
                      <c:pt idx="11" formatCode="General">
                        <c:v>-31.375676646706587</c:v>
                      </c:pt>
                      <c:pt idx="12" formatCode="General">
                        <c:v>-30.997113772455091</c:v>
                      </c:pt>
                      <c:pt idx="13" formatCode="General">
                        <c:v>-30.675197604790419</c:v>
                      </c:pt>
                      <c:pt idx="14" formatCode="General">
                        <c:v>-30.353281437125748</c:v>
                      </c:pt>
                      <c:pt idx="15" formatCode="General">
                        <c:v>-30.031365269461077</c:v>
                      </c:pt>
                      <c:pt idx="16" formatCode="General">
                        <c:v>-29.749044910179641</c:v>
                      </c:pt>
                      <c:pt idx="17" formatCode="General">
                        <c:v>-29.564853293413172</c:v>
                      </c:pt>
                      <c:pt idx="18" formatCode="General">
                        <c:v>-29.380661676646707</c:v>
                      </c:pt>
                      <c:pt idx="19" formatCode="General">
                        <c:v>-29.196470059880241</c:v>
                      </c:pt>
                      <c:pt idx="20" formatCode="General">
                        <c:v>-29.031194610778446</c:v>
                      </c:pt>
                      <c:pt idx="21" formatCode="General">
                        <c:v>-29.015146706586826</c:v>
                      </c:pt>
                      <c:pt idx="22" formatCode="General">
                        <c:v>-28.99909880239521</c:v>
                      </c:pt>
                      <c:pt idx="23" formatCode="General">
                        <c:v>-28.983050898203594</c:v>
                      </c:pt>
                      <c:pt idx="24" formatCode="General">
                        <c:v>-28.967002994011978</c:v>
                      </c:pt>
                      <c:pt idx="25" formatCode="General">
                        <c:v>-29.170279279279281</c:v>
                      </c:pt>
                      <c:pt idx="26" formatCode="General">
                        <c:v>-29.388177177177177</c:v>
                      </c:pt>
                      <c:pt idx="27" formatCode="General">
                        <c:v>-29.606075075075076</c:v>
                      </c:pt>
                      <c:pt idx="28" formatCode="General">
                        <c:v>-29.823972972972971</c:v>
                      </c:pt>
                      <c:pt idx="29" formatCode="General">
                        <c:v>-29.965814371257483</c:v>
                      </c:pt>
                      <c:pt idx="30" formatCode="General">
                        <c:v>-30.085574850299402</c:v>
                      </c:pt>
                      <c:pt idx="31" formatCode="General">
                        <c:v>-30.205335329341317</c:v>
                      </c:pt>
                      <c:pt idx="32" formatCode="General">
                        <c:v>-30.325095808383235</c:v>
                      </c:pt>
                      <c:pt idx="33" formatCode="General">
                        <c:v>-30.453622754491018</c:v>
                      </c:pt>
                      <c:pt idx="34" formatCode="General">
                        <c:v>-30.587994011976047</c:v>
                      </c:pt>
                      <c:pt idx="35" formatCode="General">
                        <c:v>-30.722365269461079</c:v>
                      </c:pt>
                      <c:pt idx="36" formatCode="General">
                        <c:v>-30.856736526946108</c:v>
                      </c:pt>
                      <c:pt idx="37" formatCode="General">
                        <c:v>-30.990700598802395</c:v>
                      </c:pt>
                      <c:pt idx="38" formatCode="General">
                        <c:v>-31.12411377245509</c:v>
                      </c:pt>
                      <c:pt idx="39" formatCode="General">
                        <c:v>-31.257526946107784</c:v>
                      </c:pt>
                      <c:pt idx="40" formatCode="General">
                        <c:v>-31.390940119760479</c:v>
                      </c:pt>
                      <c:pt idx="41" formatCode="General">
                        <c:v>-31.524592814371257</c:v>
                      </c:pt>
                      <c:pt idx="42" formatCode="General">
                        <c:v>-31.658964071856285</c:v>
                      </c:pt>
                      <c:pt idx="43" formatCode="General">
                        <c:v>-31.793335329341318</c:v>
                      </c:pt>
                      <c:pt idx="44" formatCode="General">
                        <c:v>-31.927706586826346</c:v>
                      </c:pt>
                      <c:pt idx="45" formatCode="General">
                        <c:v>-32.062077844311375</c:v>
                      </c:pt>
                      <c:pt idx="46" formatCode="General">
                        <c:v>-32.196449101796411</c:v>
                      </c:pt>
                      <c:pt idx="47" formatCode="General">
                        <c:v>-32.330820359281439</c:v>
                      </c:pt>
                      <c:pt idx="48" formatCode="General">
                        <c:v>-32.465191616766468</c:v>
                      </c:pt>
                      <c:pt idx="49" formatCode="General">
                        <c:v>-32.599562874251497</c:v>
                      </c:pt>
                      <c:pt idx="50" formatCode="General">
                        <c:v>-32.727876404494381</c:v>
                      </c:pt>
                      <c:pt idx="51" formatCode="General">
                        <c:v>-32.855516853932585</c:v>
                      </c:pt>
                      <c:pt idx="52" formatCode="General">
                        <c:v>-32.983157303370788</c:v>
                      </c:pt>
                      <c:pt idx="53" formatCode="General">
                        <c:v>-33.110797752808992</c:v>
                      </c:pt>
                      <c:pt idx="54" formatCode="General">
                        <c:v>-33.238438202247195</c:v>
                      </c:pt>
                      <c:pt idx="55" formatCode="General">
                        <c:v>-33.366078651685392</c:v>
                      </c:pt>
                      <c:pt idx="56" formatCode="General">
                        <c:v>-33.493719101123595</c:v>
                      </c:pt>
                      <c:pt idx="57" formatCode="General">
                        <c:v>-33.621359550561799</c:v>
                      </c:pt>
                      <c:pt idx="58" formatCode="General">
                        <c:v>-33.749000000000002</c:v>
                      </c:pt>
                      <c:pt idx="59" formatCode="General">
                        <c:v>-33.876640449438206</c:v>
                      </c:pt>
                      <c:pt idx="60" formatCode="General">
                        <c:v>-34.004280898876409</c:v>
                      </c:pt>
                      <c:pt idx="61" formatCode="General">
                        <c:v>-34.131921348314606</c:v>
                      </c:pt>
                      <c:pt idx="62" formatCode="General">
                        <c:v>-34.259561797752809</c:v>
                      </c:pt>
                      <c:pt idx="63" formatCode="General">
                        <c:v>-34.387202247191013</c:v>
                      </c:pt>
                      <c:pt idx="64" formatCode="General">
                        <c:v>-34.514842696629216</c:v>
                      </c:pt>
                      <c:pt idx="65" formatCode="General">
                        <c:v>-34.64248314606742</c:v>
                      </c:pt>
                      <c:pt idx="66" formatCode="General">
                        <c:v>-34.768748314606746</c:v>
                      </c:pt>
                      <c:pt idx="67" formatCode="General">
                        <c:v>-34.88991685393259</c:v>
                      </c:pt>
                      <c:pt idx="68" formatCode="General">
                        <c:v>-35.011085393258426</c:v>
                      </c:pt>
                      <c:pt idx="69" formatCode="General">
                        <c:v>-35.13225393258427</c:v>
                      </c:pt>
                      <c:pt idx="70" formatCode="General">
                        <c:v>-35.253422471910113</c:v>
                      </c:pt>
                      <c:pt idx="71" formatCode="General">
                        <c:v>-35.374591011235957</c:v>
                      </c:pt>
                      <c:pt idx="72" formatCode="General">
                        <c:v>-35.4957595505618</c:v>
                      </c:pt>
                      <c:pt idx="73" formatCode="General">
                        <c:v>-35.616928089887644</c:v>
                      </c:pt>
                      <c:pt idx="74" formatCode="General">
                        <c:v>-35.738096629213487</c:v>
                      </c:pt>
                      <c:pt idx="75" formatCode="General">
                        <c:v>-35.859265168539331</c:v>
                      </c:pt>
                      <c:pt idx="76" formatCode="General">
                        <c:v>-35.980433707865167</c:v>
                      </c:pt>
                      <c:pt idx="77" formatCode="General">
                        <c:v>-36.101602247191011</c:v>
                      </c:pt>
                      <c:pt idx="78" formatCode="General">
                        <c:v>-36.222770786516854</c:v>
                      </c:pt>
                      <c:pt idx="79" formatCode="General">
                        <c:v>-36.343939325842697</c:v>
                      </c:pt>
                      <c:pt idx="80" formatCode="General">
                        <c:v>-36.465107865168541</c:v>
                      </c:pt>
                      <c:pt idx="81" formatCode="General">
                        <c:v>-36.586276404494384</c:v>
                      </c:pt>
                      <c:pt idx="82" formatCode="General">
                        <c:v>-36.707444943820228</c:v>
                      </c:pt>
                      <c:pt idx="83" formatCode="General">
                        <c:v>-36.825319819819818</c:v>
                      </c:pt>
                      <c:pt idx="84" formatCode="General">
                        <c:v>-36.940214714714713</c:v>
                      </c:pt>
                      <c:pt idx="85" formatCode="General">
                        <c:v>-37.055109609609609</c:v>
                      </c:pt>
                      <c:pt idx="86" formatCode="General">
                        <c:v>-37.170004504504504</c:v>
                      </c:pt>
                      <c:pt idx="87" formatCode="General">
                        <c:v>-36.080475247524753</c:v>
                      </c:pt>
                      <c:pt idx="88" formatCode="General">
                        <c:v>-36.193346534653465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5-11EF-44BA-AAAA-9AD66152902A}"/>
                  </c:ext>
                </c:extLst>
              </c15:ser>
            </c15:filteredScatterSeries>
            <c15:filteredScatterSeries>
              <c15:ser>
                <c:idx val="30"/>
                <c:order val="32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306</c:v>
                      </c:pt>
                      <c:pt idx="1">
                        <c:v>314</c:v>
                      </c:pt>
                      <c:pt idx="2">
                        <c:v>322</c:v>
                      </c:pt>
                      <c:pt idx="3">
                        <c:v>330</c:v>
                      </c:pt>
                      <c:pt idx="4">
                        <c:v>338</c:v>
                      </c:pt>
                      <c:pt idx="5">
                        <c:v>346</c:v>
                      </c:pt>
                      <c:pt idx="6">
                        <c:v>354</c:v>
                      </c:pt>
                      <c:pt idx="7">
                        <c:v>362</c:v>
                      </c:pt>
                      <c:pt idx="8">
                        <c:v>370</c:v>
                      </c:pt>
                      <c:pt idx="9">
                        <c:v>378</c:v>
                      </c:pt>
                      <c:pt idx="10">
                        <c:v>386</c:v>
                      </c:pt>
                      <c:pt idx="11">
                        <c:v>394</c:v>
                      </c:pt>
                      <c:pt idx="12">
                        <c:v>402</c:v>
                      </c:pt>
                      <c:pt idx="13">
                        <c:v>410</c:v>
                      </c:pt>
                      <c:pt idx="14">
                        <c:v>418</c:v>
                      </c:pt>
                      <c:pt idx="15">
                        <c:v>426</c:v>
                      </c:pt>
                      <c:pt idx="16">
                        <c:v>434</c:v>
                      </c:pt>
                      <c:pt idx="17">
                        <c:v>442</c:v>
                      </c:pt>
                      <c:pt idx="18">
                        <c:v>450</c:v>
                      </c:pt>
                      <c:pt idx="19">
                        <c:v>458</c:v>
                      </c:pt>
                      <c:pt idx="20">
                        <c:v>466</c:v>
                      </c:pt>
                      <c:pt idx="21">
                        <c:v>474</c:v>
                      </c:pt>
                      <c:pt idx="22">
                        <c:v>482</c:v>
                      </c:pt>
                      <c:pt idx="23">
                        <c:v>490</c:v>
                      </c:pt>
                      <c:pt idx="24">
                        <c:v>498</c:v>
                      </c:pt>
                      <c:pt idx="25">
                        <c:v>506</c:v>
                      </c:pt>
                      <c:pt idx="26">
                        <c:v>514</c:v>
                      </c:pt>
                      <c:pt idx="27">
                        <c:v>522</c:v>
                      </c:pt>
                      <c:pt idx="28">
                        <c:v>530</c:v>
                      </c:pt>
                      <c:pt idx="29">
                        <c:v>538</c:v>
                      </c:pt>
                      <c:pt idx="30">
                        <c:v>546</c:v>
                      </c:pt>
                      <c:pt idx="31">
                        <c:v>554</c:v>
                      </c:pt>
                      <c:pt idx="32">
                        <c:v>562</c:v>
                      </c:pt>
                      <c:pt idx="33">
                        <c:v>570</c:v>
                      </c:pt>
                      <c:pt idx="34">
                        <c:v>578</c:v>
                      </c:pt>
                      <c:pt idx="35">
                        <c:v>586</c:v>
                      </c:pt>
                      <c:pt idx="36">
                        <c:v>594</c:v>
                      </c:pt>
                      <c:pt idx="37">
                        <c:v>602</c:v>
                      </c:pt>
                      <c:pt idx="38">
                        <c:v>610</c:v>
                      </c:pt>
                      <c:pt idx="39">
                        <c:v>618</c:v>
                      </c:pt>
                      <c:pt idx="40">
                        <c:v>626</c:v>
                      </c:pt>
                      <c:pt idx="41">
                        <c:v>634</c:v>
                      </c:pt>
                      <c:pt idx="42">
                        <c:v>642</c:v>
                      </c:pt>
                      <c:pt idx="43">
                        <c:v>650</c:v>
                      </c:pt>
                      <c:pt idx="44">
                        <c:v>658</c:v>
                      </c:pt>
                      <c:pt idx="45">
                        <c:v>666</c:v>
                      </c:pt>
                      <c:pt idx="46">
                        <c:v>674</c:v>
                      </c:pt>
                      <c:pt idx="47">
                        <c:v>682</c:v>
                      </c:pt>
                      <c:pt idx="48">
                        <c:v>690</c:v>
                      </c:pt>
                      <c:pt idx="49">
                        <c:v>698</c:v>
                      </c:pt>
                      <c:pt idx="50">
                        <c:v>706</c:v>
                      </c:pt>
                      <c:pt idx="51">
                        <c:v>714</c:v>
                      </c:pt>
                      <c:pt idx="52">
                        <c:v>722</c:v>
                      </c:pt>
                      <c:pt idx="53">
                        <c:v>730</c:v>
                      </c:pt>
                      <c:pt idx="54">
                        <c:v>738</c:v>
                      </c:pt>
                      <c:pt idx="55">
                        <c:v>746</c:v>
                      </c:pt>
                      <c:pt idx="56">
                        <c:v>754</c:v>
                      </c:pt>
                      <c:pt idx="57">
                        <c:v>762</c:v>
                      </c:pt>
                      <c:pt idx="58">
                        <c:v>770</c:v>
                      </c:pt>
                      <c:pt idx="59">
                        <c:v>778</c:v>
                      </c:pt>
                      <c:pt idx="60">
                        <c:v>786</c:v>
                      </c:pt>
                      <c:pt idx="61">
                        <c:v>794</c:v>
                      </c:pt>
                      <c:pt idx="62">
                        <c:v>802</c:v>
                      </c:pt>
                      <c:pt idx="63">
                        <c:v>810</c:v>
                      </c:pt>
                      <c:pt idx="64">
                        <c:v>818</c:v>
                      </c:pt>
                      <c:pt idx="65">
                        <c:v>826</c:v>
                      </c:pt>
                      <c:pt idx="66">
                        <c:v>834</c:v>
                      </c:pt>
                      <c:pt idx="67">
                        <c:v>842</c:v>
                      </c:pt>
                      <c:pt idx="68">
                        <c:v>850</c:v>
                      </c:pt>
                      <c:pt idx="69">
                        <c:v>858</c:v>
                      </c:pt>
                      <c:pt idx="70">
                        <c:v>866</c:v>
                      </c:pt>
                      <c:pt idx="71">
                        <c:v>874</c:v>
                      </c:pt>
                      <c:pt idx="72">
                        <c:v>882</c:v>
                      </c:pt>
                      <c:pt idx="73">
                        <c:v>890</c:v>
                      </c:pt>
                      <c:pt idx="74">
                        <c:v>898</c:v>
                      </c:pt>
                      <c:pt idx="75">
                        <c:v>906</c:v>
                      </c:pt>
                      <c:pt idx="76">
                        <c:v>914</c:v>
                      </c:pt>
                      <c:pt idx="77">
                        <c:v>922</c:v>
                      </c:pt>
                      <c:pt idx="78">
                        <c:v>930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EVALUATION!$B$133:$CP$133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-21.943243243243245</c:v>
                      </c:pt>
                      <c:pt idx="1">
                        <c:v>-21.741441441441442</c:v>
                      </c:pt>
                      <c:pt idx="2">
                        <c:v>-21.539639639639642</c:v>
                      </c:pt>
                      <c:pt idx="3">
                        <c:v>-21.337837837837839</c:v>
                      </c:pt>
                      <c:pt idx="4" formatCode="General">
                        <c:v>-21.317514970059882</c:v>
                      </c:pt>
                      <c:pt idx="5" formatCode="General">
                        <c:v>-21.339071856287426</c:v>
                      </c:pt>
                      <c:pt idx="6" formatCode="General">
                        <c:v>-21.360628742514972</c:v>
                      </c:pt>
                      <c:pt idx="7" formatCode="General">
                        <c:v>-21.382185628742516</c:v>
                      </c:pt>
                      <c:pt idx="8" formatCode="General">
                        <c:v>-21.452604790419162</c:v>
                      </c:pt>
                      <c:pt idx="9" formatCode="General">
                        <c:v>-21.550808383233534</c:v>
                      </c:pt>
                      <c:pt idx="10" formatCode="General">
                        <c:v>-21.649011976047905</c:v>
                      </c:pt>
                      <c:pt idx="11" formatCode="General">
                        <c:v>-21.747215568862277</c:v>
                      </c:pt>
                      <c:pt idx="12" formatCode="General">
                        <c:v>-21.843203592814373</c:v>
                      </c:pt>
                      <c:pt idx="13" formatCode="General">
                        <c:v>-21.936616766467068</c:v>
                      </c:pt>
                      <c:pt idx="14" formatCode="General">
                        <c:v>-22.030029940119761</c:v>
                      </c:pt>
                      <c:pt idx="15" formatCode="General">
                        <c:v>-22.123443113772456</c:v>
                      </c:pt>
                      <c:pt idx="16" formatCode="General">
                        <c:v>-22.209970059880241</c:v>
                      </c:pt>
                      <c:pt idx="17" formatCode="General">
                        <c:v>-22.279431137724551</c:v>
                      </c:pt>
                      <c:pt idx="18" formatCode="General">
                        <c:v>-22.348892215568863</c:v>
                      </c:pt>
                      <c:pt idx="19" formatCode="General">
                        <c:v>-22.418353293413173</c:v>
                      </c:pt>
                      <c:pt idx="20" formatCode="General">
                        <c:v>-22.488353293413173</c:v>
                      </c:pt>
                      <c:pt idx="21" formatCode="General">
                        <c:v>-22.562604790419162</c:v>
                      </c:pt>
                      <c:pt idx="22" formatCode="General">
                        <c:v>-22.63685628742515</c:v>
                      </c:pt>
                      <c:pt idx="23" formatCode="General">
                        <c:v>-22.711107784431139</c:v>
                      </c:pt>
                      <c:pt idx="24" formatCode="General">
                        <c:v>-22.785359281437124</c:v>
                      </c:pt>
                      <c:pt idx="25" formatCode="General">
                        <c:v>-22.846306306306307</c:v>
                      </c:pt>
                      <c:pt idx="26" formatCode="General">
                        <c:v>-22.906366366366367</c:v>
                      </c:pt>
                      <c:pt idx="27" formatCode="General">
                        <c:v>-22.966426426426427</c:v>
                      </c:pt>
                      <c:pt idx="28" formatCode="General">
                        <c:v>-23.026486486486487</c:v>
                      </c:pt>
                      <c:pt idx="29" formatCode="General">
                        <c:v>-23.130958083832336</c:v>
                      </c:pt>
                      <c:pt idx="30" formatCode="General">
                        <c:v>-23.248323353293415</c:v>
                      </c:pt>
                      <c:pt idx="31" formatCode="General">
                        <c:v>-23.36568862275449</c:v>
                      </c:pt>
                      <c:pt idx="32" formatCode="General">
                        <c:v>-23.483053892215569</c:v>
                      </c:pt>
                      <c:pt idx="33" formatCode="General">
                        <c:v>-23.60185628742515</c:v>
                      </c:pt>
                      <c:pt idx="34" formatCode="General">
                        <c:v>-23.721616766467065</c:v>
                      </c:pt>
                      <c:pt idx="35" formatCode="General">
                        <c:v>-23.841377245508983</c:v>
                      </c:pt>
                      <c:pt idx="36" formatCode="General">
                        <c:v>-23.961137724550898</c:v>
                      </c:pt>
                      <c:pt idx="37" formatCode="General">
                        <c:v>-24.078862275449104</c:v>
                      </c:pt>
                      <c:pt idx="38" formatCode="General">
                        <c:v>-24.193832335329343</c:v>
                      </c:pt>
                      <c:pt idx="39" formatCode="General">
                        <c:v>-24.308802395209582</c:v>
                      </c:pt>
                      <c:pt idx="40" formatCode="General">
                        <c:v>-24.423772455089821</c:v>
                      </c:pt>
                      <c:pt idx="41" formatCode="General">
                        <c:v>-24.53874251497006</c:v>
                      </c:pt>
                      <c:pt idx="42" formatCode="General">
                        <c:v>-24.653712574850299</c:v>
                      </c:pt>
                      <c:pt idx="43" formatCode="General">
                        <c:v>-24.768682634730538</c:v>
                      </c:pt>
                      <c:pt idx="44" formatCode="General">
                        <c:v>-24.883652694610777</c:v>
                      </c:pt>
                      <c:pt idx="45" formatCode="General">
                        <c:v>-24.998622754491016</c:v>
                      </c:pt>
                      <c:pt idx="46" formatCode="General">
                        <c:v>-25.113592814371255</c:v>
                      </c:pt>
                      <c:pt idx="47" formatCode="General">
                        <c:v>-25.228562874251494</c:v>
                      </c:pt>
                      <c:pt idx="48" formatCode="General">
                        <c:v>-25.343532934131737</c:v>
                      </c:pt>
                      <c:pt idx="49" formatCode="General">
                        <c:v>-25.458502994011976</c:v>
                      </c:pt>
                      <c:pt idx="50" formatCode="General">
                        <c:v>-25.567617977528091</c:v>
                      </c:pt>
                      <c:pt idx="51" formatCode="General">
                        <c:v>-25.676082397003746</c:v>
                      </c:pt>
                      <c:pt idx="52" formatCode="General">
                        <c:v>-25.784546816479402</c:v>
                      </c:pt>
                      <c:pt idx="53" formatCode="General">
                        <c:v>-25.893011235955058</c:v>
                      </c:pt>
                      <c:pt idx="54" formatCode="General">
                        <c:v>-26.001475655430713</c:v>
                      </c:pt>
                      <c:pt idx="55" formatCode="General">
                        <c:v>-26.109940074906369</c:v>
                      </c:pt>
                      <c:pt idx="56" formatCode="General">
                        <c:v>-26.218404494382021</c:v>
                      </c:pt>
                      <c:pt idx="57" formatCode="General">
                        <c:v>-26.326868913857677</c:v>
                      </c:pt>
                      <c:pt idx="58" formatCode="General">
                        <c:v>-26.435333333333332</c:v>
                      </c:pt>
                      <c:pt idx="59" formatCode="General">
                        <c:v>-26.543797752808988</c:v>
                      </c:pt>
                      <c:pt idx="60" formatCode="General">
                        <c:v>-26.652262172284644</c:v>
                      </c:pt>
                      <c:pt idx="61" formatCode="General">
                        <c:v>-26.760726591760299</c:v>
                      </c:pt>
                      <c:pt idx="62" formatCode="General">
                        <c:v>-26.869191011235955</c:v>
                      </c:pt>
                      <c:pt idx="63" formatCode="General">
                        <c:v>-26.977655430711611</c:v>
                      </c:pt>
                      <c:pt idx="64" formatCode="General">
                        <c:v>-27.086119850187266</c:v>
                      </c:pt>
                      <c:pt idx="65" formatCode="General">
                        <c:v>-27.194584269662922</c:v>
                      </c:pt>
                      <c:pt idx="66" formatCode="General">
                        <c:v>-27.301902621722849</c:v>
                      </c:pt>
                      <c:pt idx="67" formatCode="General">
                        <c:v>-27.404973782771538</c:v>
                      </c:pt>
                      <c:pt idx="68" formatCode="General">
                        <c:v>-27.508044943820227</c:v>
                      </c:pt>
                      <c:pt idx="69" formatCode="General">
                        <c:v>-27.611116104868916</c:v>
                      </c:pt>
                      <c:pt idx="70" formatCode="General">
                        <c:v>-27.714187265917605</c:v>
                      </c:pt>
                      <c:pt idx="71" formatCode="General">
                        <c:v>-27.817258426966294</c:v>
                      </c:pt>
                      <c:pt idx="72" formatCode="General">
                        <c:v>-27.920329588014983</c:v>
                      </c:pt>
                      <c:pt idx="73" formatCode="General">
                        <c:v>-28.023400749063672</c:v>
                      </c:pt>
                      <c:pt idx="74" formatCode="General">
                        <c:v>-28.126471910112361</c:v>
                      </c:pt>
                      <c:pt idx="75" formatCode="General">
                        <c:v>-28.22954307116105</c:v>
                      </c:pt>
                      <c:pt idx="76" formatCode="General">
                        <c:v>-28.332614232209739</c:v>
                      </c:pt>
                      <c:pt idx="77" formatCode="General">
                        <c:v>-28.435685393258428</c:v>
                      </c:pt>
                      <c:pt idx="78" formatCode="General">
                        <c:v>-28.538756554307117</c:v>
                      </c:pt>
                      <c:pt idx="79" formatCode="General">
                        <c:v>-28.641827715355806</c:v>
                      </c:pt>
                      <c:pt idx="80" formatCode="General">
                        <c:v>-28.744898876404495</c:v>
                      </c:pt>
                      <c:pt idx="81" formatCode="General">
                        <c:v>-28.847970037453184</c:v>
                      </c:pt>
                      <c:pt idx="82" formatCode="General">
                        <c:v>-28.951041198501873</c:v>
                      </c:pt>
                      <c:pt idx="83" formatCode="General">
                        <c:v>-29.051396396396395</c:v>
                      </c:pt>
                      <c:pt idx="84" formatCode="General">
                        <c:v>-29.149294294294293</c:v>
                      </c:pt>
                      <c:pt idx="85" formatCode="General">
                        <c:v>-29.247192192192191</c:v>
                      </c:pt>
                      <c:pt idx="86" formatCode="General">
                        <c:v>-29.345090090090089</c:v>
                      </c:pt>
                      <c:pt idx="87" formatCode="General">
                        <c:v>-8.1209504950495059</c:v>
                      </c:pt>
                      <c:pt idx="88" formatCode="General">
                        <c:v>-8.1466930693069308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6-11EF-44BA-AAAA-9AD66152902A}"/>
                  </c:ext>
                </c:extLst>
              </c15:ser>
            </c15:filteredScatterSeries>
            <c15:filteredScatterSeries>
              <c15:ser>
                <c:idx val="31"/>
                <c:order val="33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306</c:v>
                      </c:pt>
                      <c:pt idx="1">
                        <c:v>314</c:v>
                      </c:pt>
                      <c:pt idx="2">
                        <c:v>322</c:v>
                      </c:pt>
                      <c:pt idx="3">
                        <c:v>330</c:v>
                      </c:pt>
                      <c:pt idx="4">
                        <c:v>338</c:v>
                      </c:pt>
                      <c:pt idx="5">
                        <c:v>346</c:v>
                      </c:pt>
                      <c:pt idx="6">
                        <c:v>354</c:v>
                      </c:pt>
                      <c:pt idx="7">
                        <c:v>362</c:v>
                      </c:pt>
                      <c:pt idx="8">
                        <c:v>370</c:v>
                      </c:pt>
                      <c:pt idx="9">
                        <c:v>378</c:v>
                      </c:pt>
                      <c:pt idx="10">
                        <c:v>386</c:v>
                      </c:pt>
                      <c:pt idx="11">
                        <c:v>394</c:v>
                      </c:pt>
                      <c:pt idx="12">
                        <c:v>402</c:v>
                      </c:pt>
                      <c:pt idx="13">
                        <c:v>410</c:v>
                      </c:pt>
                      <c:pt idx="14">
                        <c:v>418</c:v>
                      </c:pt>
                      <c:pt idx="15">
                        <c:v>426</c:v>
                      </c:pt>
                      <c:pt idx="16">
                        <c:v>434</c:v>
                      </c:pt>
                      <c:pt idx="17">
                        <c:v>442</c:v>
                      </c:pt>
                      <c:pt idx="18">
                        <c:v>450</c:v>
                      </c:pt>
                      <c:pt idx="19">
                        <c:v>458</c:v>
                      </c:pt>
                      <c:pt idx="20">
                        <c:v>466</c:v>
                      </c:pt>
                      <c:pt idx="21">
                        <c:v>474</c:v>
                      </c:pt>
                      <c:pt idx="22">
                        <c:v>482</c:v>
                      </c:pt>
                      <c:pt idx="23">
                        <c:v>490</c:v>
                      </c:pt>
                      <c:pt idx="24">
                        <c:v>498</c:v>
                      </c:pt>
                      <c:pt idx="25">
                        <c:v>506</c:v>
                      </c:pt>
                      <c:pt idx="26">
                        <c:v>514</c:v>
                      </c:pt>
                      <c:pt idx="27">
                        <c:v>522</c:v>
                      </c:pt>
                      <c:pt idx="28">
                        <c:v>530</c:v>
                      </c:pt>
                      <c:pt idx="29">
                        <c:v>538</c:v>
                      </c:pt>
                      <c:pt idx="30">
                        <c:v>546</c:v>
                      </c:pt>
                      <c:pt idx="31">
                        <c:v>554</c:v>
                      </c:pt>
                      <c:pt idx="32">
                        <c:v>562</c:v>
                      </c:pt>
                      <c:pt idx="33">
                        <c:v>570</c:v>
                      </c:pt>
                      <c:pt idx="34">
                        <c:v>578</c:v>
                      </c:pt>
                      <c:pt idx="35">
                        <c:v>586</c:v>
                      </c:pt>
                      <c:pt idx="36">
                        <c:v>594</c:v>
                      </c:pt>
                      <c:pt idx="37">
                        <c:v>602</c:v>
                      </c:pt>
                      <c:pt idx="38">
                        <c:v>610</c:v>
                      </c:pt>
                      <c:pt idx="39">
                        <c:v>618</c:v>
                      </c:pt>
                      <c:pt idx="40">
                        <c:v>626</c:v>
                      </c:pt>
                      <c:pt idx="41">
                        <c:v>634</c:v>
                      </c:pt>
                      <c:pt idx="42">
                        <c:v>642</c:v>
                      </c:pt>
                      <c:pt idx="43">
                        <c:v>650</c:v>
                      </c:pt>
                      <c:pt idx="44">
                        <c:v>658</c:v>
                      </c:pt>
                      <c:pt idx="45">
                        <c:v>666</c:v>
                      </c:pt>
                      <c:pt idx="46">
                        <c:v>674</c:v>
                      </c:pt>
                      <c:pt idx="47">
                        <c:v>682</c:v>
                      </c:pt>
                      <c:pt idx="48">
                        <c:v>690</c:v>
                      </c:pt>
                      <c:pt idx="49">
                        <c:v>698</c:v>
                      </c:pt>
                      <c:pt idx="50">
                        <c:v>706</c:v>
                      </c:pt>
                      <c:pt idx="51">
                        <c:v>714</c:v>
                      </c:pt>
                      <c:pt idx="52">
                        <c:v>722</c:v>
                      </c:pt>
                      <c:pt idx="53">
                        <c:v>730</c:v>
                      </c:pt>
                      <c:pt idx="54">
                        <c:v>738</c:v>
                      </c:pt>
                      <c:pt idx="55">
                        <c:v>746</c:v>
                      </c:pt>
                      <c:pt idx="56">
                        <c:v>754</c:v>
                      </c:pt>
                      <c:pt idx="57">
                        <c:v>762</c:v>
                      </c:pt>
                      <c:pt idx="58">
                        <c:v>770</c:v>
                      </c:pt>
                      <c:pt idx="59">
                        <c:v>778</c:v>
                      </c:pt>
                      <c:pt idx="60">
                        <c:v>786</c:v>
                      </c:pt>
                      <c:pt idx="61">
                        <c:v>794</c:v>
                      </c:pt>
                      <c:pt idx="62">
                        <c:v>802</c:v>
                      </c:pt>
                      <c:pt idx="63">
                        <c:v>810</c:v>
                      </c:pt>
                      <c:pt idx="64">
                        <c:v>818</c:v>
                      </c:pt>
                      <c:pt idx="65">
                        <c:v>826</c:v>
                      </c:pt>
                      <c:pt idx="66">
                        <c:v>834</c:v>
                      </c:pt>
                      <c:pt idx="67">
                        <c:v>842</c:v>
                      </c:pt>
                      <c:pt idx="68">
                        <c:v>850</c:v>
                      </c:pt>
                      <c:pt idx="69">
                        <c:v>858</c:v>
                      </c:pt>
                      <c:pt idx="70">
                        <c:v>866</c:v>
                      </c:pt>
                      <c:pt idx="71">
                        <c:v>874</c:v>
                      </c:pt>
                      <c:pt idx="72">
                        <c:v>882</c:v>
                      </c:pt>
                      <c:pt idx="73">
                        <c:v>890</c:v>
                      </c:pt>
                      <c:pt idx="74">
                        <c:v>898</c:v>
                      </c:pt>
                      <c:pt idx="75">
                        <c:v>906</c:v>
                      </c:pt>
                      <c:pt idx="76">
                        <c:v>914</c:v>
                      </c:pt>
                      <c:pt idx="77">
                        <c:v>922</c:v>
                      </c:pt>
                      <c:pt idx="78">
                        <c:v>930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EVALUATION!$B$134:$CP$134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-184.14450450450451</c:v>
                      </c:pt>
                      <c:pt idx="1">
                        <c:v>-180.19015015015015</c:v>
                      </c:pt>
                      <c:pt idx="2">
                        <c:v>-176.23579579579581</c:v>
                      </c:pt>
                      <c:pt idx="3">
                        <c:v>-172.28144144144147</c:v>
                      </c:pt>
                      <c:pt idx="4" formatCode="General">
                        <c:v>-168.94194610778445</c:v>
                      </c:pt>
                      <c:pt idx="5" formatCode="General">
                        <c:v>-165.74434131736527</c:v>
                      </c:pt>
                      <c:pt idx="6" formatCode="General">
                        <c:v>-162.54673652694612</c:v>
                      </c:pt>
                      <c:pt idx="7" formatCode="General">
                        <c:v>-159.34913173652694</c:v>
                      </c:pt>
                      <c:pt idx="8" formatCode="General">
                        <c:v>-156.51188622754489</c:v>
                      </c:pt>
                      <c:pt idx="9" formatCode="General">
                        <c:v>-153.87955089820358</c:v>
                      </c:pt>
                      <c:pt idx="10" formatCode="General">
                        <c:v>-151.24721556886226</c:v>
                      </c:pt>
                      <c:pt idx="11" formatCode="General">
                        <c:v>-148.61488023952094</c:v>
                      </c:pt>
                      <c:pt idx="12" formatCode="General">
                        <c:v>-146.17973053892214</c:v>
                      </c:pt>
                      <c:pt idx="13" formatCode="General">
                        <c:v>-143.97374251497007</c:v>
                      </c:pt>
                      <c:pt idx="14" formatCode="General">
                        <c:v>-141.76775449101797</c:v>
                      </c:pt>
                      <c:pt idx="15" formatCode="General">
                        <c:v>-139.56176646706587</c:v>
                      </c:pt>
                      <c:pt idx="16" formatCode="General">
                        <c:v>-137.45494011976049</c:v>
                      </c:pt>
                      <c:pt idx="17" formatCode="General">
                        <c:v>-135.59386227544911</c:v>
                      </c:pt>
                      <c:pt idx="18" formatCode="General">
                        <c:v>-133.73278443113773</c:v>
                      </c:pt>
                      <c:pt idx="19" formatCode="General">
                        <c:v>-131.87170658682635</c:v>
                      </c:pt>
                      <c:pt idx="20" formatCode="General">
                        <c:v>-130.04404191616766</c:v>
                      </c:pt>
                      <c:pt idx="21" formatCode="General">
                        <c:v>-128.47997005988023</c:v>
                      </c:pt>
                      <c:pt idx="22" formatCode="General">
                        <c:v>-126.91589820359282</c:v>
                      </c:pt>
                      <c:pt idx="23" formatCode="General">
                        <c:v>-125.35182634730539</c:v>
                      </c:pt>
                      <c:pt idx="24" formatCode="General">
                        <c:v>-123.78775449101796</c:v>
                      </c:pt>
                      <c:pt idx="25" formatCode="General">
                        <c:v>-123.46702702702703</c:v>
                      </c:pt>
                      <c:pt idx="26" formatCode="General">
                        <c:v>-123.22918918918919</c:v>
                      </c:pt>
                      <c:pt idx="27" formatCode="General">
                        <c:v>-122.99135135135135</c:v>
                      </c:pt>
                      <c:pt idx="28" formatCode="General">
                        <c:v>-122.75351351351351</c:v>
                      </c:pt>
                      <c:pt idx="29" formatCode="General">
                        <c:v>-123.46293413173653</c:v>
                      </c:pt>
                      <c:pt idx="30" formatCode="General">
                        <c:v>-124.44736526946109</c:v>
                      </c:pt>
                      <c:pt idx="31" formatCode="General">
                        <c:v>-125.43179640718563</c:v>
                      </c:pt>
                      <c:pt idx="32" formatCode="General">
                        <c:v>-126.41622754491017</c:v>
                      </c:pt>
                      <c:pt idx="33" formatCode="General">
                        <c:v>-127.39922155688622</c:v>
                      </c:pt>
                      <c:pt idx="34" formatCode="General">
                        <c:v>-128.38125748502995</c:v>
                      </c:pt>
                      <c:pt idx="35" formatCode="General">
                        <c:v>-129.36329341317364</c:v>
                      </c:pt>
                      <c:pt idx="36" formatCode="General">
                        <c:v>-130.34532934131735</c:v>
                      </c:pt>
                      <c:pt idx="37" formatCode="General">
                        <c:v>-131.31718562874252</c:v>
                      </c:pt>
                      <c:pt idx="38" formatCode="General">
                        <c:v>-132.27526946107784</c:v>
                      </c:pt>
                      <c:pt idx="39" formatCode="General">
                        <c:v>-133.23335329341316</c:v>
                      </c:pt>
                      <c:pt idx="40" formatCode="General">
                        <c:v>-134.19143712574851</c:v>
                      </c:pt>
                      <c:pt idx="41" formatCode="General">
                        <c:v>-135.14592814371258</c:v>
                      </c:pt>
                      <c:pt idx="42" formatCode="General">
                        <c:v>-136.08964071856286</c:v>
                      </c:pt>
                      <c:pt idx="43" formatCode="General">
                        <c:v>-137.03335329341317</c:v>
                      </c:pt>
                      <c:pt idx="44" formatCode="General">
                        <c:v>-137.97706586826348</c:v>
                      </c:pt>
                      <c:pt idx="45" formatCode="General">
                        <c:v>-138.91970059880239</c:v>
                      </c:pt>
                      <c:pt idx="46" formatCode="General">
                        <c:v>-139.84904191616766</c:v>
                      </c:pt>
                      <c:pt idx="47" formatCode="General">
                        <c:v>-140.77838323353294</c:v>
                      </c:pt>
                      <c:pt idx="48" formatCode="General">
                        <c:v>-141.70772455089821</c:v>
                      </c:pt>
                      <c:pt idx="49" formatCode="General">
                        <c:v>-142.63706586826348</c:v>
                      </c:pt>
                      <c:pt idx="50" formatCode="General">
                        <c:v>-143.50932584269663</c:v>
                      </c:pt>
                      <c:pt idx="51" formatCode="General">
                        <c:v>-144.37524344569289</c:v>
                      </c:pt>
                      <c:pt idx="52" formatCode="General">
                        <c:v>-145.24116104868915</c:v>
                      </c:pt>
                      <c:pt idx="53" formatCode="General">
                        <c:v>-146.10707865168538</c:v>
                      </c:pt>
                      <c:pt idx="54" formatCode="General">
                        <c:v>-146.97299625468165</c:v>
                      </c:pt>
                      <c:pt idx="55" formatCode="General">
                        <c:v>-147.83891385767791</c:v>
                      </c:pt>
                      <c:pt idx="56" formatCode="General">
                        <c:v>-148.70483146067417</c:v>
                      </c:pt>
                      <c:pt idx="57" formatCode="General">
                        <c:v>-149.57074906367041</c:v>
                      </c:pt>
                      <c:pt idx="58" formatCode="General">
                        <c:v>-150.43666666666667</c:v>
                      </c:pt>
                      <c:pt idx="59" formatCode="General">
                        <c:v>-151.30258426966293</c:v>
                      </c:pt>
                      <c:pt idx="60" formatCode="General">
                        <c:v>-152.16850187265919</c:v>
                      </c:pt>
                      <c:pt idx="61" formatCode="General">
                        <c:v>-153.03441947565543</c:v>
                      </c:pt>
                      <c:pt idx="62" formatCode="General">
                        <c:v>-153.90033707865169</c:v>
                      </c:pt>
                      <c:pt idx="63" formatCode="General">
                        <c:v>-154.76625468164795</c:v>
                      </c:pt>
                      <c:pt idx="64" formatCode="General">
                        <c:v>-155.63217228464421</c:v>
                      </c:pt>
                      <c:pt idx="65" formatCode="General">
                        <c:v>-156.49808988764045</c:v>
                      </c:pt>
                      <c:pt idx="66" formatCode="General">
                        <c:v>-157.34146816479401</c:v>
                      </c:pt>
                      <c:pt idx="67" formatCode="General">
                        <c:v>-158.10131835205993</c:v>
                      </c:pt>
                      <c:pt idx="68" formatCode="General">
                        <c:v>-158.86116853932586</c:v>
                      </c:pt>
                      <c:pt idx="69" formatCode="General">
                        <c:v>-159.62101872659179</c:v>
                      </c:pt>
                      <c:pt idx="70" formatCode="General">
                        <c:v>-160.38086891385768</c:v>
                      </c:pt>
                      <c:pt idx="71" formatCode="General">
                        <c:v>-161.14071910112361</c:v>
                      </c:pt>
                      <c:pt idx="72" formatCode="General">
                        <c:v>-161.90056928838953</c:v>
                      </c:pt>
                      <c:pt idx="73" formatCode="General">
                        <c:v>-162.66041947565543</c:v>
                      </c:pt>
                      <c:pt idx="74" formatCode="General">
                        <c:v>-163.42026966292136</c:v>
                      </c:pt>
                      <c:pt idx="75" formatCode="General">
                        <c:v>-164.18011985018728</c:v>
                      </c:pt>
                      <c:pt idx="76" formatCode="General">
                        <c:v>-164.93997003745321</c:v>
                      </c:pt>
                      <c:pt idx="77" formatCode="General">
                        <c:v>-165.6998202247191</c:v>
                      </c:pt>
                      <c:pt idx="78" formatCode="General">
                        <c:v>-166.45967041198503</c:v>
                      </c:pt>
                      <c:pt idx="79" formatCode="General">
                        <c:v>-167.21952059925096</c:v>
                      </c:pt>
                      <c:pt idx="80" formatCode="General">
                        <c:v>-167.97937078651688</c:v>
                      </c:pt>
                      <c:pt idx="81" formatCode="General">
                        <c:v>-168.73922097378278</c:v>
                      </c:pt>
                      <c:pt idx="82" formatCode="General">
                        <c:v>-169.4990711610487</c:v>
                      </c:pt>
                      <c:pt idx="83" formatCode="General">
                        <c:v>-170.1970720720721</c:v>
                      </c:pt>
                      <c:pt idx="84" formatCode="General">
                        <c:v>-170.83911411411412</c:v>
                      </c:pt>
                      <c:pt idx="85" formatCode="General">
                        <c:v>-171.48115615615617</c:v>
                      </c:pt>
                      <c:pt idx="86" formatCode="General">
                        <c:v>-172.12319819819822</c:v>
                      </c:pt>
                      <c:pt idx="87" formatCode="General">
                        <c:v>-28.733663366336632</c:v>
                      </c:pt>
                      <c:pt idx="88" formatCode="General">
                        <c:v>-28.828712871287127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7-11EF-44BA-AAAA-9AD66152902A}"/>
                  </c:ext>
                </c:extLst>
              </c15:ser>
            </c15:filteredScatterSeries>
            <c15:filteredScatterSeries>
              <c15:ser>
                <c:idx val="32"/>
                <c:order val="34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306</c:v>
                      </c:pt>
                      <c:pt idx="1">
                        <c:v>314</c:v>
                      </c:pt>
                      <c:pt idx="2">
                        <c:v>322</c:v>
                      </c:pt>
                      <c:pt idx="3">
                        <c:v>330</c:v>
                      </c:pt>
                      <c:pt idx="4">
                        <c:v>338</c:v>
                      </c:pt>
                      <c:pt idx="5">
                        <c:v>346</c:v>
                      </c:pt>
                      <c:pt idx="6">
                        <c:v>354</c:v>
                      </c:pt>
                      <c:pt idx="7">
                        <c:v>362</c:v>
                      </c:pt>
                      <c:pt idx="8">
                        <c:v>370</c:v>
                      </c:pt>
                      <c:pt idx="9">
                        <c:v>378</c:v>
                      </c:pt>
                      <c:pt idx="10">
                        <c:v>386</c:v>
                      </c:pt>
                      <c:pt idx="11">
                        <c:v>394</c:v>
                      </c:pt>
                      <c:pt idx="12">
                        <c:v>402</c:v>
                      </c:pt>
                      <c:pt idx="13">
                        <c:v>410</c:v>
                      </c:pt>
                      <c:pt idx="14">
                        <c:v>418</c:v>
                      </c:pt>
                      <c:pt idx="15">
                        <c:v>426</c:v>
                      </c:pt>
                      <c:pt idx="16">
                        <c:v>434</c:v>
                      </c:pt>
                      <c:pt idx="17">
                        <c:v>442</c:v>
                      </c:pt>
                      <c:pt idx="18">
                        <c:v>450</c:v>
                      </c:pt>
                      <c:pt idx="19">
                        <c:v>458</c:v>
                      </c:pt>
                      <c:pt idx="20">
                        <c:v>466</c:v>
                      </c:pt>
                      <c:pt idx="21">
                        <c:v>474</c:v>
                      </c:pt>
                      <c:pt idx="22">
                        <c:v>482</c:v>
                      </c:pt>
                      <c:pt idx="23">
                        <c:v>490</c:v>
                      </c:pt>
                      <c:pt idx="24">
                        <c:v>498</c:v>
                      </c:pt>
                      <c:pt idx="25">
                        <c:v>506</c:v>
                      </c:pt>
                      <c:pt idx="26">
                        <c:v>514</c:v>
                      </c:pt>
                      <c:pt idx="27">
                        <c:v>522</c:v>
                      </c:pt>
                      <c:pt idx="28">
                        <c:v>530</c:v>
                      </c:pt>
                      <c:pt idx="29">
                        <c:v>538</c:v>
                      </c:pt>
                      <c:pt idx="30">
                        <c:v>546</c:v>
                      </c:pt>
                      <c:pt idx="31">
                        <c:v>554</c:v>
                      </c:pt>
                      <c:pt idx="32">
                        <c:v>562</c:v>
                      </c:pt>
                      <c:pt idx="33">
                        <c:v>570</c:v>
                      </c:pt>
                      <c:pt idx="34">
                        <c:v>578</c:v>
                      </c:pt>
                      <c:pt idx="35">
                        <c:v>586</c:v>
                      </c:pt>
                      <c:pt idx="36">
                        <c:v>594</c:v>
                      </c:pt>
                      <c:pt idx="37">
                        <c:v>602</c:v>
                      </c:pt>
                      <c:pt idx="38">
                        <c:v>610</c:v>
                      </c:pt>
                      <c:pt idx="39">
                        <c:v>618</c:v>
                      </c:pt>
                      <c:pt idx="40">
                        <c:v>626</c:v>
                      </c:pt>
                      <c:pt idx="41">
                        <c:v>634</c:v>
                      </c:pt>
                      <c:pt idx="42">
                        <c:v>642</c:v>
                      </c:pt>
                      <c:pt idx="43">
                        <c:v>650</c:v>
                      </c:pt>
                      <c:pt idx="44">
                        <c:v>658</c:v>
                      </c:pt>
                      <c:pt idx="45">
                        <c:v>666</c:v>
                      </c:pt>
                      <c:pt idx="46">
                        <c:v>674</c:v>
                      </c:pt>
                      <c:pt idx="47">
                        <c:v>682</c:v>
                      </c:pt>
                      <c:pt idx="48">
                        <c:v>690</c:v>
                      </c:pt>
                      <c:pt idx="49">
                        <c:v>698</c:v>
                      </c:pt>
                      <c:pt idx="50">
                        <c:v>706</c:v>
                      </c:pt>
                      <c:pt idx="51">
                        <c:v>714</c:v>
                      </c:pt>
                      <c:pt idx="52">
                        <c:v>722</c:v>
                      </c:pt>
                      <c:pt idx="53">
                        <c:v>730</c:v>
                      </c:pt>
                      <c:pt idx="54">
                        <c:v>738</c:v>
                      </c:pt>
                      <c:pt idx="55">
                        <c:v>746</c:v>
                      </c:pt>
                      <c:pt idx="56">
                        <c:v>754</c:v>
                      </c:pt>
                      <c:pt idx="57">
                        <c:v>762</c:v>
                      </c:pt>
                      <c:pt idx="58">
                        <c:v>770</c:v>
                      </c:pt>
                      <c:pt idx="59">
                        <c:v>778</c:v>
                      </c:pt>
                      <c:pt idx="60">
                        <c:v>786</c:v>
                      </c:pt>
                      <c:pt idx="61">
                        <c:v>794</c:v>
                      </c:pt>
                      <c:pt idx="62">
                        <c:v>802</c:v>
                      </c:pt>
                      <c:pt idx="63">
                        <c:v>810</c:v>
                      </c:pt>
                      <c:pt idx="64">
                        <c:v>818</c:v>
                      </c:pt>
                      <c:pt idx="65">
                        <c:v>826</c:v>
                      </c:pt>
                      <c:pt idx="66">
                        <c:v>834</c:v>
                      </c:pt>
                      <c:pt idx="67">
                        <c:v>842</c:v>
                      </c:pt>
                      <c:pt idx="68">
                        <c:v>850</c:v>
                      </c:pt>
                      <c:pt idx="69">
                        <c:v>858</c:v>
                      </c:pt>
                      <c:pt idx="70">
                        <c:v>866</c:v>
                      </c:pt>
                      <c:pt idx="71">
                        <c:v>874</c:v>
                      </c:pt>
                      <c:pt idx="72">
                        <c:v>882</c:v>
                      </c:pt>
                      <c:pt idx="73">
                        <c:v>890</c:v>
                      </c:pt>
                      <c:pt idx="74">
                        <c:v>898</c:v>
                      </c:pt>
                      <c:pt idx="75">
                        <c:v>906</c:v>
                      </c:pt>
                      <c:pt idx="76">
                        <c:v>914</c:v>
                      </c:pt>
                      <c:pt idx="77">
                        <c:v>922</c:v>
                      </c:pt>
                      <c:pt idx="78">
                        <c:v>930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EVALUATION!$B$135:$CP$135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-15.512792792792792</c:v>
                      </c:pt>
                      <c:pt idx="1">
                        <c:v>-15.013093093093092</c:v>
                      </c:pt>
                      <c:pt idx="2">
                        <c:v>-14.513393393393393</c:v>
                      </c:pt>
                      <c:pt idx="3">
                        <c:v>-14.013693693693693</c:v>
                      </c:pt>
                      <c:pt idx="4" formatCode="General">
                        <c:v>-13.456826347305389</c:v>
                      </c:pt>
                      <c:pt idx="5" formatCode="General">
                        <c:v>-12.886766467065867</c:v>
                      </c:pt>
                      <c:pt idx="6" formatCode="General">
                        <c:v>-12.316706586826346</c:v>
                      </c:pt>
                      <c:pt idx="7" formatCode="General">
                        <c:v>-11.746646706586823</c:v>
                      </c:pt>
                      <c:pt idx="8" formatCode="General">
                        <c:v>-11.204988023952094</c:v>
                      </c:pt>
                      <c:pt idx="9" formatCode="General">
                        <c:v>-10.679479041916167</c:v>
                      </c:pt>
                      <c:pt idx="10" formatCode="General">
                        <c:v>-10.153970059880239</c:v>
                      </c:pt>
                      <c:pt idx="11" formatCode="General">
                        <c:v>-9.628461077844312</c:v>
                      </c:pt>
                      <c:pt idx="12" formatCode="General">
                        <c:v>-9.1539101796407198</c:v>
                      </c:pt>
                      <c:pt idx="13" formatCode="General">
                        <c:v>-8.7385808383233528</c:v>
                      </c:pt>
                      <c:pt idx="14" formatCode="General">
                        <c:v>-8.3232514970059874</c:v>
                      </c:pt>
                      <c:pt idx="15" formatCode="General">
                        <c:v>-7.9079221556886221</c:v>
                      </c:pt>
                      <c:pt idx="16" formatCode="General">
                        <c:v>-7.5390748502994009</c:v>
                      </c:pt>
                      <c:pt idx="17" formatCode="General">
                        <c:v>-7.2854221556886225</c:v>
                      </c:pt>
                      <c:pt idx="18" formatCode="General">
                        <c:v>-7.031769461077845</c:v>
                      </c:pt>
                      <c:pt idx="19" formatCode="General">
                        <c:v>-6.7781167664670665</c:v>
                      </c:pt>
                      <c:pt idx="20" formatCode="General">
                        <c:v>-6.5428413173652693</c:v>
                      </c:pt>
                      <c:pt idx="21" formatCode="General">
                        <c:v>-6.4525419161676645</c:v>
                      </c:pt>
                      <c:pt idx="22" formatCode="General">
                        <c:v>-6.3622425149700597</c:v>
                      </c:pt>
                      <c:pt idx="23" formatCode="General">
                        <c:v>-6.2719431137724548</c:v>
                      </c:pt>
                      <c:pt idx="24" formatCode="General">
                        <c:v>-6.18164371257485</c:v>
                      </c:pt>
                      <c:pt idx="25" formatCode="General">
                        <c:v>-6.3239729729729737</c:v>
                      </c:pt>
                      <c:pt idx="26" formatCode="General">
                        <c:v>-6.4818108108108117</c:v>
                      </c:pt>
                      <c:pt idx="27" formatCode="General">
                        <c:v>-6.6396486486486497</c:v>
                      </c:pt>
                      <c:pt idx="28" formatCode="General">
                        <c:v>-6.7974864864864877</c:v>
                      </c:pt>
                      <c:pt idx="29" formatCode="General">
                        <c:v>-6.8348562874251497</c:v>
                      </c:pt>
                      <c:pt idx="30" formatCode="General">
                        <c:v>-6.8372514970059886</c:v>
                      </c:pt>
                      <c:pt idx="31" formatCode="General">
                        <c:v>-6.8396467065868265</c:v>
                      </c:pt>
                      <c:pt idx="32" formatCode="General">
                        <c:v>-6.8420419161676644</c:v>
                      </c:pt>
                      <c:pt idx="33" formatCode="General">
                        <c:v>-6.8517664670658682</c:v>
                      </c:pt>
                      <c:pt idx="34" formatCode="General">
                        <c:v>-6.866377245508982</c:v>
                      </c:pt>
                      <c:pt idx="35" formatCode="General">
                        <c:v>-6.8809880239520957</c:v>
                      </c:pt>
                      <c:pt idx="36" formatCode="General">
                        <c:v>-6.8955988023952095</c:v>
                      </c:pt>
                      <c:pt idx="37" formatCode="General">
                        <c:v>-6.911838323353293</c:v>
                      </c:pt>
                      <c:pt idx="38" formatCode="General">
                        <c:v>-6.930281437125748</c:v>
                      </c:pt>
                      <c:pt idx="39" formatCode="General">
                        <c:v>-6.9487245508982038</c:v>
                      </c:pt>
                      <c:pt idx="40" formatCode="General">
                        <c:v>-6.9671676646706588</c:v>
                      </c:pt>
                      <c:pt idx="41" formatCode="General">
                        <c:v>-6.9858502994011973</c:v>
                      </c:pt>
                      <c:pt idx="42" formatCode="General">
                        <c:v>-7.0052514970059878</c:v>
                      </c:pt>
                      <c:pt idx="43" formatCode="General">
                        <c:v>-7.0246526946107783</c:v>
                      </c:pt>
                      <c:pt idx="44" formatCode="General">
                        <c:v>-7.0440538922155689</c:v>
                      </c:pt>
                      <c:pt idx="45" formatCode="General">
                        <c:v>-7.0634550898203594</c:v>
                      </c:pt>
                      <c:pt idx="46" formatCode="General">
                        <c:v>-7.0828562874251499</c:v>
                      </c:pt>
                      <c:pt idx="47" formatCode="General">
                        <c:v>-7.1022574850299405</c:v>
                      </c:pt>
                      <c:pt idx="48" formatCode="General">
                        <c:v>-7.1216586826347301</c:v>
                      </c:pt>
                      <c:pt idx="49" formatCode="General">
                        <c:v>-7.1410598802395207</c:v>
                      </c:pt>
                      <c:pt idx="50" formatCode="General">
                        <c:v>-7.1602584269662923</c:v>
                      </c:pt>
                      <c:pt idx="51" formatCode="General">
                        <c:v>-7.1794344569288393</c:v>
                      </c:pt>
                      <c:pt idx="52" formatCode="General">
                        <c:v>-7.1986104868913854</c:v>
                      </c:pt>
                      <c:pt idx="53" formatCode="General">
                        <c:v>-7.2177865168539324</c:v>
                      </c:pt>
                      <c:pt idx="54" formatCode="General">
                        <c:v>-7.2369625468164793</c:v>
                      </c:pt>
                      <c:pt idx="55" formatCode="General">
                        <c:v>-7.2561385767790263</c:v>
                      </c:pt>
                      <c:pt idx="56" formatCode="General">
                        <c:v>-7.2753146067415733</c:v>
                      </c:pt>
                      <c:pt idx="57" formatCode="General">
                        <c:v>-7.2944906367041202</c:v>
                      </c:pt>
                      <c:pt idx="58" formatCode="General">
                        <c:v>-7.3136666666666663</c:v>
                      </c:pt>
                      <c:pt idx="59" formatCode="General">
                        <c:v>-7.3328426966292133</c:v>
                      </c:pt>
                      <c:pt idx="60" formatCode="General">
                        <c:v>-7.3520187265917603</c:v>
                      </c:pt>
                      <c:pt idx="61" formatCode="General">
                        <c:v>-7.3711947565543072</c:v>
                      </c:pt>
                      <c:pt idx="62" formatCode="General">
                        <c:v>-7.3903707865168542</c:v>
                      </c:pt>
                      <c:pt idx="63" formatCode="General">
                        <c:v>-7.4095468164794012</c:v>
                      </c:pt>
                      <c:pt idx="64" formatCode="General">
                        <c:v>-7.4287228464419481</c:v>
                      </c:pt>
                      <c:pt idx="65" formatCode="General">
                        <c:v>-7.4478988764044942</c:v>
                      </c:pt>
                      <c:pt idx="66" formatCode="General">
                        <c:v>-7.4668456928838953</c:v>
                      </c:pt>
                      <c:pt idx="67" formatCode="General">
                        <c:v>-7.484943071161049</c:v>
                      </c:pt>
                      <c:pt idx="68" formatCode="General">
                        <c:v>-7.5030404494382026</c:v>
                      </c:pt>
                      <c:pt idx="69" formatCode="General">
                        <c:v>-7.5211378277153562</c:v>
                      </c:pt>
                      <c:pt idx="70" formatCode="General">
                        <c:v>-7.5392352059925098</c:v>
                      </c:pt>
                      <c:pt idx="71" formatCode="General">
                        <c:v>-7.5573325842696626</c:v>
                      </c:pt>
                      <c:pt idx="72" formatCode="General">
                        <c:v>-7.5754299625468162</c:v>
                      </c:pt>
                      <c:pt idx="73" formatCode="General">
                        <c:v>-7.5935273408239699</c:v>
                      </c:pt>
                      <c:pt idx="74" formatCode="General">
                        <c:v>-7.6116247191011235</c:v>
                      </c:pt>
                      <c:pt idx="75" formatCode="General">
                        <c:v>-7.6297220973782771</c:v>
                      </c:pt>
                      <c:pt idx="76" formatCode="General">
                        <c:v>-7.6478194756554307</c:v>
                      </c:pt>
                      <c:pt idx="77" formatCode="General">
                        <c:v>-7.6659168539325844</c:v>
                      </c:pt>
                      <c:pt idx="78" formatCode="General">
                        <c:v>-7.684014232209738</c:v>
                      </c:pt>
                      <c:pt idx="79" formatCode="General">
                        <c:v>-7.7021116104868916</c:v>
                      </c:pt>
                      <c:pt idx="80" formatCode="General">
                        <c:v>-7.7202089887640444</c:v>
                      </c:pt>
                      <c:pt idx="81" formatCode="General">
                        <c:v>-7.738306367041198</c:v>
                      </c:pt>
                      <c:pt idx="82" formatCode="General">
                        <c:v>-7.7564037453183516</c:v>
                      </c:pt>
                      <c:pt idx="83" formatCode="General">
                        <c:v>-7.7739234234234234</c:v>
                      </c:pt>
                      <c:pt idx="84" formatCode="General">
                        <c:v>-7.7909204204204201</c:v>
                      </c:pt>
                      <c:pt idx="85" formatCode="General">
                        <c:v>-7.8079174174174168</c:v>
                      </c:pt>
                      <c:pt idx="86" formatCode="General">
                        <c:v>-7.8249144144144145</c:v>
                      </c:pt>
                      <c:pt idx="87" formatCode="General">
                        <c:v>-64.814138613861388</c:v>
                      </c:pt>
                      <c:pt idx="88" formatCode="General">
                        <c:v>-65.022059405940595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8-11EF-44BA-AAAA-9AD66152902A}"/>
                  </c:ext>
                </c:extLst>
              </c15:ser>
            </c15:filteredScatterSeries>
            <c15:filteredScatterSeries>
              <c15:ser>
                <c:idx val="33"/>
                <c:order val="35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306</c:v>
                      </c:pt>
                      <c:pt idx="1">
                        <c:v>314</c:v>
                      </c:pt>
                      <c:pt idx="2">
                        <c:v>322</c:v>
                      </c:pt>
                      <c:pt idx="3">
                        <c:v>330</c:v>
                      </c:pt>
                      <c:pt idx="4">
                        <c:v>338</c:v>
                      </c:pt>
                      <c:pt idx="5">
                        <c:v>346</c:v>
                      </c:pt>
                      <c:pt idx="6">
                        <c:v>354</c:v>
                      </c:pt>
                      <c:pt idx="7">
                        <c:v>362</c:v>
                      </c:pt>
                      <c:pt idx="8">
                        <c:v>370</c:v>
                      </c:pt>
                      <c:pt idx="9">
                        <c:v>378</c:v>
                      </c:pt>
                      <c:pt idx="10">
                        <c:v>386</c:v>
                      </c:pt>
                      <c:pt idx="11">
                        <c:v>394</c:v>
                      </c:pt>
                      <c:pt idx="12">
                        <c:v>402</c:v>
                      </c:pt>
                      <c:pt idx="13">
                        <c:v>410</c:v>
                      </c:pt>
                      <c:pt idx="14">
                        <c:v>418</c:v>
                      </c:pt>
                      <c:pt idx="15">
                        <c:v>426</c:v>
                      </c:pt>
                      <c:pt idx="16">
                        <c:v>434</c:v>
                      </c:pt>
                      <c:pt idx="17">
                        <c:v>442</c:v>
                      </c:pt>
                      <c:pt idx="18">
                        <c:v>450</c:v>
                      </c:pt>
                      <c:pt idx="19">
                        <c:v>458</c:v>
                      </c:pt>
                      <c:pt idx="20">
                        <c:v>466</c:v>
                      </c:pt>
                      <c:pt idx="21">
                        <c:v>474</c:v>
                      </c:pt>
                      <c:pt idx="22">
                        <c:v>482</c:v>
                      </c:pt>
                      <c:pt idx="23">
                        <c:v>490</c:v>
                      </c:pt>
                      <c:pt idx="24">
                        <c:v>498</c:v>
                      </c:pt>
                      <c:pt idx="25">
                        <c:v>506</c:v>
                      </c:pt>
                      <c:pt idx="26">
                        <c:v>514</c:v>
                      </c:pt>
                      <c:pt idx="27">
                        <c:v>522</c:v>
                      </c:pt>
                      <c:pt idx="28">
                        <c:v>530</c:v>
                      </c:pt>
                      <c:pt idx="29">
                        <c:v>538</c:v>
                      </c:pt>
                      <c:pt idx="30">
                        <c:v>546</c:v>
                      </c:pt>
                      <c:pt idx="31">
                        <c:v>554</c:v>
                      </c:pt>
                      <c:pt idx="32">
                        <c:v>562</c:v>
                      </c:pt>
                      <c:pt idx="33">
                        <c:v>570</c:v>
                      </c:pt>
                      <c:pt idx="34">
                        <c:v>578</c:v>
                      </c:pt>
                      <c:pt idx="35">
                        <c:v>586</c:v>
                      </c:pt>
                      <c:pt idx="36">
                        <c:v>594</c:v>
                      </c:pt>
                      <c:pt idx="37">
                        <c:v>602</c:v>
                      </c:pt>
                      <c:pt idx="38">
                        <c:v>610</c:v>
                      </c:pt>
                      <c:pt idx="39">
                        <c:v>618</c:v>
                      </c:pt>
                      <c:pt idx="40">
                        <c:v>626</c:v>
                      </c:pt>
                      <c:pt idx="41">
                        <c:v>634</c:v>
                      </c:pt>
                      <c:pt idx="42">
                        <c:v>642</c:v>
                      </c:pt>
                      <c:pt idx="43">
                        <c:v>650</c:v>
                      </c:pt>
                      <c:pt idx="44">
                        <c:v>658</c:v>
                      </c:pt>
                      <c:pt idx="45">
                        <c:v>666</c:v>
                      </c:pt>
                      <c:pt idx="46">
                        <c:v>674</c:v>
                      </c:pt>
                      <c:pt idx="47">
                        <c:v>682</c:v>
                      </c:pt>
                      <c:pt idx="48">
                        <c:v>690</c:v>
                      </c:pt>
                      <c:pt idx="49">
                        <c:v>698</c:v>
                      </c:pt>
                      <c:pt idx="50">
                        <c:v>706</c:v>
                      </c:pt>
                      <c:pt idx="51">
                        <c:v>714</c:v>
                      </c:pt>
                      <c:pt idx="52">
                        <c:v>722</c:v>
                      </c:pt>
                      <c:pt idx="53">
                        <c:v>730</c:v>
                      </c:pt>
                      <c:pt idx="54">
                        <c:v>738</c:v>
                      </c:pt>
                      <c:pt idx="55">
                        <c:v>746</c:v>
                      </c:pt>
                      <c:pt idx="56">
                        <c:v>754</c:v>
                      </c:pt>
                      <c:pt idx="57">
                        <c:v>762</c:v>
                      </c:pt>
                      <c:pt idx="58">
                        <c:v>770</c:v>
                      </c:pt>
                      <c:pt idx="59">
                        <c:v>778</c:v>
                      </c:pt>
                      <c:pt idx="60">
                        <c:v>786</c:v>
                      </c:pt>
                      <c:pt idx="61">
                        <c:v>794</c:v>
                      </c:pt>
                      <c:pt idx="62">
                        <c:v>802</c:v>
                      </c:pt>
                      <c:pt idx="63">
                        <c:v>810</c:v>
                      </c:pt>
                      <c:pt idx="64">
                        <c:v>818</c:v>
                      </c:pt>
                      <c:pt idx="65">
                        <c:v>826</c:v>
                      </c:pt>
                      <c:pt idx="66">
                        <c:v>834</c:v>
                      </c:pt>
                      <c:pt idx="67">
                        <c:v>842</c:v>
                      </c:pt>
                      <c:pt idx="68">
                        <c:v>850</c:v>
                      </c:pt>
                      <c:pt idx="69">
                        <c:v>858</c:v>
                      </c:pt>
                      <c:pt idx="70">
                        <c:v>866</c:v>
                      </c:pt>
                      <c:pt idx="71">
                        <c:v>874</c:v>
                      </c:pt>
                      <c:pt idx="72">
                        <c:v>882</c:v>
                      </c:pt>
                      <c:pt idx="73">
                        <c:v>890</c:v>
                      </c:pt>
                      <c:pt idx="74">
                        <c:v>898</c:v>
                      </c:pt>
                      <c:pt idx="75">
                        <c:v>906</c:v>
                      </c:pt>
                      <c:pt idx="76">
                        <c:v>914</c:v>
                      </c:pt>
                      <c:pt idx="77">
                        <c:v>922</c:v>
                      </c:pt>
                      <c:pt idx="78">
                        <c:v>930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EVALUATION!$B$136:$CP$136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-18.877657657657657</c:v>
                      </c:pt>
                      <c:pt idx="1">
                        <c:v>-18.875255255255254</c:v>
                      </c:pt>
                      <c:pt idx="2">
                        <c:v>-18.872852852852855</c:v>
                      </c:pt>
                      <c:pt idx="3">
                        <c:v>-18.870450450450452</c:v>
                      </c:pt>
                      <c:pt idx="4" formatCode="General">
                        <c:v>-18.875838323353292</c:v>
                      </c:pt>
                      <c:pt idx="5" formatCode="General">
                        <c:v>-18.883023952095808</c:v>
                      </c:pt>
                      <c:pt idx="6" formatCode="General">
                        <c:v>-18.890209580838324</c:v>
                      </c:pt>
                      <c:pt idx="7" formatCode="General">
                        <c:v>-18.897395209580836</c:v>
                      </c:pt>
                      <c:pt idx="8" formatCode="General">
                        <c:v>-18.906107784431136</c:v>
                      </c:pt>
                      <c:pt idx="9" formatCode="General">
                        <c:v>-18.915688622754491</c:v>
                      </c:pt>
                      <c:pt idx="10" formatCode="General">
                        <c:v>-18.925269461077846</c:v>
                      </c:pt>
                      <c:pt idx="11" formatCode="General">
                        <c:v>-18.934850299401198</c:v>
                      </c:pt>
                      <c:pt idx="12" formatCode="General">
                        <c:v>-18.945538922155688</c:v>
                      </c:pt>
                      <c:pt idx="13" formatCode="General">
                        <c:v>-18.957514970059879</c:v>
                      </c:pt>
                      <c:pt idx="14" formatCode="General">
                        <c:v>-18.969491017964071</c:v>
                      </c:pt>
                      <c:pt idx="15" formatCode="General">
                        <c:v>-18.981467065868262</c:v>
                      </c:pt>
                      <c:pt idx="16" formatCode="General">
                        <c:v>-18.993443113772454</c:v>
                      </c:pt>
                      <c:pt idx="17" formatCode="General">
                        <c:v>-19.005419161676645</c:v>
                      </c:pt>
                      <c:pt idx="18" formatCode="General">
                        <c:v>-19.017395209580837</c:v>
                      </c:pt>
                      <c:pt idx="19" formatCode="General">
                        <c:v>-19.029371257485028</c:v>
                      </c:pt>
                      <c:pt idx="20" formatCode="General">
                        <c:v>-19.040808383233532</c:v>
                      </c:pt>
                      <c:pt idx="21" formatCode="General">
                        <c:v>-19.047994011976048</c:v>
                      </c:pt>
                      <c:pt idx="22" formatCode="General">
                        <c:v>-19.055179640718563</c:v>
                      </c:pt>
                      <c:pt idx="23" formatCode="General">
                        <c:v>-19.062365269461079</c:v>
                      </c:pt>
                      <c:pt idx="24" formatCode="General">
                        <c:v>-19.069550898203595</c:v>
                      </c:pt>
                      <c:pt idx="25" formatCode="General">
                        <c:v>-19.045225225225227</c:v>
                      </c:pt>
                      <c:pt idx="26" formatCode="General">
                        <c:v>-19.018798798798798</c:v>
                      </c:pt>
                      <c:pt idx="27" formatCode="General">
                        <c:v>-18.992372372372373</c:v>
                      </c:pt>
                      <c:pt idx="28" formatCode="General">
                        <c:v>-18.965945945945947</c:v>
                      </c:pt>
                      <c:pt idx="29" formatCode="General">
                        <c:v>-18.972994011976049</c:v>
                      </c:pt>
                      <c:pt idx="30" formatCode="General">
                        <c:v>-18.989760479041916</c:v>
                      </c:pt>
                      <c:pt idx="31" formatCode="General">
                        <c:v>-19.006526946107787</c:v>
                      </c:pt>
                      <c:pt idx="32" formatCode="General">
                        <c:v>-19.023293413173654</c:v>
                      </c:pt>
                      <c:pt idx="33" formatCode="General">
                        <c:v>-19.040059880239522</c:v>
                      </c:pt>
                      <c:pt idx="34" formatCode="General">
                        <c:v>-19.056826347305389</c:v>
                      </c:pt>
                      <c:pt idx="35" formatCode="General">
                        <c:v>-19.07359281437126</c:v>
                      </c:pt>
                      <c:pt idx="36" formatCode="General">
                        <c:v>-19.090359281437127</c:v>
                      </c:pt>
                      <c:pt idx="37" formatCode="General">
                        <c:v>-19.107125748502995</c:v>
                      </c:pt>
                      <c:pt idx="38" formatCode="General">
                        <c:v>-19.123892215568866</c:v>
                      </c:pt>
                      <c:pt idx="39" formatCode="General">
                        <c:v>-19.140658682634733</c:v>
                      </c:pt>
                      <c:pt idx="40" formatCode="General">
                        <c:v>-19.1574251497006</c:v>
                      </c:pt>
                      <c:pt idx="41" formatCode="General">
                        <c:v>-19.174191616766468</c:v>
                      </c:pt>
                      <c:pt idx="42" formatCode="General">
                        <c:v>-19.190958083832335</c:v>
                      </c:pt>
                      <c:pt idx="43" formatCode="General">
                        <c:v>-19.207724550898202</c:v>
                      </c:pt>
                      <c:pt idx="44" formatCode="General">
                        <c:v>-19.22449101796407</c:v>
                      </c:pt>
                      <c:pt idx="45" formatCode="General">
                        <c:v>-19.241257485029937</c:v>
                      </c:pt>
                      <c:pt idx="46" formatCode="General">
                        <c:v>-19.258023952095808</c:v>
                      </c:pt>
                      <c:pt idx="47" formatCode="General">
                        <c:v>-19.274790419161675</c:v>
                      </c:pt>
                      <c:pt idx="48" formatCode="General">
                        <c:v>-19.291556886227543</c:v>
                      </c:pt>
                      <c:pt idx="49" formatCode="General">
                        <c:v>-19.30832335329341</c:v>
                      </c:pt>
                      <c:pt idx="50" formatCode="General">
                        <c:v>-19.324022471910112</c:v>
                      </c:pt>
                      <c:pt idx="51" formatCode="General">
                        <c:v>-19.33960299625468</c:v>
                      </c:pt>
                      <c:pt idx="52" formatCode="General">
                        <c:v>-19.355183520599251</c:v>
                      </c:pt>
                      <c:pt idx="53" formatCode="General">
                        <c:v>-19.370764044943819</c:v>
                      </c:pt>
                      <c:pt idx="54" formatCode="General">
                        <c:v>-19.38634456928839</c:v>
                      </c:pt>
                      <c:pt idx="55" formatCode="General">
                        <c:v>-19.401925093632958</c:v>
                      </c:pt>
                      <c:pt idx="56" formatCode="General">
                        <c:v>-19.417505617977529</c:v>
                      </c:pt>
                      <c:pt idx="57" formatCode="General">
                        <c:v>-19.433086142322097</c:v>
                      </c:pt>
                      <c:pt idx="58" formatCode="General">
                        <c:v>-19.448666666666668</c:v>
                      </c:pt>
                      <c:pt idx="59" formatCode="General">
                        <c:v>-19.464247191011236</c:v>
                      </c:pt>
                      <c:pt idx="60" formatCode="General">
                        <c:v>-19.479827715355807</c:v>
                      </c:pt>
                      <c:pt idx="61" formatCode="General">
                        <c:v>-19.495408239700375</c:v>
                      </c:pt>
                      <c:pt idx="62" formatCode="General">
                        <c:v>-19.510988764044942</c:v>
                      </c:pt>
                      <c:pt idx="63" formatCode="General">
                        <c:v>-19.526569288389513</c:v>
                      </c:pt>
                      <c:pt idx="64" formatCode="General">
                        <c:v>-19.542149812734081</c:v>
                      </c:pt>
                      <c:pt idx="65" formatCode="General">
                        <c:v>-19.557730337078652</c:v>
                      </c:pt>
                      <c:pt idx="66" formatCode="General">
                        <c:v>-19.573183520599251</c:v>
                      </c:pt>
                      <c:pt idx="67" formatCode="General">
                        <c:v>-19.58816479400749</c:v>
                      </c:pt>
                      <c:pt idx="68" formatCode="General">
                        <c:v>-19.603146067415732</c:v>
                      </c:pt>
                      <c:pt idx="69" formatCode="General">
                        <c:v>-19.618127340823971</c:v>
                      </c:pt>
                      <c:pt idx="70" formatCode="General">
                        <c:v>-19.63310861423221</c:v>
                      </c:pt>
                      <c:pt idx="71" formatCode="General">
                        <c:v>-19.648089887640449</c:v>
                      </c:pt>
                      <c:pt idx="72" formatCode="General">
                        <c:v>-19.663071161048691</c:v>
                      </c:pt>
                      <c:pt idx="73" formatCode="General">
                        <c:v>-19.67805243445693</c:v>
                      </c:pt>
                      <c:pt idx="74" formatCode="General">
                        <c:v>-19.693033707865169</c:v>
                      </c:pt>
                      <c:pt idx="75" formatCode="General">
                        <c:v>-19.708014981273408</c:v>
                      </c:pt>
                      <c:pt idx="76" formatCode="General">
                        <c:v>-19.722996254681647</c:v>
                      </c:pt>
                      <c:pt idx="77" formatCode="General">
                        <c:v>-19.737977528089889</c:v>
                      </c:pt>
                      <c:pt idx="78" formatCode="General">
                        <c:v>-19.752958801498128</c:v>
                      </c:pt>
                      <c:pt idx="79" formatCode="General">
                        <c:v>-19.767940074906367</c:v>
                      </c:pt>
                      <c:pt idx="80" formatCode="General">
                        <c:v>-19.782921348314606</c:v>
                      </c:pt>
                      <c:pt idx="81" formatCode="General">
                        <c:v>-19.797902621722848</c:v>
                      </c:pt>
                      <c:pt idx="82" formatCode="General">
                        <c:v>-19.812883895131087</c:v>
                      </c:pt>
                      <c:pt idx="83" formatCode="General">
                        <c:v>-19.827252252252254</c:v>
                      </c:pt>
                      <c:pt idx="84" formatCode="General">
                        <c:v>-19.841066066066066</c:v>
                      </c:pt>
                      <c:pt idx="85" formatCode="General">
                        <c:v>-19.854879879879881</c:v>
                      </c:pt>
                      <c:pt idx="86" formatCode="General">
                        <c:v>-19.868693693693693</c:v>
                      </c:pt>
                      <c:pt idx="87" formatCode="General">
                        <c:v>-102.44289108910891</c:v>
                      </c:pt>
                      <c:pt idx="88" formatCode="General">
                        <c:v>-102.77952475247524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9-11EF-44BA-AAAA-9AD66152902A}"/>
                  </c:ext>
                </c:extLst>
              </c15:ser>
            </c15:filteredScatterSeries>
            <c15:filteredScatterSeries>
              <c15:ser>
                <c:idx val="34"/>
                <c:order val="36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306</c:v>
                      </c:pt>
                      <c:pt idx="1">
                        <c:v>314</c:v>
                      </c:pt>
                      <c:pt idx="2">
                        <c:v>322</c:v>
                      </c:pt>
                      <c:pt idx="3">
                        <c:v>330</c:v>
                      </c:pt>
                      <c:pt idx="4">
                        <c:v>338</c:v>
                      </c:pt>
                      <c:pt idx="5">
                        <c:v>346</c:v>
                      </c:pt>
                      <c:pt idx="6">
                        <c:v>354</c:v>
                      </c:pt>
                      <c:pt idx="7">
                        <c:v>362</c:v>
                      </c:pt>
                      <c:pt idx="8">
                        <c:v>370</c:v>
                      </c:pt>
                      <c:pt idx="9">
                        <c:v>378</c:v>
                      </c:pt>
                      <c:pt idx="10">
                        <c:v>386</c:v>
                      </c:pt>
                      <c:pt idx="11">
                        <c:v>394</c:v>
                      </c:pt>
                      <c:pt idx="12">
                        <c:v>402</c:v>
                      </c:pt>
                      <c:pt idx="13">
                        <c:v>410</c:v>
                      </c:pt>
                      <c:pt idx="14">
                        <c:v>418</c:v>
                      </c:pt>
                      <c:pt idx="15">
                        <c:v>426</c:v>
                      </c:pt>
                      <c:pt idx="16">
                        <c:v>434</c:v>
                      </c:pt>
                      <c:pt idx="17">
                        <c:v>442</c:v>
                      </c:pt>
                      <c:pt idx="18">
                        <c:v>450</c:v>
                      </c:pt>
                      <c:pt idx="19">
                        <c:v>458</c:v>
                      </c:pt>
                      <c:pt idx="20">
                        <c:v>466</c:v>
                      </c:pt>
                      <c:pt idx="21">
                        <c:v>474</c:v>
                      </c:pt>
                      <c:pt idx="22">
                        <c:v>482</c:v>
                      </c:pt>
                      <c:pt idx="23">
                        <c:v>490</c:v>
                      </c:pt>
                      <c:pt idx="24">
                        <c:v>498</c:v>
                      </c:pt>
                      <c:pt idx="25">
                        <c:v>506</c:v>
                      </c:pt>
                      <c:pt idx="26">
                        <c:v>514</c:v>
                      </c:pt>
                      <c:pt idx="27">
                        <c:v>522</c:v>
                      </c:pt>
                      <c:pt idx="28">
                        <c:v>530</c:v>
                      </c:pt>
                      <c:pt idx="29">
                        <c:v>538</c:v>
                      </c:pt>
                      <c:pt idx="30">
                        <c:v>546</c:v>
                      </c:pt>
                      <c:pt idx="31">
                        <c:v>554</c:v>
                      </c:pt>
                      <c:pt idx="32">
                        <c:v>562</c:v>
                      </c:pt>
                      <c:pt idx="33">
                        <c:v>570</c:v>
                      </c:pt>
                      <c:pt idx="34">
                        <c:v>578</c:v>
                      </c:pt>
                      <c:pt idx="35">
                        <c:v>586</c:v>
                      </c:pt>
                      <c:pt idx="36">
                        <c:v>594</c:v>
                      </c:pt>
                      <c:pt idx="37">
                        <c:v>602</c:v>
                      </c:pt>
                      <c:pt idx="38">
                        <c:v>610</c:v>
                      </c:pt>
                      <c:pt idx="39">
                        <c:v>618</c:v>
                      </c:pt>
                      <c:pt idx="40">
                        <c:v>626</c:v>
                      </c:pt>
                      <c:pt idx="41">
                        <c:v>634</c:v>
                      </c:pt>
                      <c:pt idx="42">
                        <c:v>642</c:v>
                      </c:pt>
                      <c:pt idx="43">
                        <c:v>650</c:v>
                      </c:pt>
                      <c:pt idx="44">
                        <c:v>658</c:v>
                      </c:pt>
                      <c:pt idx="45">
                        <c:v>666</c:v>
                      </c:pt>
                      <c:pt idx="46">
                        <c:v>674</c:v>
                      </c:pt>
                      <c:pt idx="47">
                        <c:v>682</c:v>
                      </c:pt>
                      <c:pt idx="48">
                        <c:v>690</c:v>
                      </c:pt>
                      <c:pt idx="49">
                        <c:v>698</c:v>
                      </c:pt>
                      <c:pt idx="50">
                        <c:v>706</c:v>
                      </c:pt>
                      <c:pt idx="51">
                        <c:v>714</c:v>
                      </c:pt>
                      <c:pt idx="52">
                        <c:v>722</c:v>
                      </c:pt>
                      <c:pt idx="53">
                        <c:v>730</c:v>
                      </c:pt>
                      <c:pt idx="54">
                        <c:v>738</c:v>
                      </c:pt>
                      <c:pt idx="55">
                        <c:v>746</c:v>
                      </c:pt>
                      <c:pt idx="56">
                        <c:v>754</c:v>
                      </c:pt>
                      <c:pt idx="57">
                        <c:v>762</c:v>
                      </c:pt>
                      <c:pt idx="58">
                        <c:v>770</c:v>
                      </c:pt>
                      <c:pt idx="59">
                        <c:v>778</c:v>
                      </c:pt>
                      <c:pt idx="60">
                        <c:v>786</c:v>
                      </c:pt>
                      <c:pt idx="61">
                        <c:v>794</c:v>
                      </c:pt>
                      <c:pt idx="62">
                        <c:v>802</c:v>
                      </c:pt>
                      <c:pt idx="63">
                        <c:v>810</c:v>
                      </c:pt>
                      <c:pt idx="64">
                        <c:v>818</c:v>
                      </c:pt>
                      <c:pt idx="65">
                        <c:v>826</c:v>
                      </c:pt>
                      <c:pt idx="66">
                        <c:v>834</c:v>
                      </c:pt>
                      <c:pt idx="67">
                        <c:v>842</c:v>
                      </c:pt>
                      <c:pt idx="68">
                        <c:v>850</c:v>
                      </c:pt>
                      <c:pt idx="69">
                        <c:v>858</c:v>
                      </c:pt>
                      <c:pt idx="70">
                        <c:v>866</c:v>
                      </c:pt>
                      <c:pt idx="71">
                        <c:v>874</c:v>
                      </c:pt>
                      <c:pt idx="72">
                        <c:v>882</c:v>
                      </c:pt>
                      <c:pt idx="73">
                        <c:v>890</c:v>
                      </c:pt>
                      <c:pt idx="74">
                        <c:v>898</c:v>
                      </c:pt>
                      <c:pt idx="75">
                        <c:v>906</c:v>
                      </c:pt>
                      <c:pt idx="76">
                        <c:v>914</c:v>
                      </c:pt>
                      <c:pt idx="77">
                        <c:v>922</c:v>
                      </c:pt>
                      <c:pt idx="78">
                        <c:v>930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EVALUATION!$B$137:$CP$137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-59.399279279279277</c:v>
                      </c:pt>
                      <c:pt idx="1">
                        <c:v>-58.495975975975981</c:v>
                      </c:pt>
                      <c:pt idx="2">
                        <c:v>-57.592672672672677</c:v>
                      </c:pt>
                      <c:pt idx="3">
                        <c:v>-56.689369369369373</c:v>
                      </c:pt>
                      <c:pt idx="4" formatCode="General">
                        <c:v>-56.091856287425152</c:v>
                      </c:pt>
                      <c:pt idx="5" formatCode="General">
                        <c:v>-55.564910179640719</c:v>
                      </c:pt>
                      <c:pt idx="6" formatCode="General">
                        <c:v>-55.037964071856287</c:v>
                      </c:pt>
                      <c:pt idx="7" formatCode="General">
                        <c:v>-54.511017964071854</c:v>
                      </c:pt>
                      <c:pt idx="8" formatCode="General">
                        <c:v>-54.110197604790422</c:v>
                      </c:pt>
                      <c:pt idx="9" formatCode="General">
                        <c:v>-53.781095808383235</c:v>
                      </c:pt>
                      <c:pt idx="10" formatCode="General">
                        <c:v>-53.451994011976048</c:v>
                      </c:pt>
                      <c:pt idx="11" formatCode="General">
                        <c:v>-53.122892215568861</c:v>
                      </c:pt>
                      <c:pt idx="12" formatCode="General">
                        <c:v>-52.840317365269463</c:v>
                      </c:pt>
                      <c:pt idx="13" formatCode="General">
                        <c:v>-52.611814371257488</c:v>
                      </c:pt>
                      <c:pt idx="14" formatCode="General">
                        <c:v>-52.383311377245512</c:v>
                      </c:pt>
                      <c:pt idx="15" formatCode="General">
                        <c:v>-52.154808383233537</c:v>
                      </c:pt>
                      <c:pt idx="16" formatCode="General">
                        <c:v>-51.959014970059883</c:v>
                      </c:pt>
                      <c:pt idx="17" formatCode="General">
                        <c:v>-51.84428443113773</c:v>
                      </c:pt>
                      <c:pt idx="18" formatCode="General">
                        <c:v>-51.72955389221557</c:v>
                      </c:pt>
                      <c:pt idx="19" formatCode="General">
                        <c:v>-51.61482335329341</c:v>
                      </c:pt>
                      <c:pt idx="20" formatCode="General">
                        <c:v>-51.519547904191612</c:v>
                      </c:pt>
                      <c:pt idx="21" formatCode="General">
                        <c:v>-51.577751497005984</c:v>
                      </c:pt>
                      <c:pt idx="22" formatCode="General">
                        <c:v>-51.635955089820357</c:v>
                      </c:pt>
                      <c:pt idx="23" formatCode="General">
                        <c:v>-51.694158682634729</c:v>
                      </c:pt>
                      <c:pt idx="24" formatCode="General">
                        <c:v>-51.752362275449102</c:v>
                      </c:pt>
                      <c:pt idx="25" formatCode="General">
                        <c:v>-52.016585585585588</c:v>
                      </c:pt>
                      <c:pt idx="26" formatCode="General">
                        <c:v>-52.29454354354354</c:v>
                      </c:pt>
                      <c:pt idx="27" formatCode="General">
                        <c:v>-52.572501501501499</c:v>
                      </c:pt>
                      <c:pt idx="28" formatCode="General">
                        <c:v>-52.850459459459458</c:v>
                      </c:pt>
                      <c:pt idx="29" formatCode="General">
                        <c:v>-53.09677245508982</c:v>
                      </c:pt>
                      <c:pt idx="30" formatCode="General">
                        <c:v>-53.333898203592817</c:v>
                      </c:pt>
                      <c:pt idx="31" formatCode="General">
                        <c:v>-53.571023952095814</c:v>
                      </c:pt>
                      <c:pt idx="32" formatCode="General">
                        <c:v>-53.808149700598804</c:v>
                      </c:pt>
                      <c:pt idx="33" formatCode="General">
                        <c:v>-54.055479041916172</c:v>
                      </c:pt>
                      <c:pt idx="34" formatCode="General">
                        <c:v>-54.309610778443115</c:v>
                      </c:pt>
                      <c:pt idx="35" formatCode="General">
                        <c:v>-54.563742514970059</c:v>
                      </c:pt>
                      <c:pt idx="36" formatCode="General">
                        <c:v>-54.817874251497003</c:v>
                      </c:pt>
                      <c:pt idx="37" formatCode="General">
                        <c:v>-55.069562874251496</c:v>
                      </c:pt>
                      <c:pt idx="38" formatCode="General">
                        <c:v>-55.317946107784429</c:v>
                      </c:pt>
                      <c:pt idx="39" formatCode="General">
                        <c:v>-55.56632934131737</c:v>
                      </c:pt>
                      <c:pt idx="40" formatCode="General">
                        <c:v>-55.814712574850304</c:v>
                      </c:pt>
                      <c:pt idx="41" formatCode="General">
                        <c:v>-56.063335329341321</c:v>
                      </c:pt>
                      <c:pt idx="42" formatCode="General">
                        <c:v>-56.312676646706592</c:v>
                      </c:pt>
                      <c:pt idx="43" formatCode="General">
                        <c:v>-56.562017964071856</c:v>
                      </c:pt>
                      <c:pt idx="44" formatCode="General">
                        <c:v>-56.81135928143712</c:v>
                      </c:pt>
                      <c:pt idx="45" formatCode="General">
                        <c:v>-57.060700598802391</c:v>
                      </c:pt>
                      <c:pt idx="46" formatCode="General">
                        <c:v>-57.310041916167663</c:v>
                      </c:pt>
                      <c:pt idx="47" formatCode="General">
                        <c:v>-57.559383233532934</c:v>
                      </c:pt>
                      <c:pt idx="48" formatCode="General">
                        <c:v>-57.808724550898205</c:v>
                      </c:pt>
                      <c:pt idx="49" formatCode="General">
                        <c:v>-58.058065868263469</c:v>
                      </c:pt>
                      <c:pt idx="50" formatCode="General">
                        <c:v>-58.295494382022468</c:v>
                      </c:pt>
                      <c:pt idx="51" formatCode="General">
                        <c:v>-58.531599250936331</c:v>
                      </c:pt>
                      <c:pt idx="52" formatCode="General">
                        <c:v>-58.767704119850187</c:v>
                      </c:pt>
                      <c:pt idx="53" formatCode="General">
                        <c:v>-59.003808988764042</c:v>
                      </c:pt>
                      <c:pt idx="54" formatCode="General">
                        <c:v>-59.239913857677905</c:v>
                      </c:pt>
                      <c:pt idx="55" formatCode="General">
                        <c:v>-59.476018726591761</c:v>
                      </c:pt>
                      <c:pt idx="56" formatCode="General">
                        <c:v>-59.712123595505616</c:v>
                      </c:pt>
                      <c:pt idx="57" formatCode="General">
                        <c:v>-59.948228464419479</c:v>
                      </c:pt>
                      <c:pt idx="58" formatCode="General">
                        <c:v>-60.184333333333335</c:v>
                      </c:pt>
                      <c:pt idx="59" formatCode="General">
                        <c:v>-60.42043820224719</c:v>
                      </c:pt>
                      <c:pt idx="60" formatCode="General">
                        <c:v>-60.656543071161053</c:v>
                      </c:pt>
                      <c:pt idx="61" formatCode="General">
                        <c:v>-60.892647940074909</c:v>
                      </c:pt>
                      <c:pt idx="62" formatCode="General">
                        <c:v>-61.128752808988764</c:v>
                      </c:pt>
                      <c:pt idx="63" formatCode="General">
                        <c:v>-61.364857677902627</c:v>
                      </c:pt>
                      <c:pt idx="64" formatCode="General">
                        <c:v>-61.600962546816483</c:v>
                      </c:pt>
                      <c:pt idx="65" formatCode="General">
                        <c:v>-61.837067415730338</c:v>
                      </c:pt>
                      <c:pt idx="66" formatCode="General">
                        <c:v>-62.070650936329592</c:v>
                      </c:pt>
                      <c:pt idx="67" formatCode="General">
                        <c:v>-62.294890636704125</c:v>
                      </c:pt>
                      <c:pt idx="68" formatCode="General">
                        <c:v>-62.519130337078657</c:v>
                      </c:pt>
                      <c:pt idx="69" formatCode="General">
                        <c:v>-62.74337003745319</c:v>
                      </c:pt>
                      <c:pt idx="70" formatCode="General">
                        <c:v>-62.967609737827722</c:v>
                      </c:pt>
                      <c:pt idx="71" formatCode="General">
                        <c:v>-63.191849438202254</c:v>
                      </c:pt>
                      <c:pt idx="72" formatCode="General">
                        <c:v>-63.41608913857678</c:v>
                      </c:pt>
                      <c:pt idx="73" formatCode="General">
                        <c:v>-63.640328838951312</c:v>
                      </c:pt>
                      <c:pt idx="74" formatCode="General">
                        <c:v>-63.864568539325845</c:v>
                      </c:pt>
                      <c:pt idx="75" formatCode="General">
                        <c:v>-64.088808239700384</c:v>
                      </c:pt>
                      <c:pt idx="76" formatCode="General">
                        <c:v>-64.31304794007491</c:v>
                      </c:pt>
                      <c:pt idx="77" formatCode="General">
                        <c:v>-64.537287640449435</c:v>
                      </c:pt>
                      <c:pt idx="78" formatCode="General">
                        <c:v>-64.761527340823974</c:v>
                      </c:pt>
                      <c:pt idx="79" formatCode="General">
                        <c:v>-64.9857670411985</c:v>
                      </c:pt>
                      <c:pt idx="80" formatCode="General">
                        <c:v>-65.210006741573039</c:v>
                      </c:pt>
                      <c:pt idx="81" formatCode="General">
                        <c:v>-65.434246441947565</c:v>
                      </c:pt>
                      <c:pt idx="82" formatCode="General">
                        <c:v>-65.658486142322104</c:v>
                      </c:pt>
                      <c:pt idx="83" formatCode="General">
                        <c:v>-65.876716216216224</c:v>
                      </c:pt>
                      <c:pt idx="84" formatCode="General">
                        <c:v>-66.089509009009006</c:v>
                      </c:pt>
                      <c:pt idx="85" formatCode="General">
                        <c:v>-66.302301801801804</c:v>
                      </c:pt>
                      <c:pt idx="86" formatCode="General">
                        <c:v>-66.515094594594601</c:v>
                      </c:pt>
                      <c:pt idx="87" formatCode="General">
                        <c:v>-44.975564356435648</c:v>
                      </c:pt>
                      <c:pt idx="88" formatCode="General">
                        <c:v>-45.122099009900992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A-11EF-44BA-AAAA-9AD66152902A}"/>
                  </c:ext>
                </c:extLst>
              </c15:ser>
            </c15:filteredScatterSeries>
            <c15:filteredScatterSeries>
              <c15:ser>
                <c:idx val="35"/>
                <c:order val="37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306</c:v>
                      </c:pt>
                      <c:pt idx="1">
                        <c:v>314</c:v>
                      </c:pt>
                      <c:pt idx="2">
                        <c:v>322</c:v>
                      </c:pt>
                      <c:pt idx="3">
                        <c:v>330</c:v>
                      </c:pt>
                      <c:pt idx="4">
                        <c:v>338</c:v>
                      </c:pt>
                      <c:pt idx="5">
                        <c:v>346</c:v>
                      </c:pt>
                      <c:pt idx="6">
                        <c:v>354</c:v>
                      </c:pt>
                      <c:pt idx="7">
                        <c:v>362</c:v>
                      </c:pt>
                      <c:pt idx="8">
                        <c:v>370</c:v>
                      </c:pt>
                      <c:pt idx="9">
                        <c:v>378</c:v>
                      </c:pt>
                      <c:pt idx="10">
                        <c:v>386</c:v>
                      </c:pt>
                      <c:pt idx="11">
                        <c:v>394</c:v>
                      </c:pt>
                      <c:pt idx="12">
                        <c:v>402</c:v>
                      </c:pt>
                      <c:pt idx="13">
                        <c:v>410</c:v>
                      </c:pt>
                      <c:pt idx="14">
                        <c:v>418</c:v>
                      </c:pt>
                      <c:pt idx="15">
                        <c:v>426</c:v>
                      </c:pt>
                      <c:pt idx="16">
                        <c:v>434</c:v>
                      </c:pt>
                      <c:pt idx="17">
                        <c:v>442</c:v>
                      </c:pt>
                      <c:pt idx="18">
                        <c:v>450</c:v>
                      </c:pt>
                      <c:pt idx="19">
                        <c:v>458</c:v>
                      </c:pt>
                      <c:pt idx="20">
                        <c:v>466</c:v>
                      </c:pt>
                      <c:pt idx="21">
                        <c:v>474</c:v>
                      </c:pt>
                      <c:pt idx="22">
                        <c:v>482</c:v>
                      </c:pt>
                      <c:pt idx="23">
                        <c:v>490</c:v>
                      </c:pt>
                      <c:pt idx="24">
                        <c:v>498</c:v>
                      </c:pt>
                      <c:pt idx="25">
                        <c:v>506</c:v>
                      </c:pt>
                      <c:pt idx="26">
                        <c:v>514</c:v>
                      </c:pt>
                      <c:pt idx="27">
                        <c:v>522</c:v>
                      </c:pt>
                      <c:pt idx="28">
                        <c:v>530</c:v>
                      </c:pt>
                      <c:pt idx="29">
                        <c:v>538</c:v>
                      </c:pt>
                      <c:pt idx="30">
                        <c:v>546</c:v>
                      </c:pt>
                      <c:pt idx="31">
                        <c:v>554</c:v>
                      </c:pt>
                      <c:pt idx="32">
                        <c:v>562</c:v>
                      </c:pt>
                      <c:pt idx="33">
                        <c:v>570</c:v>
                      </c:pt>
                      <c:pt idx="34">
                        <c:v>578</c:v>
                      </c:pt>
                      <c:pt idx="35">
                        <c:v>586</c:v>
                      </c:pt>
                      <c:pt idx="36">
                        <c:v>594</c:v>
                      </c:pt>
                      <c:pt idx="37">
                        <c:v>602</c:v>
                      </c:pt>
                      <c:pt idx="38">
                        <c:v>610</c:v>
                      </c:pt>
                      <c:pt idx="39">
                        <c:v>618</c:v>
                      </c:pt>
                      <c:pt idx="40">
                        <c:v>626</c:v>
                      </c:pt>
                      <c:pt idx="41">
                        <c:v>634</c:v>
                      </c:pt>
                      <c:pt idx="42">
                        <c:v>642</c:v>
                      </c:pt>
                      <c:pt idx="43">
                        <c:v>650</c:v>
                      </c:pt>
                      <c:pt idx="44">
                        <c:v>658</c:v>
                      </c:pt>
                      <c:pt idx="45">
                        <c:v>666</c:v>
                      </c:pt>
                      <c:pt idx="46">
                        <c:v>674</c:v>
                      </c:pt>
                      <c:pt idx="47">
                        <c:v>682</c:v>
                      </c:pt>
                      <c:pt idx="48">
                        <c:v>690</c:v>
                      </c:pt>
                      <c:pt idx="49">
                        <c:v>698</c:v>
                      </c:pt>
                      <c:pt idx="50">
                        <c:v>706</c:v>
                      </c:pt>
                      <c:pt idx="51">
                        <c:v>714</c:v>
                      </c:pt>
                      <c:pt idx="52">
                        <c:v>722</c:v>
                      </c:pt>
                      <c:pt idx="53">
                        <c:v>730</c:v>
                      </c:pt>
                      <c:pt idx="54">
                        <c:v>738</c:v>
                      </c:pt>
                      <c:pt idx="55">
                        <c:v>746</c:v>
                      </c:pt>
                      <c:pt idx="56">
                        <c:v>754</c:v>
                      </c:pt>
                      <c:pt idx="57">
                        <c:v>762</c:v>
                      </c:pt>
                      <c:pt idx="58">
                        <c:v>770</c:v>
                      </c:pt>
                      <c:pt idx="59">
                        <c:v>778</c:v>
                      </c:pt>
                      <c:pt idx="60">
                        <c:v>786</c:v>
                      </c:pt>
                      <c:pt idx="61">
                        <c:v>794</c:v>
                      </c:pt>
                      <c:pt idx="62">
                        <c:v>802</c:v>
                      </c:pt>
                      <c:pt idx="63">
                        <c:v>810</c:v>
                      </c:pt>
                      <c:pt idx="64">
                        <c:v>818</c:v>
                      </c:pt>
                      <c:pt idx="65">
                        <c:v>826</c:v>
                      </c:pt>
                      <c:pt idx="66">
                        <c:v>834</c:v>
                      </c:pt>
                      <c:pt idx="67">
                        <c:v>842</c:v>
                      </c:pt>
                      <c:pt idx="68">
                        <c:v>850</c:v>
                      </c:pt>
                      <c:pt idx="69">
                        <c:v>858</c:v>
                      </c:pt>
                      <c:pt idx="70">
                        <c:v>866</c:v>
                      </c:pt>
                      <c:pt idx="71">
                        <c:v>874</c:v>
                      </c:pt>
                      <c:pt idx="72">
                        <c:v>882</c:v>
                      </c:pt>
                      <c:pt idx="73">
                        <c:v>890</c:v>
                      </c:pt>
                      <c:pt idx="74">
                        <c:v>898</c:v>
                      </c:pt>
                      <c:pt idx="75">
                        <c:v>906</c:v>
                      </c:pt>
                      <c:pt idx="76">
                        <c:v>914</c:v>
                      </c:pt>
                      <c:pt idx="77">
                        <c:v>922</c:v>
                      </c:pt>
                      <c:pt idx="78">
                        <c:v>930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EVALUATION!$B$138:$CP$138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-37.456036036036032</c:v>
                      </c:pt>
                      <c:pt idx="1">
                        <c:v>-36.754534534534535</c:v>
                      </c:pt>
                      <c:pt idx="2">
                        <c:v>-36.053033033033032</c:v>
                      </c:pt>
                      <c:pt idx="3">
                        <c:v>-35.351531531531528</c:v>
                      </c:pt>
                      <c:pt idx="4" formatCode="General">
                        <c:v>-34.77434131736527</c:v>
                      </c:pt>
                      <c:pt idx="5" formatCode="General">
                        <c:v>-34.225838323353294</c:v>
                      </c:pt>
                      <c:pt idx="6" formatCode="General">
                        <c:v>-33.677335329341318</c:v>
                      </c:pt>
                      <c:pt idx="7" formatCode="General">
                        <c:v>-33.128832335329342</c:v>
                      </c:pt>
                      <c:pt idx="8" formatCode="General">
                        <c:v>-32.657592814371256</c:v>
                      </c:pt>
                      <c:pt idx="9" formatCode="General">
                        <c:v>-32.230287425149697</c:v>
                      </c:pt>
                      <c:pt idx="10" formatCode="General">
                        <c:v>-31.802982035928146</c:v>
                      </c:pt>
                      <c:pt idx="11" formatCode="General">
                        <c:v>-31.375676646706587</c:v>
                      </c:pt>
                      <c:pt idx="12" formatCode="General">
                        <c:v>-30.997113772455091</c:v>
                      </c:pt>
                      <c:pt idx="13" formatCode="General">
                        <c:v>-30.675197604790419</c:v>
                      </c:pt>
                      <c:pt idx="14" formatCode="General">
                        <c:v>-30.353281437125748</c:v>
                      </c:pt>
                      <c:pt idx="15" formatCode="General">
                        <c:v>-30.031365269461077</c:v>
                      </c:pt>
                      <c:pt idx="16" formatCode="General">
                        <c:v>-29.749044910179641</c:v>
                      </c:pt>
                      <c:pt idx="17" formatCode="General">
                        <c:v>-29.564853293413172</c:v>
                      </c:pt>
                      <c:pt idx="18" formatCode="General">
                        <c:v>-29.380661676646707</c:v>
                      </c:pt>
                      <c:pt idx="19" formatCode="General">
                        <c:v>-29.196470059880241</c:v>
                      </c:pt>
                      <c:pt idx="20" formatCode="General">
                        <c:v>-29.031194610778446</c:v>
                      </c:pt>
                      <c:pt idx="21" formatCode="General">
                        <c:v>-29.015146706586826</c:v>
                      </c:pt>
                      <c:pt idx="22" formatCode="General">
                        <c:v>-28.99909880239521</c:v>
                      </c:pt>
                      <c:pt idx="23" formatCode="General">
                        <c:v>-28.983050898203594</c:v>
                      </c:pt>
                      <c:pt idx="24" formatCode="General">
                        <c:v>-28.967002994011978</c:v>
                      </c:pt>
                      <c:pt idx="25" formatCode="General">
                        <c:v>-29.170279279279281</c:v>
                      </c:pt>
                      <c:pt idx="26" formatCode="General">
                        <c:v>-29.388177177177177</c:v>
                      </c:pt>
                      <c:pt idx="27" formatCode="General">
                        <c:v>-29.606075075075076</c:v>
                      </c:pt>
                      <c:pt idx="28" formatCode="General">
                        <c:v>-29.823972972972971</c:v>
                      </c:pt>
                      <c:pt idx="29" formatCode="General">
                        <c:v>-29.965814371257483</c:v>
                      </c:pt>
                      <c:pt idx="30" formatCode="General">
                        <c:v>-30.085574850299402</c:v>
                      </c:pt>
                      <c:pt idx="31" formatCode="General">
                        <c:v>-30.205335329341317</c:v>
                      </c:pt>
                      <c:pt idx="32" formatCode="General">
                        <c:v>-30.325095808383235</c:v>
                      </c:pt>
                      <c:pt idx="33" formatCode="General">
                        <c:v>-30.453622754491018</c:v>
                      </c:pt>
                      <c:pt idx="34" formatCode="General">
                        <c:v>-30.587994011976047</c:v>
                      </c:pt>
                      <c:pt idx="35" formatCode="General">
                        <c:v>-30.722365269461079</c:v>
                      </c:pt>
                      <c:pt idx="36" formatCode="General">
                        <c:v>-30.856736526946108</c:v>
                      </c:pt>
                      <c:pt idx="37" formatCode="General">
                        <c:v>-30.990700598802395</c:v>
                      </c:pt>
                      <c:pt idx="38" formatCode="General">
                        <c:v>-31.12411377245509</c:v>
                      </c:pt>
                      <c:pt idx="39" formatCode="General">
                        <c:v>-31.257526946107784</c:v>
                      </c:pt>
                      <c:pt idx="40" formatCode="General">
                        <c:v>-31.390940119760479</c:v>
                      </c:pt>
                      <c:pt idx="41" formatCode="General">
                        <c:v>-31.524592814371257</c:v>
                      </c:pt>
                      <c:pt idx="42" formatCode="General">
                        <c:v>-31.658964071856285</c:v>
                      </c:pt>
                      <c:pt idx="43" formatCode="General">
                        <c:v>-31.793335329341318</c:v>
                      </c:pt>
                      <c:pt idx="44" formatCode="General">
                        <c:v>-31.927706586826346</c:v>
                      </c:pt>
                      <c:pt idx="45" formatCode="General">
                        <c:v>-32.062077844311375</c:v>
                      </c:pt>
                      <c:pt idx="46" formatCode="General">
                        <c:v>-32.196449101796411</c:v>
                      </c:pt>
                      <c:pt idx="47" formatCode="General">
                        <c:v>-32.330820359281439</c:v>
                      </c:pt>
                      <c:pt idx="48" formatCode="General">
                        <c:v>-32.465191616766468</c:v>
                      </c:pt>
                      <c:pt idx="49" formatCode="General">
                        <c:v>-32.599562874251497</c:v>
                      </c:pt>
                      <c:pt idx="50" formatCode="General">
                        <c:v>-32.727876404494381</c:v>
                      </c:pt>
                      <c:pt idx="51" formatCode="General">
                        <c:v>-32.855516853932585</c:v>
                      </c:pt>
                      <c:pt idx="52" formatCode="General">
                        <c:v>-32.983157303370788</c:v>
                      </c:pt>
                      <c:pt idx="53" formatCode="General">
                        <c:v>-33.110797752808992</c:v>
                      </c:pt>
                      <c:pt idx="54" formatCode="General">
                        <c:v>-33.238438202247195</c:v>
                      </c:pt>
                      <c:pt idx="55" formatCode="General">
                        <c:v>-33.366078651685392</c:v>
                      </c:pt>
                      <c:pt idx="56" formatCode="General">
                        <c:v>-33.493719101123595</c:v>
                      </c:pt>
                      <c:pt idx="57" formatCode="General">
                        <c:v>-33.621359550561799</c:v>
                      </c:pt>
                      <c:pt idx="58" formatCode="General">
                        <c:v>-33.749000000000002</c:v>
                      </c:pt>
                      <c:pt idx="59" formatCode="General">
                        <c:v>-33.876640449438206</c:v>
                      </c:pt>
                      <c:pt idx="60" formatCode="General">
                        <c:v>-34.004280898876409</c:v>
                      </c:pt>
                      <c:pt idx="61" formatCode="General">
                        <c:v>-34.131921348314606</c:v>
                      </c:pt>
                      <c:pt idx="62" formatCode="General">
                        <c:v>-34.259561797752809</c:v>
                      </c:pt>
                      <c:pt idx="63" formatCode="General">
                        <c:v>-34.387202247191013</c:v>
                      </c:pt>
                      <c:pt idx="64" formatCode="General">
                        <c:v>-34.514842696629216</c:v>
                      </c:pt>
                      <c:pt idx="65" formatCode="General">
                        <c:v>-34.64248314606742</c:v>
                      </c:pt>
                      <c:pt idx="66" formatCode="General">
                        <c:v>-34.768748314606746</c:v>
                      </c:pt>
                      <c:pt idx="67" formatCode="General">
                        <c:v>-34.88991685393259</c:v>
                      </c:pt>
                      <c:pt idx="68" formatCode="General">
                        <c:v>-35.011085393258426</c:v>
                      </c:pt>
                      <c:pt idx="69" formatCode="General">
                        <c:v>-35.13225393258427</c:v>
                      </c:pt>
                      <c:pt idx="70" formatCode="General">
                        <c:v>-35.253422471910113</c:v>
                      </c:pt>
                      <c:pt idx="71" formatCode="General">
                        <c:v>-35.374591011235957</c:v>
                      </c:pt>
                      <c:pt idx="72" formatCode="General">
                        <c:v>-35.4957595505618</c:v>
                      </c:pt>
                      <c:pt idx="73" formatCode="General">
                        <c:v>-35.616928089887644</c:v>
                      </c:pt>
                      <c:pt idx="74" formatCode="General">
                        <c:v>-35.738096629213487</c:v>
                      </c:pt>
                      <c:pt idx="75" formatCode="General">
                        <c:v>-35.859265168539331</c:v>
                      </c:pt>
                      <c:pt idx="76" formatCode="General">
                        <c:v>-35.980433707865167</c:v>
                      </c:pt>
                      <c:pt idx="77" formatCode="General">
                        <c:v>-36.101602247191011</c:v>
                      </c:pt>
                      <c:pt idx="78" formatCode="General">
                        <c:v>-36.222770786516854</c:v>
                      </c:pt>
                      <c:pt idx="79" formatCode="General">
                        <c:v>-36.343939325842697</c:v>
                      </c:pt>
                      <c:pt idx="80" formatCode="General">
                        <c:v>-36.465107865168541</c:v>
                      </c:pt>
                      <c:pt idx="81" formatCode="General">
                        <c:v>-36.586276404494384</c:v>
                      </c:pt>
                      <c:pt idx="82" formatCode="General">
                        <c:v>-36.707444943820228</c:v>
                      </c:pt>
                      <c:pt idx="83" formatCode="General">
                        <c:v>-36.825319819819818</c:v>
                      </c:pt>
                      <c:pt idx="84" formatCode="General">
                        <c:v>-36.940214714714713</c:v>
                      </c:pt>
                      <c:pt idx="85" formatCode="General">
                        <c:v>-37.055109609609609</c:v>
                      </c:pt>
                      <c:pt idx="86" formatCode="General">
                        <c:v>-37.170004504504504</c:v>
                      </c:pt>
                      <c:pt idx="87" formatCode="General">
                        <c:v>-8.1209504950495059</c:v>
                      </c:pt>
                      <c:pt idx="88" formatCode="General">
                        <c:v>-8.1466930693069308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B-11EF-44BA-AAAA-9AD66152902A}"/>
                  </c:ext>
                </c:extLst>
              </c15:ser>
            </c15:filteredScatterSeries>
            <c15:filteredScatterSeries>
              <c15:ser>
                <c:idx val="36"/>
                <c:order val="38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306</c:v>
                      </c:pt>
                      <c:pt idx="1">
                        <c:v>314</c:v>
                      </c:pt>
                      <c:pt idx="2">
                        <c:v>322</c:v>
                      </c:pt>
                      <c:pt idx="3">
                        <c:v>330</c:v>
                      </c:pt>
                      <c:pt idx="4">
                        <c:v>338</c:v>
                      </c:pt>
                      <c:pt idx="5">
                        <c:v>346</c:v>
                      </c:pt>
                      <c:pt idx="6">
                        <c:v>354</c:v>
                      </c:pt>
                      <c:pt idx="7">
                        <c:v>362</c:v>
                      </c:pt>
                      <c:pt idx="8">
                        <c:v>370</c:v>
                      </c:pt>
                      <c:pt idx="9">
                        <c:v>378</c:v>
                      </c:pt>
                      <c:pt idx="10">
                        <c:v>386</c:v>
                      </c:pt>
                      <c:pt idx="11">
                        <c:v>394</c:v>
                      </c:pt>
                      <c:pt idx="12">
                        <c:v>402</c:v>
                      </c:pt>
                      <c:pt idx="13">
                        <c:v>410</c:v>
                      </c:pt>
                      <c:pt idx="14">
                        <c:v>418</c:v>
                      </c:pt>
                      <c:pt idx="15">
                        <c:v>426</c:v>
                      </c:pt>
                      <c:pt idx="16">
                        <c:v>434</c:v>
                      </c:pt>
                      <c:pt idx="17">
                        <c:v>442</c:v>
                      </c:pt>
                      <c:pt idx="18">
                        <c:v>450</c:v>
                      </c:pt>
                      <c:pt idx="19">
                        <c:v>458</c:v>
                      </c:pt>
                      <c:pt idx="20">
                        <c:v>466</c:v>
                      </c:pt>
                      <c:pt idx="21">
                        <c:v>474</c:v>
                      </c:pt>
                      <c:pt idx="22">
                        <c:v>482</c:v>
                      </c:pt>
                      <c:pt idx="23">
                        <c:v>490</c:v>
                      </c:pt>
                      <c:pt idx="24">
                        <c:v>498</c:v>
                      </c:pt>
                      <c:pt idx="25">
                        <c:v>506</c:v>
                      </c:pt>
                      <c:pt idx="26">
                        <c:v>514</c:v>
                      </c:pt>
                      <c:pt idx="27">
                        <c:v>522</c:v>
                      </c:pt>
                      <c:pt idx="28">
                        <c:v>530</c:v>
                      </c:pt>
                      <c:pt idx="29">
                        <c:v>538</c:v>
                      </c:pt>
                      <c:pt idx="30">
                        <c:v>546</c:v>
                      </c:pt>
                      <c:pt idx="31">
                        <c:v>554</c:v>
                      </c:pt>
                      <c:pt idx="32">
                        <c:v>562</c:v>
                      </c:pt>
                      <c:pt idx="33">
                        <c:v>570</c:v>
                      </c:pt>
                      <c:pt idx="34">
                        <c:v>578</c:v>
                      </c:pt>
                      <c:pt idx="35">
                        <c:v>586</c:v>
                      </c:pt>
                      <c:pt idx="36">
                        <c:v>594</c:v>
                      </c:pt>
                      <c:pt idx="37">
                        <c:v>602</c:v>
                      </c:pt>
                      <c:pt idx="38">
                        <c:v>610</c:v>
                      </c:pt>
                      <c:pt idx="39">
                        <c:v>618</c:v>
                      </c:pt>
                      <c:pt idx="40">
                        <c:v>626</c:v>
                      </c:pt>
                      <c:pt idx="41">
                        <c:v>634</c:v>
                      </c:pt>
                      <c:pt idx="42">
                        <c:v>642</c:v>
                      </c:pt>
                      <c:pt idx="43">
                        <c:v>650</c:v>
                      </c:pt>
                      <c:pt idx="44">
                        <c:v>658</c:v>
                      </c:pt>
                      <c:pt idx="45">
                        <c:v>666</c:v>
                      </c:pt>
                      <c:pt idx="46">
                        <c:v>674</c:v>
                      </c:pt>
                      <c:pt idx="47">
                        <c:v>682</c:v>
                      </c:pt>
                      <c:pt idx="48">
                        <c:v>690</c:v>
                      </c:pt>
                      <c:pt idx="49">
                        <c:v>698</c:v>
                      </c:pt>
                      <c:pt idx="50">
                        <c:v>706</c:v>
                      </c:pt>
                      <c:pt idx="51">
                        <c:v>714</c:v>
                      </c:pt>
                      <c:pt idx="52">
                        <c:v>722</c:v>
                      </c:pt>
                      <c:pt idx="53">
                        <c:v>730</c:v>
                      </c:pt>
                      <c:pt idx="54">
                        <c:v>738</c:v>
                      </c:pt>
                      <c:pt idx="55">
                        <c:v>746</c:v>
                      </c:pt>
                      <c:pt idx="56">
                        <c:v>754</c:v>
                      </c:pt>
                      <c:pt idx="57">
                        <c:v>762</c:v>
                      </c:pt>
                      <c:pt idx="58">
                        <c:v>770</c:v>
                      </c:pt>
                      <c:pt idx="59">
                        <c:v>778</c:v>
                      </c:pt>
                      <c:pt idx="60">
                        <c:v>786</c:v>
                      </c:pt>
                      <c:pt idx="61">
                        <c:v>794</c:v>
                      </c:pt>
                      <c:pt idx="62">
                        <c:v>802</c:v>
                      </c:pt>
                      <c:pt idx="63">
                        <c:v>810</c:v>
                      </c:pt>
                      <c:pt idx="64">
                        <c:v>818</c:v>
                      </c:pt>
                      <c:pt idx="65">
                        <c:v>826</c:v>
                      </c:pt>
                      <c:pt idx="66">
                        <c:v>834</c:v>
                      </c:pt>
                      <c:pt idx="67">
                        <c:v>842</c:v>
                      </c:pt>
                      <c:pt idx="68">
                        <c:v>850</c:v>
                      </c:pt>
                      <c:pt idx="69">
                        <c:v>858</c:v>
                      </c:pt>
                      <c:pt idx="70">
                        <c:v>866</c:v>
                      </c:pt>
                      <c:pt idx="71">
                        <c:v>874</c:v>
                      </c:pt>
                      <c:pt idx="72">
                        <c:v>882</c:v>
                      </c:pt>
                      <c:pt idx="73">
                        <c:v>890</c:v>
                      </c:pt>
                      <c:pt idx="74">
                        <c:v>898</c:v>
                      </c:pt>
                      <c:pt idx="75">
                        <c:v>906</c:v>
                      </c:pt>
                      <c:pt idx="76">
                        <c:v>914</c:v>
                      </c:pt>
                      <c:pt idx="77">
                        <c:v>922</c:v>
                      </c:pt>
                      <c:pt idx="78">
                        <c:v>930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EVALUATION!$B$139:$CP$139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-184.14450450450451</c:v>
                      </c:pt>
                      <c:pt idx="1">
                        <c:v>-180.19015015015015</c:v>
                      </c:pt>
                      <c:pt idx="2">
                        <c:v>-176.23579579579581</c:v>
                      </c:pt>
                      <c:pt idx="3">
                        <c:v>-172.28144144144147</c:v>
                      </c:pt>
                      <c:pt idx="4" formatCode="General">
                        <c:v>-168.94194610778445</c:v>
                      </c:pt>
                      <c:pt idx="5" formatCode="General">
                        <c:v>-165.74434131736527</c:v>
                      </c:pt>
                      <c:pt idx="6" formatCode="General">
                        <c:v>-162.54673652694612</c:v>
                      </c:pt>
                      <c:pt idx="7" formatCode="General">
                        <c:v>-159.34913173652694</c:v>
                      </c:pt>
                      <c:pt idx="8" formatCode="General">
                        <c:v>-156.51188622754489</c:v>
                      </c:pt>
                      <c:pt idx="9" formatCode="General">
                        <c:v>-153.87955089820358</c:v>
                      </c:pt>
                      <c:pt idx="10" formatCode="General">
                        <c:v>-151.24721556886226</c:v>
                      </c:pt>
                      <c:pt idx="11" formatCode="General">
                        <c:v>-148.61488023952094</c:v>
                      </c:pt>
                      <c:pt idx="12" formatCode="General">
                        <c:v>-146.17973053892214</c:v>
                      </c:pt>
                      <c:pt idx="13" formatCode="General">
                        <c:v>-143.97374251497007</c:v>
                      </c:pt>
                      <c:pt idx="14" formatCode="General">
                        <c:v>-141.76775449101797</c:v>
                      </c:pt>
                      <c:pt idx="15" formatCode="General">
                        <c:v>-139.56176646706587</c:v>
                      </c:pt>
                      <c:pt idx="16" formatCode="General">
                        <c:v>-137.45494011976049</c:v>
                      </c:pt>
                      <c:pt idx="17" formatCode="General">
                        <c:v>-135.59386227544911</c:v>
                      </c:pt>
                      <c:pt idx="18" formatCode="General">
                        <c:v>-133.73278443113773</c:v>
                      </c:pt>
                      <c:pt idx="19" formatCode="General">
                        <c:v>-131.87170658682635</c:v>
                      </c:pt>
                      <c:pt idx="20" formatCode="General">
                        <c:v>-130.04404191616766</c:v>
                      </c:pt>
                      <c:pt idx="21" formatCode="General">
                        <c:v>-128.47997005988023</c:v>
                      </c:pt>
                      <c:pt idx="22" formatCode="General">
                        <c:v>-126.91589820359282</c:v>
                      </c:pt>
                      <c:pt idx="23" formatCode="General">
                        <c:v>-125.35182634730539</c:v>
                      </c:pt>
                      <c:pt idx="24" formatCode="General">
                        <c:v>-123.78775449101796</c:v>
                      </c:pt>
                      <c:pt idx="25" formatCode="General">
                        <c:v>-123.46702702702703</c:v>
                      </c:pt>
                      <c:pt idx="26" formatCode="General">
                        <c:v>-123.22918918918919</c:v>
                      </c:pt>
                      <c:pt idx="27" formatCode="General">
                        <c:v>-122.99135135135135</c:v>
                      </c:pt>
                      <c:pt idx="28" formatCode="General">
                        <c:v>-122.75351351351351</c:v>
                      </c:pt>
                      <c:pt idx="29" formatCode="General">
                        <c:v>-123.46293413173653</c:v>
                      </c:pt>
                      <c:pt idx="30" formatCode="General">
                        <c:v>-124.44736526946109</c:v>
                      </c:pt>
                      <c:pt idx="31" formatCode="General">
                        <c:v>-125.43179640718563</c:v>
                      </c:pt>
                      <c:pt idx="32" formatCode="General">
                        <c:v>-126.41622754491017</c:v>
                      </c:pt>
                      <c:pt idx="33" formatCode="General">
                        <c:v>-127.39922155688622</c:v>
                      </c:pt>
                      <c:pt idx="34" formatCode="General">
                        <c:v>-128.38125748502995</c:v>
                      </c:pt>
                      <c:pt idx="35" formatCode="General">
                        <c:v>-129.36329341317364</c:v>
                      </c:pt>
                      <c:pt idx="36" formatCode="General">
                        <c:v>-130.34532934131735</c:v>
                      </c:pt>
                      <c:pt idx="37" formatCode="General">
                        <c:v>-131.31718562874252</c:v>
                      </c:pt>
                      <c:pt idx="38" formatCode="General">
                        <c:v>-132.27526946107784</c:v>
                      </c:pt>
                      <c:pt idx="39" formatCode="General">
                        <c:v>-133.23335329341316</c:v>
                      </c:pt>
                      <c:pt idx="40" formatCode="General">
                        <c:v>-134.19143712574851</c:v>
                      </c:pt>
                      <c:pt idx="41" formatCode="General">
                        <c:v>-135.14592814371258</c:v>
                      </c:pt>
                      <c:pt idx="42" formatCode="General">
                        <c:v>-136.08964071856286</c:v>
                      </c:pt>
                      <c:pt idx="43" formatCode="General">
                        <c:v>-137.03335329341317</c:v>
                      </c:pt>
                      <c:pt idx="44" formatCode="General">
                        <c:v>-137.97706586826348</c:v>
                      </c:pt>
                      <c:pt idx="45" formatCode="General">
                        <c:v>-138.91970059880239</c:v>
                      </c:pt>
                      <c:pt idx="46" formatCode="General">
                        <c:v>-139.84904191616766</c:v>
                      </c:pt>
                      <c:pt idx="47" formatCode="General">
                        <c:v>-140.77838323353294</c:v>
                      </c:pt>
                      <c:pt idx="48" formatCode="General">
                        <c:v>-141.70772455089821</c:v>
                      </c:pt>
                      <c:pt idx="49" formatCode="General">
                        <c:v>-142.63706586826348</c:v>
                      </c:pt>
                      <c:pt idx="50" formatCode="General">
                        <c:v>-143.50932584269663</c:v>
                      </c:pt>
                      <c:pt idx="51" formatCode="General">
                        <c:v>-144.37524344569289</c:v>
                      </c:pt>
                      <c:pt idx="52" formatCode="General">
                        <c:v>-145.24116104868915</c:v>
                      </c:pt>
                      <c:pt idx="53" formatCode="General">
                        <c:v>-146.10707865168538</c:v>
                      </c:pt>
                      <c:pt idx="54" formatCode="General">
                        <c:v>-146.97299625468165</c:v>
                      </c:pt>
                      <c:pt idx="55" formatCode="General">
                        <c:v>-147.83891385767791</c:v>
                      </c:pt>
                      <c:pt idx="56" formatCode="General">
                        <c:v>-148.70483146067417</c:v>
                      </c:pt>
                      <c:pt idx="57" formatCode="General">
                        <c:v>-149.57074906367041</c:v>
                      </c:pt>
                      <c:pt idx="58" formatCode="General">
                        <c:v>-150.43666666666667</c:v>
                      </c:pt>
                      <c:pt idx="59" formatCode="General">
                        <c:v>-151.30258426966293</c:v>
                      </c:pt>
                      <c:pt idx="60" formatCode="General">
                        <c:v>-152.16850187265919</c:v>
                      </c:pt>
                      <c:pt idx="61" formatCode="General">
                        <c:v>-153.03441947565543</c:v>
                      </c:pt>
                      <c:pt idx="62" formatCode="General">
                        <c:v>-153.90033707865169</c:v>
                      </c:pt>
                      <c:pt idx="63" formatCode="General">
                        <c:v>-154.76625468164795</c:v>
                      </c:pt>
                      <c:pt idx="64" formatCode="General">
                        <c:v>-155.63217228464421</c:v>
                      </c:pt>
                      <c:pt idx="65" formatCode="General">
                        <c:v>-156.49808988764045</c:v>
                      </c:pt>
                      <c:pt idx="66" formatCode="General">
                        <c:v>-157.34146816479401</c:v>
                      </c:pt>
                      <c:pt idx="67" formatCode="General">
                        <c:v>-158.10131835205993</c:v>
                      </c:pt>
                      <c:pt idx="68" formatCode="General">
                        <c:v>-158.86116853932586</c:v>
                      </c:pt>
                      <c:pt idx="69" formatCode="General">
                        <c:v>-159.62101872659179</c:v>
                      </c:pt>
                      <c:pt idx="70" formatCode="General">
                        <c:v>-160.38086891385768</c:v>
                      </c:pt>
                      <c:pt idx="71" formatCode="General">
                        <c:v>-161.14071910112361</c:v>
                      </c:pt>
                      <c:pt idx="72" formatCode="General">
                        <c:v>-161.90056928838953</c:v>
                      </c:pt>
                      <c:pt idx="73" formatCode="General">
                        <c:v>-162.66041947565543</c:v>
                      </c:pt>
                      <c:pt idx="74" formatCode="General">
                        <c:v>-163.42026966292136</c:v>
                      </c:pt>
                      <c:pt idx="75" formatCode="General">
                        <c:v>-164.18011985018728</c:v>
                      </c:pt>
                      <c:pt idx="76" formatCode="General">
                        <c:v>-164.93997003745321</c:v>
                      </c:pt>
                      <c:pt idx="77" formatCode="General">
                        <c:v>-165.6998202247191</c:v>
                      </c:pt>
                      <c:pt idx="78" formatCode="General">
                        <c:v>-166.45967041198503</c:v>
                      </c:pt>
                      <c:pt idx="79" formatCode="General">
                        <c:v>-167.21952059925096</c:v>
                      </c:pt>
                      <c:pt idx="80" formatCode="General">
                        <c:v>-167.97937078651688</c:v>
                      </c:pt>
                      <c:pt idx="81" formatCode="General">
                        <c:v>-168.73922097378278</c:v>
                      </c:pt>
                      <c:pt idx="82" formatCode="General">
                        <c:v>-169.4990711610487</c:v>
                      </c:pt>
                      <c:pt idx="83" formatCode="General">
                        <c:v>-170.1970720720721</c:v>
                      </c:pt>
                      <c:pt idx="84" formatCode="General">
                        <c:v>-170.83911411411412</c:v>
                      </c:pt>
                      <c:pt idx="85" formatCode="General">
                        <c:v>-171.48115615615617</c:v>
                      </c:pt>
                      <c:pt idx="86" formatCode="General">
                        <c:v>-172.12319819819822</c:v>
                      </c:pt>
                      <c:pt idx="87" formatCode="General">
                        <c:v>-19.85920792079208</c:v>
                      </c:pt>
                      <c:pt idx="88" formatCode="General">
                        <c:v>-19.871089108910891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C-11EF-44BA-AAAA-9AD66152902A}"/>
                  </c:ext>
                </c:extLst>
              </c15:ser>
            </c15:filteredScatterSeries>
            <c15:filteredScatterSeries>
              <c15:ser>
                <c:idx val="38"/>
                <c:order val="40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306</c:v>
                      </c:pt>
                      <c:pt idx="1">
                        <c:v>314</c:v>
                      </c:pt>
                      <c:pt idx="2">
                        <c:v>322</c:v>
                      </c:pt>
                      <c:pt idx="3">
                        <c:v>330</c:v>
                      </c:pt>
                      <c:pt idx="4">
                        <c:v>338</c:v>
                      </c:pt>
                      <c:pt idx="5">
                        <c:v>346</c:v>
                      </c:pt>
                      <c:pt idx="6">
                        <c:v>354</c:v>
                      </c:pt>
                      <c:pt idx="7">
                        <c:v>362</c:v>
                      </c:pt>
                      <c:pt idx="8">
                        <c:v>370</c:v>
                      </c:pt>
                      <c:pt idx="9">
                        <c:v>378</c:v>
                      </c:pt>
                      <c:pt idx="10">
                        <c:v>386</c:v>
                      </c:pt>
                      <c:pt idx="11">
                        <c:v>394</c:v>
                      </c:pt>
                      <c:pt idx="12">
                        <c:v>402</c:v>
                      </c:pt>
                      <c:pt idx="13">
                        <c:v>410</c:v>
                      </c:pt>
                      <c:pt idx="14">
                        <c:v>418</c:v>
                      </c:pt>
                      <c:pt idx="15">
                        <c:v>426</c:v>
                      </c:pt>
                      <c:pt idx="16">
                        <c:v>434</c:v>
                      </c:pt>
                      <c:pt idx="17">
                        <c:v>442</c:v>
                      </c:pt>
                      <c:pt idx="18">
                        <c:v>450</c:v>
                      </c:pt>
                      <c:pt idx="19">
                        <c:v>458</c:v>
                      </c:pt>
                      <c:pt idx="20">
                        <c:v>466</c:v>
                      </c:pt>
                      <c:pt idx="21">
                        <c:v>474</c:v>
                      </c:pt>
                      <c:pt idx="22">
                        <c:v>482</c:v>
                      </c:pt>
                      <c:pt idx="23">
                        <c:v>490</c:v>
                      </c:pt>
                      <c:pt idx="24">
                        <c:v>498</c:v>
                      </c:pt>
                      <c:pt idx="25">
                        <c:v>506</c:v>
                      </c:pt>
                      <c:pt idx="26">
                        <c:v>514</c:v>
                      </c:pt>
                      <c:pt idx="27">
                        <c:v>522</c:v>
                      </c:pt>
                      <c:pt idx="28">
                        <c:v>530</c:v>
                      </c:pt>
                      <c:pt idx="29">
                        <c:v>538</c:v>
                      </c:pt>
                      <c:pt idx="30">
                        <c:v>546</c:v>
                      </c:pt>
                      <c:pt idx="31">
                        <c:v>554</c:v>
                      </c:pt>
                      <c:pt idx="32">
                        <c:v>562</c:v>
                      </c:pt>
                      <c:pt idx="33">
                        <c:v>570</c:v>
                      </c:pt>
                      <c:pt idx="34">
                        <c:v>578</c:v>
                      </c:pt>
                      <c:pt idx="35">
                        <c:v>586</c:v>
                      </c:pt>
                      <c:pt idx="36">
                        <c:v>594</c:v>
                      </c:pt>
                      <c:pt idx="37">
                        <c:v>602</c:v>
                      </c:pt>
                      <c:pt idx="38">
                        <c:v>610</c:v>
                      </c:pt>
                      <c:pt idx="39">
                        <c:v>618</c:v>
                      </c:pt>
                      <c:pt idx="40">
                        <c:v>626</c:v>
                      </c:pt>
                      <c:pt idx="41">
                        <c:v>634</c:v>
                      </c:pt>
                      <c:pt idx="42">
                        <c:v>642</c:v>
                      </c:pt>
                      <c:pt idx="43">
                        <c:v>650</c:v>
                      </c:pt>
                      <c:pt idx="44">
                        <c:v>658</c:v>
                      </c:pt>
                      <c:pt idx="45">
                        <c:v>666</c:v>
                      </c:pt>
                      <c:pt idx="46">
                        <c:v>674</c:v>
                      </c:pt>
                      <c:pt idx="47">
                        <c:v>682</c:v>
                      </c:pt>
                      <c:pt idx="48">
                        <c:v>690</c:v>
                      </c:pt>
                      <c:pt idx="49">
                        <c:v>698</c:v>
                      </c:pt>
                      <c:pt idx="50">
                        <c:v>706</c:v>
                      </c:pt>
                      <c:pt idx="51">
                        <c:v>714</c:v>
                      </c:pt>
                      <c:pt idx="52">
                        <c:v>722</c:v>
                      </c:pt>
                      <c:pt idx="53">
                        <c:v>730</c:v>
                      </c:pt>
                      <c:pt idx="54">
                        <c:v>738</c:v>
                      </c:pt>
                      <c:pt idx="55">
                        <c:v>746</c:v>
                      </c:pt>
                      <c:pt idx="56">
                        <c:v>754</c:v>
                      </c:pt>
                      <c:pt idx="57">
                        <c:v>762</c:v>
                      </c:pt>
                      <c:pt idx="58">
                        <c:v>770</c:v>
                      </c:pt>
                      <c:pt idx="59">
                        <c:v>778</c:v>
                      </c:pt>
                      <c:pt idx="60">
                        <c:v>786</c:v>
                      </c:pt>
                      <c:pt idx="61">
                        <c:v>794</c:v>
                      </c:pt>
                      <c:pt idx="62">
                        <c:v>802</c:v>
                      </c:pt>
                      <c:pt idx="63">
                        <c:v>810</c:v>
                      </c:pt>
                      <c:pt idx="64">
                        <c:v>818</c:v>
                      </c:pt>
                      <c:pt idx="65">
                        <c:v>826</c:v>
                      </c:pt>
                      <c:pt idx="66">
                        <c:v>834</c:v>
                      </c:pt>
                      <c:pt idx="67">
                        <c:v>842</c:v>
                      </c:pt>
                      <c:pt idx="68">
                        <c:v>850</c:v>
                      </c:pt>
                      <c:pt idx="69">
                        <c:v>858</c:v>
                      </c:pt>
                      <c:pt idx="70">
                        <c:v>866</c:v>
                      </c:pt>
                      <c:pt idx="71">
                        <c:v>874</c:v>
                      </c:pt>
                      <c:pt idx="72">
                        <c:v>882</c:v>
                      </c:pt>
                      <c:pt idx="73">
                        <c:v>890</c:v>
                      </c:pt>
                      <c:pt idx="74">
                        <c:v>898</c:v>
                      </c:pt>
                      <c:pt idx="75">
                        <c:v>906</c:v>
                      </c:pt>
                      <c:pt idx="76">
                        <c:v>914</c:v>
                      </c:pt>
                      <c:pt idx="77">
                        <c:v>922</c:v>
                      </c:pt>
                      <c:pt idx="78">
                        <c:v>930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EVALUATION!$B$141:$CP$141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-59.157387387387388</c:v>
                      </c:pt>
                      <c:pt idx="1">
                        <c:v>-57.482912912912909</c:v>
                      </c:pt>
                      <c:pt idx="2">
                        <c:v>-55.808438438438436</c:v>
                      </c:pt>
                      <c:pt idx="3">
                        <c:v>-54.133963963963964</c:v>
                      </c:pt>
                      <c:pt idx="4" formatCode="General">
                        <c:v>-52.494700598802396</c:v>
                      </c:pt>
                      <c:pt idx="5" formatCode="General">
                        <c:v>-50.863562874251492</c:v>
                      </c:pt>
                      <c:pt idx="6" formatCode="General">
                        <c:v>-49.232425149700596</c:v>
                      </c:pt>
                      <c:pt idx="7" formatCode="General">
                        <c:v>-47.601287425149692</c:v>
                      </c:pt>
                      <c:pt idx="8" formatCode="General">
                        <c:v>-46.077035928143708</c:v>
                      </c:pt>
                      <c:pt idx="9" formatCode="General">
                        <c:v>-44.613562874251492</c:v>
                      </c:pt>
                      <c:pt idx="10" formatCode="General">
                        <c:v>-43.150089820359277</c:v>
                      </c:pt>
                      <c:pt idx="11" formatCode="General">
                        <c:v>-41.686616766467068</c:v>
                      </c:pt>
                      <c:pt idx="12" formatCode="General">
                        <c:v>-40.325059880239522</c:v>
                      </c:pt>
                      <c:pt idx="13" formatCode="General">
                        <c:v>-39.081946107784432</c:v>
                      </c:pt>
                      <c:pt idx="14" formatCode="General">
                        <c:v>-37.838832335329343</c:v>
                      </c:pt>
                      <c:pt idx="15" formatCode="General">
                        <c:v>-36.595718562874254</c:v>
                      </c:pt>
                      <c:pt idx="16" formatCode="General">
                        <c:v>-35.412514970059881</c:v>
                      </c:pt>
                      <c:pt idx="17" formatCode="General">
                        <c:v>-34.377784431137727</c:v>
                      </c:pt>
                      <c:pt idx="18" formatCode="General">
                        <c:v>-33.343053892215572</c:v>
                      </c:pt>
                      <c:pt idx="19" formatCode="General">
                        <c:v>-32.308323353293417</c:v>
                      </c:pt>
                      <c:pt idx="20" formatCode="General">
                        <c:v>-31.289491017964075</c:v>
                      </c:pt>
                      <c:pt idx="21" formatCode="General">
                        <c:v>-30.396077844311378</c:v>
                      </c:pt>
                      <c:pt idx="22" formatCode="General">
                        <c:v>-29.502664670658685</c:v>
                      </c:pt>
                      <c:pt idx="23" formatCode="General">
                        <c:v>-28.609251497005989</c:v>
                      </c:pt>
                      <c:pt idx="24" formatCode="General">
                        <c:v>-27.715838323353292</c:v>
                      </c:pt>
                      <c:pt idx="25" formatCode="General">
                        <c:v>-27.464054054054053</c:v>
                      </c:pt>
                      <c:pt idx="26" formatCode="General">
                        <c:v>-27.255045045045044</c:v>
                      </c:pt>
                      <c:pt idx="27" formatCode="General">
                        <c:v>-27.046036036036035</c:v>
                      </c:pt>
                      <c:pt idx="28" formatCode="General">
                        <c:v>-26.837027027027027</c:v>
                      </c:pt>
                      <c:pt idx="29" formatCode="General">
                        <c:v>-27.03502994011976</c:v>
                      </c:pt>
                      <c:pt idx="30" formatCode="General">
                        <c:v>-27.351197604790418</c:v>
                      </c:pt>
                      <c:pt idx="31" formatCode="General">
                        <c:v>-27.667365269461076</c:v>
                      </c:pt>
                      <c:pt idx="32" formatCode="General">
                        <c:v>-27.983532934131734</c:v>
                      </c:pt>
                      <c:pt idx="33" formatCode="General">
                        <c:v>-28.296826347305387</c:v>
                      </c:pt>
                      <c:pt idx="34" formatCode="General">
                        <c:v>-28.60820359281437</c:v>
                      </c:pt>
                      <c:pt idx="35" formatCode="General">
                        <c:v>-28.919580838323352</c:v>
                      </c:pt>
                      <c:pt idx="36" formatCode="General">
                        <c:v>-29.230958083832334</c:v>
                      </c:pt>
                      <c:pt idx="37" formatCode="General">
                        <c:v>-29.540299401197604</c:v>
                      </c:pt>
                      <c:pt idx="38" formatCode="General">
                        <c:v>-29.84688622754491</c:v>
                      </c:pt>
                      <c:pt idx="39" formatCode="General">
                        <c:v>-30.153473053892217</c:v>
                      </c:pt>
                      <c:pt idx="40" formatCode="General">
                        <c:v>-30.460059880239523</c:v>
                      </c:pt>
                      <c:pt idx="41" formatCode="General">
                        <c:v>-30.7648502994012</c:v>
                      </c:pt>
                      <c:pt idx="42" formatCode="General">
                        <c:v>-31.064251497005991</c:v>
                      </c:pt>
                      <c:pt idx="43" formatCode="General">
                        <c:v>-31.363652694610781</c:v>
                      </c:pt>
                      <c:pt idx="44" formatCode="General">
                        <c:v>-31.663053892215572</c:v>
                      </c:pt>
                      <c:pt idx="45" formatCode="General">
                        <c:v>-31.961916167664672</c:v>
                      </c:pt>
                      <c:pt idx="46" formatCode="General">
                        <c:v>-32.254131736526951</c:v>
                      </c:pt>
                      <c:pt idx="47" formatCode="General">
                        <c:v>-32.546347305389219</c:v>
                      </c:pt>
                      <c:pt idx="48" formatCode="General">
                        <c:v>-32.838562874251494</c:v>
                      </c:pt>
                      <c:pt idx="49" formatCode="General">
                        <c:v>-33.130778443113769</c:v>
                      </c:pt>
                      <c:pt idx="50" formatCode="General">
                        <c:v>-33.403235955056175</c:v>
                      </c:pt>
                      <c:pt idx="51" formatCode="General">
                        <c:v>-33.673498127340821</c:v>
                      </c:pt>
                      <c:pt idx="52" formatCode="General">
                        <c:v>-33.943760299625467</c:v>
                      </c:pt>
                      <c:pt idx="53" formatCode="General">
                        <c:v>-34.214022471910113</c:v>
                      </c:pt>
                      <c:pt idx="54" formatCode="General">
                        <c:v>-34.484284644194759</c:v>
                      </c:pt>
                      <c:pt idx="55" formatCode="General">
                        <c:v>-34.754546816479397</c:v>
                      </c:pt>
                      <c:pt idx="56" formatCode="General">
                        <c:v>-35.024808988764043</c:v>
                      </c:pt>
                      <c:pt idx="57" formatCode="General">
                        <c:v>-35.295071161048689</c:v>
                      </c:pt>
                      <c:pt idx="58" formatCode="General">
                        <c:v>-35.565333333333335</c:v>
                      </c:pt>
                      <c:pt idx="59" formatCode="General">
                        <c:v>-35.835595505617981</c:v>
                      </c:pt>
                      <c:pt idx="60" formatCode="General">
                        <c:v>-36.10585767790262</c:v>
                      </c:pt>
                      <c:pt idx="61" formatCode="General">
                        <c:v>-36.376119850187266</c:v>
                      </c:pt>
                      <c:pt idx="62" formatCode="General">
                        <c:v>-36.646382022471911</c:v>
                      </c:pt>
                      <c:pt idx="63" formatCode="General">
                        <c:v>-36.916644194756557</c:v>
                      </c:pt>
                      <c:pt idx="64" formatCode="General">
                        <c:v>-37.186906367041203</c:v>
                      </c:pt>
                      <c:pt idx="65" formatCode="General">
                        <c:v>-37.457168539325849</c:v>
                      </c:pt>
                      <c:pt idx="66" formatCode="General">
                        <c:v>-37.717880149812736</c:v>
                      </c:pt>
                      <c:pt idx="67" formatCode="General">
                        <c:v>-37.943198501872665</c:v>
                      </c:pt>
                      <c:pt idx="68" formatCode="General">
                        <c:v>-38.168516853932587</c:v>
                      </c:pt>
                      <c:pt idx="69" formatCode="General">
                        <c:v>-38.393835205992509</c:v>
                      </c:pt>
                      <c:pt idx="70" formatCode="General">
                        <c:v>-38.619153558052439</c:v>
                      </c:pt>
                      <c:pt idx="71" formatCode="General">
                        <c:v>-38.844471910112361</c:v>
                      </c:pt>
                      <c:pt idx="72" formatCode="General">
                        <c:v>-39.06979026217229</c:v>
                      </c:pt>
                      <c:pt idx="73" formatCode="General">
                        <c:v>-39.295108614232213</c:v>
                      </c:pt>
                      <c:pt idx="74" formatCode="General">
                        <c:v>-39.520426966292135</c:v>
                      </c:pt>
                      <c:pt idx="75" formatCode="General">
                        <c:v>-39.745745318352064</c:v>
                      </c:pt>
                      <c:pt idx="76" formatCode="General">
                        <c:v>-39.971063670411986</c:v>
                      </c:pt>
                      <c:pt idx="77" formatCode="General">
                        <c:v>-40.196382022471909</c:v>
                      </c:pt>
                      <c:pt idx="78" formatCode="General">
                        <c:v>-40.421700374531838</c:v>
                      </c:pt>
                      <c:pt idx="79" formatCode="General">
                        <c:v>-40.64701872659176</c:v>
                      </c:pt>
                      <c:pt idx="80" formatCode="General">
                        <c:v>-40.87233707865169</c:v>
                      </c:pt>
                      <c:pt idx="81" formatCode="General">
                        <c:v>-41.097655430711612</c:v>
                      </c:pt>
                      <c:pt idx="82" formatCode="General">
                        <c:v>-41.322973782771534</c:v>
                      </c:pt>
                      <c:pt idx="83" formatCode="General">
                        <c:v>-41.521441441441439</c:v>
                      </c:pt>
                      <c:pt idx="84" formatCode="General">
                        <c:v>-41.695615615615615</c:v>
                      </c:pt>
                      <c:pt idx="85" formatCode="General">
                        <c:v>-41.869789789789792</c:v>
                      </c:pt>
                      <c:pt idx="86" formatCode="General">
                        <c:v>-42.043963963963961</c:v>
                      </c:pt>
                      <c:pt idx="87" formatCode="General">
                        <c:v>-36.080475247524753</c:v>
                      </c:pt>
                      <c:pt idx="88" formatCode="General">
                        <c:v>-36.193346534653465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D-11EF-44BA-AAAA-9AD66152902A}"/>
                  </c:ext>
                </c:extLst>
              </c15:ser>
            </c15:filteredScatterSeries>
            <c15:filteredScatterSeries>
              <c15:ser>
                <c:idx val="40"/>
                <c:order val="41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306</c:v>
                      </c:pt>
                      <c:pt idx="1">
                        <c:v>314</c:v>
                      </c:pt>
                      <c:pt idx="2">
                        <c:v>322</c:v>
                      </c:pt>
                      <c:pt idx="3">
                        <c:v>330</c:v>
                      </c:pt>
                      <c:pt idx="4">
                        <c:v>338</c:v>
                      </c:pt>
                      <c:pt idx="5">
                        <c:v>346</c:v>
                      </c:pt>
                      <c:pt idx="6">
                        <c:v>354</c:v>
                      </c:pt>
                      <c:pt idx="7">
                        <c:v>362</c:v>
                      </c:pt>
                      <c:pt idx="8">
                        <c:v>370</c:v>
                      </c:pt>
                      <c:pt idx="9">
                        <c:v>378</c:v>
                      </c:pt>
                      <c:pt idx="10">
                        <c:v>386</c:v>
                      </c:pt>
                      <c:pt idx="11">
                        <c:v>394</c:v>
                      </c:pt>
                      <c:pt idx="12">
                        <c:v>402</c:v>
                      </c:pt>
                      <c:pt idx="13">
                        <c:v>410</c:v>
                      </c:pt>
                      <c:pt idx="14">
                        <c:v>418</c:v>
                      </c:pt>
                      <c:pt idx="15">
                        <c:v>426</c:v>
                      </c:pt>
                      <c:pt idx="16">
                        <c:v>434</c:v>
                      </c:pt>
                      <c:pt idx="17">
                        <c:v>442</c:v>
                      </c:pt>
                      <c:pt idx="18">
                        <c:v>450</c:v>
                      </c:pt>
                      <c:pt idx="19">
                        <c:v>458</c:v>
                      </c:pt>
                      <c:pt idx="20">
                        <c:v>466</c:v>
                      </c:pt>
                      <c:pt idx="21">
                        <c:v>474</c:v>
                      </c:pt>
                      <c:pt idx="22">
                        <c:v>482</c:v>
                      </c:pt>
                      <c:pt idx="23">
                        <c:v>490</c:v>
                      </c:pt>
                      <c:pt idx="24">
                        <c:v>498</c:v>
                      </c:pt>
                      <c:pt idx="25">
                        <c:v>506</c:v>
                      </c:pt>
                      <c:pt idx="26">
                        <c:v>514</c:v>
                      </c:pt>
                      <c:pt idx="27">
                        <c:v>522</c:v>
                      </c:pt>
                      <c:pt idx="28">
                        <c:v>530</c:v>
                      </c:pt>
                      <c:pt idx="29">
                        <c:v>538</c:v>
                      </c:pt>
                      <c:pt idx="30">
                        <c:v>546</c:v>
                      </c:pt>
                      <c:pt idx="31">
                        <c:v>554</c:v>
                      </c:pt>
                      <c:pt idx="32">
                        <c:v>562</c:v>
                      </c:pt>
                      <c:pt idx="33">
                        <c:v>570</c:v>
                      </c:pt>
                      <c:pt idx="34">
                        <c:v>578</c:v>
                      </c:pt>
                      <c:pt idx="35">
                        <c:v>586</c:v>
                      </c:pt>
                      <c:pt idx="36">
                        <c:v>594</c:v>
                      </c:pt>
                      <c:pt idx="37">
                        <c:v>602</c:v>
                      </c:pt>
                      <c:pt idx="38">
                        <c:v>610</c:v>
                      </c:pt>
                      <c:pt idx="39">
                        <c:v>618</c:v>
                      </c:pt>
                      <c:pt idx="40">
                        <c:v>626</c:v>
                      </c:pt>
                      <c:pt idx="41">
                        <c:v>634</c:v>
                      </c:pt>
                      <c:pt idx="42">
                        <c:v>642</c:v>
                      </c:pt>
                      <c:pt idx="43">
                        <c:v>650</c:v>
                      </c:pt>
                      <c:pt idx="44">
                        <c:v>658</c:v>
                      </c:pt>
                      <c:pt idx="45">
                        <c:v>666</c:v>
                      </c:pt>
                      <c:pt idx="46">
                        <c:v>674</c:v>
                      </c:pt>
                      <c:pt idx="47">
                        <c:v>682</c:v>
                      </c:pt>
                      <c:pt idx="48">
                        <c:v>690</c:v>
                      </c:pt>
                      <c:pt idx="49">
                        <c:v>698</c:v>
                      </c:pt>
                      <c:pt idx="50">
                        <c:v>706</c:v>
                      </c:pt>
                      <c:pt idx="51">
                        <c:v>714</c:v>
                      </c:pt>
                      <c:pt idx="52">
                        <c:v>722</c:v>
                      </c:pt>
                      <c:pt idx="53">
                        <c:v>730</c:v>
                      </c:pt>
                      <c:pt idx="54">
                        <c:v>738</c:v>
                      </c:pt>
                      <c:pt idx="55">
                        <c:v>746</c:v>
                      </c:pt>
                      <c:pt idx="56">
                        <c:v>754</c:v>
                      </c:pt>
                      <c:pt idx="57">
                        <c:v>762</c:v>
                      </c:pt>
                      <c:pt idx="58">
                        <c:v>770</c:v>
                      </c:pt>
                      <c:pt idx="59">
                        <c:v>778</c:v>
                      </c:pt>
                      <c:pt idx="60">
                        <c:v>786</c:v>
                      </c:pt>
                      <c:pt idx="61">
                        <c:v>794</c:v>
                      </c:pt>
                      <c:pt idx="62">
                        <c:v>802</c:v>
                      </c:pt>
                      <c:pt idx="63">
                        <c:v>810</c:v>
                      </c:pt>
                      <c:pt idx="64">
                        <c:v>818</c:v>
                      </c:pt>
                      <c:pt idx="65">
                        <c:v>826</c:v>
                      </c:pt>
                      <c:pt idx="66">
                        <c:v>834</c:v>
                      </c:pt>
                      <c:pt idx="67">
                        <c:v>842</c:v>
                      </c:pt>
                      <c:pt idx="68">
                        <c:v>850</c:v>
                      </c:pt>
                      <c:pt idx="69">
                        <c:v>858</c:v>
                      </c:pt>
                      <c:pt idx="70">
                        <c:v>866</c:v>
                      </c:pt>
                      <c:pt idx="71">
                        <c:v>874</c:v>
                      </c:pt>
                      <c:pt idx="72">
                        <c:v>882</c:v>
                      </c:pt>
                      <c:pt idx="73">
                        <c:v>890</c:v>
                      </c:pt>
                      <c:pt idx="74">
                        <c:v>898</c:v>
                      </c:pt>
                      <c:pt idx="75">
                        <c:v>906</c:v>
                      </c:pt>
                      <c:pt idx="76">
                        <c:v>914</c:v>
                      </c:pt>
                      <c:pt idx="77">
                        <c:v>922</c:v>
                      </c:pt>
                      <c:pt idx="78">
                        <c:v>930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EVALUATION!$B$142:$CP$142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-21.943243243243245</c:v>
                      </c:pt>
                      <c:pt idx="1">
                        <c:v>-21.741441441441442</c:v>
                      </c:pt>
                      <c:pt idx="2">
                        <c:v>-21.539639639639642</c:v>
                      </c:pt>
                      <c:pt idx="3">
                        <c:v>-21.337837837837839</c:v>
                      </c:pt>
                      <c:pt idx="4" formatCode="General">
                        <c:v>-21.317514970059882</c:v>
                      </c:pt>
                      <c:pt idx="5" formatCode="General">
                        <c:v>-21.339071856287426</c:v>
                      </c:pt>
                      <c:pt idx="6" formatCode="General">
                        <c:v>-21.360628742514972</c:v>
                      </c:pt>
                      <c:pt idx="7" formatCode="General">
                        <c:v>-21.382185628742516</c:v>
                      </c:pt>
                      <c:pt idx="8" formatCode="General">
                        <c:v>-21.452604790419162</c:v>
                      </c:pt>
                      <c:pt idx="9" formatCode="General">
                        <c:v>-21.550808383233534</c:v>
                      </c:pt>
                      <c:pt idx="10" formatCode="General">
                        <c:v>-21.649011976047905</c:v>
                      </c:pt>
                      <c:pt idx="11" formatCode="General">
                        <c:v>-21.747215568862277</c:v>
                      </c:pt>
                      <c:pt idx="12" formatCode="General">
                        <c:v>-21.843203592814373</c:v>
                      </c:pt>
                      <c:pt idx="13" formatCode="General">
                        <c:v>-21.936616766467068</c:v>
                      </c:pt>
                      <c:pt idx="14" formatCode="General">
                        <c:v>-22.030029940119761</c:v>
                      </c:pt>
                      <c:pt idx="15" formatCode="General">
                        <c:v>-22.123443113772456</c:v>
                      </c:pt>
                      <c:pt idx="16" formatCode="General">
                        <c:v>-22.209970059880241</c:v>
                      </c:pt>
                      <c:pt idx="17" formatCode="General">
                        <c:v>-22.279431137724551</c:v>
                      </c:pt>
                      <c:pt idx="18" formatCode="General">
                        <c:v>-22.348892215568863</c:v>
                      </c:pt>
                      <c:pt idx="19" formatCode="General">
                        <c:v>-22.418353293413173</c:v>
                      </c:pt>
                      <c:pt idx="20" formatCode="General">
                        <c:v>-22.488353293413173</c:v>
                      </c:pt>
                      <c:pt idx="21" formatCode="General">
                        <c:v>-22.562604790419162</c:v>
                      </c:pt>
                      <c:pt idx="22" formatCode="General">
                        <c:v>-22.63685628742515</c:v>
                      </c:pt>
                      <c:pt idx="23" formatCode="General">
                        <c:v>-22.711107784431139</c:v>
                      </c:pt>
                      <c:pt idx="24" formatCode="General">
                        <c:v>-22.785359281437124</c:v>
                      </c:pt>
                      <c:pt idx="25" formatCode="General">
                        <c:v>-22.846306306306307</c:v>
                      </c:pt>
                      <c:pt idx="26" formatCode="General">
                        <c:v>-22.906366366366367</c:v>
                      </c:pt>
                      <c:pt idx="27" formatCode="General">
                        <c:v>-22.966426426426427</c:v>
                      </c:pt>
                      <c:pt idx="28" formatCode="General">
                        <c:v>-23.026486486486487</c:v>
                      </c:pt>
                      <c:pt idx="29" formatCode="General">
                        <c:v>-23.130958083832336</c:v>
                      </c:pt>
                      <c:pt idx="30" formatCode="General">
                        <c:v>-23.248323353293415</c:v>
                      </c:pt>
                      <c:pt idx="31" formatCode="General">
                        <c:v>-23.36568862275449</c:v>
                      </c:pt>
                      <c:pt idx="32" formatCode="General">
                        <c:v>-23.483053892215569</c:v>
                      </c:pt>
                      <c:pt idx="33" formatCode="General">
                        <c:v>-23.60185628742515</c:v>
                      </c:pt>
                      <c:pt idx="34" formatCode="General">
                        <c:v>-23.721616766467065</c:v>
                      </c:pt>
                      <c:pt idx="35" formatCode="General">
                        <c:v>-23.841377245508983</c:v>
                      </c:pt>
                      <c:pt idx="36" formatCode="General">
                        <c:v>-23.961137724550898</c:v>
                      </c:pt>
                      <c:pt idx="37" formatCode="General">
                        <c:v>-24.078862275449104</c:v>
                      </c:pt>
                      <c:pt idx="38" formatCode="General">
                        <c:v>-24.193832335329343</c:v>
                      </c:pt>
                      <c:pt idx="39" formatCode="General">
                        <c:v>-24.308802395209582</c:v>
                      </c:pt>
                      <c:pt idx="40" formatCode="General">
                        <c:v>-24.423772455089821</c:v>
                      </c:pt>
                      <c:pt idx="41" formatCode="General">
                        <c:v>-24.53874251497006</c:v>
                      </c:pt>
                      <c:pt idx="42" formatCode="General">
                        <c:v>-24.653712574850299</c:v>
                      </c:pt>
                      <c:pt idx="43" formatCode="General">
                        <c:v>-24.768682634730538</c:v>
                      </c:pt>
                      <c:pt idx="44" formatCode="General">
                        <c:v>-24.883652694610777</c:v>
                      </c:pt>
                      <c:pt idx="45" formatCode="General">
                        <c:v>-24.998622754491016</c:v>
                      </c:pt>
                      <c:pt idx="46" formatCode="General">
                        <c:v>-25.113592814371255</c:v>
                      </c:pt>
                      <c:pt idx="47" formatCode="General">
                        <c:v>-25.228562874251494</c:v>
                      </c:pt>
                      <c:pt idx="48" formatCode="General">
                        <c:v>-25.343532934131737</c:v>
                      </c:pt>
                      <c:pt idx="49" formatCode="General">
                        <c:v>-25.458502994011976</c:v>
                      </c:pt>
                      <c:pt idx="50" formatCode="General">
                        <c:v>-25.567617977528091</c:v>
                      </c:pt>
                      <c:pt idx="51" formatCode="General">
                        <c:v>-25.676082397003746</c:v>
                      </c:pt>
                      <c:pt idx="52" formatCode="General">
                        <c:v>-25.784546816479402</c:v>
                      </c:pt>
                      <c:pt idx="53" formatCode="General">
                        <c:v>-25.893011235955058</c:v>
                      </c:pt>
                      <c:pt idx="54" formatCode="General">
                        <c:v>-26.001475655430713</c:v>
                      </c:pt>
                      <c:pt idx="55" formatCode="General">
                        <c:v>-26.109940074906369</c:v>
                      </c:pt>
                      <c:pt idx="56" formatCode="General">
                        <c:v>-26.218404494382021</c:v>
                      </c:pt>
                      <c:pt idx="57" formatCode="General">
                        <c:v>-26.326868913857677</c:v>
                      </c:pt>
                      <c:pt idx="58" formatCode="General">
                        <c:v>-26.435333333333332</c:v>
                      </c:pt>
                      <c:pt idx="59" formatCode="General">
                        <c:v>-26.543797752808988</c:v>
                      </c:pt>
                      <c:pt idx="60" formatCode="General">
                        <c:v>-26.652262172284644</c:v>
                      </c:pt>
                      <c:pt idx="61" formatCode="General">
                        <c:v>-26.760726591760299</c:v>
                      </c:pt>
                      <c:pt idx="62" formatCode="General">
                        <c:v>-26.869191011235955</c:v>
                      </c:pt>
                      <c:pt idx="63" formatCode="General">
                        <c:v>-26.977655430711611</c:v>
                      </c:pt>
                      <c:pt idx="64" formatCode="General">
                        <c:v>-27.086119850187266</c:v>
                      </c:pt>
                      <c:pt idx="65" formatCode="General">
                        <c:v>-27.194584269662922</c:v>
                      </c:pt>
                      <c:pt idx="66" formatCode="General">
                        <c:v>-27.301902621722849</c:v>
                      </c:pt>
                      <c:pt idx="67" formatCode="General">
                        <c:v>-27.404973782771538</c:v>
                      </c:pt>
                      <c:pt idx="68" formatCode="General">
                        <c:v>-27.508044943820227</c:v>
                      </c:pt>
                      <c:pt idx="69" formatCode="General">
                        <c:v>-27.611116104868916</c:v>
                      </c:pt>
                      <c:pt idx="70" formatCode="General">
                        <c:v>-27.714187265917605</c:v>
                      </c:pt>
                      <c:pt idx="71" formatCode="General">
                        <c:v>-27.817258426966294</c:v>
                      </c:pt>
                      <c:pt idx="72" formatCode="General">
                        <c:v>-27.920329588014983</c:v>
                      </c:pt>
                      <c:pt idx="73" formatCode="General">
                        <c:v>-28.023400749063672</c:v>
                      </c:pt>
                      <c:pt idx="74" formatCode="General">
                        <c:v>-28.126471910112361</c:v>
                      </c:pt>
                      <c:pt idx="75" formatCode="General">
                        <c:v>-28.22954307116105</c:v>
                      </c:pt>
                      <c:pt idx="76" formatCode="General">
                        <c:v>-28.332614232209739</c:v>
                      </c:pt>
                      <c:pt idx="77" formatCode="General">
                        <c:v>-28.435685393258428</c:v>
                      </c:pt>
                      <c:pt idx="78" formatCode="General">
                        <c:v>-28.538756554307117</c:v>
                      </c:pt>
                      <c:pt idx="79" formatCode="General">
                        <c:v>-28.641827715355806</c:v>
                      </c:pt>
                      <c:pt idx="80" formatCode="General">
                        <c:v>-28.744898876404495</c:v>
                      </c:pt>
                      <c:pt idx="81" formatCode="General">
                        <c:v>-28.847970037453184</c:v>
                      </c:pt>
                      <c:pt idx="82" formatCode="General">
                        <c:v>-28.951041198501873</c:v>
                      </c:pt>
                      <c:pt idx="83" formatCode="General">
                        <c:v>-29.051396396396395</c:v>
                      </c:pt>
                      <c:pt idx="84" formatCode="General">
                        <c:v>-29.149294294294293</c:v>
                      </c:pt>
                      <c:pt idx="85" formatCode="General">
                        <c:v>-29.247192192192191</c:v>
                      </c:pt>
                      <c:pt idx="86" formatCode="General">
                        <c:v>-29.345090090090089</c:v>
                      </c:pt>
                      <c:pt idx="87" formatCode="General">
                        <c:v>-102.44289108910891</c:v>
                      </c:pt>
                      <c:pt idx="88" formatCode="General">
                        <c:v>-102.77952475247524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E-11EF-44BA-AAAA-9AD66152902A}"/>
                  </c:ext>
                </c:extLst>
              </c15:ser>
            </c15:filteredScatterSeries>
            <c15:filteredScatterSeries>
              <c15:ser>
                <c:idx val="41"/>
                <c:order val="42"/>
                <c:spPr>
                  <a:ln>
                    <a:solidFill>
                      <a:srgbClr val="FF0000"/>
                    </a:solidFill>
                    <a:prstDash val="sysDash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306</c:v>
                      </c:pt>
                      <c:pt idx="1">
                        <c:v>314</c:v>
                      </c:pt>
                      <c:pt idx="2">
                        <c:v>322</c:v>
                      </c:pt>
                      <c:pt idx="3">
                        <c:v>330</c:v>
                      </c:pt>
                      <c:pt idx="4">
                        <c:v>338</c:v>
                      </c:pt>
                      <c:pt idx="5">
                        <c:v>346</c:v>
                      </c:pt>
                      <c:pt idx="6">
                        <c:v>354</c:v>
                      </c:pt>
                      <c:pt idx="7">
                        <c:v>362</c:v>
                      </c:pt>
                      <c:pt idx="8">
                        <c:v>370</c:v>
                      </c:pt>
                      <c:pt idx="9">
                        <c:v>378</c:v>
                      </c:pt>
                      <c:pt idx="10">
                        <c:v>386</c:v>
                      </c:pt>
                      <c:pt idx="11">
                        <c:v>394</c:v>
                      </c:pt>
                      <c:pt idx="12">
                        <c:v>402</c:v>
                      </c:pt>
                      <c:pt idx="13">
                        <c:v>410</c:v>
                      </c:pt>
                      <c:pt idx="14">
                        <c:v>418</c:v>
                      </c:pt>
                      <c:pt idx="15">
                        <c:v>426</c:v>
                      </c:pt>
                      <c:pt idx="16">
                        <c:v>434</c:v>
                      </c:pt>
                      <c:pt idx="17">
                        <c:v>442</c:v>
                      </c:pt>
                      <c:pt idx="18">
                        <c:v>450</c:v>
                      </c:pt>
                      <c:pt idx="19">
                        <c:v>458</c:v>
                      </c:pt>
                      <c:pt idx="20">
                        <c:v>466</c:v>
                      </c:pt>
                      <c:pt idx="21">
                        <c:v>474</c:v>
                      </c:pt>
                      <c:pt idx="22">
                        <c:v>482</c:v>
                      </c:pt>
                      <c:pt idx="23">
                        <c:v>490</c:v>
                      </c:pt>
                      <c:pt idx="24">
                        <c:v>498</c:v>
                      </c:pt>
                      <c:pt idx="25">
                        <c:v>506</c:v>
                      </c:pt>
                      <c:pt idx="26">
                        <c:v>514</c:v>
                      </c:pt>
                      <c:pt idx="27">
                        <c:v>522</c:v>
                      </c:pt>
                      <c:pt idx="28">
                        <c:v>530</c:v>
                      </c:pt>
                      <c:pt idx="29">
                        <c:v>538</c:v>
                      </c:pt>
                      <c:pt idx="30">
                        <c:v>546</c:v>
                      </c:pt>
                      <c:pt idx="31">
                        <c:v>554</c:v>
                      </c:pt>
                      <c:pt idx="32">
                        <c:v>562</c:v>
                      </c:pt>
                      <c:pt idx="33">
                        <c:v>570</c:v>
                      </c:pt>
                      <c:pt idx="34">
                        <c:v>578</c:v>
                      </c:pt>
                      <c:pt idx="35">
                        <c:v>586</c:v>
                      </c:pt>
                      <c:pt idx="36">
                        <c:v>594</c:v>
                      </c:pt>
                      <c:pt idx="37">
                        <c:v>602</c:v>
                      </c:pt>
                      <c:pt idx="38">
                        <c:v>610</c:v>
                      </c:pt>
                      <c:pt idx="39">
                        <c:v>618</c:v>
                      </c:pt>
                      <c:pt idx="40">
                        <c:v>626</c:v>
                      </c:pt>
                      <c:pt idx="41">
                        <c:v>634</c:v>
                      </c:pt>
                      <c:pt idx="42">
                        <c:v>642</c:v>
                      </c:pt>
                      <c:pt idx="43">
                        <c:v>650</c:v>
                      </c:pt>
                      <c:pt idx="44">
                        <c:v>658</c:v>
                      </c:pt>
                      <c:pt idx="45">
                        <c:v>666</c:v>
                      </c:pt>
                      <c:pt idx="46">
                        <c:v>674</c:v>
                      </c:pt>
                      <c:pt idx="47">
                        <c:v>682</c:v>
                      </c:pt>
                      <c:pt idx="48">
                        <c:v>690</c:v>
                      </c:pt>
                      <c:pt idx="49">
                        <c:v>698</c:v>
                      </c:pt>
                      <c:pt idx="50">
                        <c:v>706</c:v>
                      </c:pt>
                      <c:pt idx="51">
                        <c:v>714</c:v>
                      </c:pt>
                      <c:pt idx="52">
                        <c:v>722</c:v>
                      </c:pt>
                      <c:pt idx="53">
                        <c:v>730</c:v>
                      </c:pt>
                      <c:pt idx="54">
                        <c:v>738</c:v>
                      </c:pt>
                      <c:pt idx="55">
                        <c:v>746</c:v>
                      </c:pt>
                      <c:pt idx="56">
                        <c:v>754</c:v>
                      </c:pt>
                      <c:pt idx="57">
                        <c:v>762</c:v>
                      </c:pt>
                      <c:pt idx="58">
                        <c:v>770</c:v>
                      </c:pt>
                      <c:pt idx="59">
                        <c:v>778</c:v>
                      </c:pt>
                      <c:pt idx="60">
                        <c:v>786</c:v>
                      </c:pt>
                      <c:pt idx="61">
                        <c:v>794</c:v>
                      </c:pt>
                      <c:pt idx="62">
                        <c:v>802</c:v>
                      </c:pt>
                      <c:pt idx="63">
                        <c:v>810</c:v>
                      </c:pt>
                      <c:pt idx="64">
                        <c:v>818</c:v>
                      </c:pt>
                      <c:pt idx="65">
                        <c:v>826</c:v>
                      </c:pt>
                      <c:pt idx="66">
                        <c:v>834</c:v>
                      </c:pt>
                      <c:pt idx="67">
                        <c:v>842</c:v>
                      </c:pt>
                      <c:pt idx="68">
                        <c:v>850</c:v>
                      </c:pt>
                      <c:pt idx="69">
                        <c:v>858</c:v>
                      </c:pt>
                      <c:pt idx="70">
                        <c:v>866</c:v>
                      </c:pt>
                      <c:pt idx="71">
                        <c:v>874</c:v>
                      </c:pt>
                      <c:pt idx="72">
                        <c:v>882</c:v>
                      </c:pt>
                      <c:pt idx="73">
                        <c:v>890</c:v>
                      </c:pt>
                      <c:pt idx="74">
                        <c:v>898</c:v>
                      </c:pt>
                      <c:pt idx="75">
                        <c:v>906</c:v>
                      </c:pt>
                      <c:pt idx="76">
                        <c:v>914</c:v>
                      </c:pt>
                      <c:pt idx="77">
                        <c:v>922</c:v>
                      </c:pt>
                      <c:pt idx="78">
                        <c:v>930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EVALUATION!$B$143:$CP$143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-21.943243243243245</c:v>
                      </c:pt>
                      <c:pt idx="1">
                        <c:v>-21.741441441441442</c:v>
                      </c:pt>
                      <c:pt idx="2">
                        <c:v>-21.539639639639642</c:v>
                      </c:pt>
                      <c:pt idx="3">
                        <c:v>-21.337837837837839</c:v>
                      </c:pt>
                      <c:pt idx="4" formatCode="General">
                        <c:v>-21.317514970059882</c:v>
                      </c:pt>
                      <c:pt idx="5" formatCode="General">
                        <c:v>-21.339071856287426</c:v>
                      </c:pt>
                      <c:pt idx="6" formatCode="General">
                        <c:v>-21.360628742514972</c:v>
                      </c:pt>
                      <c:pt idx="7" formatCode="General">
                        <c:v>-21.382185628742516</c:v>
                      </c:pt>
                      <c:pt idx="8" formatCode="General">
                        <c:v>-21.452604790419162</c:v>
                      </c:pt>
                      <c:pt idx="9" formatCode="General">
                        <c:v>-21.550808383233534</c:v>
                      </c:pt>
                      <c:pt idx="10" formatCode="General">
                        <c:v>-21.649011976047905</c:v>
                      </c:pt>
                      <c:pt idx="11" formatCode="General">
                        <c:v>-21.747215568862277</c:v>
                      </c:pt>
                      <c:pt idx="12" formatCode="General">
                        <c:v>-21.843203592814373</c:v>
                      </c:pt>
                      <c:pt idx="13" formatCode="General">
                        <c:v>-21.936616766467068</c:v>
                      </c:pt>
                      <c:pt idx="14" formatCode="General">
                        <c:v>-22.030029940119761</c:v>
                      </c:pt>
                      <c:pt idx="15" formatCode="General">
                        <c:v>-22.123443113772456</c:v>
                      </c:pt>
                      <c:pt idx="16" formatCode="General">
                        <c:v>-22.209970059880241</c:v>
                      </c:pt>
                      <c:pt idx="17" formatCode="General">
                        <c:v>-22.279431137724551</c:v>
                      </c:pt>
                      <c:pt idx="18" formatCode="General">
                        <c:v>-22.348892215568863</c:v>
                      </c:pt>
                      <c:pt idx="19" formatCode="General">
                        <c:v>-22.418353293413173</c:v>
                      </c:pt>
                      <c:pt idx="20" formatCode="General">
                        <c:v>-22.488353293413173</c:v>
                      </c:pt>
                      <c:pt idx="21" formatCode="General">
                        <c:v>-22.562604790419162</c:v>
                      </c:pt>
                      <c:pt idx="22" formatCode="General">
                        <c:v>-22.63685628742515</c:v>
                      </c:pt>
                      <c:pt idx="23" formatCode="General">
                        <c:v>-22.711107784431139</c:v>
                      </c:pt>
                      <c:pt idx="24" formatCode="General">
                        <c:v>-22.785359281437124</c:v>
                      </c:pt>
                      <c:pt idx="25" formatCode="General">
                        <c:v>-22.846306306306307</c:v>
                      </c:pt>
                      <c:pt idx="26" formatCode="General">
                        <c:v>-22.906366366366367</c:v>
                      </c:pt>
                      <c:pt idx="27" formatCode="General">
                        <c:v>-22.966426426426427</c:v>
                      </c:pt>
                      <c:pt idx="28" formatCode="General">
                        <c:v>-23.026486486486487</c:v>
                      </c:pt>
                      <c:pt idx="29" formatCode="General">
                        <c:v>-23.130958083832336</c:v>
                      </c:pt>
                      <c:pt idx="30" formatCode="General">
                        <c:v>-23.248323353293415</c:v>
                      </c:pt>
                      <c:pt idx="31" formatCode="General">
                        <c:v>-23.36568862275449</c:v>
                      </c:pt>
                      <c:pt idx="32" formatCode="General">
                        <c:v>-23.483053892215569</c:v>
                      </c:pt>
                      <c:pt idx="33" formatCode="General">
                        <c:v>-23.60185628742515</c:v>
                      </c:pt>
                      <c:pt idx="34" formatCode="General">
                        <c:v>-23.721616766467065</c:v>
                      </c:pt>
                      <c:pt idx="35" formatCode="General">
                        <c:v>-23.841377245508983</c:v>
                      </c:pt>
                      <c:pt idx="36" formatCode="General">
                        <c:v>-23.961137724550898</c:v>
                      </c:pt>
                      <c:pt idx="37" formatCode="General">
                        <c:v>-24.078862275449104</c:v>
                      </c:pt>
                      <c:pt idx="38" formatCode="General">
                        <c:v>-24.193832335329343</c:v>
                      </c:pt>
                      <c:pt idx="39" formatCode="General">
                        <c:v>-24.308802395209582</c:v>
                      </c:pt>
                      <c:pt idx="40" formatCode="General">
                        <c:v>-24.423772455089821</c:v>
                      </c:pt>
                      <c:pt idx="41" formatCode="General">
                        <c:v>-24.53874251497006</c:v>
                      </c:pt>
                      <c:pt idx="42" formatCode="General">
                        <c:v>-24.653712574850299</c:v>
                      </c:pt>
                      <c:pt idx="43" formatCode="General">
                        <c:v>-24.768682634730538</c:v>
                      </c:pt>
                      <c:pt idx="44" formatCode="General">
                        <c:v>-24.883652694610777</c:v>
                      </c:pt>
                      <c:pt idx="45" formatCode="General">
                        <c:v>-24.998622754491016</c:v>
                      </c:pt>
                      <c:pt idx="46" formatCode="General">
                        <c:v>-25.113592814371255</c:v>
                      </c:pt>
                      <c:pt idx="47" formatCode="General">
                        <c:v>-25.228562874251494</c:v>
                      </c:pt>
                      <c:pt idx="48" formatCode="General">
                        <c:v>-25.343532934131737</c:v>
                      </c:pt>
                      <c:pt idx="49" formatCode="General">
                        <c:v>-25.458502994011976</c:v>
                      </c:pt>
                      <c:pt idx="50" formatCode="General">
                        <c:v>-25.567617977528091</c:v>
                      </c:pt>
                      <c:pt idx="51" formatCode="General">
                        <c:v>-25.676082397003746</c:v>
                      </c:pt>
                      <c:pt idx="52" formatCode="General">
                        <c:v>-25.784546816479402</c:v>
                      </c:pt>
                      <c:pt idx="53" formatCode="General">
                        <c:v>-25.893011235955058</c:v>
                      </c:pt>
                      <c:pt idx="54" formatCode="General">
                        <c:v>-26.001475655430713</c:v>
                      </c:pt>
                      <c:pt idx="55" formatCode="General">
                        <c:v>-26.109940074906369</c:v>
                      </c:pt>
                      <c:pt idx="56" formatCode="General">
                        <c:v>-26.218404494382021</c:v>
                      </c:pt>
                      <c:pt idx="57" formatCode="General">
                        <c:v>-26.326868913857677</c:v>
                      </c:pt>
                      <c:pt idx="58" formatCode="General">
                        <c:v>-26.435333333333332</c:v>
                      </c:pt>
                      <c:pt idx="59" formatCode="General">
                        <c:v>-26.543797752808988</c:v>
                      </c:pt>
                      <c:pt idx="60" formatCode="General">
                        <c:v>-26.652262172284644</c:v>
                      </c:pt>
                      <c:pt idx="61" formatCode="General">
                        <c:v>-26.760726591760299</c:v>
                      </c:pt>
                      <c:pt idx="62" formatCode="General">
                        <c:v>-26.869191011235955</c:v>
                      </c:pt>
                      <c:pt idx="63" formatCode="General">
                        <c:v>-26.977655430711611</c:v>
                      </c:pt>
                      <c:pt idx="64" formatCode="General">
                        <c:v>-27.086119850187266</c:v>
                      </c:pt>
                      <c:pt idx="65" formatCode="General">
                        <c:v>-27.194584269662922</c:v>
                      </c:pt>
                      <c:pt idx="66" formatCode="General">
                        <c:v>-27.301902621722849</c:v>
                      </c:pt>
                      <c:pt idx="67" formatCode="General">
                        <c:v>-27.404973782771538</c:v>
                      </c:pt>
                      <c:pt idx="68" formatCode="General">
                        <c:v>-27.508044943820227</c:v>
                      </c:pt>
                      <c:pt idx="69" formatCode="General">
                        <c:v>-27.611116104868916</c:v>
                      </c:pt>
                      <c:pt idx="70" formatCode="General">
                        <c:v>-27.714187265917605</c:v>
                      </c:pt>
                      <c:pt idx="71" formatCode="General">
                        <c:v>-27.817258426966294</c:v>
                      </c:pt>
                      <c:pt idx="72" formatCode="General">
                        <c:v>-27.920329588014983</c:v>
                      </c:pt>
                      <c:pt idx="73" formatCode="General">
                        <c:v>-28.023400749063672</c:v>
                      </c:pt>
                      <c:pt idx="74" formatCode="General">
                        <c:v>-28.126471910112361</c:v>
                      </c:pt>
                      <c:pt idx="75" formatCode="General">
                        <c:v>-28.22954307116105</c:v>
                      </c:pt>
                      <c:pt idx="76" formatCode="General">
                        <c:v>-28.332614232209739</c:v>
                      </c:pt>
                      <c:pt idx="77" formatCode="General">
                        <c:v>-28.435685393258428</c:v>
                      </c:pt>
                      <c:pt idx="78" formatCode="General">
                        <c:v>-28.538756554307117</c:v>
                      </c:pt>
                      <c:pt idx="79" formatCode="General">
                        <c:v>-28.641827715355806</c:v>
                      </c:pt>
                      <c:pt idx="80" formatCode="General">
                        <c:v>-28.744898876404495</c:v>
                      </c:pt>
                      <c:pt idx="81" formatCode="General">
                        <c:v>-28.847970037453184</c:v>
                      </c:pt>
                      <c:pt idx="82" formatCode="General">
                        <c:v>-28.951041198501873</c:v>
                      </c:pt>
                      <c:pt idx="83" formatCode="General">
                        <c:v>-29.051396396396395</c:v>
                      </c:pt>
                      <c:pt idx="84" formatCode="General">
                        <c:v>-29.149294294294293</c:v>
                      </c:pt>
                      <c:pt idx="85" formatCode="General">
                        <c:v>-29.247192192192191</c:v>
                      </c:pt>
                      <c:pt idx="86" formatCode="General">
                        <c:v>-29.345090090090089</c:v>
                      </c:pt>
                      <c:pt idx="87" formatCode="General">
                        <c:v>-44.975564356435648</c:v>
                      </c:pt>
                      <c:pt idx="88" formatCode="General">
                        <c:v>-45.122099009900992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F-11EF-44BA-AAAA-9AD66152902A}"/>
                  </c:ext>
                </c:extLst>
              </c15:ser>
            </c15:filteredScatterSeries>
            <c15:filteredScatterSeries>
              <c15:ser>
                <c:idx val="42"/>
                <c:order val="43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306</c:v>
                      </c:pt>
                      <c:pt idx="1">
                        <c:v>314</c:v>
                      </c:pt>
                      <c:pt idx="2">
                        <c:v>322</c:v>
                      </c:pt>
                      <c:pt idx="3">
                        <c:v>330</c:v>
                      </c:pt>
                      <c:pt idx="4">
                        <c:v>338</c:v>
                      </c:pt>
                      <c:pt idx="5">
                        <c:v>346</c:v>
                      </c:pt>
                      <c:pt idx="6">
                        <c:v>354</c:v>
                      </c:pt>
                      <c:pt idx="7">
                        <c:v>362</c:v>
                      </c:pt>
                      <c:pt idx="8">
                        <c:v>370</c:v>
                      </c:pt>
                      <c:pt idx="9">
                        <c:v>378</c:v>
                      </c:pt>
                      <c:pt idx="10">
                        <c:v>386</c:v>
                      </c:pt>
                      <c:pt idx="11">
                        <c:v>394</c:v>
                      </c:pt>
                      <c:pt idx="12">
                        <c:v>402</c:v>
                      </c:pt>
                      <c:pt idx="13">
                        <c:v>410</c:v>
                      </c:pt>
                      <c:pt idx="14">
                        <c:v>418</c:v>
                      </c:pt>
                      <c:pt idx="15">
                        <c:v>426</c:v>
                      </c:pt>
                      <c:pt idx="16">
                        <c:v>434</c:v>
                      </c:pt>
                      <c:pt idx="17">
                        <c:v>442</c:v>
                      </c:pt>
                      <c:pt idx="18">
                        <c:v>450</c:v>
                      </c:pt>
                      <c:pt idx="19">
                        <c:v>458</c:v>
                      </c:pt>
                      <c:pt idx="20">
                        <c:v>466</c:v>
                      </c:pt>
                      <c:pt idx="21">
                        <c:v>474</c:v>
                      </c:pt>
                      <c:pt idx="22">
                        <c:v>482</c:v>
                      </c:pt>
                      <c:pt idx="23">
                        <c:v>490</c:v>
                      </c:pt>
                      <c:pt idx="24">
                        <c:v>498</c:v>
                      </c:pt>
                      <c:pt idx="25">
                        <c:v>506</c:v>
                      </c:pt>
                      <c:pt idx="26">
                        <c:v>514</c:v>
                      </c:pt>
                      <c:pt idx="27">
                        <c:v>522</c:v>
                      </c:pt>
                      <c:pt idx="28">
                        <c:v>530</c:v>
                      </c:pt>
                      <c:pt idx="29">
                        <c:v>538</c:v>
                      </c:pt>
                      <c:pt idx="30">
                        <c:v>546</c:v>
                      </c:pt>
                      <c:pt idx="31">
                        <c:v>554</c:v>
                      </c:pt>
                      <c:pt idx="32">
                        <c:v>562</c:v>
                      </c:pt>
                      <c:pt idx="33">
                        <c:v>570</c:v>
                      </c:pt>
                      <c:pt idx="34">
                        <c:v>578</c:v>
                      </c:pt>
                      <c:pt idx="35">
                        <c:v>586</c:v>
                      </c:pt>
                      <c:pt idx="36">
                        <c:v>594</c:v>
                      </c:pt>
                      <c:pt idx="37">
                        <c:v>602</c:v>
                      </c:pt>
                      <c:pt idx="38">
                        <c:v>610</c:v>
                      </c:pt>
                      <c:pt idx="39">
                        <c:v>618</c:v>
                      </c:pt>
                      <c:pt idx="40">
                        <c:v>626</c:v>
                      </c:pt>
                      <c:pt idx="41">
                        <c:v>634</c:v>
                      </c:pt>
                      <c:pt idx="42">
                        <c:v>642</c:v>
                      </c:pt>
                      <c:pt idx="43">
                        <c:v>650</c:v>
                      </c:pt>
                      <c:pt idx="44">
                        <c:v>658</c:v>
                      </c:pt>
                      <c:pt idx="45">
                        <c:v>666</c:v>
                      </c:pt>
                      <c:pt idx="46">
                        <c:v>674</c:v>
                      </c:pt>
                      <c:pt idx="47">
                        <c:v>682</c:v>
                      </c:pt>
                      <c:pt idx="48">
                        <c:v>690</c:v>
                      </c:pt>
                      <c:pt idx="49">
                        <c:v>698</c:v>
                      </c:pt>
                      <c:pt idx="50">
                        <c:v>706</c:v>
                      </c:pt>
                      <c:pt idx="51">
                        <c:v>714</c:v>
                      </c:pt>
                      <c:pt idx="52">
                        <c:v>722</c:v>
                      </c:pt>
                      <c:pt idx="53">
                        <c:v>730</c:v>
                      </c:pt>
                      <c:pt idx="54">
                        <c:v>738</c:v>
                      </c:pt>
                      <c:pt idx="55">
                        <c:v>746</c:v>
                      </c:pt>
                      <c:pt idx="56">
                        <c:v>754</c:v>
                      </c:pt>
                      <c:pt idx="57">
                        <c:v>762</c:v>
                      </c:pt>
                      <c:pt idx="58">
                        <c:v>770</c:v>
                      </c:pt>
                      <c:pt idx="59">
                        <c:v>778</c:v>
                      </c:pt>
                      <c:pt idx="60">
                        <c:v>786</c:v>
                      </c:pt>
                      <c:pt idx="61">
                        <c:v>794</c:v>
                      </c:pt>
                      <c:pt idx="62">
                        <c:v>802</c:v>
                      </c:pt>
                      <c:pt idx="63">
                        <c:v>810</c:v>
                      </c:pt>
                      <c:pt idx="64">
                        <c:v>818</c:v>
                      </c:pt>
                      <c:pt idx="65">
                        <c:v>826</c:v>
                      </c:pt>
                      <c:pt idx="66">
                        <c:v>834</c:v>
                      </c:pt>
                      <c:pt idx="67">
                        <c:v>842</c:v>
                      </c:pt>
                      <c:pt idx="68">
                        <c:v>850</c:v>
                      </c:pt>
                      <c:pt idx="69">
                        <c:v>858</c:v>
                      </c:pt>
                      <c:pt idx="70">
                        <c:v>866</c:v>
                      </c:pt>
                      <c:pt idx="71">
                        <c:v>874</c:v>
                      </c:pt>
                      <c:pt idx="72">
                        <c:v>882</c:v>
                      </c:pt>
                      <c:pt idx="73">
                        <c:v>890</c:v>
                      </c:pt>
                      <c:pt idx="74">
                        <c:v>898</c:v>
                      </c:pt>
                      <c:pt idx="75">
                        <c:v>906</c:v>
                      </c:pt>
                      <c:pt idx="76">
                        <c:v>914</c:v>
                      </c:pt>
                      <c:pt idx="77">
                        <c:v>922</c:v>
                      </c:pt>
                      <c:pt idx="78">
                        <c:v>930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EVALUATION!$B$144:$CP$144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-21.943243243243245</c:v>
                      </c:pt>
                      <c:pt idx="1">
                        <c:v>-21.741441441441442</c:v>
                      </c:pt>
                      <c:pt idx="2">
                        <c:v>-21.539639639639642</c:v>
                      </c:pt>
                      <c:pt idx="3">
                        <c:v>-21.337837837837839</c:v>
                      </c:pt>
                      <c:pt idx="4" formatCode="General">
                        <c:v>-21.317514970059882</c:v>
                      </c:pt>
                      <c:pt idx="5" formatCode="General">
                        <c:v>-21.339071856287426</c:v>
                      </c:pt>
                      <c:pt idx="6" formatCode="General">
                        <c:v>-21.360628742514972</c:v>
                      </c:pt>
                      <c:pt idx="7" formatCode="General">
                        <c:v>-21.382185628742516</c:v>
                      </c:pt>
                      <c:pt idx="8" formatCode="General">
                        <c:v>-21.452604790419162</c:v>
                      </c:pt>
                      <c:pt idx="9" formatCode="General">
                        <c:v>-21.550808383233534</c:v>
                      </c:pt>
                      <c:pt idx="10" formatCode="General">
                        <c:v>-21.649011976047905</c:v>
                      </c:pt>
                      <c:pt idx="11" formatCode="General">
                        <c:v>-21.747215568862277</c:v>
                      </c:pt>
                      <c:pt idx="12" formatCode="General">
                        <c:v>-21.843203592814373</c:v>
                      </c:pt>
                      <c:pt idx="13" formatCode="General">
                        <c:v>-21.936616766467068</c:v>
                      </c:pt>
                      <c:pt idx="14" formatCode="General">
                        <c:v>-22.030029940119761</c:v>
                      </c:pt>
                      <c:pt idx="15" formatCode="General">
                        <c:v>-22.123443113772456</c:v>
                      </c:pt>
                      <c:pt idx="16" formatCode="General">
                        <c:v>-22.209970059880241</c:v>
                      </c:pt>
                      <c:pt idx="17" formatCode="General">
                        <c:v>-22.279431137724551</c:v>
                      </c:pt>
                      <c:pt idx="18" formatCode="General">
                        <c:v>-22.348892215568863</c:v>
                      </c:pt>
                      <c:pt idx="19" formatCode="General">
                        <c:v>-22.418353293413173</c:v>
                      </c:pt>
                      <c:pt idx="20" formatCode="General">
                        <c:v>-22.488353293413173</c:v>
                      </c:pt>
                      <c:pt idx="21" formatCode="General">
                        <c:v>-22.562604790419162</c:v>
                      </c:pt>
                      <c:pt idx="22" formatCode="General">
                        <c:v>-22.63685628742515</c:v>
                      </c:pt>
                      <c:pt idx="23" formatCode="General">
                        <c:v>-22.711107784431139</c:v>
                      </c:pt>
                      <c:pt idx="24" formatCode="General">
                        <c:v>-22.785359281437124</c:v>
                      </c:pt>
                      <c:pt idx="25" formatCode="General">
                        <c:v>-22.846306306306307</c:v>
                      </c:pt>
                      <c:pt idx="26" formatCode="General">
                        <c:v>-22.906366366366367</c:v>
                      </c:pt>
                      <c:pt idx="27" formatCode="General">
                        <c:v>-22.966426426426427</c:v>
                      </c:pt>
                      <c:pt idx="28" formatCode="General">
                        <c:v>-23.026486486486487</c:v>
                      </c:pt>
                      <c:pt idx="29" formatCode="General">
                        <c:v>-23.130958083832336</c:v>
                      </c:pt>
                      <c:pt idx="30" formatCode="General">
                        <c:v>-23.248323353293415</c:v>
                      </c:pt>
                      <c:pt idx="31" formatCode="General">
                        <c:v>-23.36568862275449</c:v>
                      </c:pt>
                      <c:pt idx="32" formatCode="General">
                        <c:v>-23.483053892215569</c:v>
                      </c:pt>
                      <c:pt idx="33" formatCode="General">
                        <c:v>-23.60185628742515</c:v>
                      </c:pt>
                      <c:pt idx="34" formatCode="General">
                        <c:v>-23.721616766467065</c:v>
                      </c:pt>
                      <c:pt idx="35" formatCode="General">
                        <c:v>-23.841377245508983</c:v>
                      </c:pt>
                      <c:pt idx="36" formatCode="General">
                        <c:v>-23.961137724550898</c:v>
                      </c:pt>
                      <c:pt idx="37" formatCode="General">
                        <c:v>-24.078862275449104</c:v>
                      </c:pt>
                      <c:pt idx="38" formatCode="General">
                        <c:v>-24.193832335329343</c:v>
                      </c:pt>
                      <c:pt idx="39" formatCode="General">
                        <c:v>-24.308802395209582</c:v>
                      </c:pt>
                      <c:pt idx="40" formatCode="General">
                        <c:v>-24.423772455089821</c:v>
                      </c:pt>
                      <c:pt idx="41" formatCode="General">
                        <c:v>-24.53874251497006</c:v>
                      </c:pt>
                      <c:pt idx="42" formatCode="General">
                        <c:v>-24.653712574850299</c:v>
                      </c:pt>
                      <c:pt idx="43" formatCode="General">
                        <c:v>-24.768682634730538</c:v>
                      </c:pt>
                      <c:pt idx="44" formatCode="General">
                        <c:v>-24.883652694610777</c:v>
                      </c:pt>
                      <c:pt idx="45" formatCode="General">
                        <c:v>-24.998622754491016</c:v>
                      </c:pt>
                      <c:pt idx="46" formatCode="General">
                        <c:v>-25.113592814371255</c:v>
                      </c:pt>
                      <c:pt idx="47" formatCode="General">
                        <c:v>-25.228562874251494</c:v>
                      </c:pt>
                      <c:pt idx="48" formatCode="General">
                        <c:v>-25.343532934131737</c:v>
                      </c:pt>
                      <c:pt idx="49" formatCode="General">
                        <c:v>-25.458502994011976</c:v>
                      </c:pt>
                      <c:pt idx="50" formatCode="General">
                        <c:v>-25.567617977528091</c:v>
                      </c:pt>
                      <c:pt idx="51" formatCode="General">
                        <c:v>-25.676082397003746</c:v>
                      </c:pt>
                      <c:pt idx="52" formatCode="General">
                        <c:v>-25.784546816479402</c:v>
                      </c:pt>
                      <c:pt idx="53" formatCode="General">
                        <c:v>-25.893011235955058</c:v>
                      </c:pt>
                      <c:pt idx="54" formatCode="General">
                        <c:v>-26.001475655430713</c:v>
                      </c:pt>
                      <c:pt idx="55" formatCode="General">
                        <c:v>-26.109940074906369</c:v>
                      </c:pt>
                      <c:pt idx="56" formatCode="General">
                        <c:v>-26.218404494382021</c:v>
                      </c:pt>
                      <c:pt idx="57" formatCode="General">
                        <c:v>-26.326868913857677</c:v>
                      </c:pt>
                      <c:pt idx="58" formatCode="General">
                        <c:v>-26.435333333333332</c:v>
                      </c:pt>
                      <c:pt idx="59" formatCode="General">
                        <c:v>-26.543797752808988</c:v>
                      </c:pt>
                      <c:pt idx="60" formatCode="General">
                        <c:v>-26.652262172284644</c:v>
                      </c:pt>
                      <c:pt idx="61" formatCode="General">
                        <c:v>-26.760726591760299</c:v>
                      </c:pt>
                      <c:pt idx="62" formatCode="General">
                        <c:v>-26.869191011235955</c:v>
                      </c:pt>
                      <c:pt idx="63" formatCode="General">
                        <c:v>-26.977655430711611</c:v>
                      </c:pt>
                      <c:pt idx="64" formatCode="General">
                        <c:v>-27.086119850187266</c:v>
                      </c:pt>
                      <c:pt idx="65" formatCode="General">
                        <c:v>-27.194584269662922</c:v>
                      </c:pt>
                      <c:pt idx="66" formatCode="General">
                        <c:v>-27.301902621722849</c:v>
                      </c:pt>
                      <c:pt idx="67" formatCode="General">
                        <c:v>-27.404973782771538</c:v>
                      </c:pt>
                      <c:pt idx="68" formatCode="General">
                        <c:v>-27.508044943820227</c:v>
                      </c:pt>
                      <c:pt idx="69" formatCode="General">
                        <c:v>-27.611116104868916</c:v>
                      </c:pt>
                      <c:pt idx="70" formatCode="General">
                        <c:v>-27.714187265917605</c:v>
                      </c:pt>
                      <c:pt idx="71" formatCode="General">
                        <c:v>-27.817258426966294</c:v>
                      </c:pt>
                      <c:pt idx="72" formatCode="General">
                        <c:v>-27.920329588014983</c:v>
                      </c:pt>
                      <c:pt idx="73" formatCode="General">
                        <c:v>-28.023400749063672</c:v>
                      </c:pt>
                      <c:pt idx="74" formatCode="General">
                        <c:v>-28.126471910112361</c:v>
                      </c:pt>
                      <c:pt idx="75" formatCode="General">
                        <c:v>-28.22954307116105</c:v>
                      </c:pt>
                      <c:pt idx="76" formatCode="General">
                        <c:v>-28.332614232209739</c:v>
                      </c:pt>
                      <c:pt idx="77" formatCode="General">
                        <c:v>-28.435685393258428</c:v>
                      </c:pt>
                      <c:pt idx="78" formatCode="General">
                        <c:v>-28.538756554307117</c:v>
                      </c:pt>
                      <c:pt idx="79" formatCode="General">
                        <c:v>-28.641827715355806</c:v>
                      </c:pt>
                      <c:pt idx="80" formatCode="General">
                        <c:v>-28.744898876404495</c:v>
                      </c:pt>
                      <c:pt idx="81" formatCode="General">
                        <c:v>-28.847970037453184</c:v>
                      </c:pt>
                      <c:pt idx="82" formatCode="General">
                        <c:v>-28.951041198501873</c:v>
                      </c:pt>
                      <c:pt idx="83" formatCode="General">
                        <c:v>-29.051396396396395</c:v>
                      </c:pt>
                      <c:pt idx="84" formatCode="General">
                        <c:v>-29.149294294294293</c:v>
                      </c:pt>
                      <c:pt idx="85" formatCode="General">
                        <c:v>-29.247192192192191</c:v>
                      </c:pt>
                      <c:pt idx="86" formatCode="General">
                        <c:v>-29.345090090090089</c:v>
                      </c:pt>
                      <c:pt idx="87" formatCode="General">
                        <c:v>-7.3468118811881187</c:v>
                      </c:pt>
                      <c:pt idx="88" formatCode="General">
                        <c:v>-7.3646336633663365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0-11EF-44BA-AAAA-9AD66152902A}"/>
                  </c:ext>
                </c:extLst>
              </c15:ser>
            </c15:filteredScatterSeries>
            <c15:filteredScatterSeries>
              <c15:ser>
                <c:idx val="43"/>
                <c:order val="44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306</c:v>
                      </c:pt>
                      <c:pt idx="1">
                        <c:v>314</c:v>
                      </c:pt>
                      <c:pt idx="2">
                        <c:v>322</c:v>
                      </c:pt>
                      <c:pt idx="3">
                        <c:v>330</c:v>
                      </c:pt>
                      <c:pt idx="4">
                        <c:v>338</c:v>
                      </c:pt>
                      <c:pt idx="5">
                        <c:v>346</c:v>
                      </c:pt>
                      <c:pt idx="6">
                        <c:v>354</c:v>
                      </c:pt>
                      <c:pt idx="7">
                        <c:v>362</c:v>
                      </c:pt>
                      <c:pt idx="8">
                        <c:v>370</c:v>
                      </c:pt>
                      <c:pt idx="9">
                        <c:v>378</c:v>
                      </c:pt>
                      <c:pt idx="10">
                        <c:v>386</c:v>
                      </c:pt>
                      <c:pt idx="11">
                        <c:v>394</c:v>
                      </c:pt>
                      <c:pt idx="12">
                        <c:v>402</c:v>
                      </c:pt>
                      <c:pt idx="13">
                        <c:v>410</c:v>
                      </c:pt>
                      <c:pt idx="14">
                        <c:v>418</c:v>
                      </c:pt>
                      <c:pt idx="15">
                        <c:v>426</c:v>
                      </c:pt>
                      <c:pt idx="16">
                        <c:v>434</c:v>
                      </c:pt>
                      <c:pt idx="17">
                        <c:v>442</c:v>
                      </c:pt>
                      <c:pt idx="18">
                        <c:v>450</c:v>
                      </c:pt>
                      <c:pt idx="19">
                        <c:v>458</c:v>
                      </c:pt>
                      <c:pt idx="20">
                        <c:v>466</c:v>
                      </c:pt>
                      <c:pt idx="21">
                        <c:v>474</c:v>
                      </c:pt>
                      <c:pt idx="22">
                        <c:v>482</c:v>
                      </c:pt>
                      <c:pt idx="23">
                        <c:v>490</c:v>
                      </c:pt>
                      <c:pt idx="24">
                        <c:v>498</c:v>
                      </c:pt>
                      <c:pt idx="25">
                        <c:v>506</c:v>
                      </c:pt>
                      <c:pt idx="26">
                        <c:v>514</c:v>
                      </c:pt>
                      <c:pt idx="27">
                        <c:v>522</c:v>
                      </c:pt>
                      <c:pt idx="28">
                        <c:v>530</c:v>
                      </c:pt>
                      <c:pt idx="29">
                        <c:v>538</c:v>
                      </c:pt>
                      <c:pt idx="30">
                        <c:v>546</c:v>
                      </c:pt>
                      <c:pt idx="31">
                        <c:v>554</c:v>
                      </c:pt>
                      <c:pt idx="32">
                        <c:v>562</c:v>
                      </c:pt>
                      <c:pt idx="33">
                        <c:v>570</c:v>
                      </c:pt>
                      <c:pt idx="34">
                        <c:v>578</c:v>
                      </c:pt>
                      <c:pt idx="35">
                        <c:v>586</c:v>
                      </c:pt>
                      <c:pt idx="36">
                        <c:v>594</c:v>
                      </c:pt>
                      <c:pt idx="37">
                        <c:v>602</c:v>
                      </c:pt>
                      <c:pt idx="38">
                        <c:v>610</c:v>
                      </c:pt>
                      <c:pt idx="39">
                        <c:v>618</c:v>
                      </c:pt>
                      <c:pt idx="40">
                        <c:v>626</c:v>
                      </c:pt>
                      <c:pt idx="41">
                        <c:v>634</c:v>
                      </c:pt>
                      <c:pt idx="42">
                        <c:v>642</c:v>
                      </c:pt>
                      <c:pt idx="43">
                        <c:v>650</c:v>
                      </c:pt>
                      <c:pt idx="44">
                        <c:v>658</c:v>
                      </c:pt>
                      <c:pt idx="45">
                        <c:v>666</c:v>
                      </c:pt>
                      <c:pt idx="46">
                        <c:v>674</c:v>
                      </c:pt>
                      <c:pt idx="47">
                        <c:v>682</c:v>
                      </c:pt>
                      <c:pt idx="48">
                        <c:v>690</c:v>
                      </c:pt>
                      <c:pt idx="49">
                        <c:v>698</c:v>
                      </c:pt>
                      <c:pt idx="50">
                        <c:v>706</c:v>
                      </c:pt>
                      <c:pt idx="51">
                        <c:v>714</c:v>
                      </c:pt>
                      <c:pt idx="52">
                        <c:v>722</c:v>
                      </c:pt>
                      <c:pt idx="53">
                        <c:v>730</c:v>
                      </c:pt>
                      <c:pt idx="54">
                        <c:v>738</c:v>
                      </c:pt>
                      <c:pt idx="55">
                        <c:v>746</c:v>
                      </c:pt>
                      <c:pt idx="56">
                        <c:v>754</c:v>
                      </c:pt>
                      <c:pt idx="57">
                        <c:v>762</c:v>
                      </c:pt>
                      <c:pt idx="58">
                        <c:v>770</c:v>
                      </c:pt>
                      <c:pt idx="59">
                        <c:v>778</c:v>
                      </c:pt>
                      <c:pt idx="60">
                        <c:v>786</c:v>
                      </c:pt>
                      <c:pt idx="61">
                        <c:v>794</c:v>
                      </c:pt>
                      <c:pt idx="62">
                        <c:v>802</c:v>
                      </c:pt>
                      <c:pt idx="63">
                        <c:v>810</c:v>
                      </c:pt>
                      <c:pt idx="64">
                        <c:v>818</c:v>
                      </c:pt>
                      <c:pt idx="65">
                        <c:v>826</c:v>
                      </c:pt>
                      <c:pt idx="66">
                        <c:v>834</c:v>
                      </c:pt>
                      <c:pt idx="67">
                        <c:v>842</c:v>
                      </c:pt>
                      <c:pt idx="68">
                        <c:v>850</c:v>
                      </c:pt>
                      <c:pt idx="69">
                        <c:v>858</c:v>
                      </c:pt>
                      <c:pt idx="70">
                        <c:v>866</c:v>
                      </c:pt>
                      <c:pt idx="71">
                        <c:v>874</c:v>
                      </c:pt>
                      <c:pt idx="72">
                        <c:v>882</c:v>
                      </c:pt>
                      <c:pt idx="73">
                        <c:v>890</c:v>
                      </c:pt>
                      <c:pt idx="74">
                        <c:v>898</c:v>
                      </c:pt>
                      <c:pt idx="75">
                        <c:v>906</c:v>
                      </c:pt>
                      <c:pt idx="76">
                        <c:v>914</c:v>
                      </c:pt>
                      <c:pt idx="77">
                        <c:v>922</c:v>
                      </c:pt>
                      <c:pt idx="78">
                        <c:v>930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EVALUATION!$B$145:$CP$145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-21.943243243243245</c:v>
                      </c:pt>
                      <c:pt idx="1">
                        <c:v>-21.741441441441442</c:v>
                      </c:pt>
                      <c:pt idx="2">
                        <c:v>-21.539639639639642</c:v>
                      </c:pt>
                      <c:pt idx="3">
                        <c:v>-21.337837837837839</c:v>
                      </c:pt>
                      <c:pt idx="4" formatCode="General">
                        <c:v>-21.317514970059882</c:v>
                      </c:pt>
                      <c:pt idx="5" formatCode="General">
                        <c:v>-21.339071856287426</c:v>
                      </c:pt>
                      <c:pt idx="6" formatCode="General">
                        <c:v>-21.360628742514972</c:v>
                      </c:pt>
                      <c:pt idx="7" formatCode="General">
                        <c:v>-21.382185628742516</c:v>
                      </c:pt>
                      <c:pt idx="8" formatCode="General">
                        <c:v>-21.452604790419162</c:v>
                      </c:pt>
                      <c:pt idx="9" formatCode="General">
                        <c:v>-21.550808383233534</c:v>
                      </c:pt>
                      <c:pt idx="10" formatCode="General">
                        <c:v>-21.649011976047905</c:v>
                      </c:pt>
                      <c:pt idx="11" formatCode="General">
                        <c:v>-21.747215568862277</c:v>
                      </c:pt>
                      <c:pt idx="12" formatCode="General">
                        <c:v>-21.843203592814373</c:v>
                      </c:pt>
                      <c:pt idx="13" formatCode="General">
                        <c:v>-21.936616766467068</c:v>
                      </c:pt>
                      <c:pt idx="14" formatCode="General">
                        <c:v>-22.030029940119761</c:v>
                      </c:pt>
                      <c:pt idx="15" formatCode="General">
                        <c:v>-22.123443113772456</c:v>
                      </c:pt>
                      <c:pt idx="16" formatCode="General">
                        <c:v>-22.209970059880241</c:v>
                      </c:pt>
                      <c:pt idx="17" formatCode="General">
                        <c:v>-22.279431137724551</c:v>
                      </c:pt>
                      <c:pt idx="18" formatCode="General">
                        <c:v>-22.348892215568863</c:v>
                      </c:pt>
                      <c:pt idx="19" formatCode="General">
                        <c:v>-22.418353293413173</c:v>
                      </c:pt>
                      <c:pt idx="20" formatCode="General">
                        <c:v>-22.488353293413173</c:v>
                      </c:pt>
                      <c:pt idx="21" formatCode="General">
                        <c:v>-22.562604790419162</c:v>
                      </c:pt>
                      <c:pt idx="22" formatCode="General">
                        <c:v>-22.63685628742515</c:v>
                      </c:pt>
                      <c:pt idx="23" formatCode="General">
                        <c:v>-22.711107784431139</c:v>
                      </c:pt>
                      <c:pt idx="24" formatCode="General">
                        <c:v>-22.785359281437124</c:v>
                      </c:pt>
                      <c:pt idx="25" formatCode="General">
                        <c:v>-22.846306306306307</c:v>
                      </c:pt>
                      <c:pt idx="26" formatCode="General">
                        <c:v>-22.906366366366367</c:v>
                      </c:pt>
                      <c:pt idx="27" formatCode="General">
                        <c:v>-22.966426426426427</c:v>
                      </c:pt>
                      <c:pt idx="28" formatCode="General">
                        <c:v>-23.026486486486487</c:v>
                      </c:pt>
                      <c:pt idx="29" formatCode="General">
                        <c:v>-23.130958083832336</c:v>
                      </c:pt>
                      <c:pt idx="30" formatCode="General">
                        <c:v>-23.248323353293415</c:v>
                      </c:pt>
                      <c:pt idx="31" formatCode="General">
                        <c:v>-23.36568862275449</c:v>
                      </c:pt>
                      <c:pt idx="32" formatCode="General">
                        <c:v>-23.483053892215569</c:v>
                      </c:pt>
                      <c:pt idx="33" formatCode="General">
                        <c:v>-23.60185628742515</c:v>
                      </c:pt>
                      <c:pt idx="34" formatCode="General">
                        <c:v>-23.721616766467065</c:v>
                      </c:pt>
                      <c:pt idx="35" formatCode="General">
                        <c:v>-23.841377245508983</c:v>
                      </c:pt>
                      <c:pt idx="36" formatCode="General">
                        <c:v>-23.961137724550898</c:v>
                      </c:pt>
                      <c:pt idx="37" formatCode="General">
                        <c:v>-24.078862275449104</c:v>
                      </c:pt>
                      <c:pt idx="38" formatCode="General">
                        <c:v>-24.193832335329343</c:v>
                      </c:pt>
                      <c:pt idx="39" formatCode="General">
                        <c:v>-24.308802395209582</c:v>
                      </c:pt>
                      <c:pt idx="40" formatCode="General">
                        <c:v>-24.423772455089821</c:v>
                      </c:pt>
                      <c:pt idx="41" formatCode="General">
                        <c:v>-24.53874251497006</c:v>
                      </c:pt>
                      <c:pt idx="42" formatCode="General">
                        <c:v>-24.653712574850299</c:v>
                      </c:pt>
                      <c:pt idx="43" formatCode="General">
                        <c:v>-24.768682634730538</c:v>
                      </c:pt>
                      <c:pt idx="44" formatCode="General">
                        <c:v>-24.883652694610777</c:v>
                      </c:pt>
                      <c:pt idx="45" formatCode="General">
                        <c:v>-24.998622754491016</c:v>
                      </c:pt>
                      <c:pt idx="46" formatCode="General">
                        <c:v>-25.113592814371255</c:v>
                      </c:pt>
                      <c:pt idx="47" formatCode="General">
                        <c:v>-25.228562874251494</c:v>
                      </c:pt>
                      <c:pt idx="48" formatCode="General">
                        <c:v>-25.343532934131737</c:v>
                      </c:pt>
                      <c:pt idx="49" formatCode="General">
                        <c:v>-25.458502994011976</c:v>
                      </c:pt>
                      <c:pt idx="50" formatCode="General">
                        <c:v>-25.567617977528091</c:v>
                      </c:pt>
                      <c:pt idx="51" formatCode="General">
                        <c:v>-25.676082397003746</c:v>
                      </c:pt>
                      <c:pt idx="52" formatCode="General">
                        <c:v>-25.784546816479402</c:v>
                      </c:pt>
                      <c:pt idx="53" formatCode="General">
                        <c:v>-25.893011235955058</c:v>
                      </c:pt>
                      <c:pt idx="54" formatCode="General">
                        <c:v>-26.001475655430713</c:v>
                      </c:pt>
                      <c:pt idx="55" formatCode="General">
                        <c:v>-26.109940074906369</c:v>
                      </c:pt>
                      <c:pt idx="56" formatCode="General">
                        <c:v>-26.218404494382021</c:v>
                      </c:pt>
                      <c:pt idx="57" formatCode="General">
                        <c:v>-26.326868913857677</c:v>
                      </c:pt>
                      <c:pt idx="58" formatCode="General">
                        <c:v>-26.435333333333332</c:v>
                      </c:pt>
                      <c:pt idx="59" formatCode="General">
                        <c:v>-26.543797752808988</c:v>
                      </c:pt>
                      <c:pt idx="60" formatCode="General">
                        <c:v>-26.652262172284644</c:v>
                      </c:pt>
                      <c:pt idx="61" formatCode="General">
                        <c:v>-26.760726591760299</c:v>
                      </c:pt>
                      <c:pt idx="62" formatCode="General">
                        <c:v>-26.869191011235955</c:v>
                      </c:pt>
                      <c:pt idx="63" formatCode="General">
                        <c:v>-26.977655430711611</c:v>
                      </c:pt>
                      <c:pt idx="64" formatCode="General">
                        <c:v>-27.086119850187266</c:v>
                      </c:pt>
                      <c:pt idx="65" formatCode="General">
                        <c:v>-27.194584269662922</c:v>
                      </c:pt>
                      <c:pt idx="66" formatCode="General">
                        <c:v>-27.301902621722849</c:v>
                      </c:pt>
                      <c:pt idx="67" formatCode="General">
                        <c:v>-27.404973782771538</c:v>
                      </c:pt>
                      <c:pt idx="68" formatCode="General">
                        <c:v>-27.508044943820227</c:v>
                      </c:pt>
                      <c:pt idx="69" formatCode="General">
                        <c:v>-27.611116104868916</c:v>
                      </c:pt>
                      <c:pt idx="70" formatCode="General">
                        <c:v>-27.714187265917605</c:v>
                      </c:pt>
                      <c:pt idx="71" formatCode="General">
                        <c:v>-27.817258426966294</c:v>
                      </c:pt>
                      <c:pt idx="72" formatCode="General">
                        <c:v>-27.920329588014983</c:v>
                      </c:pt>
                      <c:pt idx="73" formatCode="General">
                        <c:v>-28.023400749063672</c:v>
                      </c:pt>
                      <c:pt idx="74" formatCode="General">
                        <c:v>-28.126471910112361</c:v>
                      </c:pt>
                      <c:pt idx="75" formatCode="General">
                        <c:v>-28.22954307116105</c:v>
                      </c:pt>
                      <c:pt idx="76" formatCode="General">
                        <c:v>-28.332614232209739</c:v>
                      </c:pt>
                      <c:pt idx="77" formatCode="General">
                        <c:v>-28.435685393258428</c:v>
                      </c:pt>
                      <c:pt idx="78" formatCode="General">
                        <c:v>-28.538756554307117</c:v>
                      </c:pt>
                      <c:pt idx="79" formatCode="General">
                        <c:v>-28.641827715355806</c:v>
                      </c:pt>
                      <c:pt idx="80" formatCode="General">
                        <c:v>-28.744898876404495</c:v>
                      </c:pt>
                      <c:pt idx="81" formatCode="General">
                        <c:v>-28.847970037453184</c:v>
                      </c:pt>
                      <c:pt idx="82" formatCode="General">
                        <c:v>-28.951041198501873</c:v>
                      </c:pt>
                      <c:pt idx="83" formatCode="General">
                        <c:v>-29.051396396396395</c:v>
                      </c:pt>
                      <c:pt idx="84" formatCode="General">
                        <c:v>-29.149294294294293</c:v>
                      </c:pt>
                      <c:pt idx="85" formatCode="General">
                        <c:v>-29.247192192192191</c:v>
                      </c:pt>
                      <c:pt idx="86" formatCode="General">
                        <c:v>-29.345090090090089</c:v>
                      </c:pt>
                      <c:pt idx="87" formatCode="General">
                        <c:v>-8.1209504950495059</c:v>
                      </c:pt>
                      <c:pt idx="88" formatCode="General">
                        <c:v>-8.1466930693069308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1-11EF-44BA-AAAA-9AD66152902A}"/>
                  </c:ext>
                </c:extLst>
              </c15:ser>
            </c15:filteredScatterSeries>
            <c15:filteredScatterSeries>
              <c15:ser>
                <c:idx val="44"/>
                <c:order val="45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306</c:v>
                      </c:pt>
                      <c:pt idx="1">
                        <c:v>314</c:v>
                      </c:pt>
                      <c:pt idx="2">
                        <c:v>322</c:v>
                      </c:pt>
                      <c:pt idx="3">
                        <c:v>330</c:v>
                      </c:pt>
                      <c:pt idx="4">
                        <c:v>338</c:v>
                      </c:pt>
                      <c:pt idx="5">
                        <c:v>346</c:v>
                      </c:pt>
                      <c:pt idx="6">
                        <c:v>354</c:v>
                      </c:pt>
                      <c:pt idx="7">
                        <c:v>362</c:v>
                      </c:pt>
                      <c:pt idx="8">
                        <c:v>370</c:v>
                      </c:pt>
                      <c:pt idx="9">
                        <c:v>378</c:v>
                      </c:pt>
                      <c:pt idx="10">
                        <c:v>386</c:v>
                      </c:pt>
                      <c:pt idx="11">
                        <c:v>394</c:v>
                      </c:pt>
                      <c:pt idx="12">
                        <c:v>402</c:v>
                      </c:pt>
                      <c:pt idx="13">
                        <c:v>410</c:v>
                      </c:pt>
                      <c:pt idx="14">
                        <c:v>418</c:v>
                      </c:pt>
                      <c:pt idx="15">
                        <c:v>426</c:v>
                      </c:pt>
                      <c:pt idx="16">
                        <c:v>434</c:v>
                      </c:pt>
                      <c:pt idx="17">
                        <c:v>442</c:v>
                      </c:pt>
                      <c:pt idx="18">
                        <c:v>450</c:v>
                      </c:pt>
                      <c:pt idx="19">
                        <c:v>458</c:v>
                      </c:pt>
                      <c:pt idx="20">
                        <c:v>466</c:v>
                      </c:pt>
                      <c:pt idx="21">
                        <c:v>474</c:v>
                      </c:pt>
                      <c:pt idx="22">
                        <c:v>482</c:v>
                      </c:pt>
                      <c:pt idx="23">
                        <c:v>490</c:v>
                      </c:pt>
                      <c:pt idx="24">
                        <c:v>498</c:v>
                      </c:pt>
                      <c:pt idx="25">
                        <c:v>506</c:v>
                      </c:pt>
                      <c:pt idx="26">
                        <c:v>514</c:v>
                      </c:pt>
                      <c:pt idx="27">
                        <c:v>522</c:v>
                      </c:pt>
                      <c:pt idx="28">
                        <c:v>530</c:v>
                      </c:pt>
                      <c:pt idx="29">
                        <c:v>538</c:v>
                      </c:pt>
                      <c:pt idx="30">
                        <c:v>546</c:v>
                      </c:pt>
                      <c:pt idx="31">
                        <c:v>554</c:v>
                      </c:pt>
                      <c:pt idx="32">
                        <c:v>562</c:v>
                      </c:pt>
                      <c:pt idx="33">
                        <c:v>570</c:v>
                      </c:pt>
                      <c:pt idx="34">
                        <c:v>578</c:v>
                      </c:pt>
                      <c:pt idx="35">
                        <c:v>586</c:v>
                      </c:pt>
                      <c:pt idx="36">
                        <c:v>594</c:v>
                      </c:pt>
                      <c:pt idx="37">
                        <c:v>602</c:v>
                      </c:pt>
                      <c:pt idx="38">
                        <c:v>610</c:v>
                      </c:pt>
                      <c:pt idx="39">
                        <c:v>618</c:v>
                      </c:pt>
                      <c:pt idx="40">
                        <c:v>626</c:v>
                      </c:pt>
                      <c:pt idx="41">
                        <c:v>634</c:v>
                      </c:pt>
                      <c:pt idx="42">
                        <c:v>642</c:v>
                      </c:pt>
                      <c:pt idx="43">
                        <c:v>650</c:v>
                      </c:pt>
                      <c:pt idx="44">
                        <c:v>658</c:v>
                      </c:pt>
                      <c:pt idx="45">
                        <c:v>666</c:v>
                      </c:pt>
                      <c:pt idx="46">
                        <c:v>674</c:v>
                      </c:pt>
                      <c:pt idx="47">
                        <c:v>682</c:v>
                      </c:pt>
                      <c:pt idx="48">
                        <c:v>690</c:v>
                      </c:pt>
                      <c:pt idx="49">
                        <c:v>698</c:v>
                      </c:pt>
                      <c:pt idx="50">
                        <c:v>706</c:v>
                      </c:pt>
                      <c:pt idx="51">
                        <c:v>714</c:v>
                      </c:pt>
                      <c:pt idx="52">
                        <c:v>722</c:v>
                      </c:pt>
                      <c:pt idx="53">
                        <c:v>730</c:v>
                      </c:pt>
                      <c:pt idx="54">
                        <c:v>738</c:v>
                      </c:pt>
                      <c:pt idx="55">
                        <c:v>746</c:v>
                      </c:pt>
                      <c:pt idx="56">
                        <c:v>754</c:v>
                      </c:pt>
                      <c:pt idx="57">
                        <c:v>762</c:v>
                      </c:pt>
                      <c:pt idx="58">
                        <c:v>770</c:v>
                      </c:pt>
                      <c:pt idx="59">
                        <c:v>778</c:v>
                      </c:pt>
                      <c:pt idx="60">
                        <c:v>786</c:v>
                      </c:pt>
                      <c:pt idx="61">
                        <c:v>794</c:v>
                      </c:pt>
                      <c:pt idx="62">
                        <c:v>802</c:v>
                      </c:pt>
                      <c:pt idx="63">
                        <c:v>810</c:v>
                      </c:pt>
                      <c:pt idx="64">
                        <c:v>818</c:v>
                      </c:pt>
                      <c:pt idx="65">
                        <c:v>826</c:v>
                      </c:pt>
                      <c:pt idx="66">
                        <c:v>834</c:v>
                      </c:pt>
                      <c:pt idx="67">
                        <c:v>842</c:v>
                      </c:pt>
                      <c:pt idx="68">
                        <c:v>850</c:v>
                      </c:pt>
                      <c:pt idx="69">
                        <c:v>858</c:v>
                      </c:pt>
                      <c:pt idx="70">
                        <c:v>866</c:v>
                      </c:pt>
                      <c:pt idx="71">
                        <c:v>874</c:v>
                      </c:pt>
                      <c:pt idx="72">
                        <c:v>882</c:v>
                      </c:pt>
                      <c:pt idx="73">
                        <c:v>890</c:v>
                      </c:pt>
                      <c:pt idx="74">
                        <c:v>898</c:v>
                      </c:pt>
                      <c:pt idx="75">
                        <c:v>906</c:v>
                      </c:pt>
                      <c:pt idx="76">
                        <c:v>914</c:v>
                      </c:pt>
                      <c:pt idx="77">
                        <c:v>922</c:v>
                      </c:pt>
                      <c:pt idx="78">
                        <c:v>930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EVALUATION!$B$146:$CP$146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-15.512792792792792</c:v>
                      </c:pt>
                      <c:pt idx="1">
                        <c:v>-15.013093093093092</c:v>
                      </c:pt>
                      <c:pt idx="2">
                        <c:v>-14.513393393393393</c:v>
                      </c:pt>
                      <c:pt idx="3">
                        <c:v>-14.013693693693693</c:v>
                      </c:pt>
                      <c:pt idx="4" formatCode="General">
                        <c:v>-13.456826347305389</c:v>
                      </c:pt>
                      <c:pt idx="5" formatCode="General">
                        <c:v>-12.886766467065867</c:v>
                      </c:pt>
                      <c:pt idx="6" formatCode="General">
                        <c:v>-12.316706586826346</c:v>
                      </c:pt>
                      <c:pt idx="7" formatCode="General">
                        <c:v>-11.746646706586823</c:v>
                      </c:pt>
                      <c:pt idx="8" formatCode="General">
                        <c:v>-11.204988023952094</c:v>
                      </c:pt>
                      <c:pt idx="9" formatCode="General">
                        <c:v>-10.679479041916167</c:v>
                      </c:pt>
                      <c:pt idx="10" formatCode="General">
                        <c:v>-10.153970059880239</c:v>
                      </c:pt>
                      <c:pt idx="11" formatCode="General">
                        <c:v>-9.628461077844312</c:v>
                      </c:pt>
                      <c:pt idx="12" formatCode="General">
                        <c:v>-9.1539101796407198</c:v>
                      </c:pt>
                      <c:pt idx="13" formatCode="General">
                        <c:v>-8.7385808383233528</c:v>
                      </c:pt>
                      <c:pt idx="14" formatCode="General">
                        <c:v>-8.3232514970059874</c:v>
                      </c:pt>
                      <c:pt idx="15" formatCode="General">
                        <c:v>-7.9079221556886221</c:v>
                      </c:pt>
                      <c:pt idx="16" formatCode="General">
                        <c:v>-7.5390748502994009</c:v>
                      </c:pt>
                      <c:pt idx="17" formatCode="General">
                        <c:v>-7.2854221556886225</c:v>
                      </c:pt>
                      <c:pt idx="18" formatCode="General">
                        <c:v>-7.031769461077845</c:v>
                      </c:pt>
                      <c:pt idx="19" formatCode="General">
                        <c:v>-6.7781167664670665</c:v>
                      </c:pt>
                      <c:pt idx="20" formatCode="General">
                        <c:v>-6.5428413173652693</c:v>
                      </c:pt>
                      <c:pt idx="21" formatCode="General">
                        <c:v>-6.4525419161676645</c:v>
                      </c:pt>
                      <c:pt idx="22" formatCode="General">
                        <c:v>-6.3622425149700597</c:v>
                      </c:pt>
                      <c:pt idx="23" formatCode="General">
                        <c:v>-6.2719431137724548</c:v>
                      </c:pt>
                      <c:pt idx="24" formatCode="General">
                        <c:v>-6.18164371257485</c:v>
                      </c:pt>
                      <c:pt idx="25" formatCode="General">
                        <c:v>-6.3239729729729737</c:v>
                      </c:pt>
                      <c:pt idx="26" formatCode="General">
                        <c:v>-6.4818108108108117</c:v>
                      </c:pt>
                      <c:pt idx="27" formatCode="General">
                        <c:v>-6.6396486486486497</c:v>
                      </c:pt>
                      <c:pt idx="28" formatCode="General">
                        <c:v>-6.7974864864864877</c:v>
                      </c:pt>
                      <c:pt idx="29" formatCode="General">
                        <c:v>-6.8348562874251497</c:v>
                      </c:pt>
                      <c:pt idx="30" formatCode="General">
                        <c:v>-6.8372514970059886</c:v>
                      </c:pt>
                      <c:pt idx="31" formatCode="General">
                        <c:v>-6.8396467065868265</c:v>
                      </c:pt>
                      <c:pt idx="32" formatCode="General">
                        <c:v>-6.8420419161676644</c:v>
                      </c:pt>
                      <c:pt idx="33" formatCode="General">
                        <c:v>-6.8517664670658682</c:v>
                      </c:pt>
                      <c:pt idx="34" formatCode="General">
                        <c:v>-6.866377245508982</c:v>
                      </c:pt>
                      <c:pt idx="35" formatCode="General">
                        <c:v>-6.8809880239520957</c:v>
                      </c:pt>
                      <c:pt idx="36" formatCode="General">
                        <c:v>-6.8955988023952095</c:v>
                      </c:pt>
                      <c:pt idx="37" formatCode="General">
                        <c:v>-6.911838323353293</c:v>
                      </c:pt>
                      <c:pt idx="38" formatCode="General">
                        <c:v>-6.930281437125748</c:v>
                      </c:pt>
                      <c:pt idx="39" formatCode="General">
                        <c:v>-6.9487245508982038</c:v>
                      </c:pt>
                      <c:pt idx="40" formatCode="General">
                        <c:v>-6.9671676646706588</c:v>
                      </c:pt>
                      <c:pt idx="41" formatCode="General">
                        <c:v>-6.9858502994011973</c:v>
                      </c:pt>
                      <c:pt idx="42" formatCode="General">
                        <c:v>-7.0052514970059878</c:v>
                      </c:pt>
                      <c:pt idx="43" formatCode="General">
                        <c:v>-7.0246526946107783</c:v>
                      </c:pt>
                      <c:pt idx="44" formatCode="General">
                        <c:v>-7.0440538922155689</c:v>
                      </c:pt>
                      <c:pt idx="45" formatCode="General">
                        <c:v>-7.0634550898203594</c:v>
                      </c:pt>
                      <c:pt idx="46" formatCode="General">
                        <c:v>-7.0828562874251499</c:v>
                      </c:pt>
                      <c:pt idx="47" formatCode="General">
                        <c:v>-7.1022574850299405</c:v>
                      </c:pt>
                      <c:pt idx="48" formatCode="General">
                        <c:v>-7.1216586826347301</c:v>
                      </c:pt>
                      <c:pt idx="49" formatCode="General">
                        <c:v>-7.1410598802395207</c:v>
                      </c:pt>
                      <c:pt idx="50" formatCode="General">
                        <c:v>-7.1602584269662923</c:v>
                      </c:pt>
                      <c:pt idx="51" formatCode="General">
                        <c:v>-7.1794344569288393</c:v>
                      </c:pt>
                      <c:pt idx="52" formatCode="General">
                        <c:v>-7.1986104868913854</c:v>
                      </c:pt>
                      <c:pt idx="53" formatCode="General">
                        <c:v>-7.2177865168539324</c:v>
                      </c:pt>
                      <c:pt idx="54" formatCode="General">
                        <c:v>-7.2369625468164793</c:v>
                      </c:pt>
                      <c:pt idx="55" formatCode="General">
                        <c:v>-7.2561385767790263</c:v>
                      </c:pt>
                      <c:pt idx="56" formatCode="General">
                        <c:v>-7.2753146067415733</c:v>
                      </c:pt>
                      <c:pt idx="57" formatCode="General">
                        <c:v>-7.2944906367041202</c:v>
                      </c:pt>
                      <c:pt idx="58" formatCode="General">
                        <c:v>-7.3136666666666663</c:v>
                      </c:pt>
                      <c:pt idx="59" formatCode="General">
                        <c:v>-7.3328426966292133</c:v>
                      </c:pt>
                      <c:pt idx="60" formatCode="General">
                        <c:v>-7.3520187265917603</c:v>
                      </c:pt>
                      <c:pt idx="61" formatCode="General">
                        <c:v>-7.3711947565543072</c:v>
                      </c:pt>
                      <c:pt idx="62" formatCode="General">
                        <c:v>-7.3903707865168542</c:v>
                      </c:pt>
                      <c:pt idx="63" formatCode="General">
                        <c:v>-7.4095468164794012</c:v>
                      </c:pt>
                      <c:pt idx="64" formatCode="General">
                        <c:v>-7.4287228464419481</c:v>
                      </c:pt>
                      <c:pt idx="65" formatCode="General">
                        <c:v>-7.4478988764044942</c:v>
                      </c:pt>
                      <c:pt idx="66" formatCode="General">
                        <c:v>-7.4668456928838953</c:v>
                      </c:pt>
                      <c:pt idx="67" formatCode="General">
                        <c:v>-7.484943071161049</c:v>
                      </c:pt>
                      <c:pt idx="68" formatCode="General">
                        <c:v>-7.5030404494382026</c:v>
                      </c:pt>
                      <c:pt idx="69" formatCode="General">
                        <c:v>-7.5211378277153562</c:v>
                      </c:pt>
                      <c:pt idx="70" formatCode="General">
                        <c:v>-7.5392352059925098</c:v>
                      </c:pt>
                      <c:pt idx="71" formatCode="General">
                        <c:v>-7.5573325842696626</c:v>
                      </c:pt>
                      <c:pt idx="72" formatCode="General">
                        <c:v>-7.5754299625468162</c:v>
                      </c:pt>
                      <c:pt idx="73" formatCode="General">
                        <c:v>-7.5935273408239699</c:v>
                      </c:pt>
                      <c:pt idx="74" formatCode="General">
                        <c:v>-7.6116247191011235</c:v>
                      </c:pt>
                      <c:pt idx="75" formatCode="General">
                        <c:v>-7.6297220973782771</c:v>
                      </c:pt>
                      <c:pt idx="76" formatCode="General">
                        <c:v>-7.6478194756554307</c:v>
                      </c:pt>
                      <c:pt idx="77" formatCode="General">
                        <c:v>-7.6659168539325844</c:v>
                      </c:pt>
                      <c:pt idx="78" formatCode="General">
                        <c:v>-7.684014232209738</c:v>
                      </c:pt>
                      <c:pt idx="79" formatCode="General">
                        <c:v>-7.7021116104868916</c:v>
                      </c:pt>
                      <c:pt idx="80" formatCode="General">
                        <c:v>-7.7202089887640444</c:v>
                      </c:pt>
                      <c:pt idx="81" formatCode="General">
                        <c:v>-7.738306367041198</c:v>
                      </c:pt>
                      <c:pt idx="82" formatCode="General">
                        <c:v>-7.7564037453183516</c:v>
                      </c:pt>
                      <c:pt idx="83" formatCode="General">
                        <c:v>-7.7739234234234234</c:v>
                      </c:pt>
                      <c:pt idx="84" formatCode="General">
                        <c:v>-7.7909204204204201</c:v>
                      </c:pt>
                      <c:pt idx="85" formatCode="General">
                        <c:v>-7.8079174174174168</c:v>
                      </c:pt>
                      <c:pt idx="86" formatCode="General">
                        <c:v>-7.8249144144144145</c:v>
                      </c:pt>
                      <c:pt idx="87" formatCode="General">
                        <c:v>-28.733663366336632</c:v>
                      </c:pt>
                      <c:pt idx="88" formatCode="General">
                        <c:v>-28.828712871287127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2-11EF-44BA-AAAA-9AD66152902A}"/>
                  </c:ext>
                </c:extLst>
              </c15:ser>
            </c15:filteredScatterSeries>
            <c15:filteredScatterSeries>
              <c15:ser>
                <c:idx val="45"/>
                <c:order val="46"/>
                <c:spPr>
                  <a:ln>
                    <a:solidFill>
                      <a:schemeClr val="accent1"/>
                    </a:solidFill>
                    <a:prstDash val="sysDash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306</c:v>
                      </c:pt>
                      <c:pt idx="1">
                        <c:v>314</c:v>
                      </c:pt>
                      <c:pt idx="2">
                        <c:v>322</c:v>
                      </c:pt>
                      <c:pt idx="3">
                        <c:v>330</c:v>
                      </c:pt>
                      <c:pt idx="4">
                        <c:v>338</c:v>
                      </c:pt>
                      <c:pt idx="5">
                        <c:v>346</c:v>
                      </c:pt>
                      <c:pt idx="6">
                        <c:v>354</c:v>
                      </c:pt>
                      <c:pt idx="7">
                        <c:v>362</c:v>
                      </c:pt>
                      <c:pt idx="8">
                        <c:v>370</c:v>
                      </c:pt>
                      <c:pt idx="9">
                        <c:v>378</c:v>
                      </c:pt>
                      <c:pt idx="10">
                        <c:v>386</c:v>
                      </c:pt>
                      <c:pt idx="11">
                        <c:v>394</c:v>
                      </c:pt>
                      <c:pt idx="12">
                        <c:v>402</c:v>
                      </c:pt>
                      <c:pt idx="13">
                        <c:v>410</c:v>
                      </c:pt>
                      <c:pt idx="14">
                        <c:v>418</c:v>
                      </c:pt>
                      <c:pt idx="15">
                        <c:v>426</c:v>
                      </c:pt>
                      <c:pt idx="16">
                        <c:v>434</c:v>
                      </c:pt>
                      <c:pt idx="17">
                        <c:v>442</c:v>
                      </c:pt>
                      <c:pt idx="18">
                        <c:v>450</c:v>
                      </c:pt>
                      <c:pt idx="19">
                        <c:v>458</c:v>
                      </c:pt>
                      <c:pt idx="20">
                        <c:v>466</c:v>
                      </c:pt>
                      <c:pt idx="21">
                        <c:v>474</c:v>
                      </c:pt>
                      <c:pt idx="22">
                        <c:v>482</c:v>
                      </c:pt>
                      <c:pt idx="23">
                        <c:v>490</c:v>
                      </c:pt>
                      <c:pt idx="24">
                        <c:v>498</c:v>
                      </c:pt>
                      <c:pt idx="25">
                        <c:v>506</c:v>
                      </c:pt>
                      <c:pt idx="26">
                        <c:v>514</c:v>
                      </c:pt>
                      <c:pt idx="27">
                        <c:v>522</c:v>
                      </c:pt>
                      <c:pt idx="28">
                        <c:v>530</c:v>
                      </c:pt>
                      <c:pt idx="29">
                        <c:v>538</c:v>
                      </c:pt>
                      <c:pt idx="30">
                        <c:v>546</c:v>
                      </c:pt>
                      <c:pt idx="31">
                        <c:v>554</c:v>
                      </c:pt>
                      <c:pt idx="32">
                        <c:v>562</c:v>
                      </c:pt>
                      <c:pt idx="33">
                        <c:v>570</c:v>
                      </c:pt>
                      <c:pt idx="34">
                        <c:v>578</c:v>
                      </c:pt>
                      <c:pt idx="35">
                        <c:v>586</c:v>
                      </c:pt>
                      <c:pt idx="36">
                        <c:v>594</c:v>
                      </c:pt>
                      <c:pt idx="37">
                        <c:v>602</c:v>
                      </c:pt>
                      <c:pt idx="38">
                        <c:v>610</c:v>
                      </c:pt>
                      <c:pt idx="39">
                        <c:v>618</c:v>
                      </c:pt>
                      <c:pt idx="40">
                        <c:v>626</c:v>
                      </c:pt>
                      <c:pt idx="41">
                        <c:v>634</c:v>
                      </c:pt>
                      <c:pt idx="42">
                        <c:v>642</c:v>
                      </c:pt>
                      <c:pt idx="43">
                        <c:v>650</c:v>
                      </c:pt>
                      <c:pt idx="44">
                        <c:v>658</c:v>
                      </c:pt>
                      <c:pt idx="45">
                        <c:v>666</c:v>
                      </c:pt>
                      <c:pt idx="46">
                        <c:v>674</c:v>
                      </c:pt>
                      <c:pt idx="47">
                        <c:v>682</c:v>
                      </c:pt>
                      <c:pt idx="48">
                        <c:v>690</c:v>
                      </c:pt>
                      <c:pt idx="49">
                        <c:v>698</c:v>
                      </c:pt>
                      <c:pt idx="50">
                        <c:v>706</c:v>
                      </c:pt>
                      <c:pt idx="51">
                        <c:v>714</c:v>
                      </c:pt>
                      <c:pt idx="52">
                        <c:v>722</c:v>
                      </c:pt>
                      <c:pt idx="53">
                        <c:v>730</c:v>
                      </c:pt>
                      <c:pt idx="54">
                        <c:v>738</c:v>
                      </c:pt>
                      <c:pt idx="55">
                        <c:v>746</c:v>
                      </c:pt>
                      <c:pt idx="56">
                        <c:v>754</c:v>
                      </c:pt>
                      <c:pt idx="57">
                        <c:v>762</c:v>
                      </c:pt>
                      <c:pt idx="58">
                        <c:v>770</c:v>
                      </c:pt>
                      <c:pt idx="59">
                        <c:v>778</c:v>
                      </c:pt>
                      <c:pt idx="60">
                        <c:v>786</c:v>
                      </c:pt>
                      <c:pt idx="61">
                        <c:v>794</c:v>
                      </c:pt>
                      <c:pt idx="62">
                        <c:v>802</c:v>
                      </c:pt>
                      <c:pt idx="63">
                        <c:v>810</c:v>
                      </c:pt>
                      <c:pt idx="64">
                        <c:v>818</c:v>
                      </c:pt>
                      <c:pt idx="65">
                        <c:v>826</c:v>
                      </c:pt>
                      <c:pt idx="66">
                        <c:v>834</c:v>
                      </c:pt>
                      <c:pt idx="67">
                        <c:v>842</c:v>
                      </c:pt>
                      <c:pt idx="68">
                        <c:v>850</c:v>
                      </c:pt>
                      <c:pt idx="69">
                        <c:v>858</c:v>
                      </c:pt>
                      <c:pt idx="70">
                        <c:v>866</c:v>
                      </c:pt>
                      <c:pt idx="71">
                        <c:v>874</c:v>
                      </c:pt>
                      <c:pt idx="72">
                        <c:v>882</c:v>
                      </c:pt>
                      <c:pt idx="73">
                        <c:v>890</c:v>
                      </c:pt>
                      <c:pt idx="74">
                        <c:v>898</c:v>
                      </c:pt>
                      <c:pt idx="75">
                        <c:v>906</c:v>
                      </c:pt>
                      <c:pt idx="76">
                        <c:v>914</c:v>
                      </c:pt>
                      <c:pt idx="77">
                        <c:v>922</c:v>
                      </c:pt>
                      <c:pt idx="78">
                        <c:v>930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EVALUATION!$B$147:$CP$147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-18.877657657657657</c:v>
                      </c:pt>
                      <c:pt idx="1">
                        <c:v>-18.875255255255254</c:v>
                      </c:pt>
                      <c:pt idx="2">
                        <c:v>-18.872852852852855</c:v>
                      </c:pt>
                      <c:pt idx="3">
                        <c:v>-18.870450450450452</c:v>
                      </c:pt>
                      <c:pt idx="4" formatCode="General">
                        <c:v>-18.875838323353292</c:v>
                      </c:pt>
                      <c:pt idx="5" formatCode="General">
                        <c:v>-18.883023952095808</c:v>
                      </c:pt>
                      <c:pt idx="6" formatCode="General">
                        <c:v>-18.890209580838324</c:v>
                      </c:pt>
                      <c:pt idx="7" formatCode="General">
                        <c:v>-18.897395209580836</c:v>
                      </c:pt>
                      <c:pt idx="8" formatCode="General">
                        <c:v>-18.906107784431136</c:v>
                      </c:pt>
                      <c:pt idx="9" formatCode="General">
                        <c:v>-18.915688622754491</c:v>
                      </c:pt>
                      <c:pt idx="10" formatCode="General">
                        <c:v>-18.925269461077846</c:v>
                      </c:pt>
                      <c:pt idx="11" formatCode="General">
                        <c:v>-18.934850299401198</c:v>
                      </c:pt>
                      <c:pt idx="12" formatCode="General">
                        <c:v>-18.945538922155688</c:v>
                      </c:pt>
                      <c:pt idx="13" formatCode="General">
                        <c:v>-18.957514970059879</c:v>
                      </c:pt>
                      <c:pt idx="14" formatCode="General">
                        <c:v>-18.969491017964071</c:v>
                      </c:pt>
                      <c:pt idx="15" formatCode="General">
                        <c:v>-18.981467065868262</c:v>
                      </c:pt>
                      <c:pt idx="16" formatCode="General">
                        <c:v>-18.993443113772454</c:v>
                      </c:pt>
                      <c:pt idx="17" formatCode="General">
                        <c:v>-19.005419161676645</c:v>
                      </c:pt>
                      <c:pt idx="18" formatCode="General">
                        <c:v>-19.017395209580837</c:v>
                      </c:pt>
                      <c:pt idx="19" formatCode="General">
                        <c:v>-19.029371257485028</c:v>
                      </c:pt>
                      <c:pt idx="20" formatCode="General">
                        <c:v>-19.040808383233532</c:v>
                      </c:pt>
                      <c:pt idx="21" formatCode="General">
                        <c:v>-19.047994011976048</c:v>
                      </c:pt>
                      <c:pt idx="22" formatCode="General">
                        <c:v>-19.055179640718563</c:v>
                      </c:pt>
                      <c:pt idx="23" formatCode="General">
                        <c:v>-19.062365269461079</c:v>
                      </c:pt>
                      <c:pt idx="24" formatCode="General">
                        <c:v>-19.069550898203595</c:v>
                      </c:pt>
                      <c:pt idx="25" formatCode="General">
                        <c:v>-19.045225225225227</c:v>
                      </c:pt>
                      <c:pt idx="26" formatCode="General">
                        <c:v>-19.018798798798798</c:v>
                      </c:pt>
                      <c:pt idx="27" formatCode="General">
                        <c:v>-18.992372372372373</c:v>
                      </c:pt>
                      <c:pt idx="28" formatCode="General">
                        <c:v>-18.965945945945947</c:v>
                      </c:pt>
                      <c:pt idx="29" formatCode="General">
                        <c:v>-18.972994011976049</c:v>
                      </c:pt>
                      <c:pt idx="30" formatCode="General">
                        <c:v>-18.989760479041916</c:v>
                      </c:pt>
                      <c:pt idx="31" formatCode="General">
                        <c:v>-19.006526946107787</c:v>
                      </c:pt>
                      <c:pt idx="32" formatCode="General">
                        <c:v>-19.023293413173654</c:v>
                      </c:pt>
                      <c:pt idx="33" formatCode="General">
                        <c:v>-19.040059880239522</c:v>
                      </c:pt>
                      <c:pt idx="34" formatCode="General">
                        <c:v>-19.056826347305389</c:v>
                      </c:pt>
                      <c:pt idx="35" formatCode="General">
                        <c:v>-19.07359281437126</c:v>
                      </c:pt>
                      <c:pt idx="36" formatCode="General">
                        <c:v>-19.090359281437127</c:v>
                      </c:pt>
                      <c:pt idx="37" formatCode="General">
                        <c:v>-19.107125748502995</c:v>
                      </c:pt>
                      <c:pt idx="38" formatCode="General">
                        <c:v>-19.123892215568866</c:v>
                      </c:pt>
                      <c:pt idx="39" formatCode="General">
                        <c:v>-19.140658682634733</c:v>
                      </c:pt>
                      <c:pt idx="40" formatCode="General">
                        <c:v>-19.1574251497006</c:v>
                      </c:pt>
                      <c:pt idx="41" formatCode="General">
                        <c:v>-19.174191616766468</c:v>
                      </c:pt>
                      <c:pt idx="42" formatCode="General">
                        <c:v>-19.190958083832335</c:v>
                      </c:pt>
                      <c:pt idx="43" formatCode="General">
                        <c:v>-19.207724550898202</c:v>
                      </c:pt>
                      <c:pt idx="44" formatCode="General">
                        <c:v>-19.22449101796407</c:v>
                      </c:pt>
                      <c:pt idx="45" formatCode="General">
                        <c:v>-19.241257485029937</c:v>
                      </c:pt>
                      <c:pt idx="46" formatCode="General">
                        <c:v>-19.258023952095808</c:v>
                      </c:pt>
                      <c:pt idx="47" formatCode="General">
                        <c:v>-19.274790419161675</c:v>
                      </c:pt>
                      <c:pt idx="48" formatCode="General">
                        <c:v>-19.291556886227543</c:v>
                      </c:pt>
                      <c:pt idx="49" formatCode="General">
                        <c:v>-19.30832335329341</c:v>
                      </c:pt>
                      <c:pt idx="50" formatCode="General">
                        <c:v>-19.324022471910112</c:v>
                      </c:pt>
                      <c:pt idx="51" formatCode="General">
                        <c:v>-19.33960299625468</c:v>
                      </c:pt>
                      <c:pt idx="52" formatCode="General">
                        <c:v>-19.355183520599251</c:v>
                      </c:pt>
                      <c:pt idx="53" formatCode="General">
                        <c:v>-19.370764044943819</c:v>
                      </c:pt>
                      <c:pt idx="54" formatCode="General">
                        <c:v>-19.38634456928839</c:v>
                      </c:pt>
                      <c:pt idx="55" formatCode="General">
                        <c:v>-19.401925093632958</c:v>
                      </c:pt>
                      <c:pt idx="56" formatCode="General">
                        <c:v>-19.417505617977529</c:v>
                      </c:pt>
                      <c:pt idx="57" formatCode="General">
                        <c:v>-19.433086142322097</c:v>
                      </c:pt>
                      <c:pt idx="58" formatCode="General">
                        <c:v>-19.448666666666668</c:v>
                      </c:pt>
                      <c:pt idx="59" formatCode="General">
                        <c:v>-19.464247191011236</c:v>
                      </c:pt>
                      <c:pt idx="60" formatCode="General">
                        <c:v>-19.479827715355807</c:v>
                      </c:pt>
                      <c:pt idx="61" formatCode="General">
                        <c:v>-19.495408239700375</c:v>
                      </c:pt>
                      <c:pt idx="62" formatCode="General">
                        <c:v>-19.510988764044942</c:v>
                      </c:pt>
                      <c:pt idx="63" formatCode="General">
                        <c:v>-19.526569288389513</c:v>
                      </c:pt>
                      <c:pt idx="64" formatCode="General">
                        <c:v>-19.542149812734081</c:v>
                      </c:pt>
                      <c:pt idx="65" formatCode="General">
                        <c:v>-19.557730337078652</c:v>
                      </c:pt>
                      <c:pt idx="66" formatCode="General">
                        <c:v>-19.573183520599251</c:v>
                      </c:pt>
                      <c:pt idx="67" formatCode="General">
                        <c:v>-19.58816479400749</c:v>
                      </c:pt>
                      <c:pt idx="68" formatCode="General">
                        <c:v>-19.603146067415732</c:v>
                      </c:pt>
                      <c:pt idx="69" formatCode="General">
                        <c:v>-19.618127340823971</c:v>
                      </c:pt>
                      <c:pt idx="70" formatCode="General">
                        <c:v>-19.63310861423221</c:v>
                      </c:pt>
                      <c:pt idx="71" formatCode="General">
                        <c:v>-19.648089887640449</c:v>
                      </c:pt>
                      <c:pt idx="72" formatCode="General">
                        <c:v>-19.663071161048691</c:v>
                      </c:pt>
                      <c:pt idx="73" formatCode="General">
                        <c:v>-19.67805243445693</c:v>
                      </c:pt>
                      <c:pt idx="74" formatCode="General">
                        <c:v>-19.693033707865169</c:v>
                      </c:pt>
                      <c:pt idx="75" formatCode="General">
                        <c:v>-19.708014981273408</c:v>
                      </c:pt>
                      <c:pt idx="76" formatCode="General">
                        <c:v>-19.722996254681647</c:v>
                      </c:pt>
                      <c:pt idx="77" formatCode="General">
                        <c:v>-19.737977528089889</c:v>
                      </c:pt>
                      <c:pt idx="78" formatCode="General">
                        <c:v>-19.752958801498128</c:v>
                      </c:pt>
                      <c:pt idx="79" formatCode="General">
                        <c:v>-19.767940074906367</c:v>
                      </c:pt>
                      <c:pt idx="80" formatCode="General">
                        <c:v>-19.782921348314606</c:v>
                      </c:pt>
                      <c:pt idx="81" formatCode="General">
                        <c:v>-19.797902621722848</c:v>
                      </c:pt>
                      <c:pt idx="82" formatCode="General">
                        <c:v>-19.812883895131087</c:v>
                      </c:pt>
                      <c:pt idx="83" formatCode="General">
                        <c:v>-19.827252252252254</c:v>
                      </c:pt>
                      <c:pt idx="84" formatCode="General">
                        <c:v>-19.841066066066066</c:v>
                      </c:pt>
                      <c:pt idx="85" formatCode="General">
                        <c:v>-19.854879879879881</c:v>
                      </c:pt>
                      <c:pt idx="86" formatCode="General">
                        <c:v>-19.868693693693693</c:v>
                      </c:pt>
                      <c:pt idx="87" formatCode="General">
                        <c:v>-28.733663366336632</c:v>
                      </c:pt>
                      <c:pt idx="88" formatCode="General">
                        <c:v>-28.828712871287127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3-11EF-44BA-AAAA-9AD66152902A}"/>
                  </c:ext>
                </c:extLst>
              </c15:ser>
            </c15:filteredScatterSeries>
            <c15:filteredScatterSeries>
              <c15:ser>
                <c:idx val="46"/>
                <c:order val="47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306</c:v>
                      </c:pt>
                      <c:pt idx="1">
                        <c:v>314</c:v>
                      </c:pt>
                      <c:pt idx="2">
                        <c:v>322</c:v>
                      </c:pt>
                      <c:pt idx="3">
                        <c:v>330</c:v>
                      </c:pt>
                      <c:pt idx="4">
                        <c:v>338</c:v>
                      </c:pt>
                      <c:pt idx="5">
                        <c:v>346</c:v>
                      </c:pt>
                      <c:pt idx="6">
                        <c:v>354</c:v>
                      </c:pt>
                      <c:pt idx="7">
                        <c:v>362</c:v>
                      </c:pt>
                      <c:pt idx="8">
                        <c:v>370</c:v>
                      </c:pt>
                      <c:pt idx="9">
                        <c:v>378</c:v>
                      </c:pt>
                      <c:pt idx="10">
                        <c:v>386</c:v>
                      </c:pt>
                      <c:pt idx="11">
                        <c:v>394</c:v>
                      </c:pt>
                      <c:pt idx="12">
                        <c:v>402</c:v>
                      </c:pt>
                      <c:pt idx="13">
                        <c:v>410</c:v>
                      </c:pt>
                      <c:pt idx="14">
                        <c:v>418</c:v>
                      </c:pt>
                      <c:pt idx="15">
                        <c:v>426</c:v>
                      </c:pt>
                      <c:pt idx="16">
                        <c:v>434</c:v>
                      </c:pt>
                      <c:pt idx="17">
                        <c:v>442</c:v>
                      </c:pt>
                      <c:pt idx="18">
                        <c:v>450</c:v>
                      </c:pt>
                      <c:pt idx="19">
                        <c:v>458</c:v>
                      </c:pt>
                      <c:pt idx="20">
                        <c:v>466</c:v>
                      </c:pt>
                      <c:pt idx="21">
                        <c:v>474</c:v>
                      </c:pt>
                      <c:pt idx="22">
                        <c:v>482</c:v>
                      </c:pt>
                      <c:pt idx="23">
                        <c:v>490</c:v>
                      </c:pt>
                      <c:pt idx="24">
                        <c:v>498</c:v>
                      </c:pt>
                      <c:pt idx="25">
                        <c:v>506</c:v>
                      </c:pt>
                      <c:pt idx="26">
                        <c:v>514</c:v>
                      </c:pt>
                      <c:pt idx="27">
                        <c:v>522</c:v>
                      </c:pt>
                      <c:pt idx="28">
                        <c:v>530</c:v>
                      </c:pt>
                      <c:pt idx="29">
                        <c:v>538</c:v>
                      </c:pt>
                      <c:pt idx="30">
                        <c:v>546</c:v>
                      </c:pt>
                      <c:pt idx="31">
                        <c:v>554</c:v>
                      </c:pt>
                      <c:pt idx="32">
                        <c:v>562</c:v>
                      </c:pt>
                      <c:pt idx="33">
                        <c:v>570</c:v>
                      </c:pt>
                      <c:pt idx="34">
                        <c:v>578</c:v>
                      </c:pt>
                      <c:pt idx="35">
                        <c:v>586</c:v>
                      </c:pt>
                      <c:pt idx="36">
                        <c:v>594</c:v>
                      </c:pt>
                      <c:pt idx="37">
                        <c:v>602</c:v>
                      </c:pt>
                      <c:pt idx="38">
                        <c:v>610</c:v>
                      </c:pt>
                      <c:pt idx="39">
                        <c:v>618</c:v>
                      </c:pt>
                      <c:pt idx="40">
                        <c:v>626</c:v>
                      </c:pt>
                      <c:pt idx="41">
                        <c:v>634</c:v>
                      </c:pt>
                      <c:pt idx="42">
                        <c:v>642</c:v>
                      </c:pt>
                      <c:pt idx="43">
                        <c:v>650</c:v>
                      </c:pt>
                      <c:pt idx="44">
                        <c:v>658</c:v>
                      </c:pt>
                      <c:pt idx="45">
                        <c:v>666</c:v>
                      </c:pt>
                      <c:pt idx="46">
                        <c:v>674</c:v>
                      </c:pt>
                      <c:pt idx="47">
                        <c:v>682</c:v>
                      </c:pt>
                      <c:pt idx="48">
                        <c:v>690</c:v>
                      </c:pt>
                      <c:pt idx="49">
                        <c:v>698</c:v>
                      </c:pt>
                      <c:pt idx="50">
                        <c:v>706</c:v>
                      </c:pt>
                      <c:pt idx="51">
                        <c:v>714</c:v>
                      </c:pt>
                      <c:pt idx="52">
                        <c:v>722</c:v>
                      </c:pt>
                      <c:pt idx="53">
                        <c:v>730</c:v>
                      </c:pt>
                      <c:pt idx="54">
                        <c:v>738</c:v>
                      </c:pt>
                      <c:pt idx="55">
                        <c:v>746</c:v>
                      </c:pt>
                      <c:pt idx="56">
                        <c:v>754</c:v>
                      </c:pt>
                      <c:pt idx="57">
                        <c:v>762</c:v>
                      </c:pt>
                      <c:pt idx="58">
                        <c:v>770</c:v>
                      </c:pt>
                      <c:pt idx="59">
                        <c:v>778</c:v>
                      </c:pt>
                      <c:pt idx="60">
                        <c:v>786</c:v>
                      </c:pt>
                      <c:pt idx="61">
                        <c:v>794</c:v>
                      </c:pt>
                      <c:pt idx="62">
                        <c:v>802</c:v>
                      </c:pt>
                      <c:pt idx="63">
                        <c:v>810</c:v>
                      </c:pt>
                      <c:pt idx="64">
                        <c:v>818</c:v>
                      </c:pt>
                      <c:pt idx="65">
                        <c:v>826</c:v>
                      </c:pt>
                      <c:pt idx="66">
                        <c:v>834</c:v>
                      </c:pt>
                      <c:pt idx="67">
                        <c:v>842</c:v>
                      </c:pt>
                      <c:pt idx="68">
                        <c:v>850</c:v>
                      </c:pt>
                      <c:pt idx="69">
                        <c:v>858</c:v>
                      </c:pt>
                      <c:pt idx="70">
                        <c:v>866</c:v>
                      </c:pt>
                      <c:pt idx="71">
                        <c:v>874</c:v>
                      </c:pt>
                      <c:pt idx="72">
                        <c:v>882</c:v>
                      </c:pt>
                      <c:pt idx="73">
                        <c:v>890</c:v>
                      </c:pt>
                      <c:pt idx="74">
                        <c:v>898</c:v>
                      </c:pt>
                      <c:pt idx="75">
                        <c:v>906</c:v>
                      </c:pt>
                      <c:pt idx="76">
                        <c:v>914</c:v>
                      </c:pt>
                      <c:pt idx="77">
                        <c:v>922</c:v>
                      </c:pt>
                      <c:pt idx="78">
                        <c:v>930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EVALUATION!$B$148:$CP$148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-59.157387387387388</c:v>
                      </c:pt>
                      <c:pt idx="1">
                        <c:v>-57.482912912912909</c:v>
                      </c:pt>
                      <c:pt idx="2">
                        <c:v>-55.808438438438436</c:v>
                      </c:pt>
                      <c:pt idx="3">
                        <c:v>-54.133963963963964</c:v>
                      </c:pt>
                      <c:pt idx="4" formatCode="General">
                        <c:v>-52.494700598802396</c:v>
                      </c:pt>
                      <c:pt idx="5" formatCode="General">
                        <c:v>-50.863562874251492</c:v>
                      </c:pt>
                      <c:pt idx="6" formatCode="General">
                        <c:v>-49.232425149700596</c:v>
                      </c:pt>
                      <c:pt idx="7" formatCode="General">
                        <c:v>-47.601287425149692</c:v>
                      </c:pt>
                      <c:pt idx="8" formatCode="General">
                        <c:v>-46.077035928143708</c:v>
                      </c:pt>
                      <c:pt idx="9" formatCode="General">
                        <c:v>-44.613562874251492</c:v>
                      </c:pt>
                      <c:pt idx="10" formatCode="General">
                        <c:v>-43.150089820359277</c:v>
                      </c:pt>
                      <c:pt idx="11" formatCode="General">
                        <c:v>-41.686616766467068</c:v>
                      </c:pt>
                      <c:pt idx="12" formatCode="General">
                        <c:v>-40.325059880239522</c:v>
                      </c:pt>
                      <c:pt idx="13" formatCode="General">
                        <c:v>-39.081946107784432</c:v>
                      </c:pt>
                      <c:pt idx="14" formatCode="General">
                        <c:v>-37.838832335329343</c:v>
                      </c:pt>
                      <c:pt idx="15" formatCode="General">
                        <c:v>-36.595718562874254</c:v>
                      </c:pt>
                      <c:pt idx="16" formatCode="General">
                        <c:v>-35.412514970059881</c:v>
                      </c:pt>
                      <c:pt idx="17" formatCode="General">
                        <c:v>-34.377784431137727</c:v>
                      </c:pt>
                      <c:pt idx="18" formatCode="General">
                        <c:v>-33.343053892215572</c:v>
                      </c:pt>
                      <c:pt idx="19" formatCode="General">
                        <c:v>-32.308323353293417</c:v>
                      </c:pt>
                      <c:pt idx="20" formatCode="General">
                        <c:v>-31.289491017964075</c:v>
                      </c:pt>
                      <c:pt idx="21" formatCode="General">
                        <c:v>-30.396077844311378</c:v>
                      </c:pt>
                      <c:pt idx="22" formatCode="General">
                        <c:v>-29.502664670658685</c:v>
                      </c:pt>
                      <c:pt idx="23" formatCode="General">
                        <c:v>-28.609251497005989</c:v>
                      </c:pt>
                      <c:pt idx="24" formatCode="General">
                        <c:v>-27.715838323353292</c:v>
                      </c:pt>
                      <c:pt idx="25" formatCode="General">
                        <c:v>-27.464054054054053</c:v>
                      </c:pt>
                      <c:pt idx="26" formatCode="General">
                        <c:v>-27.255045045045044</c:v>
                      </c:pt>
                      <c:pt idx="27" formatCode="General">
                        <c:v>-27.046036036036035</c:v>
                      </c:pt>
                      <c:pt idx="28" formatCode="General">
                        <c:v>-26.837027027027027</c:v>
                      </c:pt>
                      <c:pt idx="29" formatCode="General">
                        <c:v>-27.03502994011976</c:v>
                      </c:pt>
                      <c:pt idx="30" formatCode="General">
                        <c:v>-27.351197604790418</c:v>
                      </c:pt>
                      <c:pt idx="31" formatCode="General">
                        <c:v>-27.667365269461076</c:v>
                      </c:pt>
                      <c:pt idx="32" formatCode="General">
                        <c:v>-27.983532934131734</c:v>
                      </c:pt>
                      <c:pt idx="33" formatCode="General">
                        <c:v>-28.296826347305387</c:v>
                      </c:pt>
                      <c:pt idx="34" formatCode="General">
                        <c:v>-28.60820359281437</c:v>
                      </c:pt>
                      <c:pt idx="35" formatCode="General">
                        <c:v>-28.919580838323352</c:v>
                      </c:pt>
                      <c:pt idx="36" formatCode="General">
                        <c:v>-29.230958083832334</c:v>
                      </c:pt>
                      <c:pt idx="37" formatCode="General">
                        <c:v>-29.540299401197604</c:v>
                      </c:pt>
                      <c:pt idx="38" formatCode="General">
                        <c:v>-29.84688622754491</c:v>
                      </c:pt>
                      <c:pt idx="39" formatCode="General">
                        <c:v>-30.153473053892217</c:v>
                      </c:pt>
                      <c:pt idx="40" formatCode="General">
                        <c:v>-30.460059880239523</c:v>
                      </c:pt>
                      <c:pt idx="41" formatCode="General">
                        <c:v>-30.7648502994012</c:v>
                      </c:pt>
                      <c:pt idx="42" formatCode="General">
                        <c:v>-31.064251497005991</c:v>
                      </c:pt>
                      <c:pt idx="43" formatCode="General">
                        <c:v>-31.363652694610781</c:v>
                      </c:pt>
                      <c:pt idx="44" formatCode="General">
                        <c:v>-31.663053892215572</c:v>
                      </c:pt>
                      <c:pt idx="45" formatCode="General">
                        <c:v>-31.961916167664672</c:v>
                      </c:pt>
                      <c:pt idx="46" formatCode="General">
                        <c:v>-32.254131736526951</c:v>
                      </c:pt>
                      <c:pt idx="47" formatCode="General">
                        <c:v>-32.546347305389219</c:v>
                      </c:pt>
                      <c:pt idx="48" formatCode="General">
                        <c:v>-32.838562874251494</c:v>
                      </c:pt>
                      <c:pt idx="49" formatCode="General">
                        <c:v>-33.130778443113769</c:v>
                      </c:pt>
                      <c:pt idx="50" formatCode="General">
                        <c:v>-33.403235955056175</c:v>
                      </c:pt>
                      <c:pt idx="51" formatCode="General">
                        <c:v>-33.673498127340821</c:v>
                      </c:pt>
                      <c:pt idx="52" formatCode="General">
                        <c:v>-33.943760299625467</c:v>
                      </c:pt>
                      <c:pt idx="53" formatCode="General">
                        <c:v>-34.214022471910113</c:v>
                      </c:pt>
                      <c:pt idx="54" formatCode="General">
                        <c:v>-34.484284644194759</c:v>
                      </c:pt>
                      <c:pt idx="55" formatCode="General">
                        <c:v>-34.754546816479397</c:v>
                      </c:pt>
                      <c:pt idx="56" formatCode="General">
                        <c:v>-35.024808988764043</c:v>
                      </c:pt>
                      <c:pt idx="57" formatCode="General">
                        <c:v>-35.295071161048689</c:v>
                      </c:pt>
                      <c:pt idx="58" formatCode="General">
                        <c:v>-35.565333333333335</c:v>
                      </c:pt>
                      <c:pt idx="59" formatCode="General">
                        <c:v>-35.835595505617981</c:v>
                      </c:pt>
                      <c:pt idx="60" formatCode="General">
                        <c:v>-36.10585767790262</c:v>
                      </c:pt>
                      <c:pt idx="61" formatCode="General">
                        <c:v>-36.376119850187266</c:v>
                      </c:pt>
                      <c:pt idx="62" formatCode="General">
                        <c:v>-36.646382022471911</c:v>
                      </c:pt>
                      <c:pt idx="63" formatCode="General">
                        <c:v>-36.916644194756557</c:v>
                      </c:pt>
                      <c:pt idx="64" formatCode="General">
                        <c:v>-37.186906367041203</c:v>
                      </c:pt>
                      <c:pt idx="65" formatCode="General">
                        <c:v>-37.457168539325849</c:v>
                      </c:pt>
                      <c:pt idx="66" formatCode="General">
                        <c:v>-37.717880149812736</c:v>
                      </c:pt>
                      <c:pt idx="67" formatCode="General">
                        <c:v>-37.943198501872665</c:v>
                      </c:pt>
                      <c:pt idx="68" formatCode="General">
                        <c:v>-38.168516853932587</c:v>
                      </c:pt>
                      <c:pt idx="69" formatCode="General">
                        <c:v>-38.393835205992509</c:v>
                      </c:pt>
                      <c:pt idx="70" formatCode="General">
                        <c:v>-38.619153558052439</c:v>
                      </c:pt>
                      <c:pt idx="71" formatCode="General">
                        <c:v>-38.844471910112361</c:v>
                      </c:pt>
                      <c:pt idx="72" formatCode="General">
                        <c:v>-39.06979026217229</c:v>
                      </c:pt>
                      <c:pt idx="73" formatCode="General">
                        <c:v>-39.295108614232213</c:v>
                      </c:pt>
                      <c:pt idx="74" formatCode="General">
                        <c:v>-39.520426966292135</c:v>
                      </c:pt>
                      <c:pt idx="75" formatCode="General">
                        <c:v>-39.745745318352064</c:v>
                      </c:pt>
                      <c:pt idx="76" formatCode="General">
                        <c:v>-39.971063670411986</c:v>
                      </c:pt>
                      <c:pt idx="77" formatCode="General">
                        <c:v>-40.196382022471909</c:v>
                      </c:pt>
                      <c:pt idx="78" formatCode="General">
                        <c:v>-40.421700374531838</c:v>
                      </c:pt>
                      <c:pt idx="79" formatCode="General">
                        <c:v>-40.64701872659176</c:v>
                      </c:pt>
                      <c:pt idx="80" formatCode="General">
                        <c:v>-40.87233707865169</c:v>
                      </c:pt>
                      <c:pt idx="81" formatCode="General">
                        <c:v>-41.097655430711612</c:v>
                      </c:pt>
                      <c:pt idx="82" formatCode="General">
                        <c:v>-41.322973782771534</c:v>
                      </c:pt>
                      <c:pt idx="83" formatCode="General">
                        <c:v>-41.521441441441439</c:v>
                      </c:pt>
                      <c:pt idx="84" formatCode="General">
                        <c:v>-41.695615615615615</c:v>
                      </c:pt>
                      <c:pt idx="85" formatCode="General">
                        <c:v>-41.869789789789792</c:v>
                      </c:pt>
                      <c:pt idx="86" formatCode="General">
                        <c:v>-42.043963963963961</c:v>
                      </c:pt>
                      <c:pt idx="87" formatCode="General">
                        <c:v>-28.733663366336632</c:v>
                      </c:pt>
                      <c:pt idx="88" formatCode="General">
                        <c:v>-28.828712871287127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4-11EF-44BA-AAAA-9AD66152902A}"/>
                  </c:ext>
                </c:extLst>
              </c15:ser>
            </c15:filteredScatterSeries>
            <c15:filteredScatterSeries>
              <c15:ser>
                <c:idx val="47"/>
                <c:order val="48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306</c:v>
                      </c:pt>
                      <c:pt idx="1">
                        <c:v>314</c:v>
                      </c:pt>
                      <c:pt idx="2">
                        <c:v>322</c:v>
                      </c:pt>
                      <c:pt idx="3">
                        <c:v>330</c:v>
                      </c:pt>
                      <c:pt idx="4">
                        <c:v>338</c:v>
                      </c:pt>
                      <c:pt idx="5">
                        <c:v>346</c:v>
                      </c:pt>
                      <c:pt idx="6">
                        <c:v>354</c:v>
                      </c:pt>
                      <c:pt idx="7">
                        <c:v>362</c:v>
                      </c:pt>
                      <c:pt idx="8">
                        <c:v>370</c:v>
                      </c:pt>
                      <c:pt idx="9">
                        <c:v>378</c:v>
                      </c:pt>
                      <c:pt idx="10">
                        <c:v>386</c:v>
                      </c:pt>
                      <c:pt idx="11">
                        <c:v>394</c:v>
                      </c:pt>
                      <c:pt idx="12">
                        <c:v>402</c:v>
                      </c:pt>
                      <c:pt idx="13">
                        <c:v>410</c:v>
                      </c:pt>
                      <c:pt idx="14">
                        <c:v>418</c:v>
                      </c:pt>
                      <c:pt idx="15">
                        <c:v>426</c:v>
                      </c:pt>
                      <c:pt idx="16">
                        <c:v>434</c:v>
                      </c:pt>
                      <c:pt idx="17">
                        <c:v>442</c:v>
                      </c:pt>
                      <c:pt idx="18">
                        <c:v>450</c:v>
                      </c:pt>
                      <c:pt idx="19">
                        <c:v>458</c:v>
                      </c:pt>
                      <c:pt idx="20">
                        <c:v>466</c:v>
                      </c:pt>
                      <c:pt idx="21">
                        <c:v>474</c:v>
                      </c:pt>
                      <c:pt idx="22">
                        <c:v>482</c:v>
                      </c:pt>
                      <c:pt idx="23">
                        <c:v>490</c:v>
                      </c:pt>
                      <c:pt idx="24">
                        <c:v>498</c:v>
                      </c:pt>
                      <c:pt idx="25">
                        <c:v>506</c:v>
                      </c:pt>
                      <c:pt idx="26">
                        <c:v>514</c:v>
                      </c:pt>
                      <c:pt idx="27">
                        <c:v>522</c:v>
                      </c:pt>
                      <c:pt idx="28">
                        <c:v>530</c:v>
                      </c:pt>
                      <c:pt idx="29">
                        <c:v>538</c:v>
                      </c:pt>
                      <c:pt idx="30">
                        <c:v>546</c:v>
                      </c:pt>
                      <c:pt idx="31">
                        <c:v>554</c:v>
                      </c:pt>
                      <c:pt idx="32">
                        <c:v>562</c:v>
                      </c:pt>
                      <c:pt idx="33">
                        <c:v>570</c:v>
                      </c:pt>
                      <c:pt idx="34">
                        <c:v>578</c:v>
                      </c:pt>
                      <c:pt idx="35">
                        <c:v>586</c:v>
                      </c:pt>
                      <c:pt idx="36">
                        <c:v>594</c:v>
                      </c:pt>
                      <c:pt idx="37">
                        <c:v>602</c:v>
                      </c:pt>
                      <c:pt idx="38">
                        <c:v>610</c:v>
                      </c:pt>
                      <c:pt idx="39">
                        <c:v>618</c:v>
                      </c:pt>
                      <c:pt idx="40">
                        <c:v>626</c:v>
                      </c:pt>
                      <c:pt idx="41">
                        <c:v>634</c:v>
                      </c:pt>
                      <c:pt idx="42">
                        <c:v>642</c:v>
                      </c:pt>
                      <c:pt idx="43">
                        <c:v>650</c:v>
                      </c:pt>
                      <c:pt idx="44">
                        <c:v>658</c:v>
                      </c:pt>
                      <c:pt idx="45">
                        <c:v>666</c:v>
                      </c:pt>
                      <c:pt idx="46">
                        <c:v>674</c:v>
                      </c:pt>
                      <c:pt idx="47">
                        <c:v>682</c:v>
                      </c:pt>
                      <c:pt idx="48">
                        <c:v>690</c:v>
                      </c:pt>
                      <c:pt idx="49">
                        <c:v>698</c:v>
                      </c:pt>
                      <c:pt idx="50">
                        <c:v>706</c:v>
                      </c:pt>
                      <c:pt idx="51">
                        <c:v>714</c:v>
                      </c:pt>
                      <c:pt idx="52">
                        <c:v>722</c:v>
                      </c:pt>
                      <c:pt idx="53">
                        <c:v>730</c:v>
                      </c:pt>
                      <c:pt idx="54">
                        <c:v>738</c:v>
                      </c:pt>
                      <c:pt idx="55">
                        <c:v>746</c:v>
                      </c:pt>
                      <c:pt idx="56">
                        <c:v>754</c:v>
                      </c:pt>
                      <c:pt idx="57">
                        <c:v>762</c:v>
                      </c:pt>
                      <c:pt idx="58">
                        <c:v>770</c:v>
                      </c:pt>
                      <c:pt idx="59">
                        <c:v>778</c:v>
                      </c:pt>
                      <c:pt idx="60">
                        <c:v>786</c:v>
                      </c:pt>
                      <c:pt idx="61">
                        <c:v>794</c:v>
                      </c:pt>
                      <c:pt idx="62">
                        <c:v>802</c:v>
                      </c:pt>
                      <c:pt idx="63">
                        <c:v>810</c:v>
                      </c:pt>
                      <c:pt idx="64">
                        <c:v>818</c:v>
                      </c:pt>
                      <c:pt idx="65">
                        <c:v>826</c:v>
                      </c:pt>
                      <c:pt idx="66">
                        <c:v>834</c:v>
                      </c:pt>
                      <c:pt idx="67">
                        <c:v>842</c:v>
                      </c:pt>
                      <c:pt idx="68">
                        <c:v>850</c:v>
                      </c:pt>
                      <c:pt idx="69">
                        <c:v>858</c:v>
                      </c:pt>
                      <c:pt idx="70">
                        <c:v>866</c:v>
                      </c:pt>
                      <c:pt idx="71">
                        <c:v>874</c:v>
                      </c:pt>
                      <c:pt idx="72">
                        <c:v>882</c:v>
                      </c:pt>
                      <c:pt idx="73">
                        <c:v>890</c:v>
                      </c:pt>
                      <c:pt idx="74">
                        <c:v>898</c:v>
                      </c:pt>
                      <c:pt idx="75">
                        <c:v>906</c:v>
                      </c:pt>
                      <c:pt idx="76">
                        <c:v>914</c:v>
                      </c:pt>
                      <c:pt idx="77">
                        <c:v>922</c:v>
                      </c:pt>
                      <c:pt idx="78">
                        <c:v>930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EVALUATION!$B$149:$CP$149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-15.512792792792792</c:v>
                      </c:pt>
                      <c:pt idx="1">
                        <c:v>-15.013093093093092</c:v>
                      </c:pt>
                      <c:pt idx="2">
                        <c:v>-14.513393393393393</c:v>
                      </c:pt>
                      <c:pt idx="3">
                        <c:v>-14.013693693693693</c:v>
                      </c:pt>
                      <c:pt idx="4" formatCode="General">
                        <c:v>-13.456826347305389</c:v>
                      </c:pt>
                      <c:pt idx="5" formatCode="General">
                        <c:v>-12.886766467065867</c:v>
                      </c:pt>
                      <c:pt idx="6" formatCode="General">
                        <c:v>-12.316706586826346</c:v>
                      </c:pt>
                      <c:pt idx="7" formatCode="General">
                        <c:v>-11.746646706586823</c:v>
                      </c:pt>
                      <c:pt idx="8" formatCode="General">
                        <c:v>-11.204988023952094</c:v>
                      </c:pt>
                      <c:pt idx="9" formatCode="General">
                        <c:v>-10.679479041916167</c:v>
                      </c:pt>
                      <c:pt idx="10" formatCode="General">
                        <c:v>-10.153970059880239</c:v>
                      </c:pt>
                      <c:pt idx="11" formatCode="General">
                        <c:v>-9.628461077844312</c:v>
                      </c:pt>
                      <c:pt idx="12" formatCode="General">
                        <c:v>-9.1539101796407198</c:v>
                      </c:pt>
                      <c:pt idx="13" formatCode="General">
                        <c:v>-8.7385808383233528</c:v>
                      </c:pt>
                      <c:pt idx="14" formatCode="General">
                        <c:v>-8.3232514970059874</c:v>
                      </c:pt>
                      <c:pt idx="15" formatCode="General">
                        <c:v>-7.9079221556886221</c:v>
                      </c:pt>
                      <c:pt idx="16" formatCode="General">
                        <c:v>-7.5390748502994009</c:v>
                      </c:pt>
                      <c:pt idx="17" formatCode="General">
                        <c:v>-7.2854221556886225</c:v>
                      </c:pt>
                      <c:pt idx="18" formatCode="General">
                        <c:v>-7.031769461077845</c:v>
                      </c:pt>
                      <c:pt idx="19" formatCode="General">
                        <c:v>-6.7781167664670665</c:v>
                      </c:pt>
                      <c:pt idx="20" formatCode="General">
                        <c:v>-6.5428413173652693</c:v>
                      </c:pt>
                      <c:pt idx="21" formatCode="General">
                        <c:v>-6.4525419161676645</c:v>
                      </c:pt>
                      <c:pt idx="22" formatCode="General">
                        <c:v>-6.3622425149700597</c:v>
                      </c:pt>
                      <c:pt idx="23" formatCode="General">
                        <c:v>-6.2719431137724548</c:v>
                      </c:pt>
                      <c:pt idx="24" formatCode="General">
                        <c:v>-6.18164371257485</c:v>
                      </c:pt>
                      <c:pt idx="25" formatCode="General">
                        <c:v>-6.3239729729729737</c:v>
                      </c:pt>
                      <c:pt idx="26" formatCode="General">
                        <c:v>-6.4818108108108117</c:v>
                      </c:pt>
                      <c:pt idx="27" formatCode="General">
                        <c:v>-6.6396486486486497</c:v>
                      </c:pt>
                      <c:pt idx="28" formatCode="General">
                        <c:v>-6.7974864864864877</c:v>
                      </c:pt>
                      <c:pt idx="29" formatCode="General">
                        <c:v>-6.8348562874251497</c:v>
                      </c:pt>
                      <c:pt idx="30" formatCode="General">
                        <c:v>-6.8372514970059886</c:v>
                      </c:pt>
                      <c:pt idx="31" formatCode="General">
                        <c:v>-6.8396467065868265</c:v>
                      </c:pt>
                      <c:pt idx="32" formatCode="General">
                        <c:v>-6.8420419161676644</c:v>
                      </c:pt>
                      <c:pt idx="33" formatCode="General">
                        <c:v>-6.8517664670658682</c:v>
                      </c:pt>
                      <c:pt idx="34" formatCode="General">
                        <c:v>-6.866377245508982</c:v>
                      </c:pt>
                      <c:pt idx="35" formatCode="General">
                        <c:v>-6.8809880239520957</c:v>
                      </c:pt>
                      <c:pt idx="36" formatCode="General">
                        <c:v>-6.8955988023952095</c:v>
                      </c:pt>
                      <c:pt idx="37" formatCode="General">
                        <c:v>-6.911838323353293</c:v>
                      </c:pt>
                      <c:pt idx="38" formatCode="General">
                        <c:v>-6.930281437125748</c:v>
                      </c:pt>
                      <c:pt idx="39" formatCode="General">
                        <c:v>-6.9487245508982038</c:v>
                      </c:pt>
                      <c:pt idx="40" formatCode="General">
                        <c:v>-6.9671676646706588</c:v>
                      </c:pt>
                      <c:pt idx="41" formatCode="General">
                        <c:v>-6.9858502994011973</c:v>
                      </c:pt>
                      <c:pt idx="42" formatCode="General">
                        <c:v>-7.0052514970059878</c:v>
                      </c:pt>
                      <c:pt idx="43" formatCode="General">
                        <c:v>-7.0246526946107783</c:v>
                      </c:pt>
                      <c:pt idx="44" formatCode="General">
                        <c:v>-7.0440538922155689</c:v>
                      </c:pt>
                      <c:pt idx="45" formatCode="General">
                        <c:v>-7.0634550898203594</c:v>
                      </c:pt>
                      <c:pt idx="46" formatCode="General">
                        <c:v>-7.0828562874251499</c:v>
                      </c:pt>
                      <c:pt idx="47" formatCode="General">
                        <c:v>-7.1022574850299405</c:v>
                      </c:pt>
                      <c:pt idx="48" formatCode="General">
                        <c:v>-7.1216586826347301</c:v>
                      </c:pt>
                      <c:pt idx="49" formatCode="General">
                        <c:v>-7.1410598802395207</c:v>
                      </c:pt>
                      <c:pt idx="50" formatCode="General">
                        <c:v>-7.1602584269662923</c:v>
                      </c:pt>
                      <c:pt idx="51" formatCode="General">
                        <c:v>-7.1794344569288393</c:v>
                      </c:pt>
                      <c:pt idx="52" formatCode="General">
                        <c:v>-7.1986104868913854</c:v>
                      </c:pt>
                      <c:pt idx="53" formatCode="General">
                        <c:v>-7.2177865168539324</c:v>
                      </c:pt>
                      <c:pt idx="54" formatCode="General">
                        <c:v>-7.2369625468164793</c:v>
                      </c:pt>
                      <c:pt idx="55" formatCode="General">
                        <c:v>-7.2561385767790263</c:v>
                      </c:pt>
                      <c:pt idx="56" formatCode="General">
                        <c:v>-7.2753146067415733</c:v>
                      </c:pt>
                      <c:pt idx="57" formatCode="General">
                        <c:v>-7.2944906367041202</c:v>
                      </c:pt>
                      <c:pt idx="58" formatCode="General">
                        <c:v>-7.3136666666666663</c:v>
                      </c:pt>
                      <c:pt idx="59" formatCode="General">
                        <c:v>-7.3328426966292133</c:v>
                      </c:pt>
                      <c:pt idx="60" formatCode="General">
                        <c:v>-7.3520187265917603</c:v>
                      </c:pt>
                      <c:pt idx="61" formatCode="General">
                        <c:v>-7.3711947565543072</c:v>
                      </c:pt>
                      <c:pt idx="62" formatCode="General">
                        <c:v>-7.3903707865168542</c:v>
                      </c:pt>
                      <c:pt idx="63" formatCode="General">
                        <c:v>-7.4095468164794012</c:v>
                      </c:pt>
                      <c:pt idx="64" formatCode="General">
                        <c:v>-7.4287228464419481</c:v>
                      </c:pt>
                      <c:pt idx="65" formatCode="General">
                        <c:v>-7.4478988764044942</c:v>
                      </c:pt>
                      <c:pt idx="66" formatCode="General">
                        <c:v>-7.4668456928838953</c:v>
                      </c:pt>
                      <c:pt idx="67" formatCode="General">
                        <c:v>-7.484943071161049</c:v>
                      </c:pt>
                      <c:pt idx="68" formatCode="General">
                        <c:v>-7.5030404494382026</c:v>
                      </c:pt>
                      <c:pt idx="69" formatCode="General">
                        <c:v>-7.5211378277153562</c:v>
                      </c:pt>
                      <c:pt idx="70" formatCode="General">
                        <c:v>-7.5392352059925098</c:v>
                      </c:pt>
                      <c:pt idx="71" formatCode="General">
                        <c:v>-7.5573325842696626</c:v>
                      </c:pt>
                      <c:pt idx="72" formatCode="General">
                        <c:v>-7.5754299625468162</c:v>
                      </c:pt>
                      <c:pt idx="73" formatCode="General">
                        <c:v>-7.5935273408239699</c:v>
                      </c:pt>
                      <c:pt idx="74" formatCode="General">
                        <c:v>-7.6116247191011235</c:v>
                      </c:pt>
                      <c:pt idx="75" formatCode="General">
                        <c:v>-7.6297220973782771</c:v>
                      </c:pt>
                      <c:pt idx="76" formatCode="General">
                        <c:v>-7.6478194756554307</c:v>
                      </c:pt>
                      <c:pt idx="77" formatCode="General">
                        <c:v>-7.6659168539325844</c:v>
                      </c:pt>
                      <c:pt idx="78" formatCode="General">
                        <c:v>-7.684014232209738</c:v>
                      </c:pt>
                      <c:pt idx="79" formatCode="General">
                        <c:v>-7.7021116104868916</c:v>
                      </c:pt>
                      <c:pt idx="80" formatCode="General">
                        <c:v>-7.7202089887640444</c:v>
                      </c:pt>
                      <c:pt idx="81" formatCode="General">
                        <c:v>-7.738306367041198</c:v>
                      </c:pt>
                      <c:pt idx="82" formatCode="General">
                        <c:v>-7.7564037453183516</c:v>
                      </c:pt>
                      <c:pt idx="83" formatCode="General">
                        <c:v>-7.7739234234234234</c:v>
                      </c:pt>
                      <c:pt idx="84" formatCode="General">
                        <c:v>-7.7909204204204201</c:v>
                      </c:pt>
                      <c:pt idx="85" formatCode="General">
                        <c:v>-7.8079174174174168</c:v>
                      </c:pt>
                      <c:pt idx="86" formatCode="General">
                        <c:v>-7.8249144144144145</c:v>
                      </c:pt>
                      <c:pt idx="87" formatCode="General">
                        <c:v>-28.733663366336632</c:v>
                      </c:pt>
                      <c:pt idx="88" formatCode="General">
                        <c:v>-28.828712871287127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5-11EF-44BA-AAAA-9AD66152902A}"/>
                  </c:ext>
                </c:extLst>
              </c15:ser>
            </c15:filteredScatterSeries>
            <c15:filteredScatterSeries>
              <c15:ser>
                <c:idx val="48"/>
                <c:order val="49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306</c:v>
                      </c:pt>
                      <c:pt idx="1">
                        <c:v>314</c:v>
                      </c:pt>
                      <c:pt idx="2">
                        <c:v>322</c:v>
                      </c:pt>
                      <c:pt idx="3">
                        <c:v>330</c:v>
                      </c:pt>
                      <c:pt idx="4">
                        <c:v>338</c:v>
                      </c:pt>
                      <c:pt idx="5">
                        <c:v>346</c:v>
                      </c:pt>
                      <c:pt idx="6">
                        <c:v>354</c:v>
                      </c:pt>
                      <c:pt idx="7">
                        <c:v>362</c:v>
                      </c:pt>
                      <c:pt idx="8">
                        <c:v>370</c:v>
                      </c:pt>
                      <c:pt idx="9">
                        <c:v>378</c:v>
                      </c:pt>
                      <c:pt idx="10">
                        <c:v>386</c:v>
                      </c:pt>
                      <c:pt idx="11">
                        <c:v>394</c:v>
                      </c:pt>
                      <c:pt idx="12">
                        <c:v>402</c:v>
                      </c:pt>
                      <c:pt idx="13">
                        <c:v>410</c:v>
                      </c:pt>
                      <c:pt idx="14">
                        <c:v>418</c:v>
                      </c:pt>
                      <c:pt idx="15">
                        <c:v>426</c:v>
                      </c:pt>
                      <c:pt idx="16">
                        <c:v>434</c:v>
                      </c:pt>
                      <c:pt idx="17">
                        <c:v>442</c:v>
                      </c:pt>
                      <c:pt idx="18">
                        <c:v>450</c:v>
                      </c:pt>
                      <c:pt idx="19">
                        <c:v>458</c:v>
                      </c:pt>
                      <c:pt idx="20">
                        <c:v>466</c:v>
                      </c:pt>
                      <c:pt idx="21">
                        <c:v>474</c:v>
                      </c:pt>
                      <c:pt idx="22">
                        <c:v>482</c:v>
                      </c:pt>
                      <c:pt idx="23">
                        <c:v>490</c:v>
                      </c:pt>
                      <c:pt idx="24">
                        <c:v>498</c:v>
                      </c:pt>
                      <c:pt idx="25">
                        <c:v>506</c:v>
                      </c:pt>
                      <c:pt idx="26">
                        <c:v>514</c:v>
                      </c:pt>
                      <c:pt idx="27">
                        <c:v>522</c:v>
                      </c:pt>
                      <c:pt idx="28">
                        <c:v>530</c:v>
                      </c:pt>
                      <c:pt idx="29">
                        <c:v>538</c:v>
                      </c:pt>
                      <c:pt idx="30">
                        <c:v>546</c:v>
                      </c:pt>
                      <c:pt idx="31">
                        <c:v>554</c:v>
                      </c:pt>
                      <c:pt idx="32">
                        <c:v>562</c:v>
                      </c:pt>
                      <c:pt idx="33">
                        <c:v>570</c:v>
                      </c:pt>
                      <c:pt idx="34">
                        <c:v>578</c:v>
                      </c:pt>
                      <c:pt idx="35">
                        <c:v>586</c:v>
                      </c:pt>
                      <c:pt idx="36">
                        <c:v>594</c:v>
                      </c:pt>
                      <c:pt idx="37">
                        <c:v>602</c:v>
                      </c:pt>
                      <c:pt idx="38">
                        <c:v>610</c:v>
                      </c:pt>
                      <c:pt idx="39">
                        <c:v>618</c:v>
                      </c:pt>
                      <c:pt idx="40">
                        <c:v>626</c:v>
                      </c:pt>
                      <c:pt idx="41">
                        <c:v>634</c:v>
                      </c:pt>
                      <c:pt idx="42">
                        <c:v>642</c:v>
                      </c:pt>
                      <c:pt idx="43">
                        <c:v>650</c:v>
                      </c:pt>
                      <c:pt idx="44">
                        <c:v>658</c:v>
                      </c:pt>
                      <c:pt idx="45">
                        <c:v>666</c:v>
                      </c:pt>
                      <c:pt idx="46">
                        <c:v>674</c:v>
                      </c:pt>
                      <c:pt idx="47">
                        <c:v>682</c:v>
                      </c:pt>
                      <c:pt idx="48">
                        <c:v>690</c:v>
                      </c:pt>
                      <c:pt idx="49">
                        <c:v>698</c:v>
                      </c:pt>
                      <c:pt idx="50">
                        <c:v>706</c:v>
                      </c:pt>
                      <c:pt idx="51">
                        <c:v>714</c:v>
                      </c:pt>
                      <c:pt idx="52">
                        <c:v>722</c:v>
                      </c:pt>
                      <c:pt idx="53">
                        <c:v>730</c:v>
                      </c:pt>
                      <c:pt idx="54">
                        <c:v>738</c:v>
                      </c:pt>
                      <c:pt idx="55">
                        <c:v>746</c:v>
                      </c:pt>
                      <c:pt idx="56">
                        <c:v>754</c:v>
                      </c:pt>
                      <c:pt idx="57">
                        <c:v>762</c:v>
                      </c:pt>
                      <c:pt idx="58">
                        <c:v>770</c:v>
                      </c:pt>
                      <c:pt idx="59">
                        <c:v>778</c:v>
                      </c:pt>
                      <c:pt idx="60">
                        <c:v>786</c:v>
                      </c:pt>
                      <c:pt idx="61">
                        <c:v>794</c:v>
                      </c:pt>
                      <c:pt idx="62">
                        <c:v>802</c:v>
                      </c:pt>
                      <c:pt idx="63">
                        <c:v>810</c:v>
                      </c:pt>
                      <c:pt idx="64">
                        <c:v>818</c:v>
                      </c:pt>
                      <c:pt idx="65">
                        <c:v>826</c:v>
                      </c:pt>
                      <c:pt idx="66">
                        <c:v>834</c:v>
                      </c:pt>
                      <c:pt idx="67">
                        <c:v>842</c:v>
                      </c:pt>
                      <c:pt idx="68">
                        <c:v>850</c:v>
                      </c:pt>
                      <c:pt idx="69">
                        <c:v>858</c:v>
                      </c:pt>
                      <c:pt idx="70">
                        <c:v>866</c:v>
                      </c:pt>
                      <c:pt idx="71">
                        <c:v>874</c:v>
                      </c:pt>
                      <c:pt idx="72">
                        <c:v>882</c:v>
                      </c:pt>
                      <c:pt idx="73">
                        <c:v>890</c:v>
                      </c:pt>
                      <c:pt idx="74">
                        <c:v>898</c:v>
                      </c:pt>
                      <c:pt idx="75">
                        <c:v>906</c:v>
                      </c:pt>
                      <c:pt idx="76">
                        <c:v>914</c:v>
                      </c:pt>
                      <c:pt idx="77">
                        <c:v>922</c:v>
                      </c:pt>
                      <c:pt idx="78">
                        <c:v>930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EVALUATION!$B$150:$CP$150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-21.943243243243245</c:v>
                      </c:pt>
                      <c:pt idx="1">
                        <c:v>-21.741441441441442</c:v>
                      </c:pt>
                      <c:pt idx="2">
                        <c:v>-21.539639639639642</c:v>
                      </c:pt>
                      <c:pt idx="3">
                        <c:v>-21.337837837837839</c:v>
                      </c:pt>
                      <c:pt idx="4" formatCode="General">
                        <c:v>-21.317514970059882</c:v>
                      </c:pt>
                      <c:pt idx="5" formatCode="General">
                        <c:v>-21.339071856287426</c:v>
                      </c:pt>
                      <c:pt idx="6" formatCode="General">
                        <c:v>-21.360628742514972</c:v>
                      </c:pt>
                      <c:pt idx="7" formatCode="General">
                        <c:v>-21.382185628742516</c:v>
                      </c:pt>
                      <c:pt idx="8" formatCode="General">
                        <c:v>-21.452604790419162</c:v>
                      </c:pt>
                      <c:pt idx="9" formatCode="General">
                        <c:v>-21.550808383233534</c:v>
                      </c:pt>
                      <c:pt idx="10" formatCode="General">
                        <c:v>-21.649011976047905</c:v>
                      </c:pt>
                      <c:pt idx="11" formatCode="General">
                        <c:v>-21.747215568862277</c:v>
                      </c:pt>
                      <c:pt idx="12" formatCode="General">
                        <c:v>-21.843203592814373</c:v>
                      </c:pt>
                      <c:pt idx="13" formatCode="General">
                        <c:v>-21.936616766467068</c:v>
                      </c:pt>
                      <c:pt idx="14" formatCode="General">
                        <c:v>-22.030029940119761</c:v>
                      </c:pt>
                      <c:pt idx="15" formatCode="General">
                        <c:v>-22.123443113772456</c:v>
                      </c:pt>
                      <c:pt idx="16" formatCode="General">
                        <c:v>-22.209970059880241</c:v>
                      </c:pt>
                      <c:pt idx="17" formatCode="General">
                        <c:v>-22.279431137724551</c:v>
                      </c:pt>
                      <c:pt idx="18" formatCode="General">
                        <c:v>-22.348892215568863</c:v>
                      </c:pt>
                      <c:pt idx="19" formatCode="General">
                        <c:v>-22.418353293413173</c:v>
                      </c:pt>
                      <c:pt idx="20" formatCode="General">
                        <c:v>-22.488353293413173</c:v>
                      </c:pt>
                      <c:pt idx="21" formatCode="General">
                        <c:v>-22.562604790419162</c:v>
                      </c:pt>
                      <c:pt idx="22" formatCode="General">
                        <c:v>-22.63685628742515</c:v>
                      </c:pt>
                      <c:pt idx="23" formatCode="General">
                        <c:v>-22.711107784431139</c:v>
                      </c:pt>
                      <c:pt idx="24" formatCode="General">
                        <c:v>-22.785359281437124</c:v>
                      </c:pt>
                      <c:pt idx="25" formatCode="General">
                        <c:v>-22.846306306306307</c:v>
                      </c:pt>
                      <c:pt idx="26" formatCode="General">
                        <c:v>-22.906366366366367</c:v>
                      </c:pt>
                      <c:pt idx="27" formatCode="General">
                        <c:v>-22.966426426426427</c:v>
                      </c:pt>
                      <c:pt idx="28" formatCode="General">
                        <c:v>-23.026486486486487</c:v>
                      </c:pt>
                      <c:pt idx="29" formatCode="General">
                        <c:v>-23.130958083832336</c:v>
                      </c:pt>
                      <c:pt idx="30" formatCode="General">
                        <c:v>-23.248323353293415</c:v>
                      </c:pt>
                      <c:pt idx="31" formatCode="General">
                        <c:v>-23.36568862275449</c:v>
                      </c:pt>
                      <c:pt idx="32" formatCode="General">
                        <c:v>-23.483053892215569</c:v>
                      </c:pt>
                      <c:pt idx="33" formatCode="General">
                        <c:v>-23.60185628742515</c:v>
                      </c:pt>
                      <c:pt idx="34" formatCode="General">
                        <c:v>-23.721616766467065</c:v>
                      </c:pt>
                      <c:pt idx="35" formatCode="General">
                        <c:v>-23.841377245508983</c:v>
                      </c:pt>
                      <c:pt idx="36" formatCode="General">
                        <c:v>-23.961137724550898</c:v>
                      </c:pt>
                      <c:pt idx="37" formatCode="General">
                        <c:v>-24.078862275449104</c:v>
                      </c:pt>
                      <c:pt idx="38" formatCode="General">
                        <c:v>-24.193832335329343</c:v>
                      </c:pt>
                      <c:pt idx="39" formatCode="General">
                        <c:v>-24.308802395209582</c:v>
                      </c:pt>
                      <c:pt idx="40" formatCode="General">
                        <c:v>-24.423772455089821</c:v>
                      </c:pt>
                      <c:pt idx="41" formatCode="General">
                        <c:v>-24.53874251497006</c:v>
                      </c:pt>
                      <c:pt idx="42" formatCode="General">
                        <c:v>-24.653712574850299</c:v>
                      </c:pt>
                      <c:pt idx="43" formatCode="General">
                        <c:v>-24.768682634730538</c:v>
                      </c:pt>
                      <c:pt idx="44" formatCode="General">
                        <c:v>-24.883652694610777</c:v>
                      </c:pt>
                      <c:pt idx="45" formatCode="General">
                        <c:v>-24.998622754491016</c:v>
                      </c:pt>
                      <c:pt idx="46" formatCode="General">
                        <c:v>-25.113592814371255</c:v>
                      </c:pt>
                      <c:pt idx="47" formatCode="General">
                        <c:v>-25.228562874251494</c:v>
                      </c:pt>
                      <c:pt idx="48" formatCode="General">
                        <c:v>-25.343532934131737</c:v>
                      </c:pt>
                      <c:pt idx="49" formatCode="General">
                        <c:v>-25.458502994011976</c:v>
                      </c:pt>
                      <c:pt idx="50" formatCode="General">
                        <c:v>-25.567617977528091</c:v>
                      </c:pt>
                      <c:pt idx="51" formatCode="General">
                        <c:v>-25.676082397003746</c:v>
                      </c:pt>
                      <c:pt idx="52" formatCode="General">
                        <c:v>-25.784546816479402</c:v>
                      </c:pt>
                      <c:pt idx="53" formatCode="General">
                        <c:v>-25.893011235955058</c:v>
                      </c:pt>
                      <c:pt idx="54" formatCode="General">
                        <c:v>-26.001475655430713</c:v>
                      </c:pt>
                      <c:pt idx="55" formatCode="General">
                        <c:v>-26.109940074906369</c:v>
                      </c:pt>
                      <c:pt idx="56" formatCode="General">
                        <c:v>-26.218404494382021</c:v>
                      </c:pt>
                      <c:pt idx="57" formatCode="General">
                        <c:v>-26.326868913857677</c:v>
                      </c:pt>
                      <c:pt idx="58" formatCode="General">
                        <c:v>-26.435333333333332</c:v>
                      </c:pt>
                      <c:pt idx="59" formatCode="General">
                        <c:v>-26.543797752808988</c:v>
                      </c:pt>
                      <c:pt idx="60" formatCode="General">
                        <c:v>-26.652262172284644</c:v>
                      </c:pt>
                      <c:pt idx="61" formatCode="General">
                        <c:v>-26.760726591760299</c:v>
                      </c:pt>
                      <c:pt idx="62" formatCode="General">
                        <c:v>-26.869191011235955</c:v>
                      </c:pt>
                      <c:pt idx="63" formatCode="General">
                        <c:v>-26.977655430711611</c:v>
                      </c:pt>
                      <c:pt idx="64" formatCode="General">
                        <c:v>-27.086119850187266</c:v>
                      </c:pt>
                      <c:pt idx="65" formatCode="General">
                        <c:v>-27.194584269662922</c:v>
                      </c:pt>
                      <c:pt idx="66" formatCode="General">
                        <c:v>-27.301902621722849</c:v>
                      </c:pt>
                      <c:pt idx="67" formatCode="General">
                        <c:v>-27.404973782771538</c:v>
                      </c:pt>
                      <c:pt idx="68" formatCode="General">
                        <c:v>-27.508044943820227</c:v>
                      </c:pt>
                      <c:pt idx="69" formatCode="General">
                        <c:v>-27.611116104868916</c:v>
                      </c:pt>
                      <c:pt idx="70" formatCode="General">
                        <c:v>-27.714187265917605</c:v>
                      </c:pt>
                      <c:pt idx="71" formatCode="General">
                        <c:v>-27.817258426966294</c:v>
                      </c:pt>
                      <c:pt idx="72" formatCode="General">
                        <c:v>-27.920329588014983</c:v>
                      </c:pt>
                      <c:pt idx="73" formatCode="General">
                        <c:v>-28.023400749063672</c:v>
                      </c:pt>
                      <c:pt idx="74" formatCode="General">
                        <c:v>-28.126471910112361</c:v>
                      </c:pt>
                      <c:pt idx="75" formatCode="General">
                        <c:v>-28.22954307116105</c:v>
                      </c:pt>
                      <c:pt idx="76" formatCode="General">
                        <c:v>-28.332614232209739</c:v>
                      </c:pt>
                      <c:pt idx="77" formatCode="General">
                        <c:v>-28.435685393258428</c:v>
                      </c:pt>
                      <c:pt idx="78" formatCode="General">
                        <c:v>-28.538756554307117</c:v>
                      </c:pt>
                      <c:pt idx="79" formatCode="General">
                        <c:v>-28.641827715355806</c:v>
                      </c:pt>
                      <c:pt idx="80" formatCode="General">
                        <c:v>-28.744898876404495</c:v>
                      </c:pt>
                      <c:pt idx="81" formatCode="General">
                        <c:v>-28.847970037453184</c:v>
                      </c:pt>
                      <c:pt idx="82" formatCode="General">
                        <c:v>-28.951041198501873</c:v>
                      </c:pt>
                      <c:pt idx="83" formatCode="General">
                        <c:v>-29.051396396396395</c:v>
                      </c:pt>
                      <c:pt idx="84" formatCode="General">
                        <c:v>-29.149294294294293</c:v>
                      </c:pt>
                      <c:pt idx="85" formatCode="General">
                        <c:v>-29.247192192192191</c:v>
                      </c:pt>
                      <c:pt idx="86" formatCode="General">
                        <c:v>-29.345090090090089</c:v>
                      </c:pt>
                      <c:pt idx="87" formatCode="General">
                        <c:v>-7.3468118811881187</c:v>
                      </c:pt>
                      <c:pt idx="88" formatCode="General">
                        <c:v>-7.3646336633663365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6-11EF-44BA-AAAA-9AD66152902A}"/>
                  </c:ext>
                </c:extLst>
              </c15:ser>
            </c15:filteredScatterSeries>
            <c15:filteredScatterSeries>
              <c15:ser>
                <c:idx val="49"/>
                <c:order val="50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306</c:v>
                      </c:pt>
                      <c:pt idx="1">
                        <c:v>314</c:v>
                      </c:pt>
                      <c:pt idx="2">
                        <c:v>322</c:v>
                      </c:pt>
                      <c:pt idx="3">
                        <c:v>330</c:v>
                      </c:pt>
                      <c:pt idx="4">
                        <c:v>338</c:v>
                      </c:pt>
                      <c:pt idx="5">
                        <c:v>346</c:v>
                      </c:pt>
                      <c:pt idx="6">
                        <c:v>354</c:v>
                      </c:pt>
                      <c:pt idx="7">
                        <c:v>362</c:v>
                      </c:pt>
                      <c:pt idx="8">
                        <c:v>370</c:v>
                      </c:pt>
                      <c:pt idx="9">
                        <c:v>378</c:v>
                      </c:pt>
                      <c:pt idx="10">
                        <c:v>386</c:v>
                      </c:pt>
                      <c:pt idx="11">
                        <c:v>394</c:v>
                      </c:pt>
                      <c:pt idx="12">
                        <c:v>402</c:v>
                      </c:pt>
                      <c:pt idx="13">
                        <c:v>410</c:v>
                      </c:pt>
                      <c:pt idx="14">
                        <c:v>418</c:v>
                      </c:pt>
                      <c:pt idx="15">
                        <c:v>426</c:v>
                      </c:pt>
                      <c:pt idx="16">
                        <c:v>434</c:v>
                      </c:pt>
                      <c:pt idx="17">
                        <c:v>442</c:v>
                      </c:pt>
                      <c:pt idx="18">
                        <c:v>450</c:v>
                      </c:pt>
                      <c:pt idx="19">
                        <c:v>458</c:v>
                      </c:pt>
                      <c:pt idx="20">
                        <c:v>466</c:v>
                      </c:pt>
                      <c:pt idx="21">
                        <c:v>474</c:v>
                      </c:pt>
                      <c:pt idx="22">
                        <c:v>482</c:v>
                      </c:pt>
                      <c:pt idx="23">
                        <c:v>490</c:v>
                      </c:pt>
                      <c:pt idx="24">
                        <c:v>498</c:v>
                      </c:pt>
                      <c:pt idx="25">
                        <c:v>506</c:v>
                      </c:pt>
                      <c:pt idx="26">
                        <c:v>514</c:v>
                      </c:pt>
                      <c:pt idx="27">
                        <c:v>522</c:v>
                      </c:pt>
                      <c:pt idx="28">
                        <c:v>530</c:v>
                      </c:pt>
                      <c:pt idx="29">
                        <c:v>538</c:v>
                      </c:pt>
                      <c:pt idx="30">
                        <c:v>546</c:v>
                      </c:pt>
                      <c:pt idx="31">
                        <c:v>554</c:v>
                      </c:pt>
                      <c:pt idx="32">
                        <c:v>562</c:v>
                      </c:pt>
                      <c:pt idx="33">
                        <c:v>570</c:v>
                      </c:pt>
                      <c:pt idx="34">
                        <c:v>578</c:v>
                      </c:pt>
                      <c:pt idx="35">
                        <c:v>586</c:v>
                      </c:pt>
                      <c:pt idx="36">
                        <c:v>594</c:v>
                      </c:pt>
                      <c:pt idx="37">
                        <c:v>602</c:v>
                      </c:pt>
                      <c:pt idx="38">
                        <c:v>610</c:v>
                      </c:pt>
                      <c:pt idx="39">
                        <c:v>618</c:v>
                      </c:pt>
                      <c:pt idx="40">
                        <c:v>626</c:v>
                      </c:pt>
                      <c:pt idx="41">
                        <c:v>634</c:v>
                      </c:pt>
                      <c:pt idx="42">
                        <c:v>642</c:v>
                      </c:pt>
                      <c:pt idx="43">
                        <c:v>650</c:v>
                      </c:pt>
                      <c:pt idx="44">
                        <c:v>658</c:v>
                      </c:pt>
                      <c:pt idx="45">
                        <c:v>666</c:v>
                      </c:pt>
                      <c:pt idx="46">
                        <c:v>674</c:v>
                      </c:pt>
                      <c:pt idx="47">
                        <c:v>682</c:v>
                      </c:pt>
                      <c:pt idx="48">
                        <c:v>690</c:v>
                      </c:pt>
                      <c:pt idx="49">
                        <c:v>698</c:v>
                      </c:pt>
                      <c:pt idx="50">
                        <c:v>706</c:v>
                      </c:pt>
                      <c:pt idx="51">
                        <c:v>714</c:v>
                      </c:pt>
                      <c:pt idx="52">
                        <c:v>722</c:v>
                      </c:pt>
                      <c:pt idx="53">
                        <c:v>730</c:v>
                      </c:pt>
                      <c:pt idx="54">
                        <c:v>738</c:v>
                      </c:pt>
                      <c:pt idx="55">
                        <c:v>746</c:v>
                      </c:pt>
                      <c:pt idx="56">
                        <c:v>754</c:v>
                      </c:pt>
                      <c:pt idx="57">
                        <c:v>762</c:v>
                      </c:pt>
                      <c:pt idx="58">
                        <c:v>770</c:v>
                      </c:pt>
                      <c:pt idx="59">
                        <c:v>778</c:v>
                      </c:pt>
                      <c:pt idx="60">
                        <c:v>786</c:v>
                      </c:pt>
                      <c:pt idx="61">
                        <c:v>794</c:v>
                      </c:pt>
                      <c:pt idx="62">
                        <c:v>802</c:v>
                      </c:pt>
                      <c:pt idx="63">
                        <c:v>810</c:v>
                      </c:pt>
                      <c:pt idx="64">
                        <c:v>818</c:v>
                      </c:pt>
                      <c:pt idx="65">
                        <c:v>826</c:v>
                      </c:pt>
                      <c:pt idx="66">
                        <c:v>834</c:v>
                      </c:pt>
                      <c:pt idx="67">
                        <c:v>842</c:v>
                      </c:pt>
                      <c:pt idx="68">
                        <c:v>850</c:v>
                      </c:pt>
                      <c:pt idx="69">
                        <c:v>858</c:v>
                      </c:pt>
                      <c:pt idx="70">
                        <c:v>866</c:v>
                      </c:pt>
                      <c:pt idx="71">
                        <c:v>874</c:v>
                      </c:pt>
                      <c:pt idx="72">
                        <c:v>882</c:v>
                      </c:pt>
                      <c:pt idx="73">
                        <c:v>890</c:v>
                      </c:pt>
                      <c:pt idx="74">
                        <c:v>898</c:v>
                      </c:pt>
                      <c:pt idx="75">
                        <c:v>906</c:v>
                      </c:pt>
                      <c:pt idx="76">
                        <c:v>914</c:v>
                      </c:pt>
                      <c:pt idx="77">
                        <c:v>922</c:v>
                      </c:pt>
                      <c:pt idx="78">
                        <c:v>930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EVALUATION!$B$151:$CP$151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7-11EF-44BA-AAAA-9AD66152902A}"/>
                  </c:ext>
                </c:extLst>
              </c15:ser>
            </c15:filteredScatterSeries>
            <c15:filteredScatterSeries>
              <c15:ser>
                <c:idx val="50"/>
                <c:order val="51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306</c:v>
                      </c:pt>
                      <c:pt idx="1">
                        <c:v>314</c:v>
                      </c:pt>
                      <c:pt idx="2">
                        <c:v>322</c:v>
                      </c:pt>
                      <c:pt idx="3">
                        <c:v>330</c:v>
                      </c:pt>
                      <c:pt idx="4">
                        <c:v>338</c:v>
                      </c:pt>
                      <c:pt idx="5">
                        <c:v>346</c:v>
                      </c:pt>
                      <c:pt idx="6">
                        <c:v>354</c:v>
                      </c:pt>
                      <c:pt idx="7">
                        <c:v>362</c:v>
                      </c:pt>
                      <c:pt idx="8">
                        <c:v>370</c:v>
                      </c:pt>
                      <c:pt idx="9">
                        <c:v>378</c:v>
                      </c:pt>
                      <c:pt idx="10">
                        <c:v>386</c:v>
                      </c:pt>
                      <c:pt idx="11">
                        <c:v>394</c:v>
                      </c:pt>
                      <c:pt idx="12">
                        <c:v>402</c:v>
                      </c:pt>
                      <c:pt idx="13">
                        <c:v>410</c:v>
                      </c:pt>
                      <c:pt idx="14">
                        <c:v>418</c:v>
                      </c:pt>
                      <c:pt idx="15">
                        <c:v>426</c:v>
                      </c:pt>
                      <c:pt idx="16">
                        <c:v>434</c:v>
                      </c:pt>
                      <c:pt idx="17">
                        <c:v>442</c:v>
                      </c:pt>
                      <c:pt idx="18">
                        <c:v>450</c:v>
                      </c:pt>
                      <c:pt idx="19">
                        <c:v>458</c:v>
                      </c:pt>
                      <c:pt idx="20">
                        <c:v>466</c:v>
                      </c:pt>
                      <c:pt idx="21">
                        <c:v>474</c:v>
                      </c:pt>
                      <c:pt idx="22">
                        <c:v>482</c:v>
                      </c:pt>
                      <c:pt idx="23">
                        <c:v>490</c:v>
                      </c:pt>
                      <c:pt idx="24">
                        <c:v>498</c:v>
                      </c:pt>
                      <c:pt idx="25">
                        <c:v>506</c:v>
                      </c:pt>
                      <c:pt idx="26">
                        <c:v>514</c:v>
                      </c:pt>
                      <c:pt idx="27">
                        <c:v>522</c:v>
                      </c:pt>
                      <c:pt idx="28">
                        <c:v>530</c:v>
                      </c:pt>
                      <c:pt idx="29">
                        <c:v>538</c:v>
                      </c:pt>
                      <c:pt idx="30">
                        <c:v>546</c:v>
                      </c:pt>
                      <c:pt idx="31">
                        <c:v>554</c:v>
                      </c:pt>
                      <c:pt idx="32">
                        <c:v>562</c:v>
                      </c:pt>
                      <c:pt idx="33">
                        <c:v>570</c:v>
                      </c:pt>
                      <c:pt idx="34">
                        <c:v>578</c:v>
                      </c:pt>
                      <c:pt idx="35">
                        <c:v>586</c:v>
                      </c:pt>
                      <c:pt idx="36">
                        <c:v>594</c:v>
                      </c:pt>
                      <c:pt idx="37">
                        <c:v>602</c:v>
                      </c:pt>
                      <c:pt idx="38">
                        <c:v>610</c:v>
                      </c:pt>
                      <c:pt idx="39">
                        <c:v>618</c:v>
                      </c:pt>
                      <c:pt idx="40">
                        <c:v>626</c:v>
                      </c:pt>
                      <c:pt idx="41">
                        <c:v>634</c:v>
                      </c:pt>
                      <c:pt idx="42">
                        <c:v>642</c:v>
                      </c:pt>
                      <c:pt idx="43">
                        <c:v>650</c:v>
                      </c:pt>
                      <c:pt idx="44">
                        <c:v>658</c:v>
                      </c:pt>
                      <c:pt idx="45">
                        <c:v>666</c:v>
                      </c:pt>
                      <c:pt idx="46">
                        <c:v>674</c:v>
                      </c:pt>
                      <c:pt idx="47">
                        <c:v>682</c:v>
                      </c:pt>
                      <c:pt idx="48">
                        <c:v>690</c:v>
                      </c:pt>
                      <c:pt idx="49">
                        <c:v>698</c:v>
                      </c:pt>
                      <c:pt idx="50">
                        <c:v>706</c:v>
                      </c:pt>
                      <c:pt idx="51">
                        <c:v>714</c:v>
                      </c:pt>
                      <c:pt idx="52">
                        <c:v>722</c:v>
                      </c:pt>
                      <c:pt idx="53">
                        <c:v>730</c:v>
                      </c:pt>
                      <c:pt idx="54">
                        <c:v>738</c:v>
                      </c:pt>
                      <c:pt idx="55">
                        <c:v>746</c:v>
                      </c:pt>
                      <c:pt idx="56">
                        <c:v>754</c:v>
                      </c:pt>
                      <c:pt idx="57">
                        <c:v>762</c:v>
                      </c:pt>
                      <c:pt idx="58">
                        <c:v>770</c:v>
                      </c:pt>
                      <c:pt idx="59">
                        <c:v>778</c:v>
                      </c:pt>
                      <c:pt idx="60">
                        <c:v>786</c:v>
                      </c:pt>
                      <c:pt idx="61">
                        <c:v>794</c:v>
                      </c:pt>
                      <c:pt idx="62">
                        <c:v>802</c:v>
                      </c:pt>
                      <c:pt idx="63">
                        <c:v>810</c:v>
                      </c:pt>
                      <c:pt idx="64">
                        <c:v>818</c:v>
                      </c:pt>
                      <c:pt idx="65">
                        <c:v>826</c:v>
                      </c:pt>
                      <c:pt idx="66">
                        <c:v>834</c:v>
                      </c:pt>
                      <c:pt idx="67">
                        <c:v>842</c:v>
                      </c:pt>
                      <c:pt idx="68">
                        <c:v>850</c:v>
                      </c:pt>
                      <c:pt idx="69">
                        <c:v>858</c:v>
                      </c:pt>
                      <c:pt idx="70">
                        <c:v>866</c:v>
                      </c:pt>
                      <c:pt idx="71">
                        <c:v>874</c:v>
                      </c:pt>
                      <c:pt idx="72">
                        <c:v>882</c:v>
                      </c:pt>
                      <c:pt idx="73">
                        <c:v>890</c:v>
                      </c:pt>
                      <c:pt idx="74">
                        <c:v>898</c:v>
                      </c:pt>
                      <c:pt idx="75">
                        <c:v>906</c:v>
                      </c:pt>
                      <c:pt idx="76">
                        <c:v>914</c:v>
                      </c:pt>
                      <c:pt idx="77">
                        <c:v>922</c:v>
                      </c:pt>
                      <c:pt idx="78">
                        <c:v>930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EVALUATION!$B$152:$CP$152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8-11EF-44BA-AAAA-9AD66152902A}"/>
                  </c:ext>
                </c:extLst>
              </c15:ser>
            </c15:filteredScatterSeries>
            <c15:filteredScatterSeries>
              <c15:ser>
                <c:idx val="51"/>
                <c:order val="52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306</c:v>
                      </c:pt>
                      <c:pt idx="1">
                        <c:v>314</c:v>
                      </c:pt>
                      <c:pt idx="2">
                        <c:v>322</c:v>
                      </c:pt>
                      <c:pt idx="3">
                        <c:v>330</c:v>
                      </c:pt>
                      <c:pt idx="4">
                        <c:v>338</c:v>
                      </c:pt>
                      <c:pt idx="5">
                        <c:v>346</c:v>
                      </c:pt>
                      <c:pt idx="6">
                        <c:v>354</c:v>
                      </c:pt>
                      <c:pt idx="7">
                        <c:v>362</c:v>
                      </c:pt>
                      <c:pt idx="8">
                        <c:v>370</c:v>
                      </c:pt>
                      <c:pt idx="9">
                        <c:v>378</c:v>
                      </c:pt>
                      <c:pt idx="10">
                        <c:v>386</c:v>
                      </c:pt>
                      <c:pt idx="11">
                        <c:v>394</c:v>
                      </c:pt>
                      <c:pt idx="12">
                        <c:v>402</c:v>
                      </c:pt>
                      <c:pt idx="13">
                        <c:v>410</c:v>
                      </c:pt>
                      <c:pt idx="14">
                        <c:v>418</c:v>
                      </c:pt>
                      <c:pt idx="15">
                        <c:v>426</c:v>
                      </c:pt>
                      <c:pt idx="16">
                        <c:v>434</c:v>
                      </c:pt>
                      <c:pt idx="17">
                        <c:v>442</c:v>
                      </c:pt>
                      <c:pt idx="18">
                        <c:v>450</c:v>
                      </c:pt>
                      <c:pt idx="19">
                        <c:v>458</c:v>
                      </c:pt>
                      <c:pt idx="20">
                        <c:v>466</c:v>
                      </c:pt>
                      <c:pt idx="21">
                        <c:v>474</c:v>
                      </c:pt>
                      <c:pt idx="22">
                        <c:v>482</c:v>
                      </c:pt>
                      <c:pt idx="23">
                        <c:v>490</c:v>
                      </c:pt>
                      <c:pt idx="24">
                        <c:v>498</c:v>
                      </c:pt>
                      <c:pt idx="25">
                        <c:v>506</c:v>
                      </c:pt>
                      <c:pt idx="26">
                        <c:v>514</c:v>
                      </c:pt>
                      <c:pt idx="27">
                        <c:v>522</c:v>
                      </c:pt>
                      <c:pt idx="28">
                        <c:v>530</c:v>
                      </c:pt>
                      <c:pt idx="29">
                        <c:v>538</c:v>
                      </c:pt>
                      <c:pt idx="30">
                        <c:v>546</c:v>
                      </c:pt>
                      <c:pt idx="31">
                        <c:v>554</c:v>
                      </c:pt>
                      <c:pt idx="32">
                        <c:v>562</c:v>
                      </c:pt>
                      <c:pt idx="33">
                        <c:v>570</c:v>
                      </c:pt>
                      <c:pt idx="34">
                        <c:v>578</c:v>
                      </c:pt>
                      <c:pt idx="35">
                        <c:v>586</c:v>
                      </c:pt>
                      <c:pt idx="36">
                        <c:v>594</c:v>
                      </c:pt>
                      <c:pt idx="37">
                        <c:v>602</c:v>
                      </c:pt>
                      <c:pt idx="38">
                        <c:v>610</c:v>
                      </c:pt>
                      <c:pt idx="39">
                        <c:v>618</c:v>
                      </c:pt>
                      <c:pt idx="40">
                        <c:v>626</c:v>
                      </c:pt>
                      <c:pt idx="41">
                        <c:v>634</c:v>
                      </c:pt>
                      <c:pt idx="42">
                        <c:v>642</c:v>
                      </c:pt>
                      <c:pt idx="43">
                        <c:v>650</c:v>
                      </c:pt>
                      <c:pt idx="44">
                        <c:v>658</c:v>
                      </c:pt>
                      <c:pt idx="45">
                        <c:v>666</c:v>
                      </c:pt>
                      <c:pt idx="46">
                        <c:v>674</c:v>
                      </c:pt>
                      <c:pt idx="47">
                        <c:v>682</c:v>
                      </c:pt>
                      <c:pt idx="48">
                        <c:v>690</c:v>
                      </c:pt>
                      <c:pt idx="49">
                        <c:v>698</c:v>
                      </c:pt>
                      <c:pt idx="50">
                        <c:v>706</c:v>
                      </c:pt>
                      <c:pt idx="51">
                        <c:v>714</c:v>
                      </c:pt>
                      <c:pt idx="52">
                        <c:v>722</c:v>
                      </c:pt>
                      <c:pt idx="53">
                        <c:v>730</c:v>
                      </c:pt>
                      <c:pt idx="54">
                        <c:v>738</c:v>
                      </c:pt>
                      <c:pt idx="55">
                        <c:v>746</c:v>
                      </c:pt>
                      <c:pt idx="56">
                        <c:v>754</c:v>
                      </c:pt>
                      <c:pt idx="57">
                        <c:v>762</c:v>
                      </c:pt>
                      <c:pt idx="58">
                        <c:v>770</c:v>
                      </c:pt>
                      <c:pt idx="59">
                        <c:v>778</c:v>
                      </c:pt>
                      <c:pt idx="60">
                        <c:v>786</c:v>
                      </c:pt>
                      <c:pt idx="61">
                        <c:v>794</c:v>
                      </c:pt>
                      <c:pt idx="62">
                        <c:v>802</c:v>
                      </c:pt>
                      <c:pt idx="63">
                        <c:v>810</c:v>
                      </c:pt>
                      <c:pt idx="64">
                        <c:v>818</c:v>
                      </c:pt>
                      <c:pt idx="65">
                        <c:v>826</c:v>
                      </c:pt>
                      <c:pt idx="66">
                        <c:v>834</c:v>
                      </c:pt>
                      <c:pt idx="67">
                        <c:v>842</c:v>
                      </c:pt>
                      <c:pt idx="68">
                        <c:v>850</c:v>
                      </c:pt>
                      <c:pt idx="69">
                        <c:v>858</c:v>
                      </c:pt>
                      <c:pt idx="70">
                        <c:v>866</c:v>
                      </c:pt>
                      <c:pt idx="71">
                        <c:v>874</c:v>
                      </c:pt>
                      <c:pt idx="72">
                        <c:v>882</c:v>
                      </c:pt>
                      <c:pt idx="73">
                        <c:v>890</c:v>
                      </c:pt>
                      <c:pt idx="74">
                        <c:v>898</c:v>
                      </c:pt>
                      <c:pt idx="75">
                        <c:v>906</c:v>
                      </c:pt>
                      <c:pt idx="76">
                        <c:v>914</c:v>
                      </c:pt>
                      <c:pt idx="77">
                        <c:v>922</c:v>
                      </c:pt>
                      <c:pt idx="78">
                        <c:v>930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EVALUATION!$B$153:$CP$153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9-11EF-44BA-AAAA-9AD66152902A}"/>
                  </c:ext>
                </c:extLst>
              </c15:ser>
            </c15:filteredScatterSeries>
            <c15:filteredScatterSeries>
              <c15:ser>
                <c:idx val="52"/>
                <c:order val="53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306</c:v>
                      </c:pt>
                      <c:pt idx="1">
                        <c:v>314</c:v>
                      </c:pt>
                      <c:pt idx="2">
                        <c:v>322</c:v>
                      </c:pt>
                      <c:pt idx="3">
                        <c:v>330</c:v>
                      </c:pt>
                      <c:pt idx="4">
                        <c:v>338</c:v>
                      </c:pt>
                      <c:pt idx="5">
                        <c:v>346</c:v>
                      </c:pt>
                      <c:pt idx="6">
                        <c:v>354</c:v>
                      </c:pt>
                      <c:pt idx="7">
                        <c:v>362</c:v>
                      </c:pt>
                      <c:pt idx="8">
                        <c:v>370</c:v>
                      </c:pt>
                      <c:pt idx="9">
                        <c:v>378</c:v>
                      </c:pt>
                      <c:pt idx="10">
                        <c:v>386</c:v>
                      </c:pt>
                      <c:pt idx="11">
                        <c:v>394</c:v>
                      </c:pt>
                      <c:pt idx="12">
                        <c:v>402</c:v>
                      </c:pt>
                      <c:pt idx="13">
                        <c:v>410</c:v>
                      </c:pt>
                      <c:pt idx="14">
                        <c:v>418</c:v>
                      </c:pt>
                      <c:pt idx="15">
                        <c:v>426</c:v>
                      </c:pt>
                      <c:pt idx="16">
                        <c:v>434</c:v>
                      </c:pt>
                      <c:pt idx="17">
                        <c:v>442</c:v>
                      </c:pt>
                      <c:pt idx="18">
                        <c:v>450</c:v>
                      </c:pt>
                      <c:pt idx="19">
                        <c:v>458</c:v>
                      </c:pt>
                      <c:pt idx="20">
                        <c:v>466</c:v>
                      </c:pt>
                      <c:pt idx="21">
                        <c:v>474</c:v>
                      </c:pt>
                      <c:pt idx="22">
                        <c:v>482</c:v>
                      </c:pt>
                      <c:pt idx="23">
                        <c:v>490</c:v>
                      </c:pt>
                      <c:pt idx="24">
                        <c:v>498</c:v>
                      </c:pt>
                      <c:pt idx="25">
                        <c:v>506</c:v>
                      </c:pt>
                      <c:pt idx="26">
                        <c:v>514</c:v>
                      </c:pt>
                      <c:pt idx="27">
                        <c:v>522</c:v>
                      </c:pt>
                      <c:pt idx="28">
                        <c:v>530</c:v>
                      </c:pt>
                      <c:pt idx="29">
                        <c:v>538</c:v>
                      </c:pt>
                      <c:pt idx="30">
                        <c:v>546</c:v>
                      </c:pt>
                      <c:pt idx="31">
                        <c:v>554</c:v>
                      </c:pt>
                      <c:pt idx="32">
                        <c:v>562</c:v>
                      </c:pt>
                      <c:pt idx="33">
                        <c:v>570</c:v>
                      </c:pt>
                      <c:pt idx="34">
                        <c:v>578</c:v>
                      </c:pt>
                      <c:pt idx="35">
                        <c:v>586</c:v>
                      </c:pt>
                      <c:pt idx="36">
                        <c:v>594</c:v>
                      </c:pt>
                      <c:pt idx="37">
                        <c:v>602</c:v>
                      </c:pt>
                      <c:pt idx="38">
                        <c:v>610</c:v>
                      </c:pt>
                      <c:pt idx="39">
                        <c:v>618</c:v>
                      </c:pt>
                      <c:pt idx="40">
                        <c:v>626</c:v>
                      </c:pt>
                      <c:pt idx="41">
                        <c:v>634</c:v>
                      </c:pt>
                      <c:pt idx="42">
                        <c:v>642</c:v>
                      </c:pt>
                      <c:pt idx="43">
                        <c:v>650</c:v>
                      </c:pt>
                      <c:pt idx="44">
                        <c:v>658</c:v>
                      </c:pt>
                      <c:pt idx="45">
                        <c:v>666</c:v>
                      </c:pt>
                      <c:pt idx="46">
                        <c:v>674</c:v>
                      </c:pt>
                      <c:pt idx="47">
                        <c:v>682</c:v>
                      </c:pt>
                      <c:pt idx="48">
                        <c:v>690</c:v>
                      </c:pt>
                      <c:pt idx="49">
                        <c:v>698</c:v>
                      </c:pt>
                      <c:pt idx="50">
                        <c:v>706</c:v>
                      </c:pt>
                      <c:pt idx="51">
                        <c:v>714</c:v>
                      </c:pt>
                      <c:pt idx="52">
                        <c:v>722</c:v>
                      </c:pt>
                      <c:pt idx="53">
                        <c:v>730</c:v>
                      </c:pt>
                      <c:pt idx="54">
                        <c:v>738</c:v>
                      </c:pt>
                      <c:pt idx="55">
                        <c:v>746</c:v>
                      </c:pt>
                      <c:pt idx="56">
                        <c:v>754</c:v>
                      </c:pt>
                      <c:pt idx="57">
                        <c:v>762</c:v>
                      </c:pt>
                      <c:pt idx="58">
                        <c:v>770</c:v>
                      </c:pt>
                      <c:pt idx="59">
                        <c:v>778</c:v>
                      </c:pt>
                      <c:pt idx="60">
                        <c:v>786</c:v>
                      </c:pt>
                      <c:pt idx="61">
                        <c:v>794</c:v>
                      </c:pt>
                      <c:pt idx="62">
                        <c:v>802</c:v>
                      </c:pt>
                      <c:pt idx="63">
                        <c:v>810</c:v>
                      </c:pt>
                      <c:pt idx="64">
                        <c:v>818</c:v>
                      </c:pt>
                      <c:pt idx="65">
                        <c:v>826</c:v>
                      </c:pt>
                      <c:pt idx="66">
                        <c:v>834</c:v>
                      </c:pt>
                      <c:pt idx="67">
                        <c:v>842</c:v>
                      </c:pt>
                      <c:pt idx="68">
                        <c:v>850</c:v>
                      </c:pt>
                      <c:pt idx="69">
                        <c:v>858</c:v>
                      </c:pt>
                      <c:pt idx="70">
                        <c:v>866</c:v>
                      </c:pt>
                      <c:pt idx="71">
                        <c:v>874</c:v>
                      </c:pt>
                      <c:pt idx="72">
                        <c:v>882</c:v>
                      </c:pt>
                      <c:pt idx="73">
                        <c:v>890</c:v>
                      </c:pt>
                      <c:pt idx="74">
                        <c:v>898</c:v>
                      </c:pt>
                      <c:pt idx="75">
                        <c:v>906</c:v>
                      </c:pt>
                      <c:pt idx="76">
                        <c:v>914</c:v>
                      </c:pt>
                      <c:pt idx="77">
                        <c:v>922</c:v>
                      </c:pt>
                      <c:pt idx="78">
                        <c:v>930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EVALUATION!$B$154:$CP$154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A-11EF-44BA-AAAA-9AD66152902A}"/>
                  </c:ext>
                </c:extLst>
              </c15:ser>
            </c15:filteredScatterSeries>
          </c:ext>
        </c:extLst>
      </c:scatterChart>
      <c:valAx>
        <c:axId val="938785983"/>
        <c:scaling>
          <c:orientation val="minMax"/>
          <c:max val="1000"/>
          <c:min val="3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38775583"/>
        <c:crosses val="autoZero"/>
        <c:crossBetween val="midCat"/>
        <c:majorUnit val="100"/>
      </c:valAx>
      <c:valAx>
        <c:axId val="938775583"/>
        <c:scaling>
          <c:orientation val="minMax"/>
          <c:min val="-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38785983"/>
        <c:crosses val="autoZero"/>
        <c:crossBetween val="midCat"/>
      </c:valAx>
    </c:plotArea>
    <c:plotVisOnly val="0"/>
    <c:dispBlanksAs val="gap"/>
    <c:showDLblsOverMax val="0"/>
    <c:extLst/>
  </c:chart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1" i="1" u="none" strike="noStrike" kern="1200" spc="0" baseline="0">
                <a:solidFill>
                  <a:srgbClr val="00B050"/>
                </a:solidFill>
                <a:latin typeface="+mn-lt"/>
                <a:ea typeface="+mn-ea"/>
                <a:cs typeface="+mn-cs"/>
              </a:defRPr>
            </a:pPr>
            <a:r>
              <a:rPr lang="en-US" sz="2000" b="1" i="1">
                <a:solidFill>
                  <a:srgbClr val="00B050"/>
                </a:solidFill>
              </a:rPr>
              <a:t>Ga</a:t>
            </a:r>
          </a:p>
        </c:rich>
      </c:tx>
      <c:layout>
        <c:manualLayout>
          <c:xMode val="edge"/>
          <c:yMode val="edge"/>
          <c:x val="0.45923209945810856"/>
          <c:y val="0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3565836995543892"/>
          <c:y val="0.10656915812117258"/>
          <c:w val="0.79872285919300678"/>
          <c:h val="0.79349420735008158"/>
        </c:manualLayout>
      </c:layout>
      <c:scatterChart>
        <c:scatterStyle val="smoothMarker"/>
        <c:varyColors val="0"/>
        <c:ser>
          <c:idx val="1"/>
          <c:order val="3"/>
          <c:spPr>
            <a:ln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EVALUATION!$B$100:$CP$100</c:f>
              <c:numCache>
                <c:formatCode>0</c:formatCode>
                <c:ptCount val="93"/>
                <c:pt idx="0">
                  <c:v>306</c:v>
                </c:pt>
                <c:pt idx="1">
                  <c:v>314</c:v>
                </c:pt>
                <c:pt idx="2">
                  <c:v>322</c:v>
                </c:pt>
                <c:pt idx="3">
                  <c:v>330</c:v>
                </c:pt>
                <c:pt idx="4">
                  <c:v>338</c:v>
                </c:pt>
                <c:pt idx="5">
                  <c:v>346</c:v>
                </c:pt>
                <c:pt idx="6">
                  <c:v>354</c:v>
                </c:pt>
                <c:pt idx="7">
                  <c:v>362</c:v>
                </c:pt>
                <c:pt idx="8">
                  <c:v>370</c:v>
                </c:pt>
                <c:pt idx="9">
                  <c:v>378</c:v>
                </c:pt>
                <c:pt idx="10">
                  <c:v>386</c:v>
                </c:pt>
                <c:pt idx="11">
                  <c:v>394</c:v>
                </c:pt>
                <c:pt idx="12">
                  <c:v>402</c:v>
                </c:pt>
                <c:pt idx="13">
                  <c:v>410</c:v>
                </c:pt>
                <c:pt idx="14">
                  <c:v>418</c:v>
                </c:pt>
                <c:pt idx="15">
                  <c:v>426</c:v>
                </c:pt>
                <c:pt idx="16">
                  <c:v>434</c:v>
                </c:pt>
                <c:pt idx="17">
                  <c:v>442</c:v>
                </c:pt>
                <c:pt idx="18">
                  <c:v>450</c:v>
                </c:pt>
                <c:pt idx="19">
                  <c:v>458</c:v>
                </c:pt>
                <c:pt idx="20">
                  <c:v>466</c:v>
                </c:pt>
                <c:pt idx="21">
                  <c:v>474</c:v>
                </c:pt>
                <c:pt idx="22">
                  <c:v>482</c:v>
                </c:pt>
                <c:pt idx="23">
                  <c:v>490</c:v>
                </c:pt>
                <c:pt idx="24">
                  <c:v>498</c:v>
                </c:pt>
                <c:pt idx="25">
                  <c:v>506</c:v>
                </c:pt>
                <c:pt idx="26">
                  <c:v>514</c:v>
                </c:pt>
                <c:pt idx="27">
                  <c:v>522</c:v>
                </c:pt>
                <c:pt idx="28">
                  <c:v>530</c:v>
                </c:pt>
                <c:pt idx="29">
                  <c:v>538</c:v>
                </c:pt>
                <c:pt idx="30">
                  <c:v>546</c:v>
                </c:pt>
                <c:pt idx="31">
                  <c:v>554</c:v>
                </c:pt>
                <c:pt idx="32">
                  <c:v>562</c:v>
                </c:pt>
                <c:pt idx="33">
                  <c:v>570</c:v>
                </c:pt>
                <c:pt idx="34">
                  <c:v>578</c:v>
                </c:pt>
                <c:pt idx="35">
                  <c:v>586</c:v>
                </c:pt>
                <c:pt idx="36">
                  <c:v>594</c:v>
                </c:pt>
                <c:pt idx="37">
                  <c:v>602</c:v>
                </c:pt>
                <c:pt idx="38">
                  <c:v>610</c:v>
                </c:pt>
                <c:pt idx="39">
                  <c:v>618</c:v>
                </c:pt>
                <c:pt idx="40">
                  <c:v>626</c:v>
                </c:pt>
                <c:pt idx="41">
                  <c:v>634</c:v>
                </c:pt>
                <c:pt idx="42">
                  <c:v>642</c:v>
                </c:pt>
                <c:pt idx="43">
                  <c:v>650</c:v>
                </c:pt>
                <c:pt idx="44">
                  <c:v>658</c:v>
                </c:pt>
                <c:pt idx="45">
                  <c:v>666</c:v>
                </c:pt>
                <c:pt idx="46">
                  <c:v>674</c:v>
                </c:pt>
                <c:pt idx="47">
                  <c:v>682</c:v>
                </c:pt>
                <c:pt idx="48">
                  <c:v>690</c:v>
                </c:pt>
                <c:pt idx="49">
                  <c:v>698</c:v>
                </c:pt>
                <c:pt idx="50">
                  <c:v>706</c:v>
                </c:pt>
                <c:pt idx="51">
                  <c:v>714</c:v>
                </c:pt>
                <c:pt idx="52">
                  <c:v>722</c:v>
                </c:pt>
                <c:pt idx="53">
                  <c:v>730</c:v>
                </c:pt>
                <c:pt idx="54">
                  <c:v>738</c:v>
                </c:pt>
                <c:pt idx="55">
                  <c:v>746</c:v>
                </c:pt>
                <c:pt idx="56">
                  <c:v>754</c:v>
                </c:pt>
                <c:pt idx="57">
                  <c:v>762</c:v>
                </c:pt>
                <c:pt idx="58">
                  <c:v>770</c:v>
                </c:pt>
                <c:pt idx="59">
                  <c:v>778</c:v>
                </c:pt>
                <c:pt idx="60">
                  <c:v>786</c:v>
                </c:pt>
                <c:pt idx="61">
                  <c:v>794</c:v>
                </c:pt>
                <c:pt idx="62">
                  <c:v>802</c:v>
                </c:pt>
                <c:pt idx="63">
                  <c:v>810</c:v>
                </c:pt>
                <c:pt idx="64">
                  <c:v>818</c:v>
                </c:pt>
                <c:pt idx="65">
                  <c:v>826</c:v>
                </c:pt>
                <c:pt idx="66">
                  <c:v>834</c:v>
                </c:pt>
                <c:pt idx="67">
                  <c:v>842</c:v>
                </c:pt>
                <c:pt idx="68">
                  <c:v>850</c:v>
                </c:pt>
                <c:pt idx="69">
                  <c:v>858</c:v>
                </c:pt>
                <c:pt idx="70">
                  <c:v>866</c:v>
                </c:pt>
                <c:pt idx="71">
                  <c:v>874</c:v>
                </c:pt>
                <c:pt idx="72">
                  <c:v>882</c:v>
                </c:pt>
                <c:pt idx="73">
                  <c:v>890</c:v>
                </c:pt>
                <c:pt idx="74">
                  <c:v>898</c:v>
                </c:pt>
                <c:pt idx="75">
                  <c:v>906</c:v>
                </c:pt>
                <c:pt idx="76">
                  <c:v>914</c:v>
                </c:pt>
                <c:pt idx="77">
                  <c:v>922</c:v>
                </c:pt>
                <c:pt idx="78">
                  <c:v>930</c:v>
                </c:pt>
                <c:pt idx="79">
                  <c:v>938</c:v>
                </c:pt>
                <c:pt idx="80">
                  <c:v>946</c:v>
                </c:pt>
                <c:pt idx="81">
                  <c:v>954</c:v>
                </c:pt>
                <c:pt idx="82">
                  <c:v>962</c:v>
                </c:pt>
                <c:pt idx="83">
                  <c:v>970</c:v>
                </c:pt>
                <c:pt idx="84">
                  <c:v>978</c:v>
                </c:pt>
                <c:pt idx="85">
                  <c:v>986</c:v>
                </c:pt>
                <c:pt idx="86">
                  <c:v>994</c:v>
                </c:pt>
              </c:numCache>
            </c:numRef>
          </c:xVal>
          <c:yVal>
            <c:numRef>
              <c:f>EVALUATION!$B$104:$CP$104</c:f>
              <c:numCache>
                <c:formatCode>0</c:formatCode>
                <c:ptCount val="93"/>
                <c:pt idx="0">
                  <c:v>-59.678288288288286</c:v>
                </c:pt>
                <c:pt idx="1">
                  <c:v>-58.332942942942942</c:v>
                </c:pt>
                <c:pt idx="2">
                  <c:v>-56.987597597597599</c:v>
                </c:pt>
                <c:pt idx="3">
                  <c:v>-55.642252252252256</c:v>
                </c:pt>
                <c:pt idx="4" formatCode="General">
                  <c:v>-54.130868263473054</c:v>
                </c:pt>
                <c:pt idx="5" formatCode="General">
                  <c:v>-52.581167664670659</c:v>
                </c:pt>
                <c:pt idx="6" formatCode="General">
                  <c:v>-51.031467065868263</c:v>
                </c:pt>
                <c:pt idx="7" formatCode="General">
                  <c:v>-49.481766467065867</c:v>
                </c:pt>
                <c:pt idx="8" formatCode="General">
                  <c:v>-47.964131736526944</c:v>
                </c:pt>
                <c:pt idx="9" formatCode="General">
                  <c:v>-46.464730538922154</c:v>
                </c:pt>
                <c:pt idx="10" formatCode="General">
                  <c:v>-44.965329341317364</c:v>
                </c:pt>
                <c:pt idx="11" formatCode="General">
                  <c:v>-43.465928143712574</c:v>
                </c:pt>
                <c:pt idx="12" formatCode="General">
                  <c:v>-42.064011976047901</c:v>
                </c:pt>
                <c:pt idx="13" formatCode="General">
                  <c:v>-40.775389221556885</c:v>
                </c:pt>
                <c:pt idx="14" formatCode="General">
                  <c:v>-39.48676646706587</c:v>
                </c:pt>
                <c:pt idx="15" formatCode="General">
                  <c:v>-38.198143712574847</c:v>
                </c:pt>
                <c:pt idx="16" formatCode="General">
                  <c:v>-36.957724550898206</c:v>
                </c:pt>
                <c:pt idx="17" formatCode="General">
                  <c:v>-35.836766467065871</c:v>
                </c:pt>
                <c:pt idx="18" formatCode="General">
                  <c:v>-34.715808383233536</c:v>
                </c:pt>
                <c:pt idx="19" formatCode="General">
                  <c:v>-33.594850299401202</c:v>
                </c:pt>
                <c:pt idx="20" formatCode="General">
                  <c:v>-32.488982035928146</c:v>
                </c:pt>
                <c:pt idx="21" formatCode="General">
                  <c:v>-31.502155688622757</c:v>
                </c:pt>
                <c:pt idx="22" formatCode="General">
                  <c:v>-30.515329341317369</c:v>
                </c:pt>
                <c:pt idx="23" formatCode="General">
                  <c:v>-29.528502994011976</c:v>
                </c:pt>
                <c:pt idx="24" formatCode="General">
                  <c:v>-28.541676646706588</c:v>
                </c:pt>
                <c:pt idx="25" formatCode="General">
                  <c:v>-27.788558558558559</c:v>
                </c:pt>
                <c:pt idx="26" formatCode="General">
                  <c:v>-27.051021021021018</c:v>
                </c:pt>
                <c:pt idx="27" formatCode="General">
                  <c:v>-26.313483483483481</c:v>
                </c:pt>
                <c:pt idx="28" formatCode="General">
                  <c:v>-25.575945945945943</c:v>
                </c:pt>
                <c:pt idx="29" formatCode="General">
                  <c:v>-25.655029940119761</c:v>
                </c:pt>
                <c:pt idx="30" formatCode="General">
                  <c:v>-25.971197604790419</c:v>
                </c:pt>
                <c:pt idx="31" formatCode="General">
                  <c:v>-26.287365269461077</c:v>
                </c:pt>
                <c:pt idx="32" formatCode="General">
                  <c:v>-26.603532934131735</c:v>
                </c:pt>
                <c:pt idx="33" formatCode="General">
                  <c:v>-26.911437125748503</c:v>
                </c:pt>
                <c:pt idx="34" formatCode="General">
                  <c:v>-27.213832335329339</c:v>
                </c:pt>
                <c:pt idx="35" formatCode="General">
                  <c:v>-27.51622754491018</c:v>
                </c:pt>
                <c:pt idx="36" formatCode="General">
                  <c:v>-27.818622754491017</c:v>
                </c:pt>
                <c:pt idx="37" formatCode="General">
                  <c:v>-28.121017964071857</c:v>
                </c:pt>
                <c:pt idx="38" formatCode="General">
                  <c:v>-28.423413173652694</c:v>
                </c:pt>
                <c:pt idx="39" formatCode="General">
                  <c:v>-28.725808383233534</c:v>
                </c:pt>
                <c:pt idx="40" formatCode="General">
                  <c:v>-29.028203592814371</c:v>
                </c:pt>
                <c:pt idx="41" formatCode="General">
                  <c:v>-29.330598802395212</c:v>
                </c:pt>
                <c:pt idx="42" formatCode="General">
                  <c:v>-29.632994011976049</c:v>
                </c:pt>
                <c:pt idx="43" formatCode="General">
                  <c:v>-29.935389221556889</c:v>
                </c:pt>
                <c:pt idx="44" formatCode="General">
                  <c:v>-30.237784431137726</c:v>
                </c:pt>
                <c:pt idx="45" formatCode="General">
                  <c:v>-30.540179640718566</c:v>
                </c:pt>
                <c:pt idx="46" formatCode="General">
                  <c:v>-30.842574850299403</c:v>
                </c:pt>
                <c:pt idx="47" formatCode="General">
                  <c:v>-31.144970059880244</c:v>
                </c:pt>
                <c:pt idx="48" formatCode="General">
                  <c:v>-31.447365269461081</c:v>
                </c:pt>
                <c:pt idx="49" formatCode="General">
                  <c:v>-31.749760479041917</c:v>
                </c:pt>
                <c:pt idx="50" formatCode="General">
                  <c:v>-32.022696629213485</c:v>
                </c:pt>
                <c:pt idx="51" formatCode="General">
                  <c:v>-32.292359550561798</c:v>
                </c:pt>
                <c:pt idx="52" formatCode="General">
                  <c:v>-32.562022471910112</c:v>
                </c:pt>
                <c:pt idx="53" formatCode="General">
                  <c:v>-32.831685393258432</c:v>
                </c:pt>
                <c:pt idx="54" formatCode="General">
                  <c:v>-33.101348314606746</c:v>
                </c:pt>
                <c:pt idx="55" formatCode="General">
                  <c:v>-33.371011235955059</c:v>
                </c:pt>
                <c:pt idx="56" formatCode="General">
                  <c:v>-33.640674157303373</c:v>
                </c:pt>
                <c:pt idx="57" formatCode="General">
                  <c:v>-33.910337078651686</c:v>
                </c:pt>
                <c:pt idx="58" formatCode="General">
                  <c:v>-34.18</c:v>
                </c:pt>
                <c:pt idx="59" formatCode="General">
                  <c:v>-34.44966292134832</c:v>
                </c:pt>
                <c:pt idx="60" formatCode="General">
                  <c:v>-34.719325842696634</c:v>
                </c:pt>
                <c:pt idx="61" formatCode="General">
                  <c:v>-34.988988764044947</c:v>
                </c:pt>
                <c:pt idx="62" formatCode="General">
                  <c:v>-35.258651685393261</c:v>
                </c:pt>
                <c:pt idx="63" formatCode="General">
                  <c:v>-35.528314606741574</c:v>
                </c:pt>
                <c:pt idx="64" formatCode="General">
                  <c:v>-35.797977528089888</c:v>
                </c:pt>
                <c:pt idx="65" formatCode="General">
                  <c:v>-36.067640449438201</c:v>
                </c:pt>
                <c:pt idx="66" formatCode="General">
                  <c:v>-36.328007490636708</c:v>
                </c:pt>
                <c:pt idx="67" formatCode="General">
                  <c:v>-36.553925093632962</c:v>
                </c:pt>
                <c:pt idx="68" formatCode="General">
                  <c:v>-36.779842696629217</c:v>
                </c:pt>
                <c:pt idx="69" formatCode="General">
                  <c:v>-37.005760299625472</c:v>
                </c:pt>
                <c:pt idx="70" formatCode="General">
                  <c:v>-37.231677902621726</c:v>
                </c:pt>
                <c:pt idx="71" formatCode="General">
                  <c:v>-37.457595505617981</c:v>
                </c:pt>
                <c:pt idx="72" formatCode="General">
                  <c:v>-37.683513108614235</c:v>
                </c:pt>
                <c:pt idx="73" formatCode="General">
                  <c:v>-37.90943071161049</c:v>
                </c:pt>
                <c:pt idx="74" formatCode="General">
                  <c:v>-38.135348314606745</c:v>
                </c:pt>
                <c:pt idx="75" formatCode="General">
                  <c:v>-38.361265917602999</c:v>
                </c:pt>
                <c:pt idx="76" formatCode="General">
                  <c:v>-38.587183520599254</c:v>
                </c:pt>
                <c:pt idx="77" formatCode="General">
                  <c:v>-38.813101123595509</c:v>
                </c:pt>
                <c:pt idx="78" formatCode="General">
                  <c:v>-39.039018726591763</c:v>
                </c:pt>
                <c:pt idx="79" formatCode="General">
                  <c:v>-39.264936329588011</c:v>
                </c:pt>
                <c:pt idx="80" formatCode="General">
                  <c:v>-39.490853932584265</c:v>
                </c:pt>
                <c:pt idx="81" formatCode="General">
                  <c:v>-39.71677153558052</c:v>
                </c:pt>
                <c:pt idx="82" formatCode="General">
                  <c:v>-39.942689138576775</c:v>
                </c:pt>
                <c:pt idx="83" formatCode="General">
                  <c:v>-40.151856287425147</c:v>
                </c:pt>
                <c:pt idx="84" formatCode="General">
                  <c:v>-40.345868263473051</c:v>
                </c:pt>
                <c:pt idx="85" formatCode="General">
                  <c:v>-40.539880239520954</c:v>
                </c:pt>
                <c:pt idx="86" formatCode="General">
                  <c:v>-40.733892215568858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5EF-46D6-A94F-2517E60135C4}"/>
            </c:ext>
          </c:extLst>
        </c:ser>
        <c:ser>
          <c:idx val="38"/>
          <c:order val="40"/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xVal>
            <c:numRef>
              <c:f>EVALUATION!$B$100:$CP$100</c:f>
              <c:numCache>
                <c:formatCode>0</c:formatCode>
                <c:ptCount val="93"/>
                <c:pt idx="0">
                  <c:v>306</c:v>
                </c:pt>
                <c:pt idx="1">
                  <c:v>314</c:v>
                </c:pt>
                <c:pt idx="2">
                  <c:v>322</c:v>
                </c:pt>
                <c:pt idx="3">
                  <c:v>330</c:v>
                </c:pt>
                <c:pt idx="4">
                  <c:v>338</c:v>
                </c:pt>
                <c:pt idx="5">
                  <c:v>346</c:v>
                </c:pt>
                <c:pt idx="6">
                  <c:v>354</c:v>
                </c:pt>
                <c:pt idx="7">
                  <c:v>362</c:v>
                </c:pt>
                <c:pt idx="8">
                  <c:v>370</c:v>
                </c:pt>
                <c:pt idx="9">
                  <c:v>378</c:v>
                </c:pt>
                <c:pt idx="10">
                  <c:v>386</c:v>
                </c:pt>
                <c:pt idx="11">
                  <c:v>394</c:v>
                </c:pt>
                <c:pt idx="12">
                  <c:v>402</c:v>
                </c:pt>
                <c:pt idx="13">
                  <c:v>410</c:v>
                </c:pt>
                <c:pt idx="14">
                  <c:v>418</c:v>
                </c:pt>
                <c:pt idx="15">
                  <c:v>426</c:v>
                </c:pt>
                <c:pt idx="16">
                  <c:v>434</c:v>
                </c:pt>
                <c:pt idx="17">
                  <c:v>442</c:v>
                </c:pt>
                <c:pt idx="18">
                  <c:v>450</c:v>
                </c:pt>
                <c:pt idx="19">
                  <c:v>458</c:v>
                </c:pt>
                <c:pt idx="20">
                  <c:v>466</c:v>
                </c:pt>
                <c:pt idx="21">
                  <c:v>474</c:v>
                </c:pt>
                <c:pt idx="22">
                  <c:v>482</c:v>
                </c:pt>
                <c:pt idx="23">
                  <c:v>490</c:v>
                </c:pt>
                <c:pt idx="24">
                  <c:v>498</c:v>
                </c:pt>
                <c:pt idx="25">
                  <c:v>506</c:v>
                </c:pt>
                <c:pt idx="26">
                  <c:v>514</c:v>
                </c:pt>
                <c:pt idx="27">
                  <c:v>522</c:v>
                </c:pt>
                <c:pt idx="28">
                  <c:v>530</c:v>
                </c:pt>
                <c:pt idx="29">
                  <c:v>538</c:v>
                </c:pt>
                <c:pt idx="30">
                  <c:v>546</c:v>
                </c:pt>
                <c:pt idx="31">
                  <c:v>554</c:v>
                </c:pt>
                <c:pt idx="32">
                  <c:v>562</c:v>
                </c:pt>
                <c:pt idx="33">
                  <c:v>570</c:v>
                </c:pt>
                <c:pt idx="34">
                  <c:v>578</c:v>
                </c:pt>
                <c:pt idx="35">
                  <c:v>586</c:v>
                </c:pt>
                <c:pt idx="36">
                  <c:v>594</c:v>
                </c:pt>
                <c:pt idx="37">
                  <c:v>602</c:v>
                </c:pt>
                <c:pt idx="38">
                  <c:v>610</c:v>
                </c:pt>
                <c:pt idx="39">
                  <c:v>618</c:v>
                </c:pt>
                <c:pt idx="40">
                  <c:v>626</c:v>
                </c:pt>
                <c:pt idx="41">
                  <c:v>634</c:v>
                </c:pt>
                <c:pt idx="42">
                  <c:v>642</c:v>
                </c:pt>
                <c:pt idx="43">
                  <c:v>650</c:v>
                </c:pt>
                <c:pt idx="44">
                  <c:v>658</c:v>
                </c:pt>
                <c:pt idx="45">
                  <c:v>666</c:v>
                </c:pt>
                <c:pt idx="46">
                  <c:v>674</c:v>
                </c:pt>
                <c:pt idx="47">
                  <c:v>682</c:v>
                </c:pt>
                <c:pt idx="48">
                  <c:v>690</c:v>
                </c:pt>
                <c:pt idx="49">
                  <c:v>698</c:v>
                </c:pt>
                <c:pt idx="50">
                  <c:v>706</c:v>
                </c:pt>
                <c:pt idx="51">
                  <c:v>714</c:v>
                </c:pt>
                <c:pt idx="52">
                  <c:v>722</c:v>
                </c:pt>
                <c:pt idx="53">
                  <c:v>730</c:v>
                </c:pt>
                <c:pt idx="54">
                  <c:v>738</c:v>
                </c:pt>
                <c:pt idx="55">
                  <c:v>746</c:v>
                </c:pt>
                <c:pt idx="56">
                  <c:v>754</c:v>
                </c:pt>
                <c:pt idx="57">
                  <c:v>762</c:v>
                </c:pt>
                <c:pt idx="58">
                  <c:v>770</c:v>
                </c:pt>
                <c:pt idx="59">
                  <c:v>778</c:v>
                </c:pt>
                <c:pt idx="60">
                  <c:v>786</c:v>
                </c:pt>
                <c:pt idx="61">
                  <c:v>794</c:v>
                </c:pt>
                <c:pt idx="62">
                  <c:v>802</c:v>
                </c:pt>
                <c:pt idx="63">
                  <c:v>810</c:v>
                </c:pt>
                <c:pt idx="64">
                  <c:v>818</c:v>
                </c:pt>
                <c:pt idx="65">
                  <c:v>826</c:v>
                </c:pt>
                <c:pt idx="66">
                  <c:v>834</c:v>
                </c:pt>
                <c:pt idx="67">
                  <c:v>842</c:v>
                </c:pt>
                <c:pt idx="68">
                  <c:v>850</c:v>
                </c:pt>
                <c:pt idx="69">
                  <c:v>858</c:v>
                </c:pt>
                <c:pt idx="70">
                  <c:v>866</c:v>
                </c:pt>
                <c:pt idx="71">
                  <c:v>874</c:v>
                </c:pt>
                <c:pt idx="72">
                  <c:v>882</c:v>
                </c:pt>
                <c:pt idx="73">
                  <c:v>890</c:v>
                </c:pt>
                <c:pt idx="74">
                  <c:v>898</c:v>
                </c:pt>
                <c:pt idx="75">
                  <c:v>906</c:v>
                </c:pt>
                <c:pt idx="76">
                  <c:v>914</c:v>
                </c:pt>
                <c:pt idx="77">
                  <c:v>922</c:v>
                </c:pt>
                <c:pt idx="78">
                  <c:v>930</c:v>
                </c:pt>
                <c:pt idx="79">
                  <c:v>938</c:v>
                </c:pt>
                <c:pt idx="80">
                  <c:v>946</c:v>
                </c:pt>
                <c:pt idx="81">
                  <c:v>954</c:v>
                </c:pt>
                <c:pt idx="82">
                  <c:v>962</c:v>
                </c:pt>
                <c:pt idx="83">
                  <c:v>970</c:v>
                </c:pt>
                <c:pt idx="84">
                  <c:v>978</c:v>
                </c:pt>
                <c:pt idx="85">
                  <c:v>986</c:v>
                </c:pt>
                <c:pt idx="86">
                  <c:v>994</c:v>
                </c:pt>
              </c:numCache>
            </c:numRef>
          </c:xVal>
          <c:yVal>
            <c:numRef>
              <c:f>EVALUATION!$B$141:$CP$141</c:f>
              <c:numCache>
                <c:formatCode>0</c:formatCode>
                <c:ptCount val="93"/>
                <c:pt idx="0">
                  <c:v>-59.157387387387388</c:v>
                </c:pt>
                <c:pt idx="1">
                  <c:v>-57.482912912912909</c:v>
                </c:pt>
                <c:pt idx="2">
                  <c:v>-55.808438438438436</c:v>
                </c:pt>
                <c:pt idx="3">
                  <c:v>-54.133963963963964</c:v>
                </c:pt>
                <c:pt idx="4" formatCode="General">
                  <c:v>-52.494700598802396</c:v>
                </c:pt>
                <c:pt idx="5" formatCode="General">
                  <c:v>-50.863562874251492</c:v>
                </c:pt>
                <c:pt idx="6" formatCode="General">
                  <c:v>-49.232425149700596</c:v>
                </c:pt>
                <c:pt idx="7" formatCode="General">
                  <c:v>-47.601287425149692</c:v>
                </c:pt>
                <c:pt idx="8" formatCode="General">
                  <c:v>-46.077035928143708</c:v>
                </c:pt>
                <c:pt idx="9" formatCode="General">
                  <c:v>-44.613562874251492</c:v>
                </c:pt>
                <c:pt idx="10" formatCode="General">
                  <c:v>-43.150089820359277</c:v>
                </c:pt>
                <c:pt idx="11" formatCode="General">
                  <c:v>-41.686616766467068</c:v>
                </c:pt>
                <c:pt idx="12" formatCode="General">
                  <c:v>-40.325059880239522</c:v>
                </c:pt>
                <c:pt idx="13" formatCode="General">
                  <c:v>-39.081946107784432</c:v>
                </c:pt>
                <c:pt idx="14" formatCode="General">
                  <c:v>-37.838832335329343</c:v>
                </c:pt>
                <c:pt idx="15" formatCode="General">
                  <c:v>-36.595718562874254</c:v>
                </c:pt>
                <c:pt idx="16" formatCode="General">
                  <c:v>-35.412514970059881</c:v>
                </c:pt>
                <c:pt idx="17" formatCode="General">
                  <c:v>-34.377784431137727</c:v>
                </c:pt>
                <c:pt idx="18" formatCode="General">
                  <c:v>-33.343053892215572</c:v>
                </c:pt>
                <c:pt idx="19" formatCode="General">
                  <c:v>-32.308323353293417</c:v>
                </c:pt>
                <c:pt idx="20" formatCode="General">
                  <c:v>-31.289491017964075</c:v>
                </c:pt>
                <c:pt idx="21" formatCode="General">
                  <c:v>-30.396077844311378</c:v>
                </c:pt>
                <c:pt idx="22" formatCode="General">
                  <c:v>-29.502664670658685</c:v>
                </c:pt>
                <c:pt idx="23" formatCode="General">
                  <c:v>-28.609251497005989</c:v>
                </c:pt>
                <c:pt idx="24" formatCode="General">
                  <c:v>-27.715838323353292</c:v>
                </c:pt>
                <c:pt idx="25" formatCode="General">
                  <c:v>-27.464054054054053</c:v>
                </c:pt>
                <c:pt idx="26" formatCode="General">
                  <c:v>-27.255045045045044</c:v>
                </c:pt>
                <c:pt idx="27" formatCode="General">
                  <c:v>-27.046036036036035</c:v>
                </c:pt>
                <c:pt idx="28" formatCode="General">
                  <c:v>-26.837027027027027</c:v>
                </c:pt>
                <c:pt idx="29" formatCode="General">
                  <c:v>-27.03502994011976</c:v>
                </c:pt>
                <c:pt idx="30" formatCode="General">
                  <c:v>-27.351197604790418</c:v>
                </c:pt>
                <c:pt idx="31" formatCode="General">
                  <c:v>-27.667365269461076</c:v>
                </c:pt>
                <c:pt idx="32" formatCode="General">
                  <c:v>-27.983532934131734</c:v>
                </c:pt>
                <c:pt idx="33" formatCode="General">
                  <c:v>-28.296826347305387</c:v>
                </c:pt>
                <c:pt idx="34" formatCode="General">
                  <c:v>-28.60820359281437</c:v>
                </c:pt>
                <c:pt idx="35" formatCode="General">
                  <c:v>-28.919580838323352</c:v>
                </c:pt>
                <c:pt idx="36" formatCode="General">
                  <c:v>-29.230958083832334</c:v>
                </c:pt>
                <c:pt idx="37" formatCode="General">
                  <c:v>-29.540299401197604</c:v>
                </c:pt>
                <c:pt idx="38" formatCode="General">
                  <c:v>-29.84688622754491</c:v>
                </c:pt>
                <c:pt idx="39" formatCode="General">
                  <c:v>-30.153473053892217</c:v>
                </c:pt>
                <c:pt idx="40" formatCode="General">
                  <c:v>-30.460059880239523</c:v>
                </c:pt>
                <c:pt idx="41" formatCode="General">
                  <c:v>-30.7648502994012</c:v>
                </c:pt>
                <c:pt idx="42" formatCode="General">
                  <c:v>-31.064251497005991</c:v>
                </c:pt>
                <c:pt idx="43" formatCode="General">
                  <c:v>-31.363652694610781</c:v>
                </c:pt>
                <c:pt idx="44" formatCode="General">
                  <c:v>-31.663053892215572</c:v>
                </c:pt>
                <c:pt idx="45" formatCode="General">
                  <c:v>-31.961916167664672</c:v>
                </c:pt>
                <c:pt idx="46" formatCode="General">
                  <c:v>-32.254131736526951</c:v>
                </c:pt>
                <c:pt idx="47" formatCode="General">
                  <c:v>-32.546347305389219</c:v>
                </c:pt>
                <c:pt idx="48" formatCode="General">
                  <c:v>-32.838562874251494</c:v>
                </c:pt>
                <c:pt idx="49" formatCode="General">
                  <c:v>-33.130778443113769</c:v>
                </c:pt>
                <c:pt idx="50" formatCode="General">
                  <c:v>-33.403235955056175</c:v>
                </c:pt>
                <c:pt idx="51" formatCode="General">
                  <c:v>-33.673498127340821</c:v>
                </c:pt>
                <c:pt idx="52" formatCode="General">
                  <c:v>-33.943760299625467</c:v>
                </c:pt>
                <c:pt idx="53" formatCode="General">
                  <c:v>-34.214022471910113</c:v>
                </c:pt>
                <c:pt idx="54" formatCode="General">
                  <c:v>-34.484284644194759</c:v>
                </c:pt>
                <c:pt idx="55" formatCode="General">
                  <c:v>-34.754546816479397</c:v>
                </c:pt>
                <c:pt idx="56" formatCode="General">
                  <c:v>-35.024808988764043</c:v>
                </c:pt>
                <c:pt idx="57" formatCode="General">
                  <c:v>-35.295071161048689</c:v>
                </c:pt>
                <c:pt idx="58" formatCode="General">
                  <c:v>-35.565333333333335</c:v>
                </c:pt>
                <c:pt idx="59" formatCode="General">
                  <c:v>-35.835595505617981</c:v>
                </c:pt>
                <c:pt idx="60" formatCode="General">
                  <c:v>-36.10585767790262</c:v>
                </c:pt>
                <c:pt idx="61" formatCode="General">
                  <c:v>-36.376119850187266</c:v>
                </c:pt>
                <c:pt idx="62" formatCode="General">
                  <c:v>-36.646382022471911</c:v>
                </c:pt>
                <c:pt idx="63" formatCode="General">
                  <c:v>-36.916644194756557</c:v>
                </c:pt>
                <c:pt idx="64" formatCode="General">
                  <c:v>-37.186906367041203</c:v>
                </c:pt>
                <c:pt idx="65" formatCode="General">
                  <c:v>-37.457168539325849</c:v>
                </c:pt>
                <c:pt idx="66" formatCode="General">
                  <c:v>-37.717880149812736</c:v>
                </c:pt>
                <c:pt idx="67" formatCode="General">
                  <c:v>-37.943198501872665</c:v>
                </c:pt>
                <c:pt idx="68" formatCode="General">
                  <c:v>-38.168516853932587</c:v>
                </c:pt>
                <c:pt idx="69" formatCode="General">
                  <c:v>-38.393835205992509</c:v>
                </c:pt>
                <c:pt idx="70" formatCode="General">
                  <c:v>-38.619153558052439</c:v>
                </c:pt>
                <c:pt idx="71" formatCode="General">
                  <c:v>-38.844471910112361</c:v>
                </c:pt>
                <c:pt idx="72" formatCode="General">
                  <c:v>-39.06979026217229</c:v>
                </c:pt>
                <c:pt idx="73" formatCode="General">
                  <c:v>-39.295108614232213</c:v>
                </c:pt>
                <c:pt idx="74" formatCode="General">
                  <c:v>-39.520426966292135</c:v>
                </c:pt>
                <c:pt idx="75" formatCode="General">
                  <c:v>-39.745745318352064</c:v>
                </c:pt>
                <c:pt idx="76" formatCode="General">
                  <c:v>-39.971063670411986</c:v>
                </c:pt>
                <c:pt idx="77" formatCode="General">
                  <c:v>-40.196382022471909</c:v>
                </c:pt>
                <c:pt idx="78" formatCode="General">
                  <c:v>-40.421700374531838</c:v>
                </c:pt>
                <c:pt idx="79" formatCode="General">
                  <c:v>-40.64701872659176</c:v>
                </c:pt>
                <c:pt idx="80" formatCode="General">
                  <c:v>-40.87233707865169</c:v>
                </c:pt>
                <c:pt idx="81" formatCode="General">
                  <c:v>-41.097655430711612</c:v>
                </c:pt>
                <c:pt idx="82" formatCode="General">
                  <c:v>-41.322973782771534</c:v>
                </c:pt>
                <c:pt idx="83" formatCode="General">
                  <c:v>-41.521441441441439</c:v>
                </c:pt>
                <c:pt idx="84" formatCode="General">
                  <c:v>-41.695615615615615</c:v>
                </c:pt>
                <c:pt idx="85" formatCode="General">
                  <c:v>-41.869789789789792</c:v>
                </c:pt>
                <c:pt idx="86" formatCode="General">
                  <c:v>-42.043963963963961</c:v>
                </c:pt>
                <c:pt idx="87" formatCode="General">
                  <c:v>-36.080475247524753</c:v>
                </c:pt>
                <c:pt idx="88" formatCode="General">
                  <c:v>-36.193346534653465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35EF-46D6-A94F-2517E60135C4}"/>
            </c:ext>
          </c:extLst>
        </c:ser>
        <c:ser>
          <c:idx val="53"/>
          <c:order val="54"/>
          <c:tx>
            <c:v>temp</c:v>
          </c:tx>
          <c:marker>
            <c:symbol val="none"/>
          </c:marker>
          <c:dPt>
            <c:idx val="1"/>
            <c:bubble3D val="0"/>
            <c:spPr>
              <a:ln>
                <a:solidFill>
                  <a:schemeClr val="tx1"/>
                </a:solidFill>
              </a:ln>
            </c:spPr>
            <c:extLst>
              <c:ext xmlns:c16="http://schemas.microsoft.com/office/drawing/2014/chart" uri="{C3380CC4-5D6E-409C-BE32-E72D297353CC}">
                <c16:uniqueId val="{00000003-35EF-46D6-A94F-2517E60135C4}"/>
              </c:ext>
            </c:extLst>
          </c:dPt>
          <c:xVal>
            <c:numRef>
              <c:f>EVALUATION!$A$98:$A$99</c:f>
              <c:numCache>
                <c:formatCode>General</c:formatCode>
                <c:ptCount val="2"/>
                <c:pt idx="0">
                  <c:v>700</c:v>
                </c:pt>
                <c:pt idx="1">
                  <c:v>700</c:v>
                </c:pt>
              </c:numCache>
            </c:numRef>
          </c:xVal>
          <c:yVal>
            <c:numRef>
              <c:f>EVALUATION!$B$98:$B$99</c:f>
              <c:numCache>
                <c:formatCode>0</c:formatCode>
                <c:ptCount val="2"/>
                <c:pt idx="0">
                  <c:v>-184.14450450450451</c:v>
                </c:pt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35EF-46D6-A94F-2517E60135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38785983"/>
        <c:axId val="938775583"/>
        <c:extLst>
          <c:ext xmlns:c15="http://schemas.microsoft.com/office/drawing/2012/chart" uri="{02D57815-91ED-43cb-92C2-25804820EDAC}">
            <c15:filteredScatterSeries>
              <c15:ser>
                <c:idx val="0"/>
                <c:order val="0"/>
                <c:spPr>
                  <a:ln w="19050" cap="rnd">
                    <a:solidFill>
                      <a:srgbClr val="FF0000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306</c:v>
                      </c:pt>
                      <c:pt idx="1">
                        <c:v>314</c:v>
                      </c:pt>
                      <c:pt idx="2">
                        <c:v>322</c:v>
                      </c:pt>
                      <c:pt idx="3">
                        <c:v>330</c:v>
                      </c:pt>
                      <c:pt idx="4">
                        <c:v>338</c:v>
                      </c:pt>
                      <c:pt idx="5">
                        <c:v>346</c:v>
                      </c:pt>
                      <c:pt idx="6">
                        <c:v>354</c:v>
                      </c:pt>
                      <c:pt idx="7">
                        <c:v>362</c:v>
                      </c:pt>
                      <c:pt idx="8">
                        <c:v>370</c:v>
                      </c:pt>
                      <c:pt idx="9">
                        <c:v>378</c:v>
                      </c:pt>
                      <c:pt idx="10">
                        <c:v>386</c:v>
                      </c:pt>
                      <c:pt idx="11">
                        <c:v>394</c:v>
                      </c:pt>
                      <c:pt idx="12">
                        <c:v>402</c:v>
                      </c:pt>
                      <c:pt idx="13">
                        <c:v>410</c:v>
                      </c:pt>
                      <c:pt idx="14">
                        <c:v>418</c:v>
                      </c:pt>
                      <c:pt idx="15">
                        <c:v>426</c:v>
                      </c:pt>
                      <c:pt idx="16">
                        <c:v>434</c:v>
                      </c:pt>
                      <c:pt idx="17">
                        <c:v>442</c:v>
                      </c:pt>
                      <c:pt idx="18">
                        <c:v>450</c:v>
                      </c:pt>
                      <c:pt idx="19">
                        <c:v>458</c:v>
                      </c:pt>
                      <c:pt idx="20">
                        <c:v>466</c:v>
                      </c:pt>
                      <c:pt idx="21">
                        <c:v>474</c:v>
                      </c:pt>
                      <c:pt idx="22">
                        <c:v>482</c:v>
                      </c:pt>
                      <c:pt idx="23">
                        <c:v>490</c:v>
                      </c:pt>
                      <c:pt idx="24">
                        <c:v>498</c:v>
                      </c:pt>
                      <c:pt idx="25">
                        <c:v>506</c:v>
                      </c:pt>
                      <c:pt idx="26">
                        <c:v>514</c:v>
                      </c:pt>
                      <c:pt idx="27">
                        <c:v>522</c:v>
                      </c:pt>
                      <c:pt idx="28">
                        <c:v>530</c:v>
                      </c:pt>
                      <c:pt idx="29">
                        <c:v>538</c:v>
                      </c:pt>
                      <c:pt idx="30">
                        <c:v>546</c:v>
                      </c:pt>
                      <c:pt idx="31">
                        <c:v>554</c:v>
                      </c:pt>
                      <c:pt idx="32">
                        <c:v>562</c:v>
                      </c:pt>
                      <c:pt idx="33">
                        <c:v>570</c:v>
                      </c:pt>
                      <c:pt idx="34">
                        <c:v>578</c:v>
                      </c:pt>
                      <c:pt idx="35">
                        <c:v>586</c:v>
                      </c:pt>
                      <c:pt idx="36">
                        <c:v>594</c:v>
                      </c:pt>
                      <c:pt idx="37">
                        <c:v>602</c:v>
                      </c:pt>
                      <c:pt idx="38">
                        <c:v>610</c:v>
                      </c:pt>
                      <c:pt idx="39">
                        <c:v>618</c:v>
                      </c:pt>
                      <c:pt idx="40">
                        <c:v>626</c:v>
                      </c:pt>
                      <c:pt idx="41">
                        <c:v>634</c:v>
                      </c:pt>
                      <c:pt idx="42">
                        <c:v>642</c:v>
                      </c:pt>
                      <c:pt idx="43">
                        <c:v>650</c:v>
                      </c:pt>
                      <c:pt idx="44">
                        <c:v>658</c:v>
                      </c:pt>
                      <c:pt idx="45">
                        <c:v>666</c:v>
                      </c:pt>
                      <c:pt idx="46">
                        <c:v>674</c:v>
                      </c:pt>
                      <c:pt idx="47">
                        <c:v>682</c:v>
                      </c:pt>
                      <c:pt idx="48">
                        <c:v>690</c:v>
                      </c:pt>
                      <c:pt idx="49">
                        <c:v>698</c:v>
                      </c:pt>
                      <c:pt idx="50">
                        <c:v>706</c:v>
                      </c:pt>
                      <c:pt idx="51">
                        <c:v>714</c:v>
                      </c:pt>
                      <c:pt idx="52">
                        <c:v>722</c:v>
                      </c:pt>
                      <c:pt idx="53">
                        <c:v>730</c:v>
                      </c:pt>
                      <c:pt idx="54">
                        <c:v>738</c:v>
                      </c:pt>
                      <c:pt idx="55">
                        <c:v>746</c:v>
                      </c:pt>
                      <c:pt idx="56">
                        <c:v>754</c:v>
                      </c:pt>
                      <c:pt idx="57">
                        <c:v>762</c:v>
                      </c:pt>
                      <c:pt idx="58">
                        <c:v>770</c:v>
                      </c:pt>
                      <c:pt idx="59">
                        <c:v>778</c:v>
                      </c:pt>
                      <c:pt idx="60">
                        <c:v>786</c:v>
                      </c:pt>
                      <c:pt idx="61">
                        <c:v>794</c:v>
                      </c:pt>
                      <c:pt idx="62">
                        <c:v>802</c:v>
                      </c:pt>
                      <c:pt idx="63">
                        <c:v>810</c:v>
                      </c:pt>
                      <c:pt idx="64">
                        <c:v>818</c:v>
                      </c:pt>
                      <c:pt idx="65">
                        <c:v>826</c:v>
                      </c:pt>
                      <c:pt idx="66">
                        <c:v>834</c:v>
                      </c:pt>
                      <c:pt idx="67">
                        <c:v>842</c:v>
                      </c:pt>
                      <c:pt idx="68">
                        <c:v>850</c:v>
                      </c:pt>
                      <c:pt idx="69">
                        <c:v>858</c:v>
                      </c:pt>
                      <c:pt idx="70">
                        <c:v>866</c:v>
                      </c:pt>
                      <c:pt idx="71">
                        <c:v>874</c:v>
                      </c:pt>
                      <c:pt idx="72">
                        <c:v>882</c:v>
                      </c:pt>
                      <c:pt idx="73">
                        <c:v>890</c:v>
                      </c:pt>
                      <c:pt idx="74">
                        <c:v>898</c:v>
                      </c:pt>
                      <c:pt idx="75">
                        <c:v>906</c:v>
                      </c:pt>
                      <c:pt idx="76">
                        <c:v>914</c:v>
                      </c:pt>
                      <c:pt idx="77">
                        <c:v>922</c:v>
                      </c:pt>
                      <c:pt idx="78">
                        <c:v>930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EVALUATION!$B$101:$CP$101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-15.118108108108107</c:v>
                      </c:pt>
                      <c:pt idx="1">
                        <c:v>-14.88027027027027</c:v>
                      </c:pt>
                      <c:pt idx="2">
                        <c:v>-14.642432432432432</c:v>
                      </c:pt>
                      <c:pt idx="3">
                        <c:v>-14.404594594594593</c:v>
                      </c:pt>
                      <c:pt idx="4" formatCode="General">
                        <c:v>-13.959101796407184</c:v>
                      </c:pt>
                      <c:pt idx="5" formatCode="General">
                        <c:v>-13.46568862275449</c:v>
                      </c:pt>
                      <c:pt idx="6" formatCode="General">
                        <c:v>-12.972275449101796</c:v>
                      </c:pt>
                      <c:pt idx="7" formatCode="General">
                        <c:v>-12.478862275449101</c:v>
                      </c:pt>
                      <c:pt idx="8" formatCode="General">
                        <c:v>-11.950329341317365</c:v>
                      </c:pt>
                      <c:pt idx="9" formatCode="General">
                        <c:v>-11.40182634730539</c:v>
                      </c:pt>
                      <c:pt idx="10" formatCode="General">
                        <c:v>-10.853323353293414</c:v>
                      </c:pt>
                      <c:pt idx="11" formatCode="General">
                        <c:v>-10.304820359281438</c:v>
                      </c:pt>
                      <c:pt idx="12" formatCode="General">
                        <c:v>-9.7896616766467073</c:v>
                      </c:pt>
                      <c:pt idx="13" formatCode="General">
                        <c:v>-9.3132544910179647</c:v>
                      </c:pt>
                      <c:pt idx="14" formatCode="General">
                        <c:v>-8.836847305389222</c:v>
                      </c:pt>
                      <c:pt idx="15" formatCode="General">
                        <c:v>-8.3604401197604794</c:v>
                      </c:pt>
                      <c:pt idx="16" formatCode="General">
                        <c:v>-7.9011107784431145</c:v>
                      </c:pt>
                      <c:pt idx="17" formatCode="General">
                        <c:v>-7.4841047904191624</c:v>
                      </c:pt>
                      <c:pt idx="18" formatCode="General">
                        <c:v>-7.0670988023952104</c:v>
                      </c:pt>
                      <c:pt idx="19" formatCode="General">
                        <c:v>-6.6500928143712592</c:v>
                      </c:pt>
                      <c:pt idx="20" formatCode="General">
                        <c:v>-6.2383952095808395</c:v>
                      </c:pt>
                      <c:pt idx="21" formatCode="General">
                        <c:v>-5.8685748502994022</c:v>
                      </c:pt>
                      <c:pt idx="22" formatCode="General">
                        <c:v>-5.4987544910179649</c:v>
                      </c:pt>
                      <c:pt idx="23" formatCode="General">
                        <c:v>-5.1289341317365267</c:v>
                      </c:pt>
                      <c:pt idx="24" formatCode="General">
                        <c:v>-4.7591137724550894</c:v>
                      </c:pt>
                      <c:pt idx="25" formatCode="General">
                        <c:v>-4.6019909909909904</c:v>
                      </c:pt>
                      <c:pt idx="26" formatCode="General">
                        <c:v>-4.4590480480480474</c:v>
                      </c:pt>
                      <c:pt idx="27" formatCode="General">
                        <c:v>-4.3161051051051045</c:v>
                      </c:pt>
                      <c:pt idx="28" formatCode="General">
                        <c:v>-4.1731621621621615</c:v>
                      </c:pt>
                      <c:pt idx="29" formatCode="General">
                        <c:v>-4.1562215568862273</c:v>
                      </c:pt>
                      <c:pt idx="30" formatCode="General">
                        <c:v>-4.1758622754491022</c:v>
                      </c:pt>
                      <c:pt idx="31" formatCode="General">
                        <c:v>-4.1955029940119761</c:v>
                      </c:pt>
                      <c:pt idx="32" formatCode="General">
                        <c:v>-4.2151437125748501</c:v>
                      </c:pt>
                      <c:pt idx="33" formatCode="General">
                        <c:v>-4.2348562874251492</c:v>
                      </c:pt>
                      <c:pt idx="34" formatCode="General">
                        <c:v>-4.2546167664670653</c:v>
                      </c:pt>
                      <c:pt idx="35" formatCode="General">
                        <c:v>-4.2743772455089815</c:v>
                      </c:pt>
                      <c:pt idx="36" formatCode="General">
                        <c:v>-4.2941377245508976</c:v>
                      </c:pt>
                      <c:pt idx="37" formatCode="General">
                        <c:v>-4.3138982035928146</c:v>
                      </c:pt>
                      <c:pt idx="38" formatCode="General">
                        <c:v>-4.3336586826347308</c:v>
                      </c:pt>
                      <c:pt idx="39" formatCode="General">
                        <c:v>-4.3534191616766469</c:v>
                      </c:pt>
                      <c:pt idx="40" formatCode="General">
                        <c:v>-4.373179640718563</c:v>
                      </c:pt>
                      <c:pt idx="41" formatCode="General">
                        <c:v>-4.3929401197604792</c:v>
                      </c:pt>
                      <c:pt idx="42" formatCode="General">
                        <c:v>-4.4127005988023953</c:v>
                      </c:pt>
                      <c:pt idx="43" formatCode="General">
                        <c:v>-4.4324610778443114</c:v>
                      </c:pt>
                      <c:pt idx="44" formatCode="General">
                        <c:v>-4.4522215568862276</c:v>
                      </c:pt>
                      <c:pt idx="45" formatCode="General">
                        <c:v>-4.4719820359281437</c:v>
                      </c:pt>
                      <c:pt idx="46" formatCode="General">
                        <c:v>-4.4917425149700598</c:v>
                      </c:pt>
                      <c:pt idx="47" formatCode="General">
                        <c:v>-4.511502994011976</c:v>
                      </c:pt>
                      <c:pt idx="48" formatCode="General">
                        <c:v>-4.5312634730538921</c:v>
                      </c:pt>
                      <c:pt idx="49" formatCode="General">
                        <c:v>-4.5510239520958082</c:v>
                      </c:pt>
                      <c:pt idx="50" formatCode="General">
                        <c:v>-4.5702584269662925</c:v>
                      </c:pt>
                      <c:pt idx="51" formatCode="General">
                        <c:v>-4.5894344569288394</c:v>
                      </c:pt>
                      <c:pt idx="52" formatCode="General">
                        <c:v>-4.6086104868913855</c:v>
                      </c:pt>
                      <c:pt idx="53" formatCode="General">
                        <c:v>-4.6277865168539325</c:v>
                      </c:pt>
                      <c:pt idx="54" formatCode="General">
                        <c:v>-4.6469625468164795</c:v>
                      </c:pt>
                      <c:pt idx="55" formatCode="General">
                        <c:v>-4.6661385767790264</c:v>
                      </c:pt>
                      <c:pt idx="56" formatCode="General">
                        <c:v>-4.6853146067415734</c:v>
                      </c:pt>
                      <c:pt idx="57" formatCode="General">
                        <c:v>-4.7044906367041204</c:v>
                      </c:pt>
                      <c:pt idx="58" formatCode="General">
                        <c:v>-4.7236666666666665</c:v>
                      </c:pt>
                      <c:pt idx="59" formatCode="General">
                        <c:v>-4.7428426966292134</c:v>
                      </c:pt>
                      <c:pt idx="60" formatCode="General">
                        <c:v>-4.7620187265917604</c:v>
                      </c:pt>
                      <c:pt idx="61" formatCode="General">
                        <c:v>-4.7811947565543074</c:v>
                      </c:pt>
                      <c:pt idx="62" formatCode="General">
                        <c:v>-4.8003707865168543</c:v>
                      </c:pt>
                      <c:pt idx="63" formatCode="General">
                        <c:v>-4.8195468164794013</c:v>
                      </c:pt>
                      <c:pt idx="64" formatCode="General">
                        <c:v>-4.8387228464419483</c:v>
                      </c:pt>
                      <c:pt idx="65" formatCode="General">
                        <c:v>-4.8578988764044944</c:v>
                      </c:pt>
                      <c:pt idx="66" formatCode="General">
                        <c:v>-4.8768456928838955</c:v>
                      </c:pt>
                      <c:pt idx="67" formatCode="General">
                        <c:v>-4.8949430711610491</c:v>
                      </c:pt>
                      <c:pt idx="68" formatCode="General">
                        <c:v>-4.9130404494382027</c:v>
                      </c:pt>
                      <c:pt idx="69" formatCode="General">
                        <c:v>-4.9311378277153564</c:v>
                      </c:pt>
                      <c:pt idx="70" formatCode="General">
                        <c:v>-4.94923520599251</c:v>
                      </c:pt>
                      <c:pt idx="71" formatCode="General">
                        <c:v>-4.9673325842696627</c:v>
                      </c:pt>
                      <c:pt idx="72" formatCode="General">
                        <c:v>-4.9854299625468164</c:v>
                      </c:pt>
                      <c:pt idx="73" formatCode="General">
                        <c:v>-5.00352734082397</c:v>
                      </c:pt>
                      <c:pt idx="74" formatCode="General">
                        <c:v>-5.0216247191011236</c:v>
                      </c:pt>
                      <c:pt idx="75" formatCode="General">
                        <c:v>-5.0397220973782773</c:v>
                      </c:pt>
                      <c:pt idx="76" formatCode="General">
                        <c:v>-5.0578194756554309</c:v>
                      </c:pt>
                      <c:pt idx="77" formatCode="General">
                        <c:v>-5.0759168539325845</c:v>
                      </c:pt>
                      <c:pt idx="78" formatCode="General">
                        <c:v>-5.0940142322097381</c:v>
                      </c:pt>
                      <c:pt idx="79" formatCode="General">
                        <c:v>-5.1121116104868918</c:v>
                      </c:pt>
                      <c:pt idx="80" formatCode="General">
                        <c:v>-5.1302089887640445</c:v>
                      </c:pt>
                      <c:pt idx="81" formatCode="General">
                        <c:v>-5.1483063670411982</c:v>
                      </c:pt>
                      <c:pt idx="82" formatCode="General">
                        <c:v>-5.1664037453183518</c:v>
                      </c:pt>
                      <c:pt idx="83" formatCode="General">
                        <c:v>-5.1840538922155686</c:v>
                      </c:pt>
                      <c:pt idx="84" formatCode="General">
                        <c:v>-5.2012994011976046</c:v>
                      </c:pt>
                      <c:pt idx="85" formatCode="General">
                        <c:v>-5.2185449101796406</c:v>
                      </c:pt>
                      <c:pt idx="86" formatCode="General">
                        <c:v>-5.2357904191616766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5-35EF-46D6-A94F-2517E60135C4}"/>
                  </c:ext>
                </c:extLst>
              </c15:ser>
            </c15:filteredScatterSeries>
            <c15:filteredScatterSeries>
              <c15:ser>
                <c:idx val="39"/>
                <c:order val="1"/>
                <c:spPr>
                  <a:ln w="19050" cap="rnd">
                    <a:solidFill>
                      <a:srgbClr val="FF0000"/>
                    </a:solidFill>
                    <a:prstDash val="sysDash"/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306</c:v>
                      </c:pt>
                      <c:pt idx="1">
                        <c:v>314</c:v>
                      </c:pt>
                      <c:pt idx="2">
                        <c:v>322</c:v>
                      </c:pt>
                      <c:pt idx="3">
                        <c:v>330</c:v>
                      </c:pt>
                      <c:pt idx="4">
                        <c:v>338</c:v>
                      </c:pt>
                      <c:pt idx="5">
                        <c:v>346</c:v>
                      </c:pt>
                      <c:pt idx="6">
                        <c:v>354</c:v>
                      </c:pt>
                      <c:pt idx="7">
                        <c:v>362</c:v>
                      </c:pt>
                      <c:pt idx="8">
                        <c:v>370</c:v>
                      </c:pt>
                      <c:pt idx="9">
                        <c:v>378</c:v>
                      </c:pt>
                      <c:pt idx="10">
                        <c:v>386</c:v>
                      </c:pt>
                      <c:pt idx="11">
                        <c:v>394</c:v>
                      </c:pt>
                      <c:pt idx="12">
                        <c:v>402</c:v>
                      </c:pt>
                      <c:pt idx="13">
                        <c:v>410</c:v>
                      </c:pt>
                      <c:pt idx="14">
                        <c:v>418</c:v>
                      </c:pt>
                      <c:pt idx="15">
                        <c:v>426</c:v>
                      </c:pt>
                      <c:pt idx="16">
                        <c:v>434</c:v>
                      </c:pt>
                      <c:pt idx="17">
                        <c:v>442</c:v>
                      </c:pt>
                      <c:pt idx="18">
                        <c:v>450</c:v>
                      </c:pt>
                      <c:pt idx="19">
                        <c:v>458</c:v>
                      </c:pt>
                      <c:pt idx="20">
                        <c:v>466</c:v>
                      </c:pt>
                      <c:pt idx="21">
                        <c:v>474</c:v>
                      </c:pt>
                      <c:pt idx="22">
                        <c:v>482</c:v>
                      </c:pt>
                      <c:pt idx="23">
                        <c:v>490</c:v>
                      </c:pt>
                      <c:pt idx="24">
                        <c:v>498</c:v>
                      </c:pt>
                      <c:pt idx="25">
                        <c:v>506</c:v>
                      </c:pt>
                      <c:pt idx="26">
                        <c:v>514</c:v>
                      </c:pt>
                      <c:pt idx="27">
                        <c:v>522</c:v>
                      </c:pt>
                      <c:pt idx="28">
                        <c:v>530</c:v>
                      </c:pt>
                      <c:pt idx="29">
                        <c:v>538</c:v>
                      </c:pt>
                      <c:pt idx="30">
                        <c:v>546</c:v>
                      </c:pt>
                      <c:pt idx="31">
                        <c:v>554</c:v>
                      </c:pt>
                      <c:pt idx="32">
                        <c:v>562</c:v>
                      </c:pt>
                      <c:pt idx="33">
                        <c:v>570</c:v>
                      </c:pt>
                      <c:pt idx="34">
                        <c:v>578</c:v>
                      </c:pt>
                      <c:pt idx="35">
                        <c:v>586</c:v>
                      </c:pt>
                      <c:pt idx="36">
                        <c:v>594</c:v>
                      </c:pt>
                      <c:pt idx="37">
                        <c:v>602</c:v>
                      </c:pt>
                      <c:pt idx="38">
                        <c:v>610</c:v>
                      </c:pt>
                      <c:pt idx="39">
                        <c:v>618</c:v>
                      </c:pt>
                      <c:pt idx="40">
                        <c:v>626</c:v>
                      </c:pt>
                      <c:pt idx="41">
                        <c:v>634</c:v>
                      </c:pt>
                      <c:pt idx="42">
                        <c:v>642</c:v>
                      </c:pt>
                      <c:pt idx="43">
                        <c:v>650</c:v>
                      </c:pt>
                      <c:pt idx="44">
                        <c:v>658</c:v>
                      </c:pt>
                      <c:pt idx="45">
                        <c:v>666</c:v>
                      </c:pt>
                      <c:pt idx="46">
                        <c:v>674</c:v>
                      </c:pt>
                      <c:pt idx="47">
                        <c:v>682</c:v>
                      </c:pt>
                      <c:pt idx="48">
                        <c:v>690</c:v>
                      </c:pt>
                      <c:pt idx="49">
                        <c:v>698</c:v>
                      </c:pt>
                      <c:pt idx="50">
                        <c:v>706</c:v>
                      </c:pt>
                      <c:pt idx="51">
                        <c:v>714</c:v>
                      </c:pt>
                      <c:pt idx="52">
                        <c:v>722</c:v>
                      </c:pt>
                      <c:pt idx="53">
                        <c:v>730</c:v>
                      </c:pt>
                      <c:pt idx="54">
                        <c:v>738</c:v>
                      </c:pt>
                      <c:pt idx="55">
                        <c:v>746</c:v>
                      </c:pt>
                      <c:pt idx="56">
                        <c:v>754</c:v>
                      </c:pt>
                      <c:pt idx="57">
                        <c:v>762</c:v>
                      </c:pt>
                      <c:pt idx="58">
                        <c:v>770</c:v>
                      </c:pt>
                      <c:pt idx="59">
                        <c:v>778</c:v>
                      </c:pt>
                      <c:pt idx="60">
                        <c:v>786</c:v>
                      </c:pt>
                      <c:pt idx="61">
                        <c:v>794</c:v>
                      </c:pt>
                      <c:pt idx="62">
                        <c:v>802</c:v>
                      </c:pt>
                      <c:pt idx="63">
                        <c:v>810</c:v>
                      </c:pt>
                      <c:pt idx="64">
                        <c:v>818</c:v>
                      </c:pt>
                      <c:pt idx="65">
                        <c:v>826</c:v>
                      </c:pt>
                      <c:pt idx="66">
                        <c:v>834</c:v>
                      </c:pt>
                      <c:pt idx="67">
                        <c:v>842</c:v>
                      </c:pt>
                      <c:pt idx="68">
                        <c:v>850</c:v>
                      </c:pt>
                      <c:pt idx="69">
                        <c:v>858</c:v>
                      </c:pt>
                      <c:pt idx="70">
                        <c:v>866</c:v>
                      </c:pt>
                      <c:pt idx="71">
                        <c:v>874</c:v>
                      </c:pt>
                      <c:pt idx="72">
                        <c:v>882</c:v>
                      </c:pt>
                      <c:pt idx="73">
                        <c:v>890</c:v>
                      </c:pt>
                      <c:pt idx="74">
                        <c:v>898</c:v>
                      </c:pt>
                      <c:pt idx="75">
                        <c:v>906</c:v>
                      </c:pt>
                      <c:pt idx="76">
                        <c:v>914</c:v>
                      </c:pt>
                      <c:pt idx="77">
                        <c:v>922</c:v>
                      </c:pt>
                      <c:pt idx="78">
                        <c:v>930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EVALUATION!$B$102:$CP$102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-15.118108108108107</c:v>
                      </c:pt>
                      <c:pt idx="1">
                        <c:v>-14.88027027027027</c:v>
                      </c:pt>
                      <c:pt idx="2">
                        <c:v>-14.642432432432432</c:v>
                      </c:pt>
                      <c:pt idx="3">
                        <c:v>-14.404594594594593</c:v>
                      </c:pt>
                      <c:pt idx="4" formatCode="General">
                        <c:v>-13.959101796407184</c:v>
                      </c:pt>
                      <c:pt idx="5" formatCode="General">
                        <c:v>-13.46568862275449</c:v>
                      </c:pt>
                      <c:pt idx="6" formatCode="General">
                        <c:v>-12.972275449101796</c:v>
                      </c:pt>
                      <c:pt idx="7" formatCode="General">
                        <c:v>-12.478862275449101</c:v>
                      </c:pt>
                      <c:pt idx="8" formatCode="General">
                        <c:v>-11.950329341317365</c:v>
                      </c:pt>
                      <c:pt idx="9" formatCode="General">
                        <c:v>-11.40182634730539</c:v>
                      </c:pt>
                      <c:pt idx="10" formatCode="General">
                        <c:v>-10.853323353293414</c:v>
                      </c:pt>
                      <c:pt idx="11" formatCode="General">
                        <c:v>-10.304820359281438</c:v>
                      </c:pt>
                      <c:pt idx="12" formatCode="General">
                        <c:v>-9.7896616766467073</c:v>
                      </c:pt>
                      <c:pt idx="13" formatCode="General">
                        <c:v>-9.3132544910179647</c:v>
                      </c:pt>
                      <c:pt idx="14" formatCode="General">
                        <c:v>-8.836847305389222</c:v>
                      </c:pt>
                      <c:pt idx="15" formatCode="General">
                        <c:v>-8.3604401197604794</c:v>
                      </c:pt>
                      <c:pt idx="16" formatCode="General">
                        <c:v>-7.9011107784431145</c:v>
                      </c:pt>
                      <c:pt idx="17" formatCode="General">
                        <c:v>-7.4841047904191624</c:v>
                      </c:pt>
                      <c:pt idx="18" formatCode="General">
                        <c:v>-7.0670988023952104</c:v>
                      </c:pt>
                      <c:pt idx="19" formatCode="General">
                        <c:v>-6.6500928143712592</c:v>
                      </c:pt>
                      <c:pt idx="20" formatCode="General">
                        <c:v>-6.2383952095808395</c:v>
                      </c:pt>
                      <c:pt idx="21" formatCode="General">
                        <c:v>-5.8685748502994022</c:v>
                      </c:pt>
                      <c:pt idx="22" formatCode="General">
                        <c:v>-5.4987544910179649</c:v>
                      </c:pt>
                      <c:pt idx="23" formatCode="General">
                        <c:v>-5.1289341317365267</c:v>
                      </c:pt>
                      <c:pt idx="24" formatCode="General">
                        <c:v>-4.7591137724550894</c:v>
                      </c:pt>
                      <c:pt idx="25" formatCode="General">
                        <c:v>-4.6019909909909904</c:v>
                      </c:pt>
                      <c:pt idx="26" formatCode="General">
                        <c:v>-4.4590480480480474</c:v>
                      </c:pt>
                      <c:pt idx="27" formatCode="General">
                        <c:v>-4.3161051051051045</c:v>
                      </c:pt>
                      <c:pt idx="28" formatCode="General">
                        <c:v>-4.1731621621621615</c:v>
                      </c:pt>
                      <c:pt idx="29" formatCode="General">
                        <c:v>-4.1562215568862273</c:v>
                      </c:pt>
                      <c:pt idx="30" formatCode="General">
                        <c:v>-4.1758622754491022</c:v>
                      </c:pt>
                      <c:pt idx="31" formatCode="General">
                        <c:v>-4.1955029940119761</c:v>
                      </c:pt>
                      <c:pt idx="32" formatCode="General">
                        <c:v>-4.2151437125748501</c:v>
                      </c:pt>
                      <c:pt idx="33" formatCode="General">
                        <c:v>-4.2348562874251492</c:v>
                      </c:pt>
                      <c:pt idx="34" formatCode="General">
                        <c:v>-4.2546167664670653</c:v>
                      </c:pt>
                      <c:pt idx="35" formatCode="General">
                        <c:v>-4.2743772455089815</c:v>
                      </c:pt>
                      <c:pt idx="36" formatCode="General">
                        <c:v>-4.2941377245508976</c:v>
                      </c:pt>
                      <c:pt idx="37" formatCode="General">
                        <c:v>-4.3138982035928146</c:v>
                      </c:pt>
                      <c:pt idx="38" formatCode="General">
                        <c:v>-4.3336586826347308</c:v>
                      </c:pt>
                      <c:pt idx="39" formatCode="General">
                        <c:v>-4.3534191616766469</c:v>
                      </c:pt>
                      <c:pt idx="40" formatCode="General">
                        <c:v>-4.373179640718563</c:v>
                      </c:pt>
                      <c:pt idx="41" formatCode="General">
                        <c:v>-4.3929401197604792</c:v>
                      </c:pt>
                      <c:pt idx="42" formatCode="General">
                        <c:v>-4.4127005988023953</c:v>
                      </c:pt>
                      <c:pt idx="43" formatCode="General">
                        <c:v>-4.4324610778443114</c:v>
                      </c:pt>
                      <c:pt idx="44" formatCode="General">
                        <c:v>-4.4522215568862276</c:v>
                      </c:pt>
                      <c:pt idx="45" formatCode="General">
                        <c:v>-4.4719820359281437</c:v>
                      </c:pt>
                      <c:pt idx="46" formatCode="General">
                        <c:v>-4.4917425149700598</c:v>
                      </c:pt>
                      <c:pt idx="47" formatCode="General">
                        <c:v>-4.511502994011976</c:v>
                      </c:pt>
                      <c:pt idx="48" formatCode="General">
                        <c:v>-4.5312634730538921</c:v>
                      </c:pt>
                      <c:pt idx="49" formatCode="General">
                        <c:v>-4.5510239520958082</c:v>
                      </c:pt>
                      <c:pt idx="50" formatCode="General">
                        <c:v>-4.5702584269662925</c:v>
                      </c:pt>
                      <c:pt idx="51" formatCode="General">
                        <c:v>-4.5894344569288394</c:v>
                      </c:pt>
                      <c:pt idx="52" formatCode="General">
                        <c:v>-4.6086104868913855</c:v>
                      </c:pt>
                      <c:pt idx="53" formatCode="General">
                        <c:v>-4.6277865168539325</c:v>
                      </c:pt>
                      <c:pt idx="54" formatCode="General">
                        <c:v>-4.6469625468164795</c:v>
                      </c:pt>
                      <c:pt idx="55" formatCode="General">
                        <c:v>-4.6661385767790264</c:v>
                      </c:pt>
                      <c:pt idx="56" formatCode="General">
                        <c:v>-4.6853146067415734</c:v>
                      </c:pt>
                      <c:pt idx="57" formatCode="General">
                        <c:v>-4.7044906367041204</c:v>
                      </c:pt>
                      <c:pt idx="58" formatCode="General">
                        <c:v>-4.7236666666666665</c:v>
                      </c:pt>
                      <c:pt idx="59" formatCode="General">
                        <c:v>-4.7428426966292134</c:v>
                      </c:pt>
                      <c:pt idx="60" formatCode="General">
                        <c:v>-4.7620187265917604</c:v>
                      </c:pt>
                      <c:pt idx="61" formatCode="General">
                        <c:v>-4.7811947565543074</c:v>
                      </c:pt>
                      <c:pt idx="62" formatCode="General">
                        <c:v>-4.8003707865168543</c:v>
                      </c:pt>
                      <c:pt idx="63" formatCode="General">
                        <c:v>-4.8195468164794013</c:v>
                      </c:pt>
                      <c:pt idx="64" formatCode="General">
                        <c:v>-4.8387228464419483</c:v>
                      </c:pt>
                      <c:pt idx="65" formatCode="General">
                        <c:v>-4.8578988764044944</c:v>
                      </c:pt>
                      <c:pt idx="66" formatCode="General">
                        <c:v>-4.8768456928838955</c:v>
                      </c:pt>
                      <c:pt idx="67" formatCode="General">
                        <c:v>-4.8949430711610491</c:v>
                      </c:pt>
                      <c:pt idx="68" formatCode="General">
                        <c:v>-4.9130404494382027</c:v>
                      </c:pt>
                      <c:pt idx="69" formatCode="General">
                        <c:v>-4.9311378277153564</c:v>
                      </c:pt>
                      <c:pt idx="70" formatCode="General">
                        <c:v>-4.94923520599251</c:v>
                      </c:pt>
                      <c:pt idx="71" formatCode="General">
                        <c:v>-4.9673325842696627</c:v>
                      </c:pt>
                      <c:pt idx="72" formatCode="General">
                        <c:v>-4.9854299625468164</c:v>
                      </c:pt>
                      <c:pt idx="73" formatCode="General">
                        <c:v>-5.00352734082397</c:v>
                      </c:pt>
                      <c:pt idx="74" formatCode="General">
                        <c:v>-5.0216247191011236</c:v>
                      </c:pt>
                      <c:pt idx="75" formatCode="General">
                        <c:v>-5.0397220973782773</c:v>
                      </c:pt>
                      <c:pt idx="76" formatCode="General">
                        <c:v>-5.0578194756554309</c:v>
                      </c:pt>
                      <c:pt idx="77" formatCode="General">
                        <c:v>-5.0759168539325845</c:v>
                      </c:pt>
                      <c:pt idx="78" formatCode="General">
                        <c:v>-5.0940142322097381</c:v>
                      </c:pt>
                      <c:pt idx="79" formatCode="General">
                        <c:v>-5.1121116104868918</c:v>
                      </c:pt>
                      <c:pt idx="80" formatCode="General">
                        <c:v>-5.1302089887640445</c:v>
                      </c:pt>
                      <c:pt idx="81" formatCode="General">
                        <c:v>-5.1483063670411982</c:v>
                      </c:pt>
                      <c:pt idx="82" formatCode="General">
                        <c:v>-5.1664037453183518</c:v>
                      </c:pt>
                      <c:pt idx="83" formatCode="General">
                        <c:v>-5.1840538922155686</c:v>
                      </c:pt>
                      <c:pt idx="84" formatCode="General">
                        <c:v>-5.2012994011976046</c:v>
                      </c:pt>
                      <c:pt idx="85" formatCode="General">
                        <c:v>-5.2185449101796406</c:v>
                      </c:pt>
                      <c:pt idx="86" formatCode="General">
                        <c:v>-5.2357904191616766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6-35EF-46D6-A94F-2517E60135C4}"/>
                  </c:ext>
                </c:extLst>
              </c15:ser>
            </c15:filteredScatterSeries>
            <c15:filteredScatterSeries>
              <c15:ser>
                <c:idx val="54"/>
                <c:order val="2"/>
                <c:spPr>
                  <a:ln w="19050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none"/>
                </c:marker>
                <c:dPt>
                  <c:idx val="1"/>
                  <c:bubble3D val="0"/>
                  <c:spPr>
                    <a:ln w="19050" cap="rnd">
                      <a:solidFill>
                        <a:schemeClr val="tx1"/>
                      </a:solidFill>
                      <a:round/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08-35EF-46D6-A94F-2517E60135C4}"/>
                    </c:ext>
                  </c:extLst>
                </c:dPt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306</c:v>
                      </c:pt>
                      <c:pt idx="1">
                        <c:v>314</c:v>
                      </c:pt>
                      <c:pt idx="2">
                        <c:v>322</c:v>
                      </c:pt>
                      <c:pt idx="3">
                        <c:v>330</c:v>
                      </c:pt>
                      <c:pt idx="4">
                        <c:v>338</c:v>
                      </c:pt>
                      <c:pt idx="5">
                        <c:v>346</c:v>
                      </c:pt>
                      <c:pt idx="6">
                        <c:v>354</c:v>
                      </c:pt>
                      <c:pt idx="7">
                        <c:v>362</c:v>
                      </c:pt>
                      <c:pt idx="8">
                        <c:v>370</c:v>
                      </c:pt>
                      <c:pt idx="9">
                        <c:v>378</c:v>
                      </c:pt>
                      <c:pt idx="10">
                        <c:v>386</c:v>
                      </c:pt>
                      <c:pt idx="11">
                        <c:v>394</c:v>
                      </c:pt>
                      <c:pt idx="12">
                        <c:v>402</c:v>
                      </c:pt>
                      <c:pt idx="13">
                        <c:v>410</c:v>
                      </c:pt>
                      <c:pt idx="14">
                        <c:v>418</c:v>
                      </c:pt>
                      <c:pt idx="15">
                        <c:v>426</c:v>
                      </c:pt>
                      <c:pt idx="16">
                        <c:v>434</c:v>
                      </c:pt>
                      <c:pt idx="17">
                        <c:v>442</c:v>
                      </c:pt>
                      <c:pt idx="18">
                        <c:v>450</c:v>
                      </c:pt>
                      <c:pt idx="19">
                        <c:v>458</c:v>
                      </c:pt>
                      <c:pt idx="20">
                        <c:v>466</c:v>
                      </c:pt>
                      <c:pt idx="21">
                        <c:v>474</c:v>
                      </c:pt>
                      <c:pt idx="22">
                        <c:v>482</c:v>
                      </c:pt>
                      <c:pt idx="23">
                        <c:v>490</c:v>
                      </c:pt>
                      <c:pt idx="24">
                        <c:v>498</c:v>
                      </c:pt>
                      <c:pt idx="25">
                        <c:v>506</c:v>
                      </c:pt>
                      <c:pt idx="26">
                        <c:v>514</c:v>
                      </c:pt>
                      <c:pt idx="27">
                        <c:v>522</c:v>
                      </c:pt>
                      <c:pt idx="28">
                        <c:v>530</c:v>
                      </c:pt>
                      <c:pt idx="29">
                        <c:v>538</c:v>
                      </c:pt>
                      <c:pt idx="30">
                        <c:v>546</c:v>
                      </c:pt>
                      <c:pt idx="31">
                        <c:v>554</c:v>
                      </c:pt>
                      <c:pt idx="32">
                        <c:v>562</c:v>
                      </c:pt>
                      <c:pt idx="33">
                        <c:v>570</c:v>
                      </c:pt>
                      <c:pt idx="34">
                        <c:v>578</c:v>
                      </c:pt>
                      <c:pt idx="35">
                        <c:v>586</c:v>
                      </c:pt>
                      <c:pt idx="36">
                        <c:v>594</c:v>
                      </c:pt>
                      <c:pt idx="37">
                        <c:v>602</c:v>
                      </c:pt>
                      <c:pt idx="38">
                        <c:v>610</c:v>
                      </c:pt>
                      <c:pt idx="39">
                        <c:v>618</c:v>
                      </c:pt>
                      <c:pt idx="40">
                        <c:v>626</c:v>
                      </c:pt>
                      <c:pt idx="41">
                        <c:v>634</c:v>
                      </c:pt>
                      <c:pt idx="42">
                        <c:v>642</c:v>
                      </c:pt>
                      <c:pt idx="43">
                        <c:v>650</c:v>
                      </c:pt>
                      <c:pt idx="44">
                        <c:v>658</c:v>
                      </c:pt>
                      <c:pt idx="45">
                        <c:v>666</c:v>
                      </c:pt>
                      <c:pt idx="46">
                        <c:v>674</c:v>
                      </c:pt>
                      <c:pt idx="47">
                        <c:v>682</c:v>
                      </c:pt>
                      <c:pt idx="48">
                        <c:v>690</c:v>
                      </c:pt>
                      <c:pt idx="49">
                        <c:v>698</c:v>
                      </c:pt>
                      <c:pt idx="50">
                        <c:v>706</c:v>
                      </c:pt>
                      <c:pt idx="51">
                        <c:v>714</c:v>
                      </c:pt>
                      <c:pt idx="52">
                        <c:v>722</c:v>
                      </c:pt>
                      <c:pt idx="53">
                        <c:v>730</c:v>
                      </c:pt>
                      <c:pt idx="54">
                        <c:v>738</c:v>
                      </c:pt>
                      <c:pt idx="55">
                        <c:v>746</c:v>
                      </c:pt>
                      <c:pt idx="56">
                        <c:v>754</c:v>
                      </c:pt>
                      <c:pt idx="57">
                        <c:v>762</c:v>
                      </c:pt>
                      <c:pt idx="58">
                        <c:v>770</c:v>
                      </c:pt>
                      <c:pt idx="59">
                        <c:v>778</c:v>
                      </c:pt>
                      <c:pt idx="60">
                        <c:v>786</c:v>
                      </c:pt>
                      <c:pt idx="61">
                        <c:v>794</c:v>
                      </c:pt>
                      <c:pt idx="62">
                        <c:v>802</c:v>
                      </c:pt>
                      <c:pt idx="63">
                        <c:v>810</c:v>
                      </c:pt>
                      <c:pt idx="64">
                        <c:v>818</c:v>
                      </c:pt>
                      <c:pt idx="65">
                        <c:v>826</c:v>
                      </c:pt>
                      <c:pt idx="66">
                        <c:v>834</c:v>
                      </c:pt>
                      <c:pt idx="67">
                        <c:v>842</c:v>
                      </c:pt>
                      <c:pt idx="68">
                        <c:v>850</c:v>
                      </c:pt>
                      <c:pt idx="69">
                        <c:v>858</c:v>
                      </c:pt>
                      <c:pt idx="70">
                        <c:v>866</c:v>
                      </c:pt>
                      <c:pt idx="71">
                        <c:v>874</c:v>
                      </c:pt>
                      <c:pt idx="72">
                        <c:v>882</c:v>
                      </c:pt>
                      <c:pt idx="73">
                        <c:v>890</c:v>
                      </c:pt>
                      <c:pt idx="74">
                        <c:v>898</c:v>
                      </c:pt>
                      <c:pt idx="75">
                        <c:v>906</c:v>
                      </c:pt>
                      <c:pt idx="76">
                        <c:v>914</c:v>
                      </c:pt>
                      <c:pt idx="77">
                        <c:v>922</c:v>
                      </c:pt>
                      <c:pt idx="78">
                        <c:v>930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EVALUATION!$B$103:$CP$103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-36.591171171171169</c:v>
                      </c:pt>
                      <c:pt idx="1">
                        <c:v>-35.925705705705703</c:v>
                      </c:pt>
                      <c:pt idx="2">
                        <c:v>-35.260240240240236</c:v>
                      </c:pt>
                      <c:pt idx="3">
                        <c:v>-34.594774774774777</c:v>
                      </c:pt>
                      <c:pt idx="4" formatCode="General">
                        <c:v>-34.041856287425148</c:v>
                      </c:pt>
                      <c:pt idx="5" formatCode="General">
                        <c:v>-33.514910179640715</c:v>
                      </c:pt>
                      <c:pt idx="6" formatCode="General">
                        <c:v>-32.987964071856283</c:v>
                      </c:pt>
                      <c:pt idx="7" formatCode="General">
                        <c:v>-32.46101796407185</c:v>
                      </c:pt>
                      <c:pt idx="8" formatCode="General">
                        <c:v>-31.996676646706582</c:v>
                      </c:pt>
                      <c:pt idx="9" formatCode="General">
                        <c:v>-31.567934131736521</c:v>
                      </c:pt>
                      <c:pt idx="10" formatCode="General">
                        <c:v>-31.139191616766464</c:v>
                      </c:pt>
                      <c:pt idx="11" formatCode="General">
                        <c:v>-30.710449101796403</c:v>
                      </c:pt>
                      <c:pt idx="12" formatCode="General">
                        <c:v>-30.316158682634729</c:v>
                      </c:pt>
                      <c:pt idx="13" formatCode="General">
                        <c:v>-29.961907185628743</c:v>
                      </c:pt>
                      <c:pt idx="14" formatCode="General">
                        <c:v>-29.607655688622753</c:v>
                      </c:pt>
                      <c:pt idx="15" formatCode="General">
                        <c:v>-29.253404191616767</c:v>
                      </c:pt>
                      <c:pt idx="16" formatCode="General">
                        <c:v>-28.916230538922157</c:v>
                      </c:pt>
                      <c:pt idx="17" formatCode="General">
                        <c:v>-28.62138023952096</c:v>
                      </c:pt>
                      <c:pt idx="18" formatCode="General">
                        <c:v>-28.326529940119762</c:v>
                      </c:pt>
                      <c:pt idx="19" formatCode="General">
                        <c:v>-28.031679640718565</c:v>
                      </c:pt>
                      <c:pt idx="20" formatCode="General">
                        <c:v>-27.742407185628743</c:v>
                      </c:pt>
                      <c:pt idx="21" formatCode="General">
                        <c:v>-27.4971377245509</c:v>
                      </c:pt>
                      <c:pt idx="22" formatCode="General">
                        <c:v>-27.251868263473057</c:v>
                      </c:pt>
                      <c:pt idx="23" formatCode="General">
                        <c:v>-27.00659880239521</c:v>
                      </c:pt>
                      <c:pt idx="24" formatCode="General">
                        <c:v>-26.761329341317367</c:v>
                      </c:pt>
                      <c:pt idx="25" formatCode="General">
                        <c:v>-26.724603603603605</c:v>
                      </c:pt>
                      <c:pt idx="26" formatCode="General">
                        <c:v>-26.701780780780783</c:v>
                      </c:pt>
                      <c:pt idx="27" formatCode="General">
                        <c:v>-26.678957957957962</c:v>
                      </c:pt>
                      <c:pt idx="28" formatCode="General">
                        <c:v>-26.656135135135138</c:v>
                      </c:pt>
                      <c:pt idx="29" formatCode="General">
                        <c:v>-26.760892215568866</c:v>
                      </c:pt>
                      <c:pt idx="30" formatCode="General">
                        <c:v>-26.902688622754493</c:v>
                      </c:pt>
                      <c:pt idx="31" formatCode="General">
                        <c:v>-27.04448502994012</c:v>
                      </c:pt>
                      <c:pt idx="32" formatCode="General">
                        <c:v>-27.186281437125746</c:v>
                      </c:pt>
                      <c:pt idx="33" formatCode="General">
                        <c:v>-27.324556886227544</c:v>
                      </c:pt>
                      <c:pt idx="34" formatCode="General">
                        <c:v>-27.460485029940116</c:v>
                      </c:pt>
                      <c:pt idx="35" formatCode="General">
                        <c:v>-27.596413173652692</c:v>
                      </c:pt>
                      <c:pt idx="36" formatCode="General">
                        <c:v>-27.732341317365268</c:v>
                      </c:pt>
                      <c:pt idx="37" formatCode="General">
                        <c:v>-27.868269461077844</c:v>
                      </c:pt>
                      <c:pt idx="38" formatCode="General">
                        <c:v>-28.00419760479042</c:v>
                      </c:pt>
                      <c:pt idx="39" formatCode="General">
                        <c:v>-28.140125748502992</c:v>
                      </c:pt>
                      <c:pt idx="40" formatCode="General">
                        <c:v>-28.276053892215568</c:v>
                      </c:pt>
                      <c:pt idx="41" formatCode="General">
                        <c:v>-28.411982035928144</c:v>
                      </c:pt>
                      <c:pt idx="42" formatCode="General">
                        <c:v>-28.54791017964072</c:v>
                      </c:pt>
                      <c:pt idx="43" formatCode="General">
                        <c:v>-28.683838323353296</c:v>
                      </c:pt>
                      <c:pt idx="44" formatCode="General">
                        <c:v>-28.819766467065868</c:v>
                      </c:pt>
                      <c:pt idx="45" formatCode="General">
                        <c:v>-28.955694610778444</c:v>
                      </c:pt>
                      <c:pt idx="46" formatCode="General">
                        <c:v>-29.09162275449102</c:v>
                      </c:pt>
                      <c:pt idx="47" formatCode="General">
                        <c:v>-29.227550898203596</c:v>
                      </c:pt>
                      <c:pt idx="48" formatCode="General">
                        <c:v>-29.363479041916172</c:v>
                      </c:pt>
                      <c:pt idx="49" formatCode="General">
                        <c:v>-29.499407185628744</c:v>
                      </c:pt>
                      <c:pt idx="50" formatCode="General">
                        <c:v>-29.627876404494383</c:v>
                      </c:pt>
                      <c:pt idx="51" formatCode="General">
                        <c:v>-29.755516853932587</c:v>
                      </c:pt>
                      <c:pt idx="52" formatCode="General">
                        <c:v>-29.88315730337079</c:v>
                      </c:pt>
                      <c:pt idx="53" formatCode="General">
                        <c:v>-30.01079775280899</c:v>
                      </c:pt>
                      <c:pt idx="54" formatCode="General">
                        <c:v>-30.138438202247194</c:v>
                      </c:pt>
                      <c:pt idx="55" formatCode="General">
                        <c:v>-30.266078651685394</c:v>
                      </c:pt>
                      <c:pt idx="56" formatCode="General">
                        <c:v>-30.393719101123597</c:v>
                      </c:pt>
                      <c:pt idx="57" formatCode="General">
                        <c:v>-30.521359550561801</c:v>
                      </c:pt>
                      <c:pt idx="58" formatCode="General">
                        <c:v>-30.649000000000001</c:v>
                      </c:pt>
                      <c:pt idx="59" formatCode="General">
                        <c:v>-30.776640449438204</c:v>
                      </c:pt>
                      <c:pt idx="60" formatCode="General">
                        <c:v>-30.904280898876408</c:v>
                      </c:pt>
                      <c:pt idx="61" formatCode="General">
                        <c:v>-31.031921348314608</c:v>
                      </c:pt>
                      <c:pt idx="62" formatCode="General">
                        <c:v>-31.159561797752811</c:v>
                      </c:pt>
                      <c:pt idx="63" formatCode="General">
                        <c:v>-31.287202247191011</c:v>
                      </c:pt>
                      <c:pt idx="64" formatCode="General">
                        <c:v>-31.414842696629215</c:v>
                      </c:pt>
                      <c:pt idx="65" formatCode="General">
                        <c:v>-31.542483146067418</c:v>
                      </c:pt>
                      <c:pt idx="66" formatCode="General">
                        <c:v>-31.668748314606741</c:v>
                      </c:pt>
                      <c:pt idx="67" formatCode="General">
                        <c:v>-31.789916853932585</c:v>
                      </c:pt>
                      <c:pt idx="68" formatCode="General">
                        <c:v>-31.911085393258428</c:v>
                      </c:pt>
                      <c:pt idx="69" formatCode="General">
                        <c:v>-32.032253932584268</c:v>
                      </c:pt>
                      <c:pt idx="70" formatCode="General">
                        <c:v>-32.153422471910112</c:v>
                      </c:pt>
                      <c:pt idx="71" formatCode="General">
                        <c:v>-32.274591011235955</c:v>
                      </c:pt>
                      <c:pt idx="72" formatCode="General">
                        <c:v>-32.395759550561799</c:v>
                      </c:pt>
                      <c:pt idx="73" formatCode="General">
                        <c:v>-32.516928089887642</c:v>
                      </c:pt>
                      <c:pt idx="74" formatCode="General">
                        <c:v>-32.638096629213486</c:v>
                      </c:pt>
                      <c:pt idx="75" formatCode="General">
                        <c:v>-32.759265168539329</c:v>
                      </c:pt>
                      <c:pt idx="76" formatCode="General">
                        <c:v>-32.880433707865166</c:v>
                      </c:pt>
                      <c:pt idx="77" formatCode="General">
                        <c:v>-33.001602247191009</c:v>
                      </c:pt>
                      <c:pt idx="78" formatCode="General">
                        <c:v>-33.122770786516853</c:v>
                      </c:pt>
                      <c:pt idx="79" formatCode="General">
                        <c:v>-33.243939325842696</c:v>
                      </c:pt>
                      <c:pt idx="80" formatCode="General">
                        <c:v>-33.36510786516854</c:v>
                      </c:pt>
                      <c:pt idx="81" formatCode="General">
                        <c:v>-33.486276404494383</c:v>
                      </c:pt>
                      <c:pt idx="82" formatCode="General">
                        <c:v>-33.607444943820227</c:v>
                      </c:pt>
                      <c:pt idx="83" formatCode="General">
                        <c:v>-33.725610778443112</c:v>
                      </c:pt>
                      <c:pt idx="84" formatCode="General">
                        <c:v>-33.84105988023952</c:v>
                      </c:pt>
                      <c:pt idx="85" formatCode="General">
                        <c:v>-33.956508982035928</c:v>
                      </c:pt>
                      <c:pt idx="86" formatCode="General">
                        <c:v>-34.071958083832335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35EF-46D6-A94F-2517E60135C4}"/>
                  </c:ext>
                </c:extLst>
              </c15:ser>
            </c15:filteredScatterSeries>
            <c15:filteredScatterSeries>
              <c15:ser>
                <c:idx val="2"/>
                <c:order val="4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306</c:v>
                      </c:pt>
                      <c:pt idx="1">
                        <c:v>314</c:v>
                      </c:pt>
                      <c:pt idx="2">
                        <c:v>322</c:v>
                      </c:pt>
                      <c:pt idx="3">
                        <c:v>330</c:v>
                      </c:pt>
                      <c:pt idx="4">
                        <c:v>338</c:v>
                      </c:pt>
                      <c:pt idx="5">
                        <c:v>346</c:v>
                      </c:pt>
                      <c:pt idx="6">
                        <c:v>354</c:v>
                      </c:pt>
                      <c:pt idx="7">
                        <c:v>362</c:v>
                      </c:pt>
                      <c:pt idx="8">
                        <c:v>370</c:v>
                      </c:pt>
                      <c:pt idx="9">
                        <c:v>378</c:v>
                      </c:pt>
                      <c:pt idx="10">
                        <c:v>386</c:v>
                      </c:pt>
                      <c:pt idx="11">
                        <c:v>394</c:v>
                      </c:pt>
                      <c:pt idx="12">
                        <c:v>402</c:v>
                      </c:pt>
                      <c:pt idx="13">
                        <c:v>410</c:v>
                      </c:pt>
                      <c:pt idx="14">
                        <c:v>418</c:v>
                      </c:pt>
                      <c:pt idx="15">
                        <c:v>426</c:v>
                      </c:pt>
                      <c:pt idx="16">
                        <c:v>434</c:v>
                      </c:pt>
                      <c:pt idx="17">
                        <c:v>442</c:v>
                      </c:pt>
                      <c:pt idx="18">
                        <c:v>450</c:v>
                      </c:pt>
                      <c:pt idx="19">
                        <c:v>458</c:v>
                      </c:pt>
                      <c:pt idx="20">
                        <c:v>466</c:v>
                      </c:pt>
                      <c:pt idx="21">
                        <c:v>474</c:v>
                      </c:pt>
                      <c:pt idx="22">
                        <c:v>482</c:v>
                      </c:pt>
                      <c:pt idx="23">
                        <c:v>490</c:v>
                      </c:pt>
                      <c:pt idx="24">
                        <c:v>498</c:v>
                      </c:pt>
                      <c:pt idx="25">
                        <c:v>506</c:v>
                      </c:pt>
                      <c:pt idx="26">
                        <c:v>514</c:v>
                      </c:pt>
                      <c:pt idx="27">
                        <c:v>522</c:v>
                      </c:pt>
                      <c:pt idx="28">
                        <c:v>530</c:v>
                      </c:pt>
                      <c:pt idx="29">
                        <c:v>538</c:v>
                      </c:pt>
                      <c:pt idx="30">
                        <c:v>546</c:v>
                      </c:pt>
                      <c:pt idx="31">
                        <c:v>554</c:v>
                      </c:pt>
                      <c:pt idx="32">
                        <c:v>562</c:v>
                      </c:pt>
                      <c:pt idx="33">
                        <c:v>570</c:v>
                      </c:pt>
                      <c:pt idx="34">
                        <c:v>578</c:v>
                      </c:pt>
                      <c:pt idx="35">
                        <c:v>586</c:v>
                      </c:pt>
                      <c:pt idx="36">
                        <c:v>594</c:v>
                      </c:pt>
                      <c:pt idx="37">
                        <c:v>602</c:v>
                      </c:pt>
                      <c:pt idx="38">
                        <c:v>610</c:v>
                      </c:pt>
                      <c:pt idx="39">
                        <c:v>618</c:v>
                      </c:pt>
                      <c:pt idx="40">
                        <c:v>626</c:v>
                      </c:pt>
                      <c:pt idx="41">
                        <c:v>634</c:v>
                      </c:pt>
                      <c:pt idx="42">
                        <c:v>642</c:v>
                      </c:pt>
                      <c:pt idx="43">
                        <c:v>650</c:v>
                      </c:pt>
                      <c:pt idx="44">
                        <c:v>658</c:v>
                      </c:pt>
                      <c:pt idx="45">
                        <c:v>666</c:v>
                      </c:pt>
                      <c:pt idx="46">
                        <c:v>674</c:v>
                      </c:pt>
                      <c:pt idx="47">
                        <c:v>682</c:v>
                      </c:pt>
                      <c:pt idx="48">
                        <c:v>690</c:v>
                      </c:pt>
                      <c:pt idx="49">
                        <c:v>698</c:v>
                      </c:pt>
                      <c:pt idx="50">
                        <c:v>706</c:v>
                      </c:pt>
                      <c:pt idx="51">
                        <c:v>714</c:v>
                      </c:pt>
                      <c:pt idx="52">
                        <c:v>722</c:v>
                      </c:pt>
                      <c:pt idx="53">
                        <c:v>730</c:v>
                      </c:pt>
                      <c:pt idx="54">
                        <c:v>738</c:v>
                      </c:pt>
                      <c:pt idx="55">
                        <c:v>746</c:v>
                      </c:pt>
                      <c:pt idx="56">
                        <c:v>754</c:v>
                      </c:pt>
                      <c:pt idx="57">
                        <c:v>762</c:v>
                      </c:pt>
                      <c:pt idx="58">
                        <c:v>770</c:v>
                      </c:pt>
                      <c:pt idx="59">
                        <c:v>778</c:v>
                      </c:pt>
                      <c:pt idx="60">
                        <c:v>786</c:v>
                      </c:pt>
                      <c:pt idx="61">
                        <c:v>794</c:v>
                      </c:pt>
                      <c:pt idx="62">
                        <c:v>802</c:v>
                      </c:pt>
                      <c:pt idx="63">
                        <c:v>810</c:v>
                      </c:pt>
                      <c:pt idx="64">
                        <c:v>818</c:v>
                      </c:pt>
                      <c:pt idx="65">
                        <c:v>826</c:v>
                      </c:pt>
                      <c:pt idx="66">
                        <c:v>834</c:v>
                      </c:pt>
                      <c:pt idx="67">
                        <c:v>842</c:v>
                      </c:pt>
                      <c:pt idx="68">
                        <c:v>850</c:v>
                      </c:pt>
                      <c:pt idx="69">
                        <c:v>858</c:v>
                      </c:pt>
                      <c:pt idx="70">
                        <c:v>866</c:v>
                      </c:pt>
                      <c:pt idx="71">
                        <c:v>874</c:v>
                      </c:pt>
                      <c:pt idx="72">
                        <c:v>882</c:v>
                      </c:pt>
                      <c:pt idx="73">
                        <c:v>890</c:v>
                      </c:pt>
                      <c:pt idx="74">
                        <c:v>898</c:v>
                      </c:pt>
                      <c:pt idx="75">
                        <c:v>906</c:v>
                      </c:pt>
                      <c:pt idx="76">
                        <c:v>914</c:v>
                      </c:pt>
                      <c:pt idx="77">
                        <c:v>922</c:v>
                      </c:pt>
                      <c:pt idx="78">
                        <c:v>930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EVALUATION!$B$105:$CP$105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-15.118108108108107</c:v>
                      </c:pt>
                      <c:pt idx="1">
                        <c:v>-14.88027027027027</c:v>
                      </c:pt>
                      <c:pt idx="2">
                        <c:v>-14.642432432432432</c:v>
                      </c:pt>
                      <c:pt idx="3">
                        <c:v>-14.404594594594593</c:v>
                      </c:pt>
                      <c:pt idx="4" formatCode="General">
                        <c:v>-13.959101796407184</c:v>
                      </c:pt>
                      <c:pt idx="5" formatCode="General">
                        <c:v>-13.46568862275449</c:v>
                      </c:pt>
                      <c:pt idx="6" formatCode="General">
                        <c:v>-12.972275449101796</c:v>
                      </c:pt>
                      <c:pt idx="7" formatCode="General">
                        <c:v>-12.478862275449101</c:v>
                      </c:pt>
                      <c:pt idx="8" formatCode="General">
                        <c:v>-11.950329341317365</c:v>
                      </c:pt>
                      <c:pt idx="9" formatCode="General">
                        <c:v>-11.40182634730539</c:v>
                      </c:pt>
                      <c:pt idx="10" formatCode="General">
                        <c:v>-10.853323353293414</c:v>
                      </c:pt>
                      <c:pt idx="11" formatCode="General">
                        <c:v>-10.304820359281438</c:v>
                      </c:pt>
                      <c:pt idx="12" formatCode="General">
                        <c:v>-9.7896616766467073</c:v>
                      </c:pt>
                      <c:pt idx="13" formatCode="General">
                        <c:v>-9.3132544910179647</c:v>
                      </c:pt>
                      <c:pt idx="14" formatCode="General">
                        <c:v>-8.836847305389222</c:v>
                      </c:pt>
                      <c:pt idx="15" formatCode="General">
                        <c:v>-8.3604401197604794</c:v>
                      </c:pt>
                      <c:pt idx="16" formatCode="General">
                        <c:v>-7.9011107784431145</c:v>
                      </c:pt>
                      <c:pt idx="17" formatCode="General">
                        <c:v>-7.4841047904191624</c:v>
                      </c:pt>
                      <c:pt idx="18" formatCode="General">
                        <c:v>-7.0670988023952104</c:v>
                      </c:pt>
                      <c:pt idx="19" formatCode="General">
                        <c:v>-6.6500928143712592</c:v>
                      </c:pt>
                      <c:pt idx="20" formatCode="General">
                        <c:v>-6.2383952095808395</c:v>
                      </c:pt>
                      <c:pt idx="21" formatCode="General">
                        <c:v>-5.8685748502994022</c:v>
                      </c:pt>
                      <c:pt idx="22" formatCode="General">
                        <c:v>-5.4987544910179649</c:v>
                      </c:pt>
                      <c:pt idx="23" formatCode="General">
                        <c:v>-5.1289341317365267</c:v>
                      </c:pt>
                      <c:pt idx="24" formatCode="General">
                        <c:v>-4.7591137724550894</c:v>
                      </c:pt>
                      <c:pt idx="25" formatCode="General">
                        <c:v>-4.6019909909909904</c:v>
                      </c:pt>
                      <c:pt idx="26" formatCode="General">
                        <c:v>-4.4590480480480474</c:v>
                      </c:pt>
                      <c:pt idx="27" formatCode="General">
                        <c:v>-4.3161051051051045</c:v>
                      </c:pt>
                      <c:pt idx="28" formatCode="General">
                        <c:v>-4.1731621621621615</c:v>
                      </c:pt>
                      <c:pt idx="29" formatCode="General">
                        <c:v>-4.1562215568862273</c:v>
                      </c:pt>
                      <c:pt idx="30" formatCode="General">
                        <c:v>-4.1758622754491022</c:v>
                      </c:pt>
                      <c:pt idx="31" formatCode="General">
                        <c:v>-4.1955029940119761</c:v>
                      </c:pt>
                      <c:pt idx="32" formatCode="General">
                        <c:v>-4.2151437125748501</c:v>
                      </c:pt>
                      <c:pt idx="33" formatCode="General">
                        <c:v>-4.2348562874251492</c:v>
                      </c:pt>
                      <c:pt idx="34" formatCode="General">
                        <c:v>-4.2546167664670653</c:v>
                      </c:pt>
                      <c:pt idx="35" formatCode="General">
                        <c:v>-4.2743772455089815</c:v>
                      </c:pt>
                      <c:pt idx="36" formatCode="General">
                        <c:v>-4.2941377245508976</c:v>
                      </c:pt>
                      <c:pt idx="37" formatCode="General">
                        <c:v>-4.3138982035928146</c:v>
                      </c:pt>
                      <c:pt idx="38" formatCode="General">
                        <c:v>-4.3336586826347308</c:v>
                      </c:pt>
                      <c:pt idx="39" formatCode="General">
                        <c:v>-4.3534191616766469</c:v>
                      </c:pt>
                      <c:pt idx="40" formatCode="General">
                        <c:v>-4.373179640718563</c:v>
                      </c:pt>
                      <c:pt idx="41" formatCode="General">
                        <c:v>-4.3929401197604792</c:v>
                      </c:pt>
                      <c:pt idx="42" formatCode="General">
                        <c:v>-4.4127005988023953</c:v>
                      </c:pt>
                      <c:pt idx="43" formatCode="General">
                        <c:v>-4.4324610778443114</c:v>
                      </c:pt>
                      <c:pt idx="44" formatCode="General">
                        <c:v>-4.4522215568862276</c:v>
                      </c:pt>
                      <c:pt idx="45" formatCode="General">
                        <c:v>-4.4719820359281437</c:v>
                      </c:pt>
                      <c:pt idx="46" formatCode="General">
                        <c:v>-4.4917425149700598</c:v>
                      </c:pt>
                      <c:pt idx="47" formatCode="General">
                        <c:v>-4.511502994011976</c:v>
                      </c:pt>
                      <c:pt idx="48" formatCode="General">
                        <c:v>-4.5312634730538921</c:v>
                      </c:pt>
                      <c:pt idx="49" formatCode="General">
                        <c:v>-4.5510239520958082</c:v>
                      </c:pt>
                      <c:pt idx="50" formatCode="General">
                        <c:v>-4.5702584269662925</c:v>
                      </c:pt>
                      <c:pt idx="51" formatCode="General">
                        <c:v>-4.5894344569288394</c:v>
                      </c:pt>
                      <c:pt idx="52" formatCode="General">
                        <c:v>-4.6086104868913855</c:v>
                      </c:pt>
                      <c:pt idx="53" formatCode="General">
                        <c:v>-4.6277865168539325</c:v>
                      </c:pt>
                      <c:pt idx="54" formatCode="General">
                        <c:v>-4.6469625468164795</c:v>
                      </c:pt>
                      <c:pt idx="55" formatCode="General">
                        <c:v>-4.6661385767790264</c:v>
                      </c:pt>
                      <c:pt idx="56" formatCode="General">
                        <c:v>-4.6853146067415734</c:v>
                      </c:pt>
                      <c:pt idx="57" formatCode="General">
                        <c:v>-4.7044906367041204</c:v>
                      </c:pt>
                      <c:pt idx="58" formatCode="General">
                        <c:v>-4.7236666666666665</c:v>
                      </c:pt>
                      <c:pt idx="59" formatCode="General">
                        <c:v>-4.7428426966292134</c:v>
                      </c:pt>
                      <c:pt idx="60" formatCode="General">
                        <c:v>-4.7620187265917604</c:v>
                      </c:pt>
                      <c:pt idx="61" formatCode="General">
                        <c:v>-4.7811947565543074</c:v>
                      </c:pt>
                      <c:pt idx="62" formatCode="General">
                        <c:v>-4.8003707865168543</c:v>
                      </c:pt>
                      <c:pt idx="63" formatCode="General">
                        <c:v>-4.8195468164794013</c:v>
                      </c:pt>
                      <c:pt idx="64" formatCode="General">
                        <c:v>-4.8387228464419483</c:v>
                      </c:pt>
                      <c:pt idx="65" formatCode="General">
                        <c:v>-4.8578988764044944</c:v>
                      </c:pt>
                      <c:pt idx="66" formatCode="General">
                        <c:v>-4.8768456928838955</c:v>
                      </c:pt>
                      <c:pt idx="67" formatCode="General">
                        <c:v>-4.8949430711610491</c:v>
                      </c:pt>
                      <c:pt idx="68" formatCode="General">
                        <c:v>-4.9130404494382027</c:v>
                      </c:pt>
                      <c:pt idx="69" formatCode="General">
                        <c:v>-4.9311378277153564</c:v>
                      </c:pt>
                      <c:pt idx="70" formatCode="General">
                        <c:v>-4.94923520599251</c:v>
                      </c:pt>
                      <c:pt idx="71" formatCode="General">
                        <c:v>-4.9673325842696627</c:v>
                      </c:pt>
                      <c:pt idx="72" formatCode="General">
                        <c:v>-4.9854299625468164</c:v>
                      </c:pt>
                      <c:pt idx="73" formatCode="General">
                        <c:v>-5.00352734082397</c:v>
                      </c:pt>
                      <c:pt idx="74" formatCode="General">
                        <c:v>-5.0216247191011236</c:v>
                      </c:pt>
                      <c:pt idx="75" formatCode="General">
                        <c:v>-5.0397220973782773</c:v>
                      </c:pt>
                      <c:pt idx="76" formatCode="General">
                        <c:v>-5.0578194756554309</c:v>
                      </c:pt>
                      <c:pt idx="77" formatCode="General">
                        <c:v>-5.0759168539325845</c:v>
                      </c:pt>
                      <c:pt idx="78" formatCode="General">
                        <c:v>-5.0940142322097381</c:v>
                      </c:pt>
                      <c:pt idx="79" formatCode="General">
                        <c:v>-5.1121116104868918</c:v>
                      </c:pt>
                      <c:pt idx="80" formatCode="General">
                        <c:v>-5.1302089887640445</c:v>
                      </c:pt>
                      <c:pt idx="81" formatCode="General">
                        <c:v>-5.1483063670411982</c:v>
                      </c:pt>
                      <c:pt idx="82" formatCode="General">
                        <c:v>-5.1664037453183518</c:v>
                      </c:pt>
                      <c:pt idx="83" formatCode="General">
                        <c:v>-5.1840538922155686</c:v>
                      </c:pt>
                      <c:pt idx="84" formatCode="General">
                        <c:v>-5.2012994011976046</c:v>
                      </c:pt>
                      <c:pt idx="85" formatCode="General">
                        <c:v>-5.2185449101796406</c:v>
                      </c:pt>
                      <c:pt idx="86" formatCode="General">
                        <c:v>-5.2357904191616766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A-35EF-46D6-A94F-2517E60135C4}"/>
                  </c:ext>
                </c:extLst>
              </c15:ser>
            </c15:filteredScatterSeries>
            <c15:filteredScatterSeries>
              <c15:ser>
                <c:idx val="3"/>
                <c:order val="5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306</c:v>
                      </c:pt>
                      <c:pt idx="1">
                        <c:v>314</c:v>
                      </c:pt>
                      <c:pt idx="2">
                        <c:v>322</c:v>
                      </c:pt>
                      <c:pt idx="3">
                        <c:v>330</c:v>
                      </c:pt>
                      <c:pt idx="4">
                        <c:v>338</c:v>
                      </c:pt>
                      <c:pt idx="5">
                        <c:v>346</c:v>
                      </c:pt>
                      <c:pt idx="6">
                        <c:v>354</c:v>
                      </c:pt>
                      <c:pt idx="7">
                        <c:v>362</c:v>
                      </c:pt>
                      <c:pt idx="8">
                        <c:v>370</c:v>
                      </c:pt>
                      <c:pt idx="9">
                        <c:v>378</c:v>
                      </c:pt>
                      <c:pt idx="10">
                        <c:v>386</c:v>
                      </c:pt>
                      <c:pt idx="11">
                        <c:v>394</c:v>
                      </c:pt>
                      <c:pt idx="12">
                        <c:v>402</c:v>
                      </c:pt>
                      <c:pt idx="13">
                        <c:v>410</c:v>
                      </c:pt>
                      <c:pt idx="14">
                        <c:v>418</c:v>
                      </c:pt>
                      <c:pt idx="15">
                        <c:v>426</c:v>
                      </c:pt>
                      <c:pt idx="16">
                        <c:v>434</c:v>
                      </c:pt>
                      <c:pt idx="17">
                        <c:v>442</c:v>
                      </c:pt>
                      <c:pt idx="18">
                        <c:v>450</c:v>
                      </c:pt>
                      <c:pt idx="19">
                        <c:v>458</c:v>
                      </c:pt>
                      <c:pt idx="20">
                        <c:v>466</c:v>
                      </c:pt>
                      <c:pt idx="21">
                        <c:v>474</c:v>
                      </c:pt>
                      <c:pt idx="22">
                        <c:v>482</c:v>
                      </c:pt>
                      <c:pt idx="23">
                        <c:v>490</c:v>
                      </c:pt>
                      <c:pt idx="24">
                        <c:v>498</c:v>
                      </c:pt>
                      <c:pt idx="25">
                        <c:v>506</c:v>
                      </c:pt>
                      <c:pt idx="26">
                        <c:v>514</c:v>
                      </c:pt>
                      <c:pt idx="27">
                        <c:v>522</c:v>
                      </c:pt>
                      <c:pt idx="28">
                        <c:v>530</c:v>
                      </c:pt>
                      <c:pt idx="29">
                        <c:v>538</c:v>
                      </c:pt>
                      <c:pt idx="30">
                        <c:v>546</c:v>
                      </c:pt>
                      <c:pt idx="31">
                        <c:v>554</c:v>
                      </c:pt>
                      <c:pt idx="32">
                        <c:v>562</c:v>
                      </c:pt>
                      <c:pt idx="33">
                        <c:v>570</c:v>
                      </c:pt>
                      <c:pt idx="34">
                        <c:v>578</c:v>
                      </c:pt>
                      <c:pt idx="35">
                        <c:v>586</c:v>
                      </c:pt>
                      <c:pt idx="36">
                        <c:v>594</c:v>
                      </c:pt>
                      <c:pt idx="37">
                        <c:v>602</c:v>
                      </c:pt>
                      <c:pt idx="38">
                        <c:v>610</c:v>
                      </c:pt>
                      <c:pt idx="39">
                        <c:v>618</c:v>
                      </c:pt>
                      <c:pt idx="40">
                        <c:v>626</c:v>
                      </c:pt>
                      <c:pt idx="41">
                        <c:v>634</c:v>
                      </c:pt>
                      <c:pt idx="42">
                        <c:v>642</c:v>
                      </c:pt>
                      <c:pt idx="43">
                        <c:v>650</c:v>
                      </c:pt>
                      <c:pt idx="44">
                        <c:v>658</c:v>
                      </c:pt>
                      <c:pt idx="45">
                        <c:v>666</c:v>
                      </c:pt>
                      <c:pt idx="46">
                        <c:v>674</c:v>
                      </c:pt>
                      <c:pt idx="47">
                        <c:v>682</c:v>
                      </c:pt>
                      <c:pt idx="48">
                        <c:v>690</c:v>
                      </c:pt>
                      <c:pt idx="49">
                        <c:v>698</c:v>
                      </c:pt>
                      <c:pt idx="50">
                        <c:v>706</c:v>
                      </c:pt>
                      <c:pt idx="51">
                        <c:v>714</c:v>
                      </c:pt>
                      <c:pt idx="52">
                        <c:v>722</c:v>
                      </c:pt>
                      <c:pt idx="53">
                        <c:v>730</c:v>
                      </c:pt>
                      <c:pt idx="54">
                        <c:v>738</c:v>
                      </c:pt>
                      <c:pt idx="55">
                        <c:v>746</c:v>
                      </c:pt>
                      <c:pt idx="56">
                        <c:v>754</c:v>
                      </c:pt>
                      <c:pt idx="57">
                        <c:v>762</c:v>
                      </c:pt>
                      <c:pt idx="58">
                        <c:v>770</c:v>
                      </c:pt>
                      <c:pt idx="59">
                        <c:v>778</c:v>
                      </c:pt>
                      <c:pt idx="60">
                        <c:v>786</c:v>
                      </c:pt>
                      <c:pt idx="61">
                        <c:v>794</c:v>
                      </c:pt>
                      <c:pt idx="62">
                        <c:v>802</c:v>
                      </c:pt>
                      <c:pt idx="63">
                        <c:v>810</c:v>
                      </c:pt>
                      <c:pt idx="64">
                        <c:v>818</c:v>
                      </c:pt>
                      <c:pt idx="65">
                        <c:v>826</c:v>
                      </c:pt>
                      <c:pt idx="66">
                        <c:v>834</c:v>
                      </c:pt>
                      <c:pt idx="67">
                        <c:v>842</c:v>
                      </c:pt>
                      <c:pt idx="68">
                        <c:v>850</c:v>
                      </c:pt>
                      <c:pt idx="69">
                        <c:v>858</c:v>
                      </c:pt>
                      <c:pt idx="70">
                        <c:v>866</c:v>
                      </c:pt>
                      <c:pt idx="71">
                        <c:v>874</c:v>
                      </c:pt>
                      <c:pt idx="72">
                        <c:v>882</c:v>
                      </c:pt>
                      <c:pt idx="73">
                        <c:v>890</c:v>
                      </c:pt>
                      <c:pt idx="74">
                        <c:v>898</c:v>
                      </c:pt>
                      <c:pt idx="75">
                        <c:v>906</c:v>
                      </c:pt>
                      <c:pt idx="76">
                        <c:v>914</c:v>
                      </c:pt>
                      <c:pt idx="77">
                        <c:v>922</c:v>
                      </c:pt>
                      <c:pt idx="78">
                        <c:v>930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EVALUATION!$B$106:$CP$106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-21.473063063063062</c:v>
                      </c:pt>
                      <c:pt idx="1">
                        <c:v>-21.045435435435436</c:v>
                      </c:pt>
                      <c:pt idx="2">
                        <c:v>-20.617807807807807</c:v>
                      </c:pt>
                      <c:pt idx="3">
                        <c:v>-20.190180180180178</c:v>
                      </c:pt>
                      <c:pt idx="4" formatCode="General">
                        <c:v>-20.082754491017962</c:v>
                      </c:pt>
                      <c:pt idx="5" formatCode="General">
                        <c:v>-20.049221556886227</c:v>
                      </c:pt>
                      <c:pt idx="6" formatCode="General">
                        <c:v>-20.015688622754489</c:v>
                      </c:pt>
                      <c:pt idx="7" formatCode="General">
                        <c:v>-19.982155688622754</c:v>
                      </c:pt>
                      <c:pt idx="8" formatCode="General">
                        <c:v>-20.046347305389222</c:v>
                      </c:pt>
                      <c:pt idx="9" formatCode="General">
                        <c:v>-20.166107784431137</c:v>
                      </c:pt>
                      <c:pt idx="10" formatCode="General">
                        <c:v>-20.285868263473052</c:v>
                      </c:pt>
                      <c:pt idx="11" formatCode="General">
                        <c:v>-20.40562874251497</c:v>
                      </c:pt>
                      <c:pt idx="12" formatCode="General">
                        <c:v>-20.526497005988023</c:v>
                      </c:pt>
                      <c:pt idx="13" formatCode="General">
                        <c:v>-20.648652694610778</c:v>
                      </c:pt>
                      <c:pt idx="14" formatCode="General">
                        <c:v>-20.770808383233533</c:v>
                      </c:pt>
                      <c:pt idx="15" formatCode="General">
                        <c:v>-20.892964071856287</c:v>
                      </c:pt>
                      <c:pt idx="16" formatCode="General">
                        <c:v>-21.015119760479042</c:v>
                      </c:pt>
                      <c:pt idx="17" formatCode="General">
                        <c:v>-21.137275449101796</c:v>
                      </c:pt>
                      <c:pt idx="18" formatCode="General">
                        <c:v>-21.259431137724551</c:v>
                      </c:pt>
                      <c:pt idx="19" formatCode="General">
                        <c:v>-21.381586826347306</c:v>
                      </c:pt>
                      <c:pt idx="20" formatCode="General">
                        <c:v>-21.504011976047902</c:v>
                      </c:pt>
                      <c:pt idx="21" formatCode="General">
                        <c:v>-21.628562874251497</c:v>
                      </c:pt>
                      <c:pt idx="22" formatCode="General">
                        <c:v>-21.753113772455091</c:v>
                      </c:pt>
                      <c:pt idx="23" formatCode="General">
                        <c:v>-21.877664670658682</c:v>
                      </c:pt>
                      <c:pt idx="24" formatCode="General">
                        <c:v>-22.002215568862276</c:v>
                      </c:pt>
                      <c:pt idx="25" formatCode="General">
                        <c:v>-22.122612612612613</c:v>
                      </c:pt>
                      <c:pt idx="26" formatCode="General">
                        <c:v>-22.242732732732733</c:v>
                      </c:pt>
                      <c:pt idx="27" formatCode="General">
                        <c:v>-22.362852852852853</c:v>
                      </c:pt>
                      <c:pt idx="28" formatCode="General">
                        <c:v>-22.482972972972973</c:v>
                      </c:pt>
                      <c:pt idx="29" formatCode="General">
                        <c:v>-22.604670658682636</c:v>
                      </c:pt>
                      <c:pt idx="30" formatCode="General">
                        <c:v>-22.726826347305391</c:v>
                      </c:pt>
                      <c:pt idx="31" formatCode="General">
                        <c:v>-22.848982035928145</c:v>
                      </c:pt>
                      <c:pt idx="32" formatCode="General">
                        <c:v>-22.971137724550896</c:v>
                      </c:pt>
                      <c:pt idx="33" formatCode="General">
                        <c:v>-23.089700598802395</c:v>
                      </c:pt>
                      <c:pt idx="34" formatCode="General">
                        <c:v>-23.205868263473054</c:v>
                      </c:pt>
                      <c:pt idx="35" formatCode="General">
                        <c:v>-23.322035928143713</c:v>
                      </c:pt>
                      <c:pt idx="36" formatCode="General">
                        <c:v>-23.438203592814371</c:v>
                      </c:pt>
                      <c:pt idx="37" formatCode="General">
                        <c:v>-23.55437125748503</c:v>
                      </c:pt>
                      <c:pt idx="38" formatCode="General">
                        <c:v>-23.670538922155689</c:v>
                      </c:pt>
                      <c:pt idx="39" formatCode="General">
                        <c:v>-23.786706586826348</c:v>
                      </c:pt>
                      <c:pt idx="40" formatCode="General">
                        <c:v>-23.902874251497007</c:v>
                      </c:pt>
                      <c:pt idx="41" formatCode="General">
                        <c:v>-24.019041916167666</c:v>
                      </c:pt>
                      <c:pt idx="42" formatCode="General">
                        <c:v>-24.135209580838325</c:v>
                      </c:pt>
                      <c:pt idx="43" formatCode="General">
                        <c:v>-24.251377245508984</c:v>
                      </c:pt>
                      <c:pt idx="44" formatCode="General">
                        <c:v>-24.367544910179642</c:v>
                      </c:pt>
                      <c:pt idx="45" formatCode="General">
                        <c:v>-24.483712574850301</c:v>
                      </c:pt>
                      <c:pt idx="46" formatCode="General">
                        <c:v>-24.59988023952096</c:v>
                      </c:pt>
                      <c:pt idx="47" formatCode="General">
                        <c:v>-24.716047904191619</c:v>
                      </c:pt>
                      <c:pt idx="48" formatCode="General">
                        <c:v>-24.832215568862278</c:v>
                      </c:pt>
                      <c:pt idx="49" formatCode="General">
                        <c:v>-24.948383233532937</c:v>
                      </c:pt>
                      <c:pt idx="50" formatCode="General">
                        <c:v>-25.057617977528093</c:v>
                      </c:pt>
                      <c:pt idx="51" formatCode="General">
                        <c:v>-25.166082397003748</c:v>
                      </c:pt>
                      <c:pt idx="52" formatCode="General">
                        <c:v>-25.2745468164794</c:v>
                      </c:pt>
                      <c:pt idx="53" formatCode="General">
                        <c:v>-25.383011235955056</c:v>
                      </c:pt>
                      <c:pt idx="54" formatCode="General">
                        <c:v>-25.491475655430712</c:v>
                      </c:pt>
                      <c:pt idx="55" formatCode="General">
                        <c:v>-25.599940074906367</c:v>
                      </c:pt>
                      <c:pt idx="56" formatCode="General">
                        <c:v>-25.708404494382023</c:v>
                      </c:pt>
                      <c:pt idx="57" formatCode="General">
                        <c:v>-25.816868913857679</c:v>
                      </c:pt>
                      <c:pt idx="58" formatCode="General">
                        <c:v>-25.925333333333334</c:v>
                      </c:pt>
                      <c:pt idx="59" formatCode="General">
                        <c:v>-26.03379775280899</c:v>
                      </c:pt>
                      <c:pt idx="60" formatCode="General">
                        <c:v>-26.142262172284646</c:v>
                      </c:pt>
                      <c:pt idx="61" formatCode="General">
                        <c:v>-26.250726591760301</c:v>
                      </c:pt>
                      <c:pt idx="62" formatCode="General">
                        <c:v>-26.359191011235957</c:v>
                      </c:pt>
                      <c:pt idx="63" formatCode="General">
                        <c:v>-26.467655430711609</c:v>
                      </c:pt>
                      <c:pt idx="64" formatCode="General">
                        <c:v>-26.576119850187265</c:v>
                      </c:pt>
                      <c:pt idx="65" formatCode="General">
                        <c:v>-26.684584269662921</c:v>
                      </c:pt>
                      <c:pt idx="66" formatCode="General">
                        <c:v>-26.791902621722848</c:v>
                      </c:pt>
                      <c:pt idx="67" formatCode="General">
                        <c:v>-26.894973782771537</c:v>
                      </c:pt>
                      <c:pt idx="68" formatCode="General">
                        <c:v>-26.998044943820226</c:v>
                      </c:pt>
                      <c:pt idx="69" formatCode="General">
                        <c:v>-27.101116104868915</c:v>
                      </c:pt>
                      <c:pt idx="70" formatCode="General">
                        <c:v>-27.204187265917604</c:v>
                      </c:pt>
                      <c:pt idx="71" formatCode="General">
                        <c:v>-27.307258426966293</c:v>
                      </c:pt>
                      <c:pt idx="72" formatCode="General">
                        <c:v>-27.410329588014982</c:v>
                      </c:pt>
                      <c:pt idx="73" formatCode="General">
                        <c:v>-27.513400749063671</c:v>
                      </c:pt>
                      <c:pt idx="74" formatCode="General">
                        <c:v>-27.616471910112359</c:v>
                      </c:pt>
                      <c:pt idx="75" formatCode="General">
                        <c:v>-27.719543071161048</c:v>
                      </c:pt>
                      <c:pt idx="76" formatCode="General">
                        <c:v>-27.822614232209737</c:v>
                      </c:pt>
                      <c:pt idx="77" formatCode="General">
                        <c:v>-27.925685393258426</c:v>
                      </c:pt>
                      <c:pt idx="78" formatCode="General">
                        <c:v>-28.028756554307115</c:v>
                      </c:pt>
                      <c:pt idx="79" formatCode="General">
                        <c:v>-28.131827715355804</c:v>
                      </c:pt>
                      <c:pt idx="80" formatCode="General">
                        <c:v>-28.234898876404493</c:v>
                      </c:pt>
                      <c:pt idx="81" formatCode="General">
                        <c:v>-28.337970037453182</c:v>
                      </c:pt>
                      <c:pt idx="82" formatCode="General">
                        <c:v>-28.441041198501871</c:v>
                      </c:pt>
                      <c:pt idx="83" formatCode="General">
                        <c:v>-28.541556886227543</c:v>
                      </c:pt>
                      <c:pt idx="84" formatCode="General">
                        <c:v>-28.639760479041914</c:v>
                      </c:pt>
                      <c:pt idx="85" formatCode="General">
                        <c:v>-28.737964071856286</c:v>
                      </c:pt>
                      <c:pt idx="86" formatCode="General">
                        <c:v>-28.836167664670658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B-35EF-46D6-A94F-2517E60135C4}"/>
                  </c:ext>
                </c:extLst>
              </c15:ser>
            </c15:filteredScatterSeries>
            <c15:filteredScatterSeries>
              <c15:ser>
                <c:idx val="4"/>
                <c:order val="6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306</c:v>
                      </c:pt>
                      <c:pt idx="1">
                        <c:v>314</c:v>
                      </c:pt>
                      <c:pt idx="2">
                        <c:v>322</c:v>
                      </c:pt>
                      <c:pt idx="3">
                        <c:v>330</c:v>
                      </c:pt>
                      <c:pt idx="4">
                        <c:v>338</c:v>
                      </c:pt>
                      <c:pt idx="5">
                        <c:v>346</c:v>
                      </c:pt>
                      <c:pt idx="6">
                        <c:v>354</c:v>
                      </c:pt>
                      <c:pt idx="7">
                        <c:v>362</c:v>
                      </c:pt>
                      <c:pt idx="8">
                        <c:v>370</c:v>
                      </c:pt>
                      <c:pt idx="9">
                        <c:v>378</c:v>
                      </c:pt>
                      <c:pt idx="10">
                        <c:v>386</c:v>
                      </c:pt>
                      <c:pt idx="11">
                        <c:v>394</c:v>
                      </c:pt>
                      <c:pt idx="12">
                        <c:v>402</c:v>
                      </c:pt>
                      <c:pt idx="13">
                        <c:v>410</c:v>
                      </c:pt>
                      <c:pt idx="14">
                        <c:v>418</c:v>
                      </c:pt>
                      <c:pt idx="15">
                        <c:v>426</c:v>
                      </c:pt>
                      <c:pt idx="16">
                        <c:v>434</c:v>
                      </c:pt>
                      <c:pt idx="17">
                        <c:v>442</c:v>
                      </c:pt>
                      <c:pt idx="18">
                        <c:v>450</c:v>
                      </c:pt>
                      <c:pt idx="19">
                        <c:v>458</c:v>
                      </c:pt>
                      <c:pt idx="20">
                        <c:v>466</c:v>
                      </c:pt>
                      <c:pt idx="21">
                        <c:v>474</c:v>
                      </c:pt>
                      <c:pt idx="22">
                        <c:v>482</c:v>
                      </c:pt>
                      <c:pt idx="23">
                        <c:v>490</c:v>
                      </c:pt>
                      <c:pt idx="24">
                        <c:v>498</c:v>
                      </c:pt>
                      <c:pt idx="25">
                        <c:v>506</c:v>
                      </c:pt>
                      <c:pt idx="26">
                        <c:v>514</c:v>
                      </c:pt>
                      <c:pt idx="27">
                        <c:v>522</c:v>
                      </c:pt>
                      <c:pt idx="28">
                        <c:v>530</c:v>
                      </c:pt>
                      <c:pt idx="29">
                        <c:v>538</c:v>
                      </c:pt>
                      <c:pt idx="30">
                        <c:v>546</c:v>
                      </c:pt>
                      <c:pt idx="31">
                        <c:v>554</c:v>
                      </c:pt>
                      <c:pt idx="32">
                        <c:v>562</c:v>
                      </c:pt>
                      <c:pt idx="33">
                        <c:v>570</c:v>
                      </c:pt>
                      <c:pt idx="34">
                        <c:v>578</c:v>
                      </c:pt>
                      <c:pt idx="35">
                        <c:v>586</c:v>
                      </c:pt>
                      <c:pt idx="36">
                        <c:v>594</c:v>
                      </c:pt>
                      <c:pt idx="37">
                        <c:v>602</c:v>
                      </c:pt>
                      <c:pt idx="38">
                        <c:v>610</c:v>
                      </c:pt>
                      <c:pt idx="39">
                        <c:v>618</c:v>
                      </c:pt>
                      <c:pt idx="40">
                        <c:v>626</c:v>
                      </c:pt>
                      <c:pt idx="41">
                        <c:v>634</c:v>
                      </c:pt>
                      <c:pt idx="42">
                        <c:v>642</c:v>
                      </c:pt>
                      <c:pt idx="43">
                        <c:v>650</c:v>
                      </c:pt>
                      <c:pt idx="44">
                        <c:v>658</c:v>
                      </c:pt>
                      <c:pt idx="45">
                        <c:v>666</c:v>
                      </c:pt>
                      <c:pt idx="46">
                        <c:v>674</c:v>
                      </c:pt>
                      <c:pt idx="47">
                        <c:v>682</c:v>
                      </c:pt>
                      <c:pt idx="48">
                        <c:v>690</c:v>
                      </c:pt>
                      <c:pt idx="49">
                        <c:v>698</c:v>
                      </c:pt>
                      <c:pt idx="50">
                        <c:v>706</c:v>
                      </c:pt>
                      <c:pt idx="51">
                        <c:v>714</c:v>
                      </c:pt>
                      <c:pt idx="52">
                        <c:v>722</c:v>
                      </c:pt>
                      <c:pt idx="53">
                        <c:v>730</c:v>
                      </c:pt>
                      <c:pt idx="54">
                        <c:v>738</c:v>
                      </c:pt>
                      <c:pt idx="55">
                        <c:v>746</c:v>
                      </c:pt>
                      <c:pt idx="56">
                        <c:v>754</c:v>
                      </c:pt>
                      <c:pt idx="57">
                        <c:v>762</c:v>
                      </c:pt>
                      <c:pt idx="58">
                        <c:v>770</c:v>
                      </c:pt>
                      <c:pt idx="59">
                        <c:v>778</c:v>
                      </c:pt>
                      <c:pt idx="60">
                        <c:v>786</c:v>
                      </c:pt>
                      <c:pt idx="61">
                        <c:v>794</c:v>
                      </c:pt>
                      <c:pt idx="62">
                        <c:v>802</c:v>
                      </c:pt>
                      <c:pt idx="63">
                        <c:v>810</c:v>
                      </c:pt>
                      <c:pt idx="64">
                        <c:v>818</c:v>
                      </c:pt>
                      <c:pt idx="65">
                        <c:v>826</c:v>
                      </c:pt>
                      <c:pt idx="66">
                        <c:v>834</c:v>
                      </c:pt>
                      <c:pt idx="67">
                        <c:v>842</c:v>
                      </c:pt>
                      <c:pt idx="68">
                        <c:v>850</c:v>
                      </c:pt>
                      <c:pt idx="69">
                        <c:v>858</c:v>
                      </c:pt>
                      <c:pt idx="70">
                        <c:v>866</c:v>
                      </c:pt>
                      <c:pt idx="71">
                        <c:v>874</c:v>
                      </c:pt>
                      <c:pt idx="72">
                        <c:v>882</c:v>
                      </c:pt>
                      <c:pt idx="73">
                        <c:v>890</c:v>
                      </c:pt>
                      <c:pt idx="74">
                        <c:v>898</c:v>
                      </c:pt>
                      <c:pt idx="75">
                        <c:v>906</c:v>
                      </c:pt>
                      <c:pt idx="76">
                        <c:v>914</c:v>
                      </c:pt>
                      <c:pt idx="77">
                        <c:v>922</c:v>
                      </c:pt>
                      <c:pt idx="78">
                        <c:v>930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EVALUATION!$B$107:$CP$107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-58.064234234234235</c:v>
                      </c:pt>
                      <c:pt idx="1">
                        <c:v>-56.971141141141139</c:v>
                      </c:pt>
                      <c:pt idx="2">
                        <c:v>-55.878048048048043</c:v>
                      </c:pt>
                      <c:pt idx="3">
                        <c:v>-54.784954954954955</c:v>
                      </c:pt>
                      <c:pt idx="4" formatCode="General">
                        <c:v>-54.124610778443113</c:v>
                      </c:pt>
                      <c:pt idx="5" formatCode="General">
                        <c:v>-53.564131736526946</c:v>
                      </c:pt>
                      <c:pt idx="6" formatCode="General">
                        <c:v>-53.003652694610771</c:v>
                      </c:pt>
                      <c:pt idx="7" formatCode="General">
                        <c:v>-52.443173652694604</c:v>
                      </c:pt>
                      <c:pt idx="8" formatCode="General">
                        <c:v>-52.043023952095801</c:v>
                      </c:pt>
                      <c:pt idx="9" formatCode="General">
                        <c:v>-51.734041916167662</c:v>
                      </c:pt>
                      <c:pt idx="10" formatCode="General">
                        <c:v>-51.425059880239516</c:v>
                      </c:pt>
                      <c:pt idx="11" formatCode="General">
                        <c:v>-51.11607784431137</c:v>
                      </c:pt>
                      <c:pt idx="12" formatCode="General">
                        <c:v>-50.842655688622749</c:v>
                      </c:pt>
                      <c:pt idx="13" formatCode="General">
                        <c:v>-50.610559880239521</c:v>
                      </c:pt>
                      <c:pt idx="14" formatCode="General">
                        <c:v>-50.378464071856285</c:v>
                      </c:pt>
                      <c:pt idx="15" formatCode="General">
                        <c:v>-50.146368263473057</c:v>
                      </c:pt>
                      <c:pt idx="16" formatCode="General">
                        <c:v>-49.931350299401196</c:v>
                      </c:pt>
                      <c:pt idx="17" formatCode="General">
                        <c:v>-49.758655688622753</c:v>
                      </c:pt>
                      <c:pt idx="18" formatCode="General">
                        <c:v>-49.58596107784431</c:v>
                      </c:pt>
                      <c:pt idx="19" formatCode="General">
                        <c:v>-49.413266467065867</c:v>
                      </c:pt>
                      <c:pt idx="20" formatCode="General">
                        <c:v>-49.246419161676648</c:v>
                      </c:pt>
                      <c:pt idx="21" formatCode="General">
                        <c:v>-49.125700598802396</c:v>
                      </c:pt>
                      <c:pt idx="22" formatCode="General">
                        <c:v>-49.004982035928144</c:v>
                      </c:pt>
                      <c:pt idx="23" formatCode="General">
                        <c:v>-48.884263473053892</c:v>
                      </c:pt>
                      <c:pt idx="24" formatCode="General">
                        <c:v>-48.76354491017964</c:v>
                      </c:pt>
                      <c:pt idx="25" formatCode="General">
                        <c:v>-48.847216216216218</c:v>
                      </c:pt>
                      <c:pt idx="26" formatCode="General">
                        <c:v>-48.944513513513513</c:v>
                      </c:pt>
                      <c:pt idx="27" formatCode="General">
                        <c:v>-49.041810810810816</c:v>
                      </c:pt>
                      <c:pt idx="28" formatCode="General">
                        <c:v>-49.139108108108111</c:v>
                      </c:pt>
                      <c:pt idx="29" formatCode="General">
                        <c:v>-49.365562874251502</c:v>
                      </c:pt>
                      <c:pt idx="30" formatCode="General">
                        <c:v>-49.62951497005988</c:v>
                      </c:pt>
                      <c:pt idx="31" formatCode="General">
                        <c:v>-49.893467065868265</c:v>
                      </c:pt>
                      <c:pt idx="32" formatCode="General">
                        <c:v>-50.157419161676643</c:v>
                      </c:pt>
                      <c:pt idx="33" formatCode="General">
                        <c:v>-50.414257485029935</c:v>
                      </c:pt>
                      <c:pt idx="34" formatCode="General">
                        <c:v>-50.666353293413174</c:v>
                      </c:pt>
                      <c:pt idx="35" formatCode="General">
                        <c:v>-50.918449101796405</c:v>
                      </c:pt>
                      <c:pt idx="36" formatCode="General">
                        <c:v>-51.170544910179636</c:v>
                      </c:pt>
                      <c:pt idx="37" formatCode="General">
                        <c:v>-51.422640718562874</c:v>
                      </c:pt>
                      <c:pt idx="38" formatCode="General">
                        <c:v>-51.674736526946106</c:v>
                      </c:pt>
                      <c:pt idx="39" formatCode="General">
                        <c:v>-51.926832335329337</c:v>
                      </c:pt>
                      <c:pt idx="40" formatCode="General">
                        <c:v>-52.178928143712575</c:v>
                      </c:pt>
                      <c:pt idx="41" formatCode="General">
                        <c:v>-52.431023952095806</c:v>
                      </c:pt>
                      <c:pt idx="42" formatCode="General">
                        <c:v>-52.683119760479038</c:v>
                      </c:pt>
                      <c:pt idx="43" formatCode="General">
                        <c:v>-52.935215568862276</c:v>
                      </c:pt>
                      <c:pt idx="44" formatCode="General">
                        <c:v>-53.187311377245507</c:v>
                      </c:pt>
                      <c:pt idx="45" formatCode="General">
                        <c:v>-53.439407185628738</c:v>
                      </c:pt>
                      <c:pt idx="46" formatCode="General">
                        <c:v>-53.691502994011977</c:v>
                      </c:pt>
                      <c:pt idx="47" formatCode="General">
                        <c:v>-53.943598802395208</c:v>
                      </c:pt>
                      <c:pt idx="48" formatCode="General">
                        <c:v>-54.195694610778446</c:v>
                      </c:pt>
                      <c:pt idx="49" formatCode="General">
                        <c:v>-54.447790419161677</c:v>
                      </c:pt>
                      <c:pt idx="50" formatCode="General">
                        <c:v>-54.685494382022469</c:v>
                      </c:pt>
                      <c:pt idx="51" formatCode="General">
                        <c:v>-54.921599250936332</c:v>
                      </c:pt>
                      <c:pt idx="52" formatCode="General">
                        <c:v>-55.157704119850187</c:v>
                      </c:pt>
                      <c:pt idx="53" formatCode="General">
                        <c:v>-55.393808988764043</c:v>
                      </c:pt>
                      <c:pt idx="54" formatCode="General">
                        <c:v>-55.629913857677906</c:v>
                      </c:pt>
                      <c:pt idx="55" formatCode="General">
                        <c:v>-55.866018726591761</c:v>
                      </c:pt>
                      <c:pt idx="56" formatCode="General">
                        <c:v>-56.102123595505617</c:v>
                      </c:pt>
                      <c:pt idx="57" formatCode="General">
                        <c:v>-56.338228464419473</c:v>
                      </c:pt>
                      <c:pt idx="58" formatCode="General">
                        <c:v>-56.574333333333335</c:v>
                      </c:pt>
                      <c:pt idx="59" formatCode="General">
                        <c:v>-56.810438202247191</c:v>
                      </c:pt>
                      <c:pt idx="60" formatCode="General">
                        <c:v>-57.046543071161047</c:v>
                      </c:pt>
                      <c:pt idx="61" formatCode="General">
                        <c:v>-57.282647940074902</c:v>
                      </c:pt>
                      <c:pt idx="62" formatCode="General">
                        <c:v>-57.518752808988765</c:v>
                      </c:pt>
                      <c:pt idx="63" formatCode="General">
                        <c:v>-57.754857677902621</c:v>
                      </c:pt>
                      <c:pt idx="64" formatCode="General">
                        <c:v>-57.990962546816476</c:v>
                      </c:pt>
                      <c:pt idx="65" formatCode="General">
                        <c:v>-58.227067415730332</c:v>
                      </c:pt>
                      <c:pt idx="66" formatCode="General">
                        <c:v>-58.460650936329586</c:v>
                      </c:pt>
                      <c:pt idx="67" formatCode="General">
                        <c:v>-58.684890636704118</c:v>
                      </c:pt>
                      <c:pt idx="68" formatCode="General">
                        <c:v>-58.909130337078651</c:v>
                      </c:pt>
                      <c:pt idx="69" formatCode="General">
                        <c:v>-59.133370037453183</c:v>
                      </c:pt>
                      <c:pt idx="70" formatCode="General">
                        <c:v>-59.357609737827715</c:v>
                      </c:pt>
                      <c:pt idx="71" formatCode="General">
                        <c:v>-59.581849438202241</c:v>
                      </c:pt>
                      <c:pt idx="72" formatCode="General">
                        <c:v>-59.806089138576773</c:v>
                      </c:pt>
                      <c:pt idx="73" formatCode="General">
                        <c:v>-60.030328838951306</c:v>
                      </c:pt>
                      <c:pt idx="74" formatCode="General">
                        <c:v>-60.254568539325838</c:v>
                      </c:pt>
                      <c:pt idx="75" formatCode="General">
                        <c:v>-60.478808239700371</c:v>
                      </c:pt>
                      <c:pt idx="76" formatCode="General">
                        <c:v>-60.703047940074903</c:v>
                      </c:pt>
                      <c:pt idx="77" formatCode="General">
                        <c:v>-60.927287640449435</c:v>
                      </c:pt>
                      <c:pt idx="78" formatCode="General">
                        <c:v>-61.151527340823968</c:v>
                      </c:pt>
                      <c:pt idx="79" formatCode="General">
                        <c:v>-61.3757670411985</c:v>
                      </c:pt>
                      <c:pt idx="80" formatCode="General">
                        <c:v>-61.600006741573026</c:v>
                      </c:pt>
                      <c:pt idx="81" formatCode="General">
                        <c:v>-61.824246441947558</c:v>
                      </c:pt>
                      <c:pt idx="82" formatCode="General">
                        <c:v>-62.048486142322091</c:v>
                      </c:pt>
                      <c:pt idx="83" formatCode="General">
                        <c:v>-62.267167664670652</c:v>
                      </c:pt>
                      <c:pt idx="84" formatCode="General">
                        <c:v>-62.480820359281431</c:v>
                      </c:pt>
                      <c:pt idx="85" formatCode="General">
                        <c:v>-62.69447305389221</c:v>
                      </c:pt>
                      <c:pt idx="86" formatCode="General">
                        <c:v>-62.908125748502989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C-35EF-46D6-A94F-2517E60135C4}"/>
                  </c:ext>
                </c:extLst>
              </c15:ser>
            </c15:filteredScatterSeries>
            <c15:filteredScatterSeries>
              <c15:ser>
                <c:idx val="5"/>
                <c:order val="7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306</c:v>
                      </c:pt>
                      <c:pt idx="1">
                        <c:v>314</c:v>
                      </c:pt>
                      <c:pt idx="2">
                        <c:v>322</c:v>
                      </c:pt>
                      <c:pt idx="3">
                        <c:v>330</c:v>
                      </c:pt>
                      <c:pt idx="4">
                        <c:v>338</c:v>
                      </c:pt>
                      <c:pt idx="5">
                        <c:v>346</c:v>
                      </c:pt>
                      <c:pt idx="6">
                        <c:v>354</c:v>
                      </c:pt>
                      <c:pt idx="7">
                        <c:v>362</c:v>
                      </c:pt>
                      <c:pt idx="8">
                        <c:v>370</c:v>
                      </c:pt>
                      <c:pt idx="9">
                        <c:v>378</c:v>
                      </c:pt>
                      <c:pt idx="10">
                        <c:v>386</c:v>
                      </c:pt>
                      <c:pt idx="11">
                        <c:v>394</c:v>
                      </c:pt>
                      <c:pt idx="12">
                        <c:v>402</c:v>
                      </c:pt>
                      <c:pt idx="13">
                        <c:v>410</c:v>
                      </c:pt>
                      <c:pt idx="14">
                        <c:v>418</c:v>
                      </c:pt>
                      <c:pt idx="15">
                        <c:v>426</c:v>
                      </c:pt>
                      <c:pt idx="16">
                        <c:v>434</c:v>
                      </c:pt>
                      <c:pt idx="17">
                        <c:v>442</c:v>
                      </c:pt>
                      <c:pt idx="18">
                        <c:v>450</c:v>
                      </c:pt>
                      <c:pt idx="19">
                        <c:v>458</c:v>
                      </c:pt>
                      <c:pt idx="20">
                        <c:v>466</c:v>
                      </c:pt>
                      <c:pt idx="21">
                        <c:v>474</c:v>
                      </c:pt>
                      <c:pt idx="22">
                        <c:v>482</c:v>
                      </c:pt>
                      <c:pt idx="23">
                        <c:v>490</c:v>
                      </c:pt>
                      <c:pt idx="24">
                        <c:v>498</c:v>
                      </c:pt>
                      <c:pt idx="25">
                        <c:v>506</c:v>
                      </c:pt>
                      <c:pt idx="26">
                        <c:v>514</c:v>
                      </c:pt>
                      <c:pt idx="27">
                        <c:v>522</c:v>
                      </c:pt>
                      <c:pt idx="28">
                        <c:v>530</c:v>
                      </c:pt>
                      <c:pt idx="29">
                        <c:v>538</c:v>
                      </c:pt>
                      <c:pt idx="30">
                        <c:v>546</c:v>
                      </c:pt>
                      <c:pt idx="31">
                        <c:v>554</c:v>
                      </c:pt>
                      <c:pt idx="32">
                        <c:v>562</c:v>
                      </c:pt>
                      <c:pt idx="33">
                        <c:v>570</c:v>
                      </c:pt>
                      <c:pt idx="34">
                        <c:v>578</c:v>
                      </c:pt>
                      <c:pt idx="35">
                        <c:v>586</c:v>
                      </c:pt>
                      <c:pt idx="36">
                        <c:v>594</c:v>
                      </c:pt>
                      <c:pt idx="37">
                        <c:v>602</c:v>
                      </c:pt>
                      <c:pt idx="38">
                        <c:v>610</c:v>
                      </c:pt>
                      <c:pt idx="39">
                        <c:v>618</c:v>
                      </c:pt>
                      <c:pt idx="40">
                        <c:v>626</c:v>
                      </c:pt>
                      <c:pt idx="41">
                        <c:v>634</c:v>
                      </c:pt>
                      <c:pt idx="42">
                        <c:v>642</c:v>
                      </c:pt>
                      <c:pt idx="43">
                        <c:v>650</c:v>
                      </c:pt>
                      <c:pt idx="44">
                        <c:v>658</c:v>
                      </c:pt>
                      <c:pt idx="45">
                        <c:v>666</c:v>
                      </c:pt>
                      <c:pt idx="46">
                        <c:v>674</c:v>
                      </c:pt>
                      <c:pt idx="47">
                        <c:v>682</c:v>
                      </c:pt>
                      <c:pt idx="48">
                        <c:v>690</c:v>
                      </c:pt>
                      <c:pt idx="49">
                        <c:v>698</c:v>
                      </c:pt>
                      <c:pt idx="50">
                        <c:v>706</c:v>
                      </c:pt>
                      <c:pt idx="51">
                        <c:v>714</c:v>
                      </c:pt>
                      <c:pt idx="52">
                        <c:v>722</c:v>
                      </c:pt>
                      <c:pt idx="53">
                        <c:v>730</c:v>
                      </c:pt>
                      <c:pt idx="54">
                        <c:v>738</c:v>
                      </c:pt>
                      <c:pt idx="55">
                        <c:v>746</c:v>
                      </c:pt>
                      <c:pt idx="56">
                        <c:v>754</c:v>
                      </c:pt>
                      <c:pt idx="57">
                        <c:v>762</c:v>
                      </c:pt>
                      <c:pt idx="58">
                        <c:v>770</c:v>
                      </c:pt>
                      <c:pt idx="59">
                        <c:v>778</c:v>
                      </c:pt>
                      <c:pt idx="60">
                        <c:v>786</c:v>
                      </c:pt>
                      <c:pt idx="61">
                        <c:v>794</c:v>
                      </c:pt>
                      <c:pt idx="62">
                        <c:v>802</c:v>
                      </c:pt>
                      <c:pt idx="63">
                        <c:v>810</c:v>
                      </c:pt>
                      <c:pt idx="64">
                        <c:v>818</c:v>
                      </c:pt>
                      <c:pt idx="65">
                        <c:v>826</c:v>
                      </c:pt>
                      <c:pt idx="66">
                        <c:v>834</c:v>
                      </c:pt>
                      <c:pt idx="67">
                        <c:v>842</c:v>
                      </c:pt>
                      <c:pt idx="68">
                        <c:v>850</c:v>
                      </c:pt>
                      <c:pt idx="69">
                        <c:v>858</c:v>
                      </c:pt>
                      <c:pt idx="70">
                        <c:v>866</c:v>
                      </c:pt>
                      <c:pt idx="71">
                        <c:v>874</c:v>
                      </c:pt>
                      <c:pt idx="72">
                        <c:v>882</c:v>
                      </c:pt>
                      <c:pt idx="73">
                        <c:v>890</c:v>
                      </c:pt>
                      <c:pt idx="74">
                        <c:v>898</c:v>
                      </c:pt>
                      <c:pt idx="75">
                        <c:v>906</c:v>
                      </c:pt>
                      <c:pt idx="76">
                        <c:v>914</c:v>
                      </c:pt>
                      <c:pt idx="77">
                        <c:v>922</c:v>
                      </c:pt>
                      <c:pt idx="78">
                        <c:v>930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EVALUATION!$B$108:$CP$108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-183.77576576576575</c:v>
                      </c:pt>
                      <c:pt idx="1">
                        <c:v>-179.80219219219219</c:v>
                      </c:pt>
                      <c:pt idx="2">
                        <c:v>-175.82861861861863</c:v>
                      </c:pt>
                      <c:pt idx="3">
                        <c:v>-171.85504504504505</c:v>
                      </c:pt>
                      <c:pt idx="4" formatCode="General">
                        <c:v>-168.51000000000002</c:v>
                      </c:pt>
                      <c:pt idx="5" formatCode="General">
                        <c:v>-165.31</c:v>
                      </c:pt>
                      <c:pt idx="6" formatCode="General">
                        <c:v>-162.10999999999999</c:v>
                      </c:pt>
                      <c:pt idx="7" formatCode="General">
                        <c:v>-158.91</c:v>
                      </c:pt>
                      <c:pt idx="8" formatCode="General">
                        <c:v>-156.06730538922156</c:v>
                      </c:pt>
                      <c:pt idx="9" formatCode="General">
                        <c:v>-153.42778443113772</c:v>
                      </c:pt>
                      <c:pt idx="10" formatCode="General">
                        <c:v>-150.78826347305389</c:v>
                      </c:pt>
                      <c:pt idx="11" formatCode="General">
                        <c:v>-148.14874251497005</c:v>
                      </c:pt>
                      <c:pt idx="12" formatCode="General">
                        <c:v>-145.70751497005986</c:v>
                      </c:pt>
                      <c:pt idx="13" formatCode="General">
                        <c:v>-143.49673652694611</c:v>
                      </c:pt>
                      <c:pt idx="14" formatCode="General">
                        <c:v>-141.28595808383233</c:v>
                      </c:pt>
                      <c:pt idx="15" formatCode="General">
                        <c:v>-139.07517964071855</c:v>
                      </c:pt>
                      <c:pt idx="16" formatCode="General">
                        <c:v>-136.96080838323354</c:v>
                      </c:pt>
                      <c:pt idx="17" formatCode="General">
                        <c:v>-135.08535928143712</c:v>
                      </c:pt>
                      <c:pt idx="18" formatCode="General">
                        <c:v>-133.20991017964073</c:v>
                      </c:pt>
                      <c:pt idx="19" formatCode="General">
                        <c:v>-131.33446107784434</c:v>
                      </c:pt>
                      <c:pt idx="20" formatCode="General">
                        <c:v>-129.49</c:v>
                      </c:pt>
                      <c:pt idx="21" formatCode="General">
                        <c:v>-127.89000000000001</c:v>
                      </c:pt>
                      <c:pt idx="22" formatCode="General">
                        <c:v>-126.29000000000002</c:v>
                      </c:pt>
                      <c:pt idx="23" formatCode="General">
                        <c:v>-124.69000000000001</c:v>
                      </c:pt>
                      <c:pt idx="24" formatCode="General">
                        <c:v>-123.09</c:v>
                      </c:pt>
                      <c:pt idx="25" formatCode="General">
                        <c:v>-121.94495495495497</c:v>
                      </c:pt>
                      <c:pt idx="26" formatCode="General">
                        <c:v>-120.83024024024024</c:v>
                      </c:pt>
                      <c:pt idx="27" formatCode="General">
                        <c:v>-119.71552552552552</c:v>
                      </c:pt>
                      <c:pt idx="28" formatCode="General">
                        <c:v>-118.6008108108108</c:v>
                      </c:pt>
                      <c:pt idx="29" formatCode="General">
                        <c:v>-119.12407185628743</c:v>
                      </c:pt>
                      <c:pt idx="30" formatCode="General">
                        <c:v>-120.12287425149701</c:v>
                      </c:pt>
                      <c:pt idx="31" formatCode="General">
                        <c:v>-121.12167664670659</c:v>
                      </c:pt>
                      <c:pt idx="32" formatCode="General">
                        <c:v>-122.12047904191617</c:v>
                      </c:pt>
                      <c:pt idx="33" formatCode="General">
                        <c:v>-123.0919760479042</c:v>
                      </c:pt>
                      <c:pt idx="34" formatCode="General">
                        <c:v>-124.04526946107785</c:v>
                      </c:pt>
                      <c:pt idx="35" formatCode="General">
                        <c:v>-124.9985628742515</c:v>
                      </c:pt>
                      <c:pt idx="36" formatCode="General">
                        <c:v>-125.95185628742516</c:v>
                      </c:pt>
                      <c:pt idx="37" formatCode="General">
                        <c:v>-126.90514970059881</c:v>
                      </c:pt>
                      <c:pt idx="38" formatCode="General">
                        <c:v>-127.85844311377247</c:v>
                      </c:pt>
                      <c:pt idx="39" formatCode="General">
                        <c:v>-128.81173652694611</c:v>
                      </c:pt>
                      <c:pt idx="40" formatCode="General">
                        <c:v>-129.76502994011977</c:v>
                      </c:pt>
                      <c:pt idx="41" formatCode="General">
                        <c:v>-130.71832335329341</c:v>
                      </c:pt>
                      <c:pt idx="42" formatCode="General">
                        <c:v>-131.67161676646708</c:v>
                      </c:pt>
                      <c:pt idx="43" formatCode="General">
                        <c:v>-132.62491017964072</c:v>
                      </c:pt>
                      <c:pt idx="44" formatCode="General">
                        <c:v>-133.57820359281436</c:v>
                      </c:pt>
                      <c:pt idx="45" formatCode="General">
                        <c:v>-134.53149700598803</c:v>
                      </c:pt>
                      <c:pt idx="46" formatCode="General">
                        <c:v>-135.48479041916167</c:v>
                      </c:pt>
                      <c:pt idx="47" formatCode="General">
                        <c:v>-136.43808383233534</c:v>
                      </c:pt>
                      <c:pt idx="48" formatCode="General">
                        <c:v>-137.39137724550898</c:v>
                      </c:pt>
                      <c:pt idx="49" formatCode="General">
                        <c:v>-138.34467065868265</c:v>
                      </c:pt>
                      <c:pt idx="50" formatCode="General">
                        <c:v>-139.21824719101124</c:v>
                      </c:pt>
                      <c:pt idx="51" formatCode="General">
                        <c:v>-140.08296629213484</c:v>
                      </c:pt>
                      <c:pt idx="52" formatCode="General">
                        <c:v>-140.94768539325844</c:v>
                      </c:pt>
                      <c:pt idx="53" formatCode="General">
                        <c:v>-141.81240449438204</c:v>
                      </c:pt>
                      <c:pt idx="54" formatCode="General">
                        <c:v>-142.67712359550563</c:v>
                      </c:pt>
                      <c:pt idx="55" formatCode="General">
                        <c:v>-143.54184269662923</c:v>
                      </c:pt>
                      <c:pt idx="56" formatCode="General">
                        <c:v>-144.40656179775283</c:v>
                      </c:pt>
                      <c:pt idx="57" formatCode="General">
                        <c:v>-145.2712808988764</c:v>
                      </c:pt>
                      <c:pt idx="58" formatCode="General">
                        <c:v>-146.136</c:v>
                      </c:pt>
                      <c:pt idx="59" formatCode="General">
                        <c:v>-147.00071910112359</c:v>
                      </c:pt>
                      <c:pt idx="60" formatCode="General">
                        <c:v>-147.86543820224719</c:v>
                      </c:pt>
                      <c:pt idx="61" formatCode="General">
                        <c:v>-148.73015730337079</c:v>
                      </c:pt>
                      <c:pt idx="62" formatCode="General">
                        <c:v>-149.59487640449439</c:v>
                      </c:pt>
                      <c:pt idx="63" formatCode="General">
                        <c:v>-150.45959550561798</c:v>
                      </c:pt>
                      <c:pt idx="64" formatCode="General">
                        <c:v>-151.32431460674158</c:v>
                      </c:pt>
                      <c:pt idx="65" formatCode="General">
                        <c:v>-152.18903370786518</c:v>
                      </c:pt>
                      <c:pt idx="66" formatCode="General">
                        <c:v>-153.03172284644197</c:v>
                      </c:pt>
                      <c:pt idx="67" formatCode="General">
                        <c:v>-153.79277153558053</c:v>
                      </c:pt>
                      <c:pt idx="68" formatCode="General">
                        <c:v>-154.55382022471912</c:v>
                      </c:pt>
                      <c:pt idx="69" formatCode="General">
                        <c:v>-155.31486891385768</c:v>
                      </c:pt>
                      <c:pt idx="70" formatCode="General">
                        <c:v>-156.07591760299627</c:v>
                      </c:pt>
                      <c:pt idx="71" formatCode="General">
                        <c:v>-156.83696629213483</c:v>
                      </c:pt>
                      <c:pt idx="72" formatCode="General">
                        <c:v>-157.59801498127342</c:v>
                      </c:pt>
                      <c:pt idx="73" formatCode="General">
                        <c:v>-158.35906367041198</c:v>
                      </c:pt>
                      <c:pt idx="74" formatCode="General">
                        <c:v>-159.12011235955057</c:v>
                      </c:pt>
                      <c:pt idx="75" formatCode="General">
                        <c:v>-159.88116104868914</c:v>
                      </c:pt>
                      <c:pt idx="76" formatCode="General">
                        <c:v>-160.64220973782773</c:v>
                      </c:pt>
                      <c:pt idx="77" formatCode="General">
                        <c:v>-161.40325842696629</c:v>
                      </c:pt>
                      <c:pt idx="78" formatCode="General">
                        <c:v>-162.16430711610488</c:v>
                      </c:pt>
                      <c:pt idx="79" formatCode="General">
                        <c:v>-162.92535580524344</c:v>
                      </c:pt>
                      <c:pt idx="80" formatCode="General">
                        <c:v>-163.68640449438203</c:v>
                      </c:pt>
                      <c:pt idx="81" formatCode="General">
                        <c:v>-164.44745318352059</c:v>
                      </c:pt>
                      <c:pt idx="82" formatCode="General">
                        <c:v>-165.20850187265918</c:v>
                      </c:pt>
                      <c:pt idx="83" formatCode="General">
                        <c:v>-165.92838323353294</c:v>
                      </c:pt>
                      <c:pt idx="84" formatCode="General">
                        <c:v>-166.61101796407183</c:v>
                      </c:pt>
                      <c:pt idx="85" formatCode="General">
                        <c:v>-167.29365269461076</c:v>
                      </c:pt>
                      <c:pt idx="86" formatCode="General">
                        <c:v>-167.97628742514968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D-35EF-46D6-A94F-2517E60135C4}"/>
                  </c:ext>
                </c:extLst>
              </c15:ser>
            </c15:filteredScatterSeries>
            <c15:filteredScatterSeries>
              <c15:ser>
                <c:idx val="6"/>
                <c:order val="8"/>
                <c:spPr>
                  <a:ln>
                    <a:solidFill>
                      <a:srgbClr val="00B050"/>
                    </a:solidFill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306</c:v>
                      </c:pt>
                      <c:pt idx="1">
                        <c:v>314</c:v>
                      </c:pt>
                      <c:pt idx="2">
                        <c:v>322</c:v>
                      </c:pt>
                      <c:pt idx="3">
                        <c:v>330</c:v>
                      </c:pt>
                      <c:pt idx="4">
                        <c:v>338</c:v>
                      </c:pt>
                      <c:pt idx="5">
                        <c:v>346</c:v>
                      </c:pt>
                      <c:pt idx="6">
                        <c:v>354</c:v>
                      </c:pt>
                      <c:pt idx="7">
                        <c:v>362</c:v>
                      </c:pt>
                      <c:pt idx="8">
                        <c:v>370</c:v>
                      </c:pt>
                      <c:pt idx="9">
                        <c:v>378</c:v>
                      </c:pt>
                      <c:pt idx="10">
                        <c:v>386</c:v>
                      </c:pt>
                      <c:pt idx="11">
                        <c:v>394</c:v>
                      </c:pt>
                      <c:pt idx="12">
                        <c:v>402</c:v>
                      </c:pt>
                      <c:pt idx="13">
                        <c:v>410</c:v>
                      </c:pt>
                      <c:pt idx="14">
                        <c:v>418</c:v>
                      </c:pt>
                      <c:pt idx="15">
                        <c:v>426</c:v>
                      </c:pt>
                      <c:pt idx="16">
                        <c:v>434</c:v>
                      </c:pt>
                      <c:pt idx="17">
                        <c:v>442</c:v>
                      </c:pt>
                      <c:pt idx="18">
                        <c:v>450</c:v>
                      </c:pt>
                      <c:pt idx="19">
                        <c:v>458</c:v>
                      </c:pt>
                      <c:pt idx="20">
                        <c:v>466</c:v>
                      </c:pt>
                      <c:pt idx="21">
                        <c:v>474</c:v>
                      </c:pt>
                      <c:pt idx="22">
                        <c:v>482</c:v>
                      </c:pt>
                      <c:pt idx="23">
                        <c:v>490</c:v>
                      </c:pt>
                      <c:pt idx="24">
                        <c:v>498</c:v>
                      </c:pt>
                      <c:pt idx="25">
                        <c:v>506</c:v>
                      </c:pt>
                      <c:pt idx="26">
                        <c:v>514</c:v>
                      </c:pt>
                      <c:pt idx="27">
                        <c:v>522</c:v>
                      </c:pt>
                      <c:pt idx="28">
                        <c:v>530</c:v>
                      </c:pt>
                      <c:pt idx="29">
                        <c:v>538</c:v>
                      </c:pt>
                      <c:pt idx="30">
                        <c:v>546</c:v>
                      </c:pt>
                      <c:pt idx="31">
                        <c:v>554</c:v>
                      </c:pt>
                      <c:pt idx="32">
                        <c:v>562</c:v>
                      </c:pt>
                      <c:pt idx="33">
                        <c:v>570</c:v>
                      </c:pt>
                      <c:pt idx="34">
                        <c:v>578</c:v>
                      </c:pt>
                      <c:pt idx="35">
                        <c:v>586</c:v>
                      </c:pt>
                      <c:pt idx="36">
                        <c:v>594</c:v>
                      </c:pt>
                      <c:pt idx="37">
                        <c:v>602</c:v>
                      </c:pt>
                      <c:pt idx="38">
                        <c:v>610</c:v>
                      </c:pt>
                      <c:pt idx="39">
                        <c:v>618</c:v>
                      </c:pt>
                      <c:pt idx="40">
                        <c:v>626</c:v>
                      </c:pt>
                      <c:pt idx="41">
                        <c:v>634</c:v>
                      </c:pt>
                      <c:pt idx="42">
                        <c:v>642</c:v>
                      </c:pt>
                      <c:pt idx="43">
                        <c:v>650</c:v>
                      </c:pt>
                      <c:pt idx="44">
                        <c:v>658</c:v>
                      </c:pt>
                      <c:pt idx="45">
                        <c:v>666</c:v>
                      </c:pt>
                      <c:pt idx="46">
                        <c:v>674</c:v>
                      </c:pt>
                      <c:pt idx="47">
                        <c:v>682</c:v>
                      </c:pt>
                      <c:pt idx="48">
                        <c:v>690</c:v>
                      </c:pt>
                      <c:pt idx="49">
                        <c:v>698</c:v>
                      </c:pt>
                      <c:pt idx="50">
                        <c:v>706</c:v>
                      </c:pt>
                      <c:pt idx="51">
                        <c:v>714</c:v>
                      </c:pt>
                      <c:pt idx="52">
                        <c:v>722</c:v>
                      </c:pt>
                      <c:pt idx="53">
                        <c:v>730</c:v>
                      </c:pt>
                      <c:pt idx="54">
                        <c:v>738</c:v>
                      </c:pt>
                      <c:pt idx="55">
                        <c:v>746</c:v>
                      </c:pt>
                      <c:pt idx="56">
                        <c:v>754</c:v>
                      </c:pt>
                      <c:pt idx="57">
                        <c:v>762</c:v>
                      </c:pt>
                      <c:pt idx="58">
                        <c:v>770</c:v>
                      </c:pt>
                      <c:pt idx="59">
                        <c:v>778</c:v>
                      </c:pt>
                      <c:pt idx="60">
                        <c:v>786</c:v>
                      </c:pt>
                      <c:pt idx="61">
                        <c:v>794</c:v>
                      </c:pt>
                      <c:pt idx="62">
                        <c:v>802</c:v>
                      </c:pt>
                      <c:pt idx="63">
                        <c:v>810</c:v>
                      </c:pt>
                      <c:pt idx="64">
                        <c:v>818</c:v>
                      </c:pt>
                      <c:pt idx="65">
                        <c:v>826</c:v>
                      </c:pt>
                      <c:pt idx="66">
                        <c:v>834</c:v>
                      </c:pt>
                      <c:pt idx="67">
                        <c:v>842</c:v>
                      </c:pt>
                      <c:pt idx="68">
                        <c:v>850</c:v>
                      </c:pt>
                      <c:pt idx="69">
                        <c:v>858</c:v>
                      </c:pt>
                      <c:pt idx="70">
                        <c:v>866</c:v>
                      </c:pt>
                      <c:pt idx="71">
                        <c:v>874</c:v>
                      </c:pt>
                      <c:pt idx="72">
                        <c:v>882</c:v>
                      </c:pt>
                      <c:pt idx="73">
                        <c:v>890</c:v>
                      </c:pt>
                      <c:pt idx="74">
                        <c:v>898</c:v>
                      </c:pt>
                      <c:pt idx="75">
                        <c:v>906</c:v>
                      </c:pt>
                      <c:pt idx="76">
                        <c:v>914</c:v>
                      </c:pt>
                      <c:pt idx="77">
                        <c:v>922</c:v>
                      </c:pt>
                      <c:pt idx="78">
                        <c:v>930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EVALUATION!$B$109:$CP$109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-30.236216216216214</c:v>
                      </c:pt>
                      <c:pt idx="1">
                        <c:v>-29.760540540540539</c:v>
                      </c:pt>
                      <c:pt idx="2">
                        <c:v>-29.284864864864865</c:v>
                      </c:pt>
                      <c:pt idx="3">
                        <c:v>-28.809189189189187</c:v>
                      </c:pt>
                      <c:pt idx="4" formatCode="General">
                        <c:v>-27.918203592814368</c:v>
                      </c:pt>
                      <c:pt idx="5" formatCode="General">
                        <c:v>-26.93137724550898</c:v>
                      </c:pt>
                      <c:pt idx="6" formatCode="General">
                        <c:v>-25.944550898203591</c:v>
                      </c:pt>
                      <c:pt idx="7" formatCode="General">
                        <c:v>-24.957724550898202</c:v>
                      </c:pt>
                      <c:pt idx="8" formatCode="General">
                        <c:v>-23.900658682634731</c:v>
                      </c:pt>
                      <c:pt idx="9" formatCode="General">
                        <c:v>-22.803652694610779</c:v>
                      </c:pt>
                      <c:pt idx="10" formatCode="General">
                        <c:v>-21.706646706586827</c:v>
                      </c:pt>
                      <c:pt idx="11" formatCode="General">
                        <c:v>-20.609640718562876</c:v>
                      </c:pt>
                      <c:pt idx="12" formatCode="General">
                        <c:v>-19.579323353293415</c:v>
                      </c:pt>
                      <c:pt idx="13" formatCode="General">
                        <c:v>-18.626508982035929</c:v>
                      </c:pt>
                      <c:pt idx="14" formatCode="General">
                        <c:v>-17.673694610778444</c:v>
                      </c:pt>
                      <c:pt idx="15" formatCode="General">
                        <c:v>-16.720880239520959</c:v>
                      </c:pt>
                      <c:pt idx="16" formatCode="General">
                        <c:v>-15.802221556886229</c:v>
                      </c:pt>
                      <c:pt idx="17" formatCode="General">
                        <c:v>-14.968209580838325</c:v>
                      </c:pt>
                      <c:pt idx="18" formatCode="General">
                        <c:v>-14.134197604790421</c:v>
                      </c:pt>
                      <c:pt idx="19" formatCode="General">
                        <c:v>-13.300185628742518</c:v>
                      </c:pt>
                      <c:pt idx="20" formatCode="General">
                        <c:v>-12.476790419161679</c:v>
                      </c:pt>
                      <c:pt idx="21" formatCode="General">
                        <c:v>-11.737149700598804</c:v>
                      </c:pt>
                      <c:pt idx="22" formatCode="General">
                        <c:v>-10.99750898203593</c:v>
                      </c:pt>
                      <c:pt idx="23" formatCode="General">
                        <c:v>-10.257868263473053</c:v>
                      </c:pt>
                      <c:pt idx="24" formatCode="General">
                        <c:v>-9.5182275449101788</c:v>
                      </c:pt>
                      <c:pt idx="25" formatCode="General">
                        <c:v>-9.2039819819819808</c:v>
                      </c:pt>
                      <c:pt idx="26" formatCode="General">
                        <c:v>-8.9180960960960949</c:v>
                      </c:pt>
                      <c:pt idx="27" formatCode="General">
                        <c:v>-8.632210210210209</c:v>
                      </c:pt>
                      <c:pt idx="28" formatCode="General">
                        <c:v>-8.346324324324323</c:v>
                      </c:pt>
                      <c:pt idx="29" formatCode="General">
                        <c:v>-8.3124431137724546</c:v>
                      </c:pt>
                      <c:pt idx="30" formatCode="General">
                        <c:v>-8.3517245508982043</c:v>
                      </c:pt>
                      <c:pt idx="31" formatCode="General">
                        <c:v>-8.3910059880239523</c:v>
                      </c:pt>
                      <c:pt idx="32" formatCode="General">
                        <c:v>-8.4302874251497002</c:v>
                      </c:pt>
                      <c:pt idx="33" formatCode="General">
                        <c:v>-8.4697125748502984</c:v>
                      </c:pt>
                      <c:pt idx="34" formatCode="General">
                        <c:v>-8.5092335329341307</c:v>
                      </c:pt>
                      <c:pt idx="35" formatCode="General">
                        <c:v>-8.5487544910179629</c:v>
                      </c:pt>
                      <c:pt idx="36" formatCode="General">
                        <c:v>-8.5882754491017952</c:v>
                      </c:pt>
                      <c:pt idx="37" formatCode="General">
                        <c:v>-8.6277964071856292</c:v>
                      </c:pt>
                      <c:pt idx="38" formatCode="General">
                        <c:v>-8.6673173652694615</c:v>
                      </c:pt>
                      <c:pt idx="39" formatCode="General">
                        <c:v>-8.7068383233532938</c:v>
                      </c:pt>
                      <c:pt idx="40" formatCode="General">
                        <c:v>-8.746359281437126</c:v>
                      </c:pt>
                      <c:pt idx="41" formatCode="General">
                        <c:v>-8.7858802395209583</c:v>
                      </c:pt>
                      <c:pt idx="42" formatCode="General">
                        <c:v>-8.8254011976047906</c:v>
                      </c:pt>
                      <c:pt idx="43" formatCode="General">
                        <c:v>-8.8649221556886229</c:v>
                      </c:pt>
                      <c:pt idx="44" formatCode="General">
                        <c:v>-8.9044431137724551</c:v>
                      </c:pt>
                      <c:pt idx="45" formatCode="General">
                        <c:v>-8.9439640718562874</c:v>
                      </c:pt>
                      <c:pt idx="46" formatCode="General">
                        <c:v>-8.9834850299401197</c:v>
                      </c:pt>
                      <c:pt idx="47" formatCode="General">
                        <c:v>-9.0230059880239519</c:v>
                      </c:pt>
                      <c:pt idx="48" formatCode="General">
                        <c:v>-9.0625269461077842</c:v>
                      </c:pt>
                      <c:pt idx="49" formatCode="General">
                        <c:v>-9.1020479041916165</c:v>
                      </c:pt>
                      <c:pt idx="50" formatCode="General">
                        <c:v>-9.140516853932585</c:v>
                      </c:pt>
                      <c:pt idx="51" formatCode="General">
                        <c:v>-9.1788689138576789</c:v>
                      </c:pt>
                      <c:pt idx="52" formatCode="General">
                        <c:v>-9.2172209737827711</c:v>
                      </c:pt>
                      <c:pt idx="53" formatCode="General">
                        <c:v>-9.255573033707865</c:v>
                      </c:pt>
                      <c:pt idx="54" formatCode="General">
                        <c:v>-9.2939250936329589</c:v>
                      </c:pt>
                      <c:pt idx="55" formatCode="General">
                        <c:v>-9.3322771535580529</c:v>
                      </c:pt>
                      <c:pt idx="56" formatCode="General">
                        <c:v>-9.3706292134831468</c:v>
                      </c:pt>
                      <c:pt idx="57" formatCode="General">
                        <c:v>-9.4089812734082408</c:v>
                      </c:pt>
                      <c:pt idx="58" formatCode="General">
                        <c:v>-9.4473333333333329</c:v>
                      </c:pt>
                      <c:pt idx="59" formatCode="General">
                        <c:v>-9.4856853932584269</c:v>
                      </c:pt>
                      <c:pt idx="60" formatCode="General">
                        <c:v>-9.5240374531835208</c:v>
                      </c:pt>
                      <c:pt idx="61" formatCode="General">
                        <c:v>-9.5623895131086147</c:v>
                      </c:pt>
                      <c:pt idx="62" formatCode="General">
                        <c:v>-9.6007415730337087</c:v>
                      </c:pt>
                      <c:pt idx="63" formatCode="General">
                        <c:v>-9.6390936329588026</c:v>
                      </c:pt>
                      <c:pt idx="64" formatCode="General">
                        <c:v>-9.6774456928838966</c:v>
                      </c:pt>
                      <c:pt idx="65" formatCode="General">
                        <c:v>-9.7157977528089887</c:v>
                      </c:pt>
                      <c:pt idx="66" formatCode="General">
                        <c:v>-9.7536913857677909</c:v>
                      </c:pt>
                      <c:pt idx="67" formatCode="General">
                        <c:v>-9.7898861423220982</c:v>
                      </c:pt>
                      <c:pt idx="68" formatCode="General">
                        <c:v>-9.8260808988764055</c:v>
                      </c:pt>
                      <c:pt idx="69" formatCode="General">
                        <c:v>-9.8622756554307127</c:v>
                      </c:pt>
                      <c:pt idx="70" formatCode="General">
                        <c:v>-9.89847041198502</c:v>
                      </c:pt>
                      <c:pt idx="71" formatCode="General">
                        <c:v>-9.9346651685393255</c:v>
                      </c:pt>
                      <c:pt idx="72" formatCode="General">
                        <c:v>-9.9708599250936327</c:v>
                      </c:pt>
                      <c:pt idx="73" formatCode="General">
                        <c:v>-10.00705468164794</c:v>
                      </c:pt>
                      <c:pt idx="74" formatCode="General">
                        <c:v>-10.043249438202247</c:v>
                      </c:pt>
                      <c:pt idx="75" formatCode="General">
                        <c:v>-10.079444194756555</c:v>
                      </c:pt>
                      <c:pt idx="76" formatCode="General">
                        <c:v>-10.115638951310862</c:v>
                      </c:pt>
                      <c:pt idx="77" formatCode="General">
                        <c:v>-10.151833707865169</c:v>
                      </c:pt>
                      <c:pt idx="78" formatCode="General">
                        <c:v>-10.188028464419476</c:v>
                      </c:pt>
                      <c:pt idx="79" formatCode="General">
                        <c:v>-10.224223220973784</c:v>
                      </c:pt>
                      <c:pt idx="80" formatCode="General">
                        <c:v>-10.260417977528089</c:v>
                      </c:pt>
                      <c:pt idx="81" formatCode="General">
                        <c:v>-10.296612734082396</c:v>
                      </c:pt>
                      <c:pt idx="82" formatCode="General">
                        <c:v>-10.332807490636704</c:v>
                      </c:pt>
                      <c:pt idx="83" formatCode="General">
                        <c:v>-10.368107784431137</c:v>
                      </c:pt>
                      <c:pt idx="84" formatCode="General">
                        <c:v>-10.402598802395209</c:v>
                      </c:pt>
                      <c:pt idx="85" formatCode="General">
                        <c:v>-10.437089820359281</c:v>
                      </c:pt>
                      <c:pt idx="86" formatCode="General">
                        <c:v>-10.471580838323353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E-35EF-46D6-A94F-2517E60135C4}"/>
                  </c:ext>
                </c:extLst>
              </c15:ser>
            </c15:filteredScatterSeries>
            <c15:filteredScatterSeries>
              <c15:ser>
                <c:idx val="7"/>
                <c:order val="9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306</c:v>
                      </c:pt>
                      <c:pt idx="1">
                        <c:v>314</c:v>
                      </c:pt>
                      <c:pt idx="2">
                        <c:v>322</c:v>
                      </c:pt>
                      <c:pt idx="3">
                        <c:v>330</c:v>
                      </c:pt>
                      <c:pt idx="4">
                        <c:v>338</c:v>
                      </c:pt>
                      <c:pt idx="5">
                        <c:v>346</c:v>
                      </c:pt>
                      <c:pt idx="6">
                        <c:v>354</c:v>
                      </c:pt>
                      <c:pt idx="7">
                        <c:v>362</c:v>
                      </c:pt>
                      <c:pt idx="8">
                        <c:v>370</c:v>
                      </c:pt>
                      <c:pt idx="9">
                        <c:v>378</c:v>
                      </c:pt>
                      <c:pt idx="10">
                        <c:v>386</c:v>
                      </c:pt>
                      <c:pt idx="11">
                        <c:v>394</c:v>
                      </c:pt>
                      <c:pt idx="12">
                        <c:v>402</c:v>
                      </c:pt>
                      <c:pt idx="13">
                        <c:v>410</c:v>
                      </c:pt>
                      <c:pt idx="14">
                        <c:v>418</c:v>
                      </c:pt>
                      <c:pt idx="15">
                        <c:v>426</c:v>
                      </c:pt>
                      <c:pt idx="16">
                        <c:v>434</c:v>
                      </c:pt>
                      <c:pt idx="17">
                        <c:v>442</c:v>
                      </c:pt>
                      <c:pt idx="18">
                        <c:v>450</c:v>
                      </c:pt>
                      <c:pt idx="19">
                        <c:v>458</c:v>
                      </c:pt>
                      <c:pt idx="20">
                        <c:v>466</c:v>
                      </c:pt>
                      <c:pt idx="21">
                        <c:v>474</c:v>
                      </c:pt>
                      <c:pt idx="22">
                        <c:v>482</c:v>
                      </c:pt>
                      <c:pt idx="23">
                        <c:v>490</c:v>
                      </c:pt>
                      <c:pt idx="24">
                        <c:v>498</c:v>
                      </c:pt>
                      <c:pt idx="25">
                        <c:v>506</c:v>
                      </c:pt>
                      <c:pt idx="26">
                        <c:v>514</c:v>
                      </c:pt>
                      <c:pt idx="27">
                        <c:v>522</c:v>
                      </c:pt>
                      <c:pt idx="28">
                        <c:v>530</c:v>
                      </c:pt>
                      <c:pt idx="29">
                        <c:v>538</c:v>
                      </c:pt>
                      <c:pt idx="30">
                        <c:v>546</c:v>
                      </c:pt>
                      <c:pt idx="31">
                        <c:v>554</c:v>
                      </c:pt>
                      <c:pt idx="32">
                        <c:v>562</c:v>
                      </c:pt>
                      <c:pt idx="33">
                        <c:v>570</c:v>
                      </c:pt>
                      <c:pt idx="34">
                        <c:v>578</c:v>
                      </c:pt>
                      <c:pt idx="35">
                        <c:v>586</c:v>
                      </c:pt>
                      <c:pt idx="36">
                        <c:v>594</c:v>
                      </c:pt>
                      <c:pt idx="37">
                        <c:v>602</c:v>
                      </c:pt>
                      <c:pt idx="38">
                        <c:v>610</c:v>
                      </c:pt>
                      <c:pt idx="39">
                        <c:v>618</c:v>
                      </c:pt>
                      <c:pt idx="40">
                        <c:v>626</c:v>
                      </c:pt>
                      <c:pt idx="41">
                        <c:v>634</c:v>
                      </c:pt>
                      <c:pt idx="42">
                        <c:v>642</c:v>
                      </c:pt>
                      <c:pt idx="43">
                        <c:v>650</c:v>
                      </c:pt>
                      <c:pt idx="44">
                        <c:v>658</c:v>
                      </c:pt>
                      <c:pt idx="45">
                        <c:v>666</c:v>
                      </c:pt>
                      <c:pt idx="46">
                        <c:v>674</c:v>
                      </c:pt>
                      <c:pt idx="47">
                        <c:v>682</c:v>
                      </c:pt>
                      <c:pt idx="48">
                        <c:v>690</c:v>
                      </c:pt>
                      <c:pt idx="49">
                        <c:v>698</c:v>
                      </c:pt>
                      <c:pt idx="50">
                        <c:v>706</c:v>
                      </c:pt>
                      <c:pt idx="51">
                        <c:v>714</c:v>
                      </c:pt>
                      <c:pt idx="52">
                        <c:v>722</c:v>
                      </c:pt>
                      <c:pt idx="53">
                        <c:v>730</c:v>
                      </c:pt>
                      <c:pt idx="54">
                        <c:v>738</c:v>
                      </c:pt>
                      <c:pt idx="55">
                        <c:v>746</c:v>
                      </c:pt>
                      <c:pt idx="56">
                        <c:v>754</c:v>
                      </c:pt>
                      <c:pt idx="57">
                        <c:v>762</c:v>
                      </c:pt>
                      <c:pt idx="58">
                        <c:v>770</c:v>
                      </c:pt>
                      <c:pt idx="59">
                        <c:v>778</c:v>
                      </c:pt>
                      <c:pt idx="60">
                        <c:v>786</c:v>
                      </c:pt>
                      <c:pt idx="61">
                        <c:v>794</c:v>
                      </c:pt>
                      <c:pt idx="62">
                        <c:v>802</c:v>
                      </c:pt>
                      <c:pt idx="63">
                        <c:v>810</c:v>
                      </c:pt>
                      <c:pt idx="64">
                        <c:v>818</c:v>
                      </c:pt>
                      <c:pt idx="65">
                        <c:v>826</c:v>
                      </c:pt>
                      <c:pt idx="66">
                        <c:v>834</c:v>
                      </c:pt>
                      <c:pt idx="67">
                        <c:v>842</c:v>
                      </c:pt>
                      <c:pt idx="68">
                        <c:v>850</c:v>
                      </c:pt>
                      <c:pt idx="69">
                        <c:v>858</c:v>
                      </c:pt>
                      <c:pt idx="70">
                        <c:v>866</c:v>
                      </c:pt>
                      <c:pt idx="71">
                        <c:v>874</c:v>
                      </c:pt>
                      <c:pt idx="72">
                        <c:v>882</c:v>
                      </c:pt>
                      <c:pt idx="73">
                        <c:v>890</c:v>
                      </c:pt>
                      <c:pt idx="74">
                        <c:v>898</c:v>
                      </c:pt>
                      <c:pt idx="75">
                        <c:v>906</c:v>
                      </c:pt>
                      <c:pt idx="76">
                        <c:v>914</c:v>
                      </c:pt>
                      <c:pt idx="77">
                        <c:v>922</c:v>
                      </c:pt>
                      <c:pt idx="78">
                        <c:v>930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EVALUATION!$B$110:$CP$110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-15.118108108108107</c:v>
                      </c:pt>
                      <c:pt idx="1">
                        <c:v>-14.88027027027027</c:v>
                      </c:pt>
                      <c:pt idx="2">
                        <c:v>-14.642432432432432</c:v>
                      </c:pt>
                      <c:pt idx="3">
                        <c:v>-14.404594594594593</c:v>
                      </c:pt>
                      <c:pt idx="4" formatCode="General">
                        <c:v>-13.959101796407184</c:v>
                      </c:pt>
                      <c:pt idx="5" formatCode="General">
                        <c:v>-13.46568862275449</c:v>
                      </c:pt>
                      <c:pt idx="6" formatCode="General">
                        <c:v>-12.972275449101796</c:v>
                      </c:pt>
                      <c:pt idx="7" formatCode="General">
                        <c:v>-12.478862275449101</c:v>
                      </c:pt>
                      <c:pt idx="8" formatCode="General">
                        <c:v>-11.950329341317365</c:v>
                      </c:pt>
                      <c:pt idx="9" formatCode="General">
                        <c:v>-11.40182634730539</c:v>
                      </c:pt>
                      <c:pt idx="10" formatCode="General">
                        <c:v>-10.853323353293414</c:v>
                      </c:pt>
                      <c:pt idx="11" formatCode="General">
                        <c:v>-10.304820359281438</c:v>
                      </c:pt>
                      <c:pt idx="12" formatCode="General">
                        <c:v>-9.7896616766467073</c:v>
                      </c:pt>
                      <c:pt idx="13" formatCode="General">
                        <c:v>-9.3132544910179647</c:v>
                      </c:pt>
                      <c:pt idx="14" formatCode="General">
                        <c:v>-8.836847305389222</c:v>
                      </c:pt>
                      <c:pt idx="15" formatCode="General">
                        <c:v>-8.3604401197604794</c:v>
                      </c:pt>
                      <c:pt idx="16" formatCode="General">
                        <c:v>-7.9011107784431145</c:v>
                      </c:pt>
                      <c:pt idx="17" formatCode="General">
                        <c:v>-7.4841047904191624</c:v>
                      </c:pt>
                      <c:pt idx="18" formatCode="General">
                        <c:v>-7.0670988023952104</c:v>
                      </c:pt>
                      <c:pt idx="19" formatCode="General">
                        <c:v>-6.6500928143712592</c:v>
                      </c:pt>
                      <c:pt idx="20" formatCode="General">
                        <c:v>-6.2383952095808395</c:v>
                      </c:pt>
                      <c:pt idx="21" formatCode="General">
                        <c:v>-5.8685748502994022</c:v>
                      </c:pt>
                      <c:pt idx="22" formatCode="General">
                        <c:v>-5.4987544910179649</c:v>
                      </c:pt>
                      <c:pt idx="23" formatCode="General">
                        <c:v>-5.1289341317365267</c:v>
                      </c:pt>
                      <c:pt idx="24" formatCode="General">
                        <c:v>-4.7591137724550894</c:v>
                      </c:pt>
                      <c:pt idx="25" formatCode="General">
                        <c:v>-4.6019909909909904</c:v>
                      </c:pt>
                      <c:pt idx="26" formatCode="General">
                        <c:v>-4.4590480480480474</c:v>
                      </c:pt>
                      <c:pt idx="27" formatCode="General">
                        <c:v>-4.3161051051051045</c:v>
                      </c:pt>
                      <c:pt idx="28" formatCode="General">
                        <c:v>-4.1731621621621615</c:v>
                      </c:pt>
                      <c:pt idx="29" formatCode="General">
                        <c:v>-4.1562215568862273</c:v>
                      </c:pt>
                      <c:pt idx="30" formatCode="General">
                        <c:v>-4.1758622754491022</c:v>
                      </c:pt>
                      <c:pt idx="31" formatCode="General">
                        <c:v>-4.1955029940119761</c:v>
                      </c:pt>
                      <c:pt idx="32" formatCode="General">
                        <c:v>-4.2151437125748501</c:v>
                      </c:pt>
                      <c:pt idx="33" formatCode="General">
                        <c:v>-4.2348562874251492</c:v>
                      </c:pt>
                      <c:pt idx="34" formatCode="General">
                        <c:v>-4.2546167664670653</c:v>
                      </c:pt>
                      <c:pt idx="35" formatCode="General">
                        <c:v>-4.2743772455089815</c:v>
                      </c:pt>
                      <c:pt idx="36" formatCode="General">
                        <c:v>-4.2941377245508976</c:v>
                      </c:pt>
                      <c:pt idx="37" formatCode="General">
                        <c:v>-4.3138982035928146</c:v>
                      </c:pt>
                      <c:pt idx="38" formatCode="General">
                        <c:v>-4.3336586826347308</c:v>
                      </c:pt>
                      <c:pt idx="39" formatCode="General">
                        <c:v>-4.3534191616766469</c:v>
                      </c:pt>
                      <c:pt idx="40" formatCode="General">
                        <c:v>-4.373179640718563</c:v>
                      </c:pt>
                      <c:pt idx="41" formatCode="General">
                        <c:v>-4.3929401197604792</c:v>
                      </c:pt>
                      <c:pt idx="42" formatCode="General">
                        <c:v>-4.4127005988023953</c:v>
                      </c:pt>
                      <c:pt idx="43" formatCode="General">
                        <c:v>-4.4324610778443114</c:v>
                      </c:pt>
                      <c:pt idx="44" formatCode="General">
                        <c:v>-4.4522215568862276</c:v>
                      </c:pt>
                      <c:pt idx="45" formatCode="General">
                        <c:v>-4.4719820359281437</c:v>
                      </c:pt>
                      <c:pt idx="46" formatCode="General">
                        <c:v>-4.4917425149700598</c:v>
                      </c:pt>
                      <c:pt idx="47" formatCode="General">
                        <c:v>-4.511502994011976</c:v>
                      </c:pt>
                      <c:pt idx="48" formatCode="General">
                        <c:v>-4.5312634730538921</c:v>
                      </c:pt>
                      <c:pt idx="49" formatCode="General">
                        <c:v>-4.5510239520958082</c:v>
                      </c:pt>
                      <c:pt idx="50" formatCode="General">
                        <c:v>-4.5702584269662925</c:v>
                      </c:pt>
                      <c:pt idx="51" formatCode="General">
                        <c:v>-4.5894344569288394</c:v>
                      </c:pt>
                      <c:pt idx="52" formatCode="General">
                        <c:v>-4.6086104868913855</c:v>
                      </c:pt>
                      <c:pt idx="53" formatCode="General">
                        <c:v>-4.6277865168539325</c:v>
                      </c:pt>
                      <c:pt idx="54" formatCode="General">
                        <c:v>-4.6469625468164795</c:v>
                      </c:pt>
                      <c:pt idx="55" formatCode="General">
                        <c:v>-4.6661385767790264</c:v>
                      </c:pt>
                      <c:pt idx="56" formatCode="General">
                        <c:v>-4.6853146067415734</c:v>
                      </c:pt>
                      <c:pt idx="57" formatCode="General">
                        <c:v>-4.7044906367041204</c:v>
                      </c:pt>
                      <c:pt idx="58" formatCode="General">
                        <c:v>-4.7236666666666665</c:v>
                      </c:pt>
                      <c:pt idx="59" formatCode="General">
                        <c:v>-4.7428426966292134</c:v>
                      </c:pt>
                      <c:pt idx="60" formatCode="General">
                        <c:v>-4.7620187265917604</c:v>
                      </c:pt>
                      <c:pt idx="61" formatCode="General">
                        <c:v>-4.7811947565543074</c:v>
                      </c:pt>
                      <c:pt idx="62" formatCode="General">
                        <c:v>-4.8003707865168543</c:v>
                      </c:pt>
                      <c:pt idx="63" formatCode="General">
                        <c:v>-4.8195468164794013</c:v>
                      </c:pt>
                      <c:pt idx="64" formatCode="General">
                        <c:v>-4.8387228464419483</c:v>
                      </c:pt>
                      <c:pt idx="65" formatCode="General">
                        <c:v>-4.8578988764044944</c:v>
                      </c:pt>
                      <c:pt idx="66" formatCode="General">
                        <c:v>-4.8768456928838955</c:v>
                      </c:pt>
                      <c:pt idx="67" formatCode="General">
                        <c:v>-4.8949430711610491</c:v>
                      </c:pt>
                      <c:pt idx="68" formatCode="General">
                        <c:v>-4.9130404494382027</c:v>
                      </c:pt>
                      <c:pt idx="69" formatCode="General">
                        <c:v>-4.9311378277153564</c:v>
                      </c:pt>
                      <c:pt idx="70" formatCode="General">
                        <c:v>-4.94923520599251</c:v>
                      </c:pt>
                      <c:pt idx="71" formatCode="General">
                        <c:v>-4.9673325842696627</c:v>
                      </c:pt>
                      <c:pt idx="72" formatCode="General">
                        <c:v>-4.9854299625468164</c:v>
                      </c:pt>
                      <c:pt idx="73" formatCode="General">
                        <c:v>-5.00352734082397</c:v>
                      </c:pt>
                      <c:pt idx="74" formatCode="General">
                        <c:v>-5.0216247191011236</c:v>
                      </c:pt>
                      <c:pt idx="75" formatCode="General">
                        <c:v>-5.0397220973782773</c:v>
                      </c:pt>
                      <c:pt idx="76" formatCode="General">
                        <c:v>-5.0578194756554309</c:v>
                      </c:pt>
                      <c:pt idx="77" formatCode="General">
                        <c:v>-5.0759168539325845</c:v>
                      </c:pt>
                      <c:pt idx="78" formatCode="General">
                        <c:v>-5.0940142322097381</c:v>
                      </c:pt>
                      <c:pt idx="79" formatCode="General">
                        <c:v>-5.1121116104868918</c:v>
                      </c:pt>
                      <c:pt idx="80" formatCode="General">
                        <c:v>-5.1302089887640445</c:v>
                      </c:pt>
                      <c:pt idx="81" formatCode="General">
                        <c:v>-5.1483063670411982</c:v>
                      </c:pt>
                      <c:pt idx="82" formatCode="General">
                        <c:v>-5.1664037453183518</c:v>
                      </c:pt>
                      <c:pt idx="83" formatCode="General">
                        <c:v>-5.1840538922155686</c:v>
                      </c:pt>
                      <c:pt idx="84" formatCode="General">
                        <c:v>-5.2012994011976046</c:v>
                      </c:pt>
                      <c:pt idx="85" formatCode="General">
                        <c:v>-5.2185449101796406</c:v>
                      </c:pt>
                      <c:pt idx="86" formatCode="General">
                        <c:v>-5.2357904191616766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F-35EF-46D6-A94F-2517E60135C4}"/>
                  </c:ext>
                </c:extLst>
              </c15:ser>
            </c15:filteredScatterSeries>
            <c15:filteredScatterSeries>
              <c15:ser>
                <c:idx val="8"/>
                <c:order val="10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306</c:v>
                      </c:pt>
                      <c:pt idx="1">
                        <c:v>314</c:v>
                      </c:pt>
                      <c:pt idx="2">
                        <c:v>322</c:v>
                      </c:pt>
                      <c:pt idx="3">
                        <c:v>330</c:v>
                      </c:pt>
                      <c:pt idx="4">
                        <c:v>338</c:v>
                      </c:pt>
                      <c:pt idx="5">
                        <c:v>346</c:v>
                      </c:pt>
                      <c:pt idx="6">
                        <c:v>354</c:v>
                      </c:pt>
                      <c:pt idx="7">
                        <c:v>362</c:v>
                      </c:pt>
                      <c:pt idx="8">
                        <c:v>370</c:v>
                      </c:pt>
                      <c:pt idx="9">
                        <c:v>378</c:v>
                      </c:pt>
                      <c:pt idx="10">
                        <c:v>386</c:v>
                      </c:pt>
                      <c:pt idx="11">
                        <c:v>394</c:v>
                      </c:pt>
                      <c:pt idx="12">
                        <c:v>402</c:v>
                      </c:pt>
                      <c:pt idx="13">
                        <c:v>410</c:v>
                      </c:pt>
                      <c:pt idx="14">
                        <c:v>418</c:v>
                      </c:pt>
                      <c:pt idx="15">
                        <c:v>426</c:v>
                      </c:pt>
                      <c:pt idx="16">
                        <c:v>434</c:v>
                      </c:pt>
                      <c:pt idx="17">
                        <c:v>442</c:v>
                      </c:pt>
                      <c:pt idx="18">
                        <c:v>450</c:v>
                      </c:pt>
                      <c:pt idx="19">
                        <c:v>458</c:v>
                      </c:pt>
                      <c:pt idx="20">
                        <c:v>466</c:v>
                      </c:pt>
                      <c:pt idx="21">
                        <c:v>474</c:v>
                      </c:pt>
                      <c:pt idx="22">
                        <c:v>482</c:v>
                      </c:pt>
                      <c:pt idx="23">
                        <c:v>490</c:v>
                      </c:pt>
                      <c:pt idx="24">
                        <c:v>498</c:v>
                      </c:pt>
                      <c:pt idx="25">
                        <c:v>506</c:v>
                      </c:pt>
                      <c:pt idx="26">
                        <c:v>514</c:v>
                      </c:pt>
                      <c:pt idx="27">
                        <c:v>522</c:v>
                      </c:pt>
                      <c:pt idx="28">
                        <c:v>530</c:v>
                      </c:pt>
                      <c:pt idx="29">
                        <c:v>538</c:v>
                      </c:pt>
                      <c:pt idx="30">
                        <c:v>546</c:v>
                      </c:pt>
                      <c:pt idx="31">
                        <c:v>554</c:v>
                      </c:pt>
                      <c:pt idx="32">
                        <c:v>562</c:v>
                      </c:pt>
                      <c:pt idx="33">
                        <c:v>570</c:v>
                      </c:pt>
                      <c:pt idx="34">
                        <c:v>578</c:v>
                      </c:pt>
                      <c:pt idx="35">
                        <c:v>586</c:v>
                      </c:pt>
                      <c:pt idx="36">
                        <c:v>594</c:v>
                      </c:pt>
                      <c:pt idx="37">
                        <c:v>602</c:v>
                      </c:pt>
                      <c:pt idx="38">
                        <c:v>610</c:v>
                      </c:pt>
                      <c:pt idx="39">
                        <c:v>618</c:v>
                      </c:pt>
                      <c:pt idx="40">
                        <c:v>626</c:v>
                      </c:pt>
                      <c:pt idx="41">
                        <c:v>634</c:v>
                      </c:pt>
                      <c:pt idx="42">
                        <c:v>642</c:v>
                      </c:pt>
                      <c:pt idx="43">
                        <c:v>650</c:v>
                      </c:pt>
                      <c:pt idx="44">
                        <c:v>658</c:v>
                      </c:pt>
                      <c:pt idx="45">
                        <c:v>666</c:v>
                      </c:pt>
                      <c:pt idx="46">
                        <c:v>674</c:v>
                      </c:pt>
                      <c:pt idx="47">
                        <c:v>682</c:v>
                      </c:pt>
                      <c:pt idx="48">
                        <c:v>690</c:v>
                      </c:pt>
                      <c:pt idx="49">
                        <c:v>698</c:v>
                      </c:pt>
                      <c:pt idx="50">
                        <c:v>706</c:v>
                      </c:pt>
                      <c:pt idx="51">
                        <c:v>714</c:v>
                      </c:pt>
                      <c:pt idx="52">
                        <c:v>722</c:v>
                      </c:pt>
                      <c:pt idx="53">
                        <c:v>730</c:v>
                      </c:pt>
                      <c:pt idx="54">
                        <c:v>738</c:v>
                      </c:pt>
                      <c:pt idx="55">
                        <c:v>746</c:v>
                      </c:pt>
                      <c:pt idx="56">
                        <c:v>754</c:v>
                      </c:pt>
                      <c:pt idx="57">
                        <c:v>762</c:v>
                      </c:pt>
                      <c:pt idx="58">
                        <c:v>770</c:v>
                      </c:pt>
                      <c:pt idx="59">
                        <c:v>778</c:v>
                      </c:pt>
                      <c:pt idx="60">
                        <c:v>786</c:v>
                      </c:pt>
                      <c:pt idx="61">
                        <c:v>794</c:v>
                      </c:pt>
                      <c:pt idx="62">
                        <c:v>802</c:v>
                      </c:pt>
                      <c:pt idx="63">
                        <c:v>810</c:v>
                      </c:pt>
                      <c:pt idx="64">
                        <c:v>818</c:v>
                      </c:pt>
                      <c:pt idx="65">
                        <c:v>826</c:v>
                      </c:pt>
                      <c:pt idx="66">
                        <c:v>834</c:v>
                      </c:pt>
                      <c:pt idx="67">
                        <c:v>842</c:v>
                      </c:pt>
                      <c:pt idx="68">
                        <c:v>850</c:v>
                      </c:pt>
                      <c:pt idx="69">
                        <c:v>858</c:v>
                      </c:pt>
                      <c:pt idx="70">
                        <c:v>866</c:v>
                      </c:pt>
                      <c:pt idx="71">
                        <c:v>874</c:v>
                      </c:pt>
                      <c:pt idx="72">
                        <c:v>882</c:v>
                      </c:pt>
                      <c:pt idx="73">
                        <c:v>890</c:v>
                      </c:pt>
                      <c:pt idx="74">
                        <c:v>898</c:v>
                      </c:pt>
                      <c:pt idx="75">
                        <c:v>906</c:v>
                      </c:pt>
                      <c:pt idx="76">
                        <c:v>914</c:v>
                      </c:pt>
                      <c:pt idx="77">
                        <c:v>922</c:v>
                      </c:pt>
                      <c:pt idx="78">
                        <c:v>930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EVALUATION!$B$111:$CP$111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-19.022342342342341</c:v>
                      </c:pt>
                      <c:pt idx="1">
                        <c:v>-19.024744744744744</c:v>
                      </c:pt>
                      <c:pt idx="2">
                        <c:v>-19.027147147147147</c:v>
                      </c:pt>
                      <c:pt idx="3">
                        <c:v>-19.02954954954955</c:v>
                      </c:pt>
                      <c:pt idx="4" formatCode="General">
                        <c:v>-19.035838323353293</c:v>
                      </c:pt>
                      <c:pt idx="5" formatCode="General">
                        <c:v>-19.043023952095808</c:v>
                      </c:pt>
                      <c:pt idx="6" formatCode="General">
                        <c:v>-19.050209580838324</c:v>
                      </c:pt>
                      <c:pt idx="7" formatCode="General">
                        <c:v>-19.057395209580836</c:v>
                      </c:pt>
                      <c:pt idx="8" formatCode="General">
                        <c:v>-19.06763473053892</c:v>
                      </c:pt>
                      <c:pt idx="9" formatCode="General">
                        <c:v>-19.079610778443111</c:v>
                      </c:pt>
                      <c:pt idx="10" formatCode="General">
                        <c:v>-19.091586826347303</c:v>
                      </c:pt>
                      <c:pt idx="11" formatCode="General">
                        <c:v>-19.103562874251498</c:v>
                      </c:pt>
                      <c:pt idx="12" formatCode="General">
                        <c:v>-19.116646706586828</c:v>
                      </c:pt>
                      <c:pt idx="13" formatCode="General">
                        <c:v>-19.131017964071855</c:v>
                      </c:pt>
                      <c:pt idx="14" formatCode="General">
                        <c:v>-19.145389221556886</c:v>
                      </c:pt>
                      <c:pt idx="15" formatCode="General">
                        <c:v>-19.159760479041918</c:v>
                      </c:pt>
                      <c:pt idx="16" formatCode="General">
                        <c:v>-19.174131736526949</c:v>
                      </c:pt>
                      <c:pt idx="17" formatCode="General">
                        <c:v>-19.188502994011976</c:v>
                      </c:pt>
                      <c:pt idx="18" formatCode="General">
                        <c:v>-19.202874251497008</c:v>
                      </c:pt>
                      <c:pt idx="19" formatCode="General">
                        <c:v>-19.217245508982035</c:v>
                      </c:pt>
                      <c:pt idx="20" formatCode="General">
                        <c:v>-19.231886227544912</c:v>
                      </c:pt>
                      <c:pt idx="21" formatCode="General">
                        <c:v>-19.248652694610779</c:v>
                      </c:pt>
                      <c:pt idx="22" formatCode="General">
                        <c:v>-19.265419161676647</c:v>
                      </c:pt>
                      <c:pt idx="23" formatCode="General">
                        <c:v>-19.282185628742514</c:v>
                      </c:pt>
                      <c:pt idx="24" formatCode="General">
                        <c:v>-19.298952095808385</c:v>
                      </c:pt>
                      <c:pt idx="25" formatCode="General">
                        <c:v>-19.2481981981982</c:v>
                      </c:pt>
                      <c:pt idx="26" formatCode="General">
                        <c:v>-19.192942942942942</c:v>
                      </c:pt>
                      <c:pt idx="27" formatCode="General">
                        <c:v>-19.137687687687688</c:v>
                      </c:pt>
                      <c:pt idx="28" formatCode="General">
                        <c:v>-19.082432432432434</c:v>
                      </c:pt>
                      <c:pt idx="29" formatCode="General">
                        <c:v>-19.062574850299402</c:v>
                      </c:pt>
                      <c:pt idx="30" formatCode="General">
                        <c:v>-19.052994011976047</c:v>
                      </c:pt>
                      <c:pt idx="31" formatCode="General">
                        <c:v>-19.043413173652695</c:v>
                      </c:pt>
                      <c:pt idx="32" formatCode="General">
                        <c:v>-19.033832335329343</c:v>
                      </c:pt>
                      <c:pt idx="33" formatCode="General">
                        <c:v>-19.040059880239522</c:v>
                      </c:pt>
                      <c:pt idx="34" formatCode="General">
                        <c:v>-19.056826347305389</c:v>
                      </c:pt>
                      <c:pt idx="35" formatCode="General">
                        <c:v>-19.07359281437126</c:v>
                      </c:pt>
                      <c:pt idx="36" formatCode="General">
                        <c:v>-19.090359281437127</c:v>
                      </c:pt>
                      <c:pt idx="37" formatCode="General">
                        <c:v>-19.107125748502995</c:v>
                      </c:pt>
                      <c:pt idx="38" formatCode="General">
                        <c:v>-19.123892215568862</c:v>
                      </c:pt>
                      <c:pt idx="39" formatCode="General">
                        <c:v>-19.140658682634729</c:v>
                      </c:pt>
                      <c:pt idx="40" formatCode="General">
                        <c:v>-19.1574251497006</c:v>
                      </c:pt>
                      <c:pt idx="41" formatCode="General">
                        <c:v>-19.174191616766468</c:v>
                      </c:pt>
                      <c:pt idx="42" formatCode="General">
                        <c:v>-19.190958083832335</c:v>
                      </c:pt>
                      <c:pt idx="43" formatCode="General">
                        <c:v>-19.207724550898202</c:v>
                      </c:pt>
                      <c:pt idx="44" formatCode="General">
                        <c:v>-19.22449101796407</c:v>
                      </c:pt>
                      <c:pt idx="45" formatCode="General">
                        <c:v>-19.241257485029941</c:v>
                      </c:pt>
                      <c:pt idx="46" formatCode="General">
                        <c:v>-19.258023952095808</c:v>
                      </c:pt>
                      <c:pt idx="47" formatCode="General">
                        <c:v>-19.274790419161675</c:v>
                      </c:pt>
                      <c:pt idx="48" formatCode="General">
                        <c:v>-19.291556886227543</c:v>
                      </c:pt>
                      <c:pt idx="49" formatCode="General">
                        <c:v>-19.30832335329341</c:v>
                      </c:pt>
                      <c:pt idx="50" formatCode="General">
                        <c:v>-19.324022471910112</c:v>
                      </c:pt>
                      <c:pt idx="51" formatCode="General">
                        <c:v>-19.33960299625468</c:v>
                      </c:pt>
                      <c:pt idx="52" formatCode="General">
                        <c:v>-19.355183520599251</c:v>
                      </c:pt>
                      <c:pt idx="53" formatCode="General">
                        <c:v>-19.370764044943819</c:v>
                      </c:pt>
                      <c:pt idx="54" formatCode="General">
                        <c:v>-19.38634456928839</c:v>
                      </c:pt>
                      <c:pt idx="55" formatCode="General">
                        <c:v>-19.401925093632958</c:v>
                      </c:pt>
                      <c:pt idx="56" formatCode="General">
                        <c:v>-19.417505617977529</c:v>
                      </c:pt>
                      <c:pt idx="57" formatCode="General">
                        <c:v>-19.433086142322097</c:v>
                      </c:pt>
                      <c:pt idx="58" formatCode="General">
                        <c:v>-19.448666666666668</c:v>
                      </c:pt>
                      <c:pt idx="59" formatCode="General">
                        <c:v>-19.464247191011236</c:v>
                      </c:pt>
                      <c:pt idx="60" formatCode="General">
                        <c:v>-19.479827715355807</c:v>
                      </c:pt>
                      <c:pt idx="61" formatCode="General">
                        <c:v>-19.495408239700375</c:v>
                      </c:pt>
                      <c:pt idx="62" formatCode="General">
                        <c:v>-19.510988764044942</c:v>
                      </c:pt>
                      <c:pt idx="63" formatCode="General">
                        <c:v>-19.526569288389513</c:v>
                      </c:pt>
                      <c:pt idx="64" formatCode="General">
                        <c:v>-19.542149812734081</c:v>
                      </c:pt>
                      <c:pt idx="65" formatCode="General">
                        <c:v>-19.557730337078652</c:v>
                      </c:pt>
                      <c:pt idx="66" formatCode="General">
                        <c:v>-19.573183520599251</c:v>
                      </c:pt>
                      <c:pt idx="67" formatCode="General">
                        <c:v>-19.58816479400749</c:v>
                      </c:pt>
                      <c:pt idx="68" formatCode="General">
                        <c:v>-19.603146067415732</c:v>
                      </c:pt>
                      <c:pt idx="69" formatCode="General">
                        <c:v>-19.618127340823971</c:v>
                      </c:pt>
                      <c:pt idx="70" formatCode="General">
                        <c:v>-19.63310861423221</c:v>
                      </c:pt>
                      <c:pt idx="71" formatCode="General">
                        <c:v>-19.648089887640449</c:v>
                      </c:pt>
                      <c:pt idx="72" formatCode="General">
                        <c:v>-19.663071161048691</c:v>
                      </c:pt>
                      <c:pt idx="73" formatCode="General">
                        <c:v>-19.67805243445693</c:v>
                      </c:pt>
                      <c:pt idx="74" formatCode="General">
                        <c:v>-19.693033707865169</c:v>
                      </c:pt>
                      <c:pt idx="75" formatCode="General">
                        <c:v>-19.708014981273408</c:v>
                      </c:pt>
                      <c:pt idx="76" formatCode="General">
                        <c:v>-19.722996254681647</c:v>
                      </c:pt>
                      <c:pt idx="77" formatCode="General">
                        <c:v>-19.737977528089889</c:v>
                      </c:pt>
                      <c:pt idx="78" formatCode="General">
                        <c:v>-19.752958801498128</c:v>
                      </c:pt>
                      <c:pt idx="79" formatCode="General">
                        <c:v>-19.767940074906367</c:v>
                      </c:pt>
                      <c:pt idx="80" formatCode="General">
                        <c:v>-19.782921348314606</c:v>
                      </c:pt>
                      <c:pt idx="81" formatCode="General">
                        <c:v>-19.797902621722848</c:v>
                      </c:pt>
                      <c:pt idx="82" formatCode="General">
                        <c:v>-19.812883895131087</c:v>
                      </c:pt>
                      <c:pt idx="83" formatCode="General">
                        <c:v>-19.82754491017964</c:v>
                      </c:pt>
                      <c:pt idx="84" formatCode="General">
                        <c:v>-19.841916167664671</c:v>
                      </c:pt>
                      <c:pt idx="85" formatCode="General">
                        <c:v>-19.856287425149699</c:v>
                      </c:pt>
                      <c:pt idx="86" formatCode="General">
                        <c:v>-19.87065868263473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0-35EF-46D6-A94F-2517E60135C4}"/>
                  </c:ext>
                </c:extLst>
              </c15:ser>
            </c15:filteredScatterSeries>
            <c15:filteredScatterSeries>
              <c15:ser>
                <c:idx val="9"/>
                <c:order val="11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306</c:v>
                      </c:pt>
                      <c:pt idx="1">
                        <c:v>314</c:v>
                      </c:pt>
                      <c:pt idx="2">
                        <c:v>322</c:v>
                      </c:pt>
                      <c:pt idx="3">
                        <c:v>330</c:v>
                      </c:pt>
                      <c:pt idx="4">
                        <c:v>338</c:v>
                      </c:pt>
                      <c:pt idx="5">
                        <c:v>346</c:v>
                      </c:pt>
                      <c:pt idx="6">
                        <c:v>354</c:v>
                      </c:pt>
                      <c:pt idx="7">
                        <c:v>362</c:v>
                      </c:pt>
                      <c:pt idx="8">
                        <c:v>370</c:v>
                      </c:pt>
                      <c:pt idx="9">
                        <c:v>378</c:v>
                      </c:pt>
                      <c:pt idx="10">
                        <c:v>386</c:v>
                      </c:pt>
                      <c:pt idx="11">
                        <c:v>394</c:v>
                      </c:pt>
                      <c:pt idx="12">
                        <c:v>402</c:v>
                      </c:pt>
                      <c:pt idx="13">
                        <c:v>410</c:v>
                      </c:pt>
                      <c:pt idx="14">
                        <c:v>418</c:v>
                      </c:pt>
                      <c:pt idx="15">
                        <c:v>426</c:v>
                      </c:pt>
                      <c:pt idx="16">
                        <c:v>434</c:v>
                      </c:pt>
                      <c:pt idx="17">
                        <c:v>442</c:v>
                      </c:pt>
                      <c:pt idx="18">
                        <c:v>450</c:v>
                      </c:pt>
                      <c:pt idx="19">
                        <c:v>458</c:v>
                      </c:pt>
                      <c:pt idx="20">
                        <c:v>466</c:v>
                      </c:pt>
                      <c:pt idx="21">
                        <c:v>474</c:v>
                      </c:pt>
                      <c:pt idx="22">
                        <c:v>482</c:v>
                      </c:pt>
                      <c:pt idx="23">
                        <c:v>490</c:v>
                      </c:pt>
                      <c:pt idx="24">
                        <c:v>498</c:v>
                      </c:pt>
                      <c:pt idx="25">
                        <c:v>506</c:v>
                      </c:pt>
                      <c:pt idx="26">
                        <c:v>514</c:v>
                      </c:pt>
                      <c:pt idx="27">
                        <c:v>522</c:v>
                      </c:pt>
                      <c:pt idx="28">
                        <c:v>530</c:v>
                      </c:pt>
                      <c:pt idx="29">
                        <c:v>538</c:v>
                      </c:pt>
                      <c:pt idx="30">
                        <c:v>546</c:v>
                      </c:pt>
                      <c:pt idx="31">
                        <c:v>554</c:v>
                      </c:pt>
                      <c:pt idx="32">
                        <c:v>562</c:v>
                      </c:pt>
                      <c:pt idx="33">
                        <c:v>570</c:v>
                      </c:pt>
                      <c:pt idx="34">
                        <c:v>578</c:v>
                      </c:pt>
                      <c:pt idx="35">
                        <c:v>586</c:v>
                      </c:pt>
                      <c:pt idx="36">
                        <c:v>594</c:v>
                      </c:pt>
                      <c:pt idx="37">
                        <c:v>602</c:v>
                      </c:pt>
                      <c:pt idx="38">
                        <c:v>610</c:v>
                      </c:pt>
                      <c:pt idx="39">
                        <c:v>618</c:v>
                      </c:pt>
                      <c:pt idx="40">
                        <c:v>626</c:v>
                      </c:pt>
                      <c:pt idx="41">
                        <c:v>634</c:v>
                      </c:pt>
                      <c:pt idx="42">
                        <c:v>642</c:v>
                      </c:pt>
                      <c:pt idx="43">
                        <c:v>650</c:v>
                      </c:pt>
                      <c:pt idx="44">
                        <c:v>658</c:v>
                      </c:pt>
                      <c:pt idx="45">
                        <c:v>666</c:v>
                      </c:pt>
                      <c:pt idx="46">
                        <c:v>674</c:v>
                      </c:pt>
                      <c:pt idx="47">
                        <c:v>682</c:v>
                      </c:pt>
                      <c:pt idx="48">
                        <c:v>690</c:v>
                      </c:pt>
                      <c:pt idx="49">
                        <c:v>698</c:v>
                      </c:pt>
                      <c:pt idx="50">
                        <c:v>706</c:v>
                      </c:pt>
                      <c:pt idx="51">
                        <c:v>714</c:v>
                      </c:pt>
                      <c:pt idx="52">
                        <c:v>722</c:v>
                      </c:pt>
                      <c:pt idx="53">
                        <c:v>730</c:v>
                      </c:pt>
                      <c:pt idx="54">
                        <c:v>738</c:v>
                      </c:pt>
                      <c:pt idx="55">
                        <c:v>746</c:v>
                      </c:pt>
                      <c:pt idx="56">
                        <c:v>754</c:v>
                      </c:pt>
                      <c:pt idx="57">
                        <c:v>762</c:v>
                      </c:pt>
                      <c:pt idx="58">
                        <c:v>770</c:v>
                      </c:pt>
                      <c:pt idx="59">
                        <c:v>778</c:v>
                      </c:pt>
                      <c:pt idx="60">
                        <c:v>786</c:v>
                      </c:pt>
                      <c:pt idx="61">
                        <c:v>794</c:v>
                      </c:pt>
                      <c:pt idx="62">
                        <c:v>802</c:v>
                      </c:pt>
                      <c:pt idx="63">
                        <c:v>810</c:v>
                      </c:pt>
                      <c:pt idx="64">
                        <c:v>818</c:v>
                      </c:pt>
                      <c:pt idx="65">
                        <c:v>826</c:v>
                      </c:pt>
                      <c:pt idx="66">
                        <c:v>834</c:v>
                      </c:pt>
                      <c:pt idx="67">
                        <c:v>842</c:v>
                      </c:pt>
                      <c:pt idx="68">
                        <c:v>850</c:v>
                      </c:pt>
                      <c:pt idx="69">
                        <c:v>858</c:v>
                      </c:pt>
                      <c:pt idx="70">
                        <c:v>866</c:v>
                      </c:pt>
                      <c:pt idx="71">
                        <c:v>874</c:v>
                      </c:pt>
                      <c:pt idx="72">
                        <c:v>882</c:v>
                      </c:pt>
                      <c:pt idx="73">
                        <c:v>890</c:v>
                      </c:pt>
                      <c:pt idx="74">
                        <c:v>898</c:v>
                      </c:pt>
                      <c:pt idx="75">
                        <c:v>906</c:v>
                      </c:pt>
                      <c:pt idx="76">
                        <c:v>914</c:v>
                      </c:pt>
                      <c:pt idx="77">
                        <c:v>922</c:v>
                      </c:pt>
                      <c:pt idx="78">
                        <c:v>930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EVALUATION!$B$112:$CP$112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-15.118108108108107</c:v>
                      </c:pt>
                      <c:pt idx="1">
                        <c:v>-14.88027027027027</c:v>
                      </c:pt>
                      <c:pt idx="2">
                        <c:v>-14.642432432432432</c:v>
                      </c:pt>
                      <c:pt idx="3">
                        <c:v>-14.404594594594593</c:v>
                      </c:pt>
                      <c:pt idx="4" formatCode="General">
                        <c:v>-13.959101796407184</c:v>
                      </c:pt>
                      <c:pt idx="5" formatCode="General">
                        <c:v>-13.46568862275449</c:v>
                      </c:pt>
                      <c:pt idx="6" formatCode="General">
                        <c:v>-12.972275449101796</c:v>
                      </c:pt>
                      <c:pt idx="7" formatCode="General">
                        <c:v>-12.478862275449101</c:v>
                      </c:pt>
                      <c:pt idx="8" formatCode="General">
                        <c:v>-11.950329341317365</c:v>
                      </c:pt>
                      <c:pt idx="9" formatCode="General">
                        <c:v>-11.40182634730539</c:v>
                      </c:pt>
                      <c:pt idx="10" formatCode="General">
                        <c:v>-10.853323353293414</c:v>
                      </c:pt>
                      <c:pt idx="11" formatCode="General">
                        <c:v>-10.304820359281438</c:v>
                      </c:pt>
                      <c:pt idx="12" formatCode="General">
                        <c:v>-9.7896616766467073</c:v>
                      </c:pt>
                      <c:pt idx="13" formatCode="General">
                        <c:v>-9.3132544910179647</c:v>
                      </c:pt>
                      <c:pt idx="14" formatCode="General">
                        <c:v>-8.836847305389222</c:v>
                      </c:pt>
                      <c:pt idx="15" formatCode="General">
                        <c:v>-8.3604401197604794</c:v>
                      </c:pt>
                      <c:pt idx="16" formatCode="General">
                        <c:v>-7.9011107784431145</c:v>
                      </c:pt>
                      <c:pt idx="17" formatCode="General">
                        <c:v>-7.4841047904191624</c:v>
                      </c:pt>
                      <c:pt idx="18" formatCode="General">
                        <c:v>-7.0670988023952104</c:v>
                      </c:pt>
                      <c:pt idx="19" formatCode="General">
                        <c:v>-6.6500928143712592</c:v>
                      </c:pt>
                      <c:pt idx="20" formatCode="General">
                        <c:v>-6.2383952095808395</c:v>
                      </c:pt>
                      <c:pt idx="21" formatCode="General">
                        <c:v>-5.8685748502994022</c:v>
                      </c:pt>
                      <c:pt idx="22" formatCode="General">
                        <c:v>-5.4987544910179649</c:v>
                      </c:pt>
                      <c:pt idx="23" formatCode="General">
                        <c:v>-5.1289341317365267</c:v>
                      </c:pt>
                      <c:pt idx="24" formatCode="General">
                        <c:v>-4.7591137724550894</c:v>
                      </c:pt>
                      <c:pt idx="25" formatCode="General">
                        <c:v>-4.6019909909909904</c:v>
                      </c:pt>
                      <c:pt idx="26" formatCode="General">
                        <c:v>-4.4590480480480474</c:v>
                      </c:pt>
                      <c:pt idx="27" formatCode="General">
                        <c:v>-4.3161051051051045</c:v>
                      </c:pt>
                      <c:pt idx="28" formatCode="General">
                        <c:v>-4.1731621621621615</c:v>
                      </c:pt>
                      <c:pt idx="29" formatCode="General">
                        <c:v>-4.1562215568862273</c:v>
                      </c:pt>
                      <c:pt idx="30" formatCode="General">
                        <c:v>-4.1758622754491022</c:v>
                      </c:pt>
                      <c:pt idx="31" formatCode="General">
                        <c:v>-4.1955029940119761</c:v>
                      </c:pt>
                      <c:pt idx="32" formatCode="General">
                        <c:v>-4.2151437125748501</c:v>
                      </c:pt>
                      <c:pt idx="33" formatCode="General">
                        <c:v>-4.2348562874251492</c:v>
                      </c:pt>
                      <c:pt idx="34" formatCode="General">
                        <c:v>-4.2546167664670653</c:v>
                      </c:pt>
                      <c:pt idx="35" formatCode="General">
                        <c:v>-4.2743772455089815</c:v>
                      </c:pt>
                      <c:pt idx="36" formatCode="General">
                        <c:v>-4.2941377245508976</c:v>
                      </c:pt>
                      <c:pt idx="37" formatCode="General">
                        <c:v>-4.3138982035928146</c:v>
                      </c:pt>
                      <c:pt idx="38" formatCode="General">
                        <c:v>-4.3336586826347308</c:v>
                      </c:pt>
                      <c:pt idx="39" formatCode="General">
                        <c:v>-4.3534191616766469</c:v>
                      </c:pt>
                      <c:pt idx="40" formatCode="General">
                        <c:v>-4.373179640718563</c:v>
                      </c:pt>
                      <c:pt idx="41" formatCode="General">
                        <c:v>-4.3929401197604792</c:v>
                      </c:pt>
                      <c:pt idx="42" formatCode="General">
                        <c:v>-4.4127005988023953</c:v>
                      </c:pt>
                      <c:pt idx="43" formatCode="General">
                        <c:v>-4.4324610778443114</c:v>
                      </c:pt>
                      <c:pt idx="44" formatCode="General">
                        <c:v>-4.4522215568862276</c:v>
                      </c:pt>
                      <c:pt idx="45" formatCode="General">
                        <c:v>-4.4719820359281437</c:v>
                      </c:pt>
                      <c:pt idx="46" formatCode="General">
                        <c:v>-4.4917425149700598</c:v>
                      </c:pt>
                      <c:pt idx="47" formatCode="General">
                        <c:v>-4.511502994011976</c:v>
                      </c:pt>
                      <c:pt idx="48" formatCode="General">
                        <c:v>-4.5312634730538921</c:v>
                      </c:pt>
                      <c:pt idx="49" formatCode="General">
                        <c:v>-4.5510239520958082</c:v>
                      </c:pt>
                      <c:pt idx="50" formatCode="General">
                        <c:v>-4.5702584269662925</c:v>
                      </c:pt>
                      <c:pt idx="51" formatCode="General">
                        <c:v>-4.5894344569288394</c:v>
                      </c:pt>
                      <c:pt idx="52" formatCode="General">
                        <c:v>-4.6086104868913855</c:v>
                      </c:pt>
                      <c:pt idx="53" formatCode="General">
                        <c:v>-4.6277865168539325</c:v>
                      </c:pt>
                      <c:pt idx="54" formatCode="General">
                        <c:v>-4.6469625468164795</c:v>
                      </c:pt>
                      <c:pt idx="55" formatCode="General">
                        <c:v>-4.6661385767790264</c:v>
                      </c:pt>
                      <c:pt idx="56" formatCode="General">
                        <c:v>-4.6853146067415734</c:v>
                      </c:pt>
                      <c:pt idx="57" formatCode="General">
                        <c:v>-4.7044906367041204</c:v>
                      </c:pt>
                      <c:pt idx="58" formatCode="General">
                        <c:v>-4.7236666666666665</c:v>
                      </c:pt>
                      <c:pt idx="59" formatCode="General">
                        <c:v>-4.7428426966292134</c:v>
                      </c:pt>
                      <c:pt idx="60" formatCode="General">
                        <c:v>-4.7620187265917604</c:v>
                      </c:pt>
                      <c:pt idx="61" formatCode="General">
                        <c:v>-4.7811947565543074</c:v>
                      </c:pt>
                      <c:pt idx="62" formatCode="General">
                        <c:v>-4.8003707865168543</c:v>
                      </c:pt>
                      <c:pt idx="63" formatCode="General">
                        <c:v>-4.8195468164794013</c:v>
                      </c:pt>
                      <c:pt idx="64" formatCode="General">
                        <c:v>-4.8387228464419483</c:v>
                      </c:pt>
                      <c:pt idx="65" formatCode="General">
                        <c:v>-4.8578988764044944</c:v>
                      </c:pt>
                      <c:pt idx="66" formatCode="General">
                        <c:v>-4.8768456928838955</c:v>
                      </c:pt>
                      <c:pt idx="67" formatCode="General">
                        <c:v>-4.8949430711610491</c:v>
                      </c:pt>
                      <c:pt idx="68" formatCode="General">
                        <c:v>-4.9130404494382027</c:v>
                      </c:pt>
                      <c:pt idx="69" formatCode="General">
                        <c:v>-4.9311378277153564</c:v>
                      </c:pt>
                      <c:pt idx="70" formatCode="General">
                        <c:v>-4.94923520599251</c:v>
                      </c:pt>
                      <c:pt idx="71" formatCode="General">
                        <c:v>-4.9673325842696627</c:v>
                      </c:pt>
                      <c:pt idx="72" formatCode="General">
                        <c:v>-4.9854299625468164</c:v>
                      </c:pt>
                      <c:pt idx="73" formatCode="General">
                        <c:v>-5.00352734082397</c:v>
                      </c:pt>
                      <c:pt idx="74" formatCode="General">
                        <c:v>-5.0216247191011236</c:v>
                      </c:pt>
                      <c:pt idx="75" formatCode="General">
                        <c:v>-5.0397220973782773</c:v>
                      </c:pt>
                      <c:pt idx="76" formatCode="General">
                        <c:v>-5.0578194756554309</c:v>
                      </c:pt>
                      <c:pt idx="77" formatCode="General">
                        <c:v>-5.0759168539325845</c:v>
                      </c:pt>
                      <c:pt idx="78" formatCode="General">
                        <c:v>-5.0940142322097381</c:v>
                      </c:pt>
                      <c:pt idx="79" formatCode="General">
                        <c:v>-5.1121116104868918</c:v>
                      </c:pt>
                      <c:pt idx="80" formatCode="General">
                        <c:v>-5.1302089887640445</c:v>
                      </c:pt>
                      <c:pt idx="81" formatCode="General">
                        <c:v>-5.1483063670411982</c:v>
                      </c:pt>
                      <c:pt idx="82" formatCode="General">
                        <c:v>-5.1664037453183518</c:v>
                      </c:pt>
                      <c:pt idx="83" formatCode="General">
                        <c:v>-5.1840538922155686</c:v>
                      </c:pt>
                      <c:pt idx="84" formatCode="General">
                        <c:v>-5.2012994011976046</c:v>
                      </c:pt>
                      <c:pt idx="85" formatCode="General">
                        <c:v>-5.2185449101796406</c:v>
                      </c:pt>
                      <c:pt idx="86" formatCode="General">
                        <c:v>-5.2357904191616766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1-35EF-46D6-A94F-2517E60135C4}"/>
                  </c:ext>
                </c:extLst>
              </c15:ser>
            </c15:filteredScatterSeries>
            <c15:filteredScatterSeries>
              <c15:ser>
                <c:idx val="10"/>
                <c:order val="12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306</c:v>
                      </c:pt>
                      <c:pt idx="1">
                        <c:v>314</c:v>
                      </c:pt>
                      <c:pt idx="2">
                        <c:v>322</c:v>
                      </c:pt>
                      <c:pt idx="3">
                        <c:v>330</c:v>
                      </c:pt>
                      <c:pt idx="4">
                        <c:v>338</c:v>
                      </c:pt>
                      <c:pt idx="5">
                        <c:v>346</c:v>
                      </c:pt>
                      <c:pt idx="6">
                        <c:v>354</c:v>
                      </c:pt>
                      <c:pt idx="7">
                        <c:v>362</c:v>
                      </c:pt>
                      <c:pt idx="8">
                        <c:v>370</c:v>
                      </c:pt>
                      <c:pt idx="9">
                        <c:v>378</c:v>
                      </c:pt>
                      <c:pt idx="10">
                        <c:v>386</c:v>
                      </c:pt>
                      <c:pt idx="11">
                        <c:v>394</c:v>
                      </c:pt>
                      <c:pt idx="12">
                        <c:v>402</c:v>
                      </c:pt>
                      <c:pt idx="13">
                        <c:v>410</c:v>
                      </c:pt>
                      <c:pt idx="14">
                        <c:v>418</c:v>
                      </c:pt>
                      <c:pt idx="15">
                        <c:v>426</c:v>
                      </c:pt>
                      <c:pt idx="16">
                        <c:v>434</c:v>
                      </c:pt>
                      <c:pt idx="17">
                        <c:v>442</c:v>
                      </c:pt>
                      <c:pt idx="18">
                        <c:v>450</c:v>
                      </c:pt>
                      <c:pt idx="19">
                        <c:v>458</c:v>
                      </c:pt>
                      <c:pt idx="20">
                        <c:v>466</c:v>
                      </c:pt>
                      <c:pt idx="21">
                        <c:v>474</c:v>
                      </c:pt>
                      <c:pt idx="22">
                        <c:v>482</c:v>
                      </c:pt>
                      <c:pt idx="23">
                        <c:v>490</c:v>
                      </c:pt>
                      <c:pt idx="24">
                        <c:v>498</c:v>
                      </c:pt>
                      <c:pt idx="25">
                        <c:v>506</c:v>
                      </c:pt>
                      <c:pt idx="26">
                        <c:v>514</c:v>
                      </c:pt>
                      <c:pt idx="27">
                        <c:v>522</c:v>
                      </c:pt>
                      <c:pt idx="28">
                        <c:v>530</c:v>
                      </c:pt>
                      <c:pt idx="29">
                        <c:v>538</c:v>
                      </c:pt>
                      <c:pt idx="30">
                        <c:v>546</c:v>
                      </c:pt>
                      <c:pt idx="31">
                        <c:v>554</c:v>
                      </c:pt>
                      <c:pt idx="32">
                        <c:v>562</c:v>
                      </c:pt>
                      <c:pt idx="33">
                        <c:v>570</c:v>
                      </c:pt>
                      <c:pt idx="34">
                        <c:v>578</c:v>
                      </c:pt>
                      <c:pt idx="35">
                        <c:v>586</c:v>
                      </c:pt>
                      <c:pt idx="36">
                        <c:v>594</c:v>
                      </c:pt>
                      <c:pt idx="37">
                        <c:v>602</c:v>
                      </c:pt>
                      <c:pt idx="38">
                        <c:v>610</c:v>
                      </c:pt>
                      <c:pt idx="39">
                        <c:v>618</c:v>
                      </c:pt>
                      <c:pt idx="40">
                        <c:v>626</c:v>
                      </c:pt>
                      <c:pt idx="41">
                        <c:v>634</c:v>
                      </c:pt>
                      <c:pt idx="42">
                        <c:v>642</c:v>
                      </c:pt>
                      <c:pt idx="43">
                        <c:v>650</c:v>
                      </c:pt>
                      <c:pt idx="44">
                        <c:v>658</c:v>
                      </c:pt>
                      <c:pt idx="45">
                        <c:v>666</c:v>
                      </c:pt>
                      <c:pt idx="46">
                        <c:v>674</c:v>
                      </c:pt>
                      <c:pt idx="47">
                        <c:v>682</c:v>
                      </c:pt>
                      <c:pt idx="48">
                        <c:v>690</c:v>
                      </c:pt>
                      <c:pt idx="49">
                        <c:v>698</c:v>
                      </c:pt>
                      <c:pt idx="50">
                        <c:v>706</c:v>
                      </c:pt>
                      <c:pt idx="51">
                        <c:v>714</c:v>
                      </c:pt>
                      <c:pt idx="52">
                        <c:v>722</c:v>
                      </c:pt>
                      <c:pt idx="53">
                        <c:v>730</c:v>
                      </c:pt>
                      <c:pt idx="54">
                        <c:v>738</c:v>
                      </c:pt>
                      <c:pt idx="55">
                        <c:v>746</c:v>
                      </c:pt>
                      <c:pt idx="56">
                        <c:v>754</c:v>
                      </c:pt>
                      <c:pt idx="57">
                        <c:v>762</c:v>
                      </c:pt>
                      <c:pt idx="58">
                        <c:v>770</c:v>
                      </c:pt>
                      <c:pt idx="59">
                        <c:v>778</c:v>
                      </c:pt>
                      <c:pt idx="60">
                        <c:v>786</c:v>
                      </c:pt>
                      <c:pt idx="61">
                        <c:v>794</c:v>
                      </c:pt>
                      <c:pt idx="62">
                        <c:v>802</c:v>
                      </c:pt>
                      <c:pt idx="63">
                        <c:v>810</c:v>
                      </c:pt>
                      <c:pt idx="64">
                        <c:v>818</c:v>
                      </c:pt>
                      <c:pt idx="65">
                        <c:v>826</c:v>
                      </c:pt>
                      <c:pt idx="66">
                        <c:v>834</c:v>
                      </c:pt>
                      <c:pt idx="67">
                        <c:v>842</c:v>
                      </c:pt>
                      <c:pt idx="68">
                        <c:v>850</c:v>
                      </c:pt>
                      <c:pt idx="69">
                        <c:v>858</c:v>
                      </c:pt>
                      <c:pt idx="70">
                        <c:v>866</c:v>
                      </c:pt>
                      <c:pt idx="71">
                        <c:v>874</c:v>
                      </c:pt>
                      <c:pt idx="72">
                        <c:v>882</c:v>
                      </c:pt>
                      <c:pt idx="73">
                        <c:v>890</c:v>
                      </c:pt>
                      <c:pt idx="74">
                        <c:v>898</c:v>
                      </c:pt>
                      <c:pt idx="75">
                        <c:v>906</c:v>
                      </c:pt>
                      <c:pt idx="76">
                        <c:v>914</c:v>
                      </c:pt>
                      <c:pt idx="77">
                        <c:v>922</c:v>
                      </c:pt>
                      <c:pt idx="78">
                        <c:v>930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EVALUATION!$B$113:$CP$113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-19.022342342342341</c:v>
                      </c:pt>
                      <c:pt idx="1">
                        <c:v>-19.024744744744744</c:v>
                      </c:pt>
                      <c:pt idx="2">
                        <c:v>-19.027147147147147</c:v>
                      </c:pt>
                      <c:pt idx="3">
                        <c:v>-19.02954954954955</c:v>
                      </c:pt>
                      <c:pt idx="4" formatCode="General">
                        <c:v>-19.035838323353293</c:v>
                      </c:pt>
                      <c:pt idx="5" formatCode="General">
                        <c:v>-19.043023952095808</c:v>
                      </c:pt>
                      <c:pt idx="6" formatCode="General">
                        <c:v>-19.050209580838324</c:v>
                      </c:pt>
                      <c:pt idx="7" formatCode="General">
                        <c:v>-19.057395209580836</c:v>
                      </c:pt>
                      <c:pt idx="8" formatCode="General">
                        <c:v>-19.06763473053892</c:v>
                      </c:pt>
                      <c:pt idx="9" formatCode="General">
                        <c:v>-19.079610778443111</c:v>
                      </c:pt>
                      <c:pt idx="10" formatCode="General">
                        <c:v>-19.091586826347303</c:v>
                      </c:pt>
                      <c:pt idx="11" formatCode="General">
                        <c:v>-19.103562874251498</c:v>
                      </c:pt>
                      <c:pt idx="12" formatCode="General">
                        <c:v>-19.116646706586828</c:v>
                      </c:pt>
                      <c:pt idx="13" formatCode="General">
                        <c:v>-19.131017964071855</c:v>
                      </c:pt>
                      <c:pt idx="14" formatCode="General">
                        <c:v>-19.145389221556886</c:v>
                      </c:pt>
                      <c:pt idx="15" formatCode="General">
                        <c:v>-19.159760479041918</c:v>
                      </c:pt>
                      <c:pt idx="16" formatCode="General">
                        <c:v>-19.174131736526949</c:v>
                      </c:pt>
                      <c:pt idx="17" formatCode="General">
                        <c:v>-19.188502994011976</c:v>
                      </c:pt>
                      <c:pt idx="18" formatCode="General">
                        <c:v>-19.202874251497008</c:v>
                      </c:pt>
                      <c:pt idx="19" formatCode="General">
                        <c:v>-19.217245508982035</c:v>
                      </c:pt>
                      <c:pt idx="20" formatCode="General">
                        <c:v>-19.231886227544912</c:v>
                      </c:pt>
                      <c:pt idx="21" formatCode="General">
                        <c:v>-19.248652694610779</c:v>
                      </c:pt>
                      <c:pt idx="22" formatCode="General">
                        <c:v>-19.265419161676647</c:v>
                      </c:pt>
                      <c:pt idx="23" formatCode="General">
                        <c:v>-19.282185628742514</c:v>
                      </c:pt>
                      <c:pt idx="24" formatCode="General">
                        <c:v>-19.298952095808385</c:v>
                      </c:pt>
                      <c:pt idx="25" formatCode="General">
                        <c:v>-19.2481981981982</c:v>
                      </c:pt>
                      <c:pt idx="26" formatCode="General">
                        <c:v>-19.192942942942942</c:v>
                      </c:pt>
                      <c:pt idx="27" formatCode="General">
                        <c:v>-19.137687687687688</c:v>
                      </c:pt>
                      <c:pt idx="28" formatCode="General">
                        <c:v>-19.082432432432434</c:v>
                      </c:pt>
                      <c:pt idx="29" formatCode="General">
                        <c:v>-19.062574850299402</c:v>
                      </c:pt>
                      <c:pt idx="30" formatCode="General">
                        <c:v>-19.052994011976047</c:v>
                      </c:pt>
                      <c:pt idx="31" formatCode="General">
                        <c:v>-19.043413173652695</c:v>
                      </c:pt>
                      <c:pt idx="32" formatCode="General">
                        <c:v>-19.033832335329343</c:v>
                      </c:pt>
                      <c:pt idx="33" formatCode="General">
                        <c:v>-19.040059880239522</c:v>
                      </c:pt>
                      <c:pt idx="34" formatCode="General">
                        <c:v>-19.056826347305389</c:v>
                      </c:pt>
                      <c:pt idx="35" formatCode="General">
                        <c:v>-19.07359281437126</c:v>
                      </c:pt>
                      <c:pt idx="36" formatCode="General">
                        <c:v>-19.090359281437127</c:v>
                      </c:pt>
                      <c:pt idx="37" formatCode="General">
                        <c:v>-19.107125748502995</c:v>
                      </c:pt>
                      <c:pt idx="38" formatCode="General">
                        <c:v>-19.123892215568862</c:v>
                      </c:pt>
                      <c:pt idx="39" formatCode="General">
                        <c:v>-19.140658682634729</c:v>
                      </c:pt>
                      <c:pt idx="40" formatCode="General">
                        <c:v>-19.1574251497006</c:v>
                      </c:pt>
                      <c:pt idx="41" formatCode="General">
                        <c:v>-19.174191616766468</c:v>
                      </c:pt>
                      <c:pt idx="42" formatCode="General">
                        <c:v>-19.190958083832335</c:v>
                      </c:pt>
                      <c:pt idx="43" formatCode="General">
                        <c:v>-19.207724550898202</c:v>
                      </c:pt>
                      <c:pt idx="44" formatCode="General">
                        <c:v>-19.22449101796407</c:v>
                      </c:pt>
                      <c:pt idx="45" formatCode="General">
                        <c:v>-19.241257485029941</c:v>
                      </c:pt>
                      <c:pt idx="46" formatCode="General">
                        <c:v>-19.258023952095808</c:v>
                      </c:pt>
                      <c:pt idx="47" formatCode="General">
                        <c:v>-19.274790419161675</c:v>
                      </c:pt>
                      <c:pt idx="48" formatCode="General">
                        <c:v>-19.291556886227543</c:v>
                      </c:pt>
                      <c:pt idx="49" formatCode="General">
                        <c:v>-19.30832335329341</c:v>
                      </c:pt>
                      <c:pt idx="50" formatCode="General">
                        <c:v>-19.324022471910112</c:v>
                      </c:pt>
                      <c:pt idx="51" formatCode="General">
                        <c:v>-19.33960299625468</c:v>
                      </c:pt>
                      <c:pt idx="52" formatCode="General">
                        <c:v>-19.355183520599251</c:v>
                      </c:pt>
                      <c:pt idx="53" formatCode="General">
                        <c:v>-19.370764044943819</c:v>
                      </c:pt>
                      <c:pt idx="54" formatCode="General">
                        <c:v>-19.38634456928839</c:v>
                      </c:pt>
                      <c:pt idx="55" formatCode="General">
                        <c:v>-19.401925093632958</c:v>
                      </c:pt>
                      <c:pt idx="56" formatCode="General">
                        <c:v>-19.417505617977529</c:v>
                      </c:pt>
                      <c:pt idx="57" formatCode="General">
                        <c:v>-19.433086142322097</c:v>
                      </c:pt>
                      <c:pt idx="58" formatCode="General">
                        <c:v>-19.448666666666668</c:v>
                      </c:pt>
                      <c:pt idx="59" formatCode="General">
                        <c:v>-19.464247191011236</c:v>
                      </c:pt>
                      <c:pt idx="60" formatCode="General">
                        <c:v>-19.479827715355807</c:v>
                      </c:pt>
                      <c:pt idx="61" formatCode="General">
                        <c:v>-19.495408239700375</c:v>
                      </c:pt>
                      <c:pt idx="62" formatCode="General">
                        <c:v>-19.510988764044942</c:v>
                      </c:pt>
                      <c:pt idx="63" formatCode="General">
                        <c:v>-19.526569288389513</c:v>
                      </c:pt>
                      <c:pt idx="64" formatCode="General">
                        <c:v>-19.542149812734081</c:v>
                      </c:pt>
                      <c:pt idx="65" formatCode="General">
                        <c:v>-19.557730337078652</c:v>
                      </c:pt>
                      <c:pt idx="66" formatCode="General">
                        <c:v>-19.573183520599251</c:v>
                      </c:pt>
                      <c:pt idx="67" formatCode="General">
                        <c:v>-19.58816479400749</c:v>
                      </c:pt>
                      <c:pt idx="68" formatCode="General">
                        <c:v>-19.603146067415732</c:v>
                      </c:pt>
                      <c:pt idx="69" formatCode="General">
                        <c:v>-19.618127340823971</c:v>
                      </c:pt>
                      <c:pt idx="70" formatCode="General">
                        <c:v>-19.63310861423221</c:v>
                      </c:pt>
                      <c:pt idx="71" formatCode="General">
                        <c:v>-19.648089887640449</c:v>
                      </c:pt>
                      <c:pt idx="72" formatCode="General">
                        <c:v>-19.663071161048691</c:v>
                      </c:pt>
                      <c:pt idx="73" formatCode="General">
                        <c:v>-19.67805243445693</c:v>
                      </c:pt>
                      <c:pt idx="74" formatCode="General">
                        <c:v>-19.693033707865169</c:v>
                      </c:pt>
                      <c:pt idx="75" formatCode="General">
                        <c:v>-19.708014981273408</c:v>
                      </c:pt>
                      <c:pt idx="76" formatCode="General">
                        <c:v>-19.722996254681647</c:v>
                      </c:pt>
                      <c:pt idx="77" formatCode="General">
                        <c:v>-19.737977528089889</c:v>
                      </c:pt>
                      <c:pt idx="78" formatCode="General">
                        <c:v>-19.752958801498128</c:v>
                      </c:pt>
                      <c:pt idx="79" formatCode="General">
                        <c:v>-19.767940074906367</c:v>
                      </c:pt>
                      <c:pt idx="80" formatCode="General">
                        <c:v>-19.782921348314606</c:v>
                      </c:pt>
                      <c:pt idx="81" formatCode="General">
                        <c:v>-19.797902621722848</c:v>
                      </c:pt>
                      <c:pt idx="82" formatCode="General">
                        <c:v>-19.812883895131087</c:v>
                      </c:pt>
                      <c:pt idx="83" formatCode="General">
                        <c:v>-19.82754491017964</c:v>
                      </c:pt>
                      <c:pt idx="84" formatCode="General">
                        <c:v>-19.841916167664671</c:v>
                      </c:pt>
                      <c:pt idx="85" formatCode="General">
                        <c:v>-19.856287425149699</c:v>
                      </c:pt>
                      <c:pt idx="86" formatCode="General">
                        <c:v>-19.87065868263473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2-35EF-46D6-A94F-2517E60135C4}"/>
                  </c:ext>
                </c:extLst>
              </c15:ser>
            </c15:filteredScatterSeries>
            <c15:filteredScatterSeries>
              <c15:ser>
                <c:idx val="11"/>
                <c:order val="13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306</c:v>
                      </c:pt>
                      <c:pt idx="1">
                        <c:v>314</c:v>
                      </c:pt>
                      <c:pt idx="2">
                        <c:v>322</c:v>
                      </c:pt>
                      <c:pt idx="3">
                        <c:v>330</c:v>
                      </c:pt>
                      <c:pt idx="4">
                        <c:v>338</c:v>
                      </c:pt>
                      <c:pt idx="5">
                        <c:v>346</c:v>
                      </c:pt>
                      <c:pt idx="6">
                        <c:v>354</c:v>
                      </c:pt>
                      <c:pt idx="7">
                        <c:v>362</c:v>
                      </c:pt>
                      <c:pt idx="8">
                        <c:v>370</c:v>
                      </c:pt>
                      <c:pt idx="9">
                        <c:v>378</c:v>
                      </c:pt>
                      <c:pt idx="10">
                        <c:v>386</c:v>
                      </c:pt>
                      <c:pt idx="11">
                        <c:v>394</c:v>
                      </c:pt>
                      <c:pt idx="12">
                        <c:v>402</c:v>
                      </c:pt>
                      <c:pt idx="13">
                        <c:v>410</c:v>
                      </c:pt>
                      <c:pt idx="14">
                        <c:v>418</c:v>
                      </c:pt>
                      <c:pt idx="15">
                        <c:v>426</c:v>
                      </c:pt>
                      <c:pt idx="16">
                        <c:v>434</c:v>
                      </c:pt>
                      <c:pt idx="17">
                        <c:v>442</c:v>
                      </c:pt>
                      <c:pt idx="18">
                        <c:v>450</c:v>
                      </c:pt>
                      <c:pt idx="19">
                        <c:v>458</c:v>
                      </c:pt>
                      <c:pt idx="20">
                        <c:v>466</c:v>
                      </c:pt>
                      <c:pt idx="21">
                        <c:v>474</c:v>
                      </c:pt>
                      <c:pt idx="22">
                        <c:v>482</c:v>
                      </c:pt>
                      <c:pt idx="23">
                        <c:v>490</c:v>
                      </c:pt>
                      <c:pt idx="24">
                        <c:v>498</c:v>
                      </c:pt>
                      <c:pt idx="25">
                        <c:v>506</c:v>
                      </c:pt>
                      <c:pt idx="26">
                        <c:v>514</c:v>
                      </c:pt>
                      <c:pt idx="27">
                        <c:v>522</c:v>
                      </c:pt>
                      <c:pt idx="28">
                        <c:v>530</c:v>
                      </c:pt>
                      <c:pt idx="29">
                        <c:v>538</c:v>
                      </c:pt>
                      <c:pt idx="30">
                        <c:v>546</c:v>
                      </c:pt>
                      <c:pt idx="31">
                        <c:v>554</c:v>
                      </c:pt>
                      <c:pt idx="32">
                        <c:v>562</c:v>
                      </c:pt>
                      <c:pt idx="33">
                        <c:v>570</c:v>
                      </c:pt>
                      <c:pt idx="34">
                        <c:v>578</c:v>
                      </c:pt>
                      <c:pt idx="35">
                        <c:v>586</c:v>
                      </c:pt>
                      <c:pt idx="36">
                        <c:v>594</c:v>
                      </c:pt>
                      <c:pt idx="37">
                        <c:v>602</c:v>
                      </c:pt>
                      <c:pt idx="38">
                        <c:v>610</c:v>
                      </c:pt>
                      <c:pt idx="39">
                        <c:v>618</c:v>
                      </c:pt>
                      <c:pt idx="40">
                        <c:v>626</c:v>
                      </c:pt>
                      <c:pt idx="41">
                        <c:v>634</c:v>
                      </c:pt>
                      <c:pt idx="42">
                        <c:v>642</c:v>
                      </c:pt>
                      <c:pt idx="43">
                        <c:v>650</c:v>
                      </c:pt>
                      <c:pt idx="44">
                        <c:v>658</c:v>
                      </c:pt>
                      <c:pt idx="45">
                        <c:v>666</c:v>
                      </c:pt>
                      <c:pt idx="46">
                        <c:v>674</c:v>
                      </c:pt>
                      <c:pt idx="47">
                        <c:v>682</c:v>
                      </c:pt>
                      <c:pt idx="48">
                        <c:v>690</c:v>
                      </c:pt>
                      <c:pt idx="49">
                        <c:v>698</c:v>
                      </c:pt>
                      <c:pt idx="50">
                        <c:v>706</c:v>
                      </c:pt>
                      <c:pt idx="51">
                        <c:v>714</c:v>
                      </c:pt>
                      <c:pt idx="52">
                        <c:v>722</c:v>
                      </c:pt>
                      <c:pt idx="53">
                        <c:v>730</c:v>
                      </c:pt>
                      <c:pt idx="54">
                        <c:v>738</c:v>
                      </c:pt>
                      <c:pt idx="55">
                        <c:v>746</c:v>
                      </c:pt>
                      <c:pt idx="56">
                        <c:v>754</c:v>
                      </c:pt>
                      <c:pt idx="57">
                        <c:v>762</c:v>
                      </c:pt>
                      <c:pt idx="58">
                        <c:v>770</c:v>
                      </c:pt>
                      <c:pt idx="59">
                        <c:v>778</c:v>
                      </c:pt>
                      <c:pt idx="60">
                        <c:v>786</c:v>
                      </c:pt>
                      <c:pt idx="61">
                        <c:v>794</c:v>
                      </c:pt>
                      <c:pt idx="62">
                        <c:v>802</c:v>
                      </c:pt>
                      <c:pt idx="63">
                        <c:v>810</c:v>
                      </c:pt>
                      <c:pt idx="64">
                        <c:v>818</c:v>
                      </c:pt>
                      <c:pt idx="65">
                        <c:v>826</c:v>
                      </c:pt>
                      <c:pt idx="66">
                        <c:v>834</c:v>
                      </c:pt>
                      <c:pt idx="67">
                        <c:v>842</c:v>
                      </c:pt>
                      <c:pt idx="68">
                        <c:v>850</c:v>
                      </c:pt>
                      <c:pt idx="69">
                        <c:v>858</c:v>
                      </c:pt>
                      <c:pt idx="70">
                        <c:v>866</c:v>
                      </c:pt>
                      <c:pt idx="71">
                        <c:v>874</c:v>
                      </c:pt>
                      <c:pt idx="72">
                        <c:v>882</c:v>
                      </c:pt>
                      <c:pt idx="73">
                        <c:v>890</c:v>
                      </c:pt>
                      <c:pt idx="74">
                        <c:v>898</c:v>
                      </c:pt>
                      <c:pt idx="75">
                        <c:v>906</c:v>
                      </c:pt>
                      <c:pt idx="76">
                        <c:v>914</c:v>
                      </c:pt>
                      <c:pt idx="77">
                        <c:v>922</c:v>
                      </c:pt>
                      <c:pt idx="78">
                        <c:v>930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EVALUATION!$B$114:$CP$114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-59.678288288288286</c:v>
                      </c:pt>
                      <c:pt idx="1">
                        <c:v>-58.332942942942942</c:v>
                      </c:pt>
                      <c:pt idx="2">
                        <c:v>-56.987597597597599</c:v>
                      </c:pt>
                      <c:pt idx="3">
                        <c:v>-55.642252252252256</c:v>
                      </c:pt>
                      <c:pt idx="4" formatCode="General">
                        <c:v>-54.130868263473054</c:v>
                      </c:pt>
                      <c:pt idx="5" formatCode="General">
                        <c:v>-52.581167664670659</c:v>
                      </c:pt>
                      <c:pt idx="6" formatCode="General">
                        <c:v>-51.031467065868263</c:v>
                      </c:pt>
                      <c:pt idx="7" formatCode="General">
                        <c:v>-49.481766467065867</c:v>
                      </c:pt>
                      <c:pt idx="8" formatCode="General">
                        <c:v>-47.964131736526944</c:v>
                      </c:pt>
                      <c:pt idx="9" formatCode="General">
                        <c:v>-46.464730538922154</c:v>
                      </c:pt>
                      <c:pt idx="10" formatCode="General">
                        <c:v>-44.965329341317364</c:v>
                      </c:pt>
                      <c:pt idx="11" formatCode="General">
                        <c:v>-43.465928143712574</c:v>
                      </c:pt>
                      <c:pt idx="12" formatCode="General">
                        <c:v>-42.064011976047901</c:v>
                      </c:pt>
                      <c:pt idx="13" formatCode="General">
                        <c:v>-40.775389221556885</c:v>
                      </c:pt>
                      <c:pt idx="14" formatCode="General">
                        <c:v>-39.48676646706587</c:v>
                      </c:pt>
                      <c:pt idx="15" formatCode="General">
                        <c:v>-38.198143712574847</c:v>
                      </c:pt>
                      <c:pt idx="16" formatCode="General">
                        <c:v>-36.957724550898206</c:v>
                      </c:pt>
                      <c:pt idx="17" formatCode="General">
                        <c:v>-35.836766467065871</c:v>
                      </c:pt>
                      <c:pt idx="18" formatCode="General">
                        <c:v>-34.715808383233536</c:v>
                      </c:pt>
                      <c:pt idx="19" formatCode="General">
                        <c:v>-33.594850299401202</c:v>
                      </c:pt>
                      <c:pt idx="20" formatCode="General">
                        <c:v>-32.488982035928146</c:v>
                      </c:pt>
                      <c:pt idx="21" formatCode="General">
                        <c:v>-31.502155688622757</c:v>
                      </c:pt>
                      <c:pt idx="22" formatCode="General">
                        <c:v>-30.515329341317369</c:v>
                      </c:pt>
                      <c:pt idx="23" formatCode="General">
                        <c:v>-29.528502994011976</c:v>
                      </c:pt>
                      <c:pt idx="24" formatCode="General">
                        <c:v>-28.541676646706588</c:v>
                      </c:pt>
                      <c:pt idx="25" formatCode="General">
                        <c:v>-27.788558558558559</c:v>
                      </c:pt>
                      <c:pt idx="26" formatCode="General">
                        <c:v>-27.051021021021018</c:v>
                      </c:pt>
                      <c:pt idx="27" formatCode="General">
                        <c:v>-26.313483483483481</c:v>
                      </c:pt>
                      <c:pt idx="28" formatCode="General">
                        <c:v>-25.575945945945943</c:v>
                      </c:pt>
                      <c:pt idx="29" formatCode="General">
                        <c:v>-25.655029940119761</c:v>
                      </c:pt>
                      <c:pt idx="30" formatCode="General">
                        <c:v>-25.971197604790419</c:v>
                      </c:pt>
                      <c:pt idx="31" formatCode="General">
                        <c:v>-26.287365269461077</c:v>
                      </c:pt>
                      <c:pt idx="32" formatCode="General">
                        <c:v>-26.603532934131735</c:v>
                      </c:pt>
                      <c:pt idx="33" formatCode="General">
                        <c:v>-26.911437125748503</c:v>
                      </c:pt>
                      <c:pt idx="34" formatCode="General">
                        <c:v>-27.213832335329339</c:v>
                      </c:pt>
                      <c:pt idx="35" formatCode="General">
                        <c:v>-27.51622754491018</c:v>
                      </c:pt>
                      <c:pt idx="36" formatCode="General">
                        <c:v>-27.818622754491017</c:v>
                      </c:pt>
                      <c:pt idx="37" formatCode="General">
                        <c:v>-28.121017964071857</c:v>
                      </c:pt>
                      <c:pt idx="38" formatCode="General">
                        <c:v>-28.423413173652694</c:v>
                      </c:pt>
                      <c:pt idx="39" formatCode="General">
                        <c:v>-28.725808383233534</c:v>
                      </c:pt>
                      <c:pt idx="40" formatCode="General">
                        <c:v>-29.028203592814371</c:v>
                      </c:pt>
                      <c:pt idx="41" formatCode="General">
                        <c:v>-29.330598802395212</c:v>
                      </c:pt>
                      <c:pt idx="42" formatCode="General">
                        <c:v>-29.632994011976049</c:v>
                      </c:pt>
                      <c:pt idx="43" formatCode="General">
                        <c:v>-29.935389221556889</c:v>
                      </c:pt>
                      <c:pt idx="44" formatCode="General">
                        <c:v>-30.237784431137726</c:v>
                      </c:pt>
                      <c:pt idx="45" formatCode="General">
                        <c:v>-30.540179640718566</c:v>
                      </c:pt>
                      <c:pt idx="46" formatCode="General">
                        <c:v>-30.842574850299403</c:v>
                      </c:pt>
                      <c:pt idx="47" formatCode="General">
                        <c:v>-31.144970059880244</c:v>
                      </c:pt>
                      <c:pt idx="48" formatCode="General">
                        <c:v>-31.447365269461081</c:v>
                      </c:pt>
                      <c:pt idx="49" formatCode="General">
                        <c:v>-31.749760479041917</c:v>
                      </c:pt>
                      <c:pt idx="50" formatCode="General">
                        <c:v>-32.022696629213485</c:v>
                      </c:pt>
                      <c:pt idx="51" formatCode="General">
                        <c:v>-32.292359550561798</c:v>
                      </c:pt>
                      <c:pt idx="52" formatCode="General">
                        <c:v>-32.562022471910112</c:v>
                      </c:pt>
                      <c:pt idx="53" formatCode="General">
                        <c:v>-32.831685393258432</c:v>
                      </c:pt>
                      <c:pt idx="54" formatCode="General">
                        <c:v>-33.101348314606746</c:v>
                      </c:pt>
                      <c:pt idx="55" formatCode="General">
                        <c:v>-33.371011235955059</c:v>
                      </c:pt>
                      <c:pt idx="56" formatCode="General">
                        <c:v>-33.640674157303373</c:v>
                      </c:pt>
                      <c:pt idx="57" formatCode="General">
                        <c:v>-33.910337078651686</c:v>
                      </c:pt>
                      <c:pt idx="58" formatCode="General">
                        <c:v>-34.18</c:v>
                      </c:pt>
                      <c:pt idx="59" formatCode="General">
                        <c:v>-34.44966292134832</c:v>
                      </c:pt>
                      <c:pt idx="60" formatCode="General">
                        <c:v>-34.719325842696634</c:v>
                      </c:pt>
                      <c:pt idx="61" formatCode="General">
                        <c:v>-34.988988764044947</c:v>
                      </c:pt>
                      <c:pt idx="62" formatCode="General">
                        <c:v>-35.258651685393261</c:v>
                      </c:pt>
                      <c:pt idx="63" formatCode="General">
                        <c:v>-35.528314606741574</c:v>
                      </c:pt>
                      <c:pt idx="64" formatCode="General">
                        <c:v>-35.797977528089888</c:v>
                      </c:pt>
                      <c:pt idx="65" formatCode="General">
                        <c:v>-36.067640449438201</c:v>
                      </c:pt>
                      <c:pt idx="66" formatCode="General">
                        <c:v>-36.328007490636708</c:v>
                      </c:pt>
                      <c:pt idx="67" formatCode="General">
                        <c:v>-36.553925093632962</c:v>
                      </c:pt>
                      <c:pt idx="68" formatCode="General">
                        <c:v>-36.779842696629217</c:v>
                      </c:pt>
                      <c:pt idx="69" formatCode="General">
                        <c:v>-37.005760299625472</c:v>
                      </c:pt>
                      <c:pt idx="70" formatCode="General">
                        <c:v>-37.231677902621726</c:v>
                      </c:pt>
                      <c:pt idx="71" formatCode="General">
                        <c:v>-37.457595505617981</c:v>
                      </c:pt>
                      <c:pt idx="72" formatCode="General">
                        <c:v>-37.683513108614235</c:v>
                      </c:pt>
                      <c:pt idx="73" formatCode="General">
                        <c:v>-37.90943071161049</c:v>
                      </c:pt>
                      <c:pt idx="74" formatCode="General">
                        <c:v>-38.135348314606745</c:v>
                      </c:pt>
                      <c:pt idx="75" formatCode="General">
                        <c:v>-38.361265917602999</c:v>
                      </c:pt>
                      <c:pt idx="76" formatCode="General">
                        <c:v>-38.587183520599254</c:v>
                      </c:pt>
                      <c:pt idx="77" formatCode="General">
                        <c:v>-38.813101123595509</c:v>
                      </c:pt>
                      <c:pt idx="78" formatCode="General">
                        <c:v>-39.039018726591763</c:v>
                      </c:pt>
                      <c:pt idx="79" formatCode="General">
                        <c:v>-39.264936329588011</c:v>
                      </c:pt>
                      <c:pt idx="80" formatCode="General">
                        <c:v>-39.490853932584265</c:v>
                      </c:pt>
                      <c:pt idx="81" formatCode="General">
                        <c:v>-39.71677153558052</c:v>
                      </c:pt>
                      <c:pt idx="82" formatCode="General">
                        <c:v>-39.942689138576775</c:v>
                      </c:pt>
                      <c:pt idx="83" formatCode="General">
                        <c:v>-40.151856287425147</c:v>
                      </c:pt>
                      <c:pt idx="84" formatCode="General">
                        <c:v>-40.345868263473051</c:v>
                      </c:pt>
                      <c:pt idx="85" formatCode="General">
                        <c:v>-40.539880239520954</c:v>
                      </c:pt>
                      <c:pt idx="86" formatCode="General">
                        <c:v>-40.733892215568858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3-35EF-46D6-A94F-2517E60135C4}"/>
                  </c:ext>
                </c:extLst>
              </c15:ser>
            </c15:filteredScatterSeries>
            <c15:filteredScatterSeries>
              <c15:ser>
                <c:idx val="12"/>
                <c:order val="14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306</c:v>
                      </c:pt>
                      <c:pt idx="1">
                        <c:v>314</c:v>
                      </c:pt>
                      <c:pt idx="2">
                        <c:v>322</c:v>
                      </c:pt>
                      <c:pt idx="3">
                        <c:v>330</c:v>
                      </c:pt>
                      <c:pt idx="4">
                        <c:v>338</c:v>
                      </c:pt>
                      <c:pt idx="5">
                        <c:v>346</c:v>
                      </c:pt>
                      <c:pt idx="6">
                        <c:v>354</c:v>
                      </c:pt>
                      <c:pt idx="7">
                        <c:v>362</c:v>
                      </c:pt>
                      <c:pt idx="8">
                        <c:v>370</c:v>
                      </c:pt>
                      <c:pt idx="9">
                        <c:v>378</c:v>
                      </c:pt>
                      <c:pt idx="10">
                        <c:v>386</c:v>
                      </c:pt>
                      <c:pt idx="11">
                        <c:v>394</c:v>
                      </c:pt>
                      <c:pt idx="12">
                        <c:v>402</c:v>
                      </c:pt>
                      <c:pt idx="13">
                        <c:v>410</c:v>
                      </c:pt>
                      <c:pt idx="14">
                        <c:v>418</c:v>
                      </c:pt>
                      <c:pt idx="15">
                        <c:v>426</c:v>
                      </c:pt>
                      <c:pt idx="16">
                        <c:v>434</c:v>
                      </c:pt>
                      <c:pt idx="17">
                        <c:v>442</c:v>
                      </c:pt>
                      <c:pt idx="18">
                        <c:v>450</c:v>
                      </c:pt>
                      <c:pt idx="19">
                        <c:v>458</c:v>
                      </c:pt>
                      <c:pt idx="20">
                        <c:v>466</c:v>
                      </c:pt>
                      <c:pt idx="21">
                        <c:v>474</c:v>
                      </c:pt>
                      <c:pt idx="22">
                        <c:v>482</c:v>
                      </c:pt>
                      <c:pt idx="23">
                        <c:v>490</c:v>
                      </c:pt>
                      <c:pt idx="24">
                        <c:v>498</c:v>
                      </c:pt>
                      <c:pt idx="25">
                        <c:v>506</c:v>
                      </c:pt>
                      <c:pt idx="26">
                        <c:v>514</c:v>
                      </c:pt>
                      <c:pt idx="27">
                        <c:v>522</c:v>
                      </c:pt>
                      <c:pt idx="28">
                        <c:v>530</c:v>
                      </c:pt>
                      <c:pt idx="29">
                        <c:v>538</c:v>
                      </c:pt>
                      <c:pt idx="30">
                        <c:v>546</c:v>
                      </c:pt>
                      <c:pt idx="31">
                        <c:v>554</c:v>
                      </c:pt>
                      <c:pt idx="32">
                        <c:v>562</c:v>
                      </c:pt>
                      <c:pt idx="33">
                        <c:v>570</c:v>
                      </c:pt>
                      <c:pt idx="34">
                        <c:v>578</c:v>
                      </c:pt>
                      <c:pt idx="35">
                        <c:v>586</c:v>
                      </c:pt>
                      <c:pt idx="36">
                        <c:v>594</c:v>
                      </c:pt>
                      <c:pt idx="37">
                        <c:v>602</c:v>
                      </c:pt>
                      <c:pt idx="38">
                        <c:v>610</c:v>
                      </c:pt>
                      <c:pt idx="39">
                        <c:v>618</c:v>
                      </c:pt>
                      <c:pt idx="40">
                        <c:v>626</c:v>
                      </c:pt>
                      <c:pt idx="41">
                        <c:v>634</c:v>
                      </c:pt>
                      <c:pt idx="42">
                        <c:v>642</c:v>
                      </c:pt>
                      <c:pt idx="43">
                        <c:v>650</c:v>
                      </c:pt>
                      <c:pt idx="44">
                        <c:v>658</c:v>
                      </c:pt>
                      <c:pt idx="45">
                        <c:v>666</c:v>
                      </c:pt>
                      <c:pt idx="46">
                        <c:v>674</c:v>
                      </c:pt>
                      <c:pt idx="47">
                        <c:v>682</c:v>
                      </c:pt>
                      <c:pt idx="48">
                        <c:v>690</c:v>
                      </c:pt>
                      <c:pt idx="49">
                        <c:v>698</c:v>
                      </c:pt>
                      <c:pt idx="50">
                        <c:v>706</c:v>
                      </c:pt>
                      <c:pt idx="51">
                        <c:v>714</c:v>
                      </c:pt>
                      <c:pt idx="52">
                        <c:v>722</c:v>
                      </c:pt>
                      <c:pt idx="53">
                        <c:v>730</c:v>
                      </c:pt>
                      <c:pt idx="54">
                        <c:v>738</c:v>
                      </c:pt>
                      <c:pt idx="55">
                        <c:v>746</c:v>
                      </c:pt>
                      <c:pt idx="56">
                        <c:v>754</c:v>
                      </c:pt>
                      <c:pt idx="57">
                        <c:v>762</c:v>
                      </c:pt>
                      <c:pt idx="58">
                        <c:v>770</c:v>
                      </c:pt>
                      <c:pt idx="59">
                        <c:v>778</c:v>
                      </c:pt>
                      <c:pt idx="60">
                        <c:v>786</c:v>
                      </c:pt>
                      <c:pt idx="61">
                        <c:v>794</c:v>
                      </c:pt>
                      <c:pt idx="62">
                        <c:v>802</c:v>
                      </c:pt>
                      <c:pt idx="63">
                        <c:v>810</c:v>
                      </c:pt>
                      <c:pt idx="64">
                        <c:v>818</c:v>
                      </c:pt>
                      <c:pt idx="65">
                        <c:v>826</c:v>
                      </c:pt>
                      <c:pt idx="66">
                        <c:v>834</c:v>
                      </c:pt>
                      <c:pt idx="67">
                        <c:v>842</c:v>
                      </c:pt>
                      <c:pt idx="68">
                        <c:v>850</c:v>
                      </c:pt>
                      <c:pt idx="69">
                        <c:v>858</c:v>
                      </c:pt>
                      <c:pt idx="70">
                        <c:v>866</c:v>
                      </c:pt>
                      <c:pt idx="71">
                        <c:v>874</c:v>
                      </c:pt>
                      <c:pt idx="72">
                        <c:v>882</c:v>
                      </c:pt>
                      <c:pt idx="73">
                        <c:v>890</c:v>
                      </c:pt>
                      <c:pt idx="74">
                        <c:v>898</c:v>
                      </c:pt>
                      <c:pt idx="75">
                        <c:v>906</c:v>
                      </c:pt>
                      <c:pt idx="76">
                        <c:v>914</c:v>
                      </c:pt>
                      <c:pt idx="77">
                        <c:v>922</c:v>
                      </c:pt>
                      <c:pt idx="78">
                        <c:v>930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EVALUATION!$B$115:$CP$115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-15.118108108108107</c:v>
                      </c:pt>
                      <c:pt idx="1">
                        <c:v>-14.88027027027027</c:v>
                      </c:pt>
                      <c:pt idx="2">
                        <c:v>-14.642432432432432</c:v>
                      </c:pt>
                      <c:pt idx="3">
                        <c:v>-14.404594594594593</c:v>
                      </c:pt>
                      <c:pt idx="4" formatCode="General">
                        <c:v>-13.959101796407184</c:v>
                      </c:pt>
                      <c:pt idx="5" formatCode="General">
                        <c:v>-13.46568862275449</c:v>
                      </c:pt>
                      <c:pt idx="6" formatCode="General">
                        <c:v>-12.972275449101796</c:v>
                      </c:pt>
                      <c:pt idx="7" formatCode="General">
                        <c:v>-12.478862275449101</c:v>
                      </c:pt>
                      <c:pt idx="8" formatCode="General">
                        <c:v>-11.950329341317365</c:v>
                      </c:pt>
                      <c:pt idx="9" formatCode="General">
                        <c:v>-11.40182634730539</c:v>
                      </c:pt>
                      <c:pt idx="10" formatCode="General">
                        <c:v>-10.853323353293414</c:v>
                      </c:pt>
                      <c:pt idx="11" formatCode="General">
                        <c:v>-10.304820359281438</c:v>
                      </c:pt>
                      <c:pt idx="12" formatCode="General">
                        <c:v>-9.7896616766467073</c:v>
                      </c:pt>
                      <c:pt idx="13" formatCode="General">
                        <c:v>-9.3132544910179647</c:v>
                      </c:pt>
                      <c:pt idx="14" formatCode="General">
                        <c:v>-8.836847305389222</c:v>
                      </c:pt>
                      <c:pt idx="15" formatCode="General">
                        <c:v>-8.3604401197604794</c:v>
                      </c:pt>
                      <c:pt idx="16" formatCode="General">
                        <c:v>-7.9011107784431145</c:v>
                      </c:pt>
                      <c:pt idx="17" formatCode="General">
                        <c:v>-7.4841047904191624</c:v>
                      </c:pt>
                      <c:pt idx="18" formatCode="General">
                        <c:v>-7.0670988023952104</c:v>
                      </c:pt>
                      <c:pt idx="19" formatCode="General">
                        <c:v>-6.6500928143712592</c:v>
                      </c:pt>
                      <c:pt idx="20" formatCode="General">
                        <c:v>-6.2383952095808395</c:v>
                      </c:pt>
                      <c:pt idx="21" formatCode="General">
                        <c:v>-5.8685748502994022</c:v>
                      </c:pt>
                      <c:pt idx="22" formatCode="General">
                        <c:v>-5.4987544910179649</c:v>
                      </c:pt>
                      <c:pt idx="23" formatCode="General">
                        <c:v>-5.1289341317365267</c:v>
                      </c:pt>
                      <c:pt idx="24" formatCode="General">
                        <c:v>-4.7591137724550894</c:v>
                      </c:pt>
                      <c:pt idx="25" formatCode="General">
                        <c:v>-4.6019909909909904</c:v>
                      </c:pt>
                      <c:pt idx="26" formatCode="General">
                        <c:v>-4.4590480480480474</c:v>
                      </c:pt>
                      <c:pt idx="27" formatCode="General">
                        <c:v>-4.3161051051051045</c:v>
                      </c:pt>
                      <c:pt idx="28" formatCode="General">
                        <c:v>-4.1731621621621615</c:v>
                      </c:pt>
                      <c:pt idx="29" formatCode="General">
                        <c:v>-4.1562215568862273</c:v>
                      </c:pt>
                      <c:pt idx="30" formatCode="General">
                        <c:v>-4.1758622754491022</c:v>
                      </c:pt>
                      <c:pt idx="31" formatCode="General">
                        <c:v>-4.1955029940119761</c:v>
                      </c:pt>
                      <c:pt idx="32" formatCode="General">
                        <c:v>-4.2151437125748501</c:v>
                      </c:pt>
                      <c:pt idx="33" formatCode="General">
                        <c:v>-4.2348562874251492</c:v>
                      </c:pt>
                      <c:pt idx="34" formatCode="General">
                        <c:v>-4.2546167664670653</c:v>
                      </c:pt>
                      <c:pt idx="35" formatCode="General">
                        <c:v>-4.2743772455089815</c:v>
                      </c:pt>
                      <c:pt idx="36" formatCode="General">
                        <c:v>-4.2941377245508976</c:v>
                      </c:pt>
                      <c:pt idx="37" formatCode="General">
                        <c:v>-4.3138982035928146</c:v>
                      </c:pt>
                      <c:pt idx="38" formatCode="General">
                        <c:v>-4.3336586826347308</c:v>
                      </c:pt>
                      <c:pt idx="39" formatCode="General">
                        <c:v>-4.3534191616766469</c:v>
                      </c:pt>
                      <c:pt idx="40" formatCode="General">
                        <c:v>-4.373179640718563</c:v>
                      </c:pt>
                      <c:pt idx="41" formatCode="General">
                        <c:v>-4.3929401197604792</c:v>
                      </c:pt>
                      <c:pt idx="42" formatCode="General">
                        <c:v>-4.4127005988023953</c:v>
                      </c:pt>
                      <c:pt idx="43" formatCode="General">
                        <c:v>-4.4324610778443114</c:v>
                      </c:pt>
                      <c:pt idx="44" formatCode="General">
                        <c:v>-4.4522215568862276</c:v>
                      </c:pt>
                      <c:pt idx="45" formatCode="General">
                        <c:v>-4.4719820359281437</c:v>
                      </c:pt>
                      <c:pt idx="46" formatCode="General">
                        <c:v>-4.4917425149700598</c:v>
                      </c:pt>
                      <c:pt idx="47" formatCode="General">
                        <c:v>-4.511502994011976</c:v>
                      </c:pt>
                      <c:pt idx="48" formatCode="General">
                        <c:v>-4.5312634730538921</c:v>
                      </c:pt>
                      <c:pt idx="49" formatCode="General">
                        <c:v>-4.5510239520958082</c:v>
                      </c:pt>
                      <c:pt idx="50" formatCode="General">
                        <c:v>-4.5702584269662925</c:v>
                      </c:pt>
                      <c:pt idx="51" formatCode="General">
                        <c:v>-4.5894344569288394</c:v>
                      </c:pt>
                      <c:pt idx="52" formatCode="General">
                        <c:v>-4.6086104868913855</c:v>
                      </c:pt>
                      <c:pt idx="53" formatCode="General">
                        <c:v>-4.6277865168539325</c:v>
                      </c:pt>
                      <c:pt idx="54" formatCode="General">
                        <c:v>-4.6469625468164795</c:v>
                      </c:pt>
                      <c:pt idx="55" formatCode="General">
                        <c:v>-4.6661385767790264</c:v>
                      </c:pt>
                      <c:pt idx="56" formatCode="General">
                        <c:v>-4.6853146067415734</c:v>
                      </c:pt>
                      <c:pt idx="57" formatCode="General">
                        <c:v>-4.7044906367041204</c:v>
                      </c:pt>
                      <c:pt idx="58" formatCode="General">
                        <c:v>-4.7236666666666665</c:v>
                      </c:pt>
                      <c:pt idx="59" formatCode="General">
                        <c:v>-4.7428426966292134</c:v>
                      </c:pt>
                      <c:pt idx="60" formatCode="General">
                        <c:v>-4.7620187265917604</c:v>
                      </c:pt>
                      <c:pt idx="61" formatCode="General">
                        <c:v>-4.7811947565543074</c:v>
                      </c:pt>
                      <c:pt idx="62" formatCode="General">
                        <c:v>-4.8003707865168543</c:v>
                      </c:pt>
                      <c:pt idx="63" formatCode="General">
                        <c:v>-4.8195468164794013</c:v>
                      </c:pt>
                      <c:pt idx="64" formatCode="General">
                        <c:v>-4.8387228464419483</c:v>
                      </c:pt>
                      <c:pt idx="65" formatCode="General">
                        <c:v>-4.8578988764044944</c:v>
                      </c:pt>
                      <c:pt idx="66" formatCode="General">
                        <c:v>-4.8768456928838955</c:v>
                      </c:pt>
                      <c:pt idx="67" formatCode="General">
                        <c:v>-4.8949430711610491</c:v>
                      </c:pt>
                      <c:pt idx="68" formatCode="General">
                        <c:v>-4.9130404494382027</c:v>
                      </c:pt>
                      <c:pt idx="69" formatCode="General">
                        <c:v>-4.9311378277153564</c:v>
                      </c:pt>
                      <c:pt idx="70" formatCode="General">
                        <c:v>-4.94923520599251</c:v>
                      </c:pt>
                      <c:pt idx="71" formatCode="General">
                        <c:v>-4.9673325842696627</c:v>
                      </c:pt>
                      <c:pt idx="72" formatCode="General">
                        <c:v>-4.9854299625468164</c:v>
                      </c:pt>
                      <c:pt idx="73" formatCode="General">
                        <c:v>-5.00352734082397</c:v>
                      </c:pt>
                      <c:pt idx="74" formatCode="General">
                        <c:v>-5.0216247191011236</c:v>
                      </c:pt>
                      <c:pt idx="75" formatCode="General">
                        <c:v>-5.0397220973782773</c:v>
                      </c:pt>
                      <c:pt idx="76" formatCode="General">
                        <c:v>-5.0578194756554309</c:v>
                      </c:pt>
                      <c:pt idx="77" formatCode="General">
                        <c:v>-5.0759168539325845</c:v>
                      </c:pt>
                      <c:pt idx="78" formatCode="General">
                        <c:v>-5.0940142322097381</c:v>
                      </c:pt>
                      <c:pt idx="79" formatCode="General">
                        <c:v>-5.1121116104868918</c:v>
                      </c:pt>
                      <c:pt idx="80" formatCode="General">
                        <c:v>-5.1302089887640445</c:v>
                      </c:pt>
                      <c:pt idx="81" formatCode="General">
                        <c:v>-5.1483063670411982</c:v>
                      </c:pt>
                      <c:pt idx="82" formatCode="General">
                        <c:v>-5.1664037453183518</c:v>
                      </c:pt>
                      <c:pt idx="83" formatCode="General">
                        <c:v>-5.1840538922155686</c:v>
                      </c:pt>
                      <c:pt idx="84" formatCode="General">
                        <c:v>-5.2012994011976046</c:v>
                      </c:pt>
                      <c:pt idx="85" formatCode="General">
                        <c:v>-5.2185449101796406</c:v>
                      </c:pt>
                      <c:pt idx="86" formatCode="General">
                        <c:v>-5.2357904191616766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4-35EF-46D6-A94F-2517E60135C4}"/>
                  </c:ext>
                </c:extLst>
              </c15:ser>
            </c15:filteredScatterSeries>
            <c15:filteredScatterSeries>
              <c15:ser>
                <c:idx val="13"/>
                <c:order val="15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306</c:v>
                      </c:pt>
                      <c:pt idx="1">
                        <c:v>314</c:v>
                      </c:pt>
                      <c:pt idx="2">
                        <c:v>322</c:v>
                      </c:pt>
                      <c:pt idx="3">
                        <c:v>330</c:v>
                      </c:pt>
                      <c:pt idx="4">
                        <c:v>338</c:v>
                      </c:pt>
                      <c:pt idx="5">
                        <c:v>346</c:v>
                      </c:pt>
                      <c:pt idx="6">
                        <c:v>354</c:v>
                      </c:pt>
                      <c:pt idx="7">
                        <c:v>362</c:v>
                      </c:pt>
                      <c:pt idx="8">
                        <c:v>370</c:v>
                      </c:pt>
                      <c:pt idx="9">
                        <c:v>378</c:v>
                      </c:pt>
                      <c:pt idx="10">
                        <c:v>386</c:v>
                      </c:pt>
                      <c:pt idx="11">
                        <c:v>394</c:v>
                      </c:pt>
                      <c:pt idx="12">
                        <c:v>402</c:v>
                      </c:pt>
                      <c:pt idx="13">
                        <c:v>410</c:v>
                      </c:pt>
                      <c:pt idx="14">
                        <c:v>418</c:v>
                      </c:pt>
                      <c:pt idx="15">
                        <c:v>426</c:v>
                      </c:pt>
                      <c:pt idx="16">
                        <c:v>434</c:v>
                      </c:pt>
                      <c:pt idx="17">
                        <c:v>442</c:v>
                      </c:pt>
                      <c:pt idx="18">
                        <c:v>450</c:v>
                      </c:pt>
                      <c:pt idx="19">
                        <c:v>458</c:v>
                      </c:pt>
                      <c:pt idx="20">
                        <c:v>466</c:v>
                      </c:pt>
                      <c:pt idx="21">
                        <c:v>474</c:v>
                      </c:pt>
                      <c:pt idx="22">
                        <c:v>482</c:v>
                      </c:pt>
                      <c:pt idx="23">
                        <c:v>490</c:v>
                      </c:pt>
                      <c:pt idx="24">
                        <c:v>498</c:v>
                      </c:pt>
                      <c:pt idx="25">
                        <c:v>506</c:v>
                      </c:pt>
                      <c:pt idx="26">
                        <c:v>514</c:v>
                      </c:pt>
                      <c:pt idx="27">
                        <c:v>522</c:v>
                      </c:pt>
                      <c:pt idx="28">
                        <c:v>530</c:v>
                      </c:pt>
                      <c:pt idx="29">
                        <c:v>538</c:v>
                      </c:pt>
                      <c:pt idx="30">
                        <c:v>546</c:v>
                      </c:pt>
                      <c:pt idx="31">
                        <c:v>554</c:v>
                      </c:pt>
                      <c:pt idx="32">
                        <c:v>562</c:v>
                      </c:pt>
                      <c:pt idx="33">
                        <c:v>570</c:v>
                      </c:pt>
                      <c:pt idx="34">
                        <c:v>578</c:v>
                      </c:pt>
                      <c:pt idx="35">
                        <c:v>586</c:v>
                      </c:pt>
                      <c:pt idx="36">
                        <c:v>594</c:v>
                      </c:pt>
                      <c:pt idx="37">
                        <c:v>602</c:v>
                      </c:pt>
                      <c:pt idx="38">
                        <c:v>610</c:v>
                      </c:pt>
                      <c:pt idx="39">
                        <c:v>618</c:v>
                      </c:pt>
                      <c:pt idx="40">
                        <c:v>626</c:v>
                      </c:pt>
                      <c:pt idx="41">
                        <c:v>634</c:v>
                      </c:pt>
                      <c:pt idx="42">
                        <c:v>642</c:v>
                      </c:pt>
                      <c:pt idx="43">
                        <c:v>650</c:v>
                      </c:pt>
                      <c:pt idx="44">
                        <c:v>658</c:v>
                      </c:pt>
                      <c:pt idx="45">
                        <c:v>666</c:v>
                      </c:pt>
                      <c:pt idx="46">
                        <c:v>674</c:v>
                      </c:pt>
                      <c:pt idx="47">
                        <c:v>682</c:v>
                      </c:pt>
                      <c:pt idx="48">
                        <c:v>690</c:v>
                      </c:pt>
                      <c:pt idx="49">
                        <c:v>698</c:v>
                      </c:pt>
                      <c:pt idx="50">
                        <c:v>706</c:v>
                      </c:pt>
                      <c:pt idx="51">
                        <c:v>714</c:v>
                      </c:pt>
                      <c:pt idx="52">
                        <c:v>722</c:v>
                      </c:pt>
                      <c:pt idx="53">
                        <c:v>730</c:v>
                      </c:pt>
                      <c:pt idx="54">
                        <c:v>738</c:v>
                      </c:pt>
                      <c:pt idx="55">
                        <c:v>746</c:v>
                      </c:pt>
                      <c:pt idx="56">
                        <c:v>754</c:v>
                      </c:pt>
                      <c:pt idx="57">
                        <c:v>762</c:v>
                      </c:pt>
                      <c:pt idx="58">
                        <c:v>770</c:v>
                      </c:pt>
                      <c:pt idx="59">
                        <c:v>778</c:v>
                      </c:pt>
                      <c:pt idx="60">
                        <c:v>786</c:v>
                      </c:pt>
                      <c:pt idx="61">
                        <c:v>794</c:v>
                      </c:pt>
                      <c:pt idx="62">
                        <c:v>802</c:v>
                      </c:pt>
                      <c:pt idx="63">
                        <c:v>810</c:v>
                      </c:pt>
                      <c:pt idx="64">
                        <c:v>818</c:v>
                      </c:pt>
                      <c:pt idx="65">
                        <c:v>826</c:v>
                      </c:pt>
                      <c:pt idx="66">
                        <c:v>834</c:v>
                      </c:pt>
                      <c:pt idx="67">
                        <c:v>842</c:v>
                      </c:pt>
                      <c:pt idx="68">
                        <c:v>850</c:v>
                      </c:pt>
                      <c:pt idx="69">
                        <c:v>858</c:v>
                      </c:pt>
                      <c:pt idx="70">
                        <c:v>866</c:v>
                      </c:pt>
                      <c:pt idx="71">
                        <c:v>874</c:v>
                      </c:pt>
                      <c:pt idx="72">
                        <c:v>882</c:v>
                      </c:pt>
                      <c:pt idx="73">
                        <c:v>890</c:v>
                      </c:pt>
                      <c:pt idx="74">
                        <c:v>898</c:v>
                      </c:pt>
                      <c:pt idx="75">
                        <c:v>906</c:v>
                      </c:pt>
                      <c:pt idx="76">
                        <c:v>914</c:v>
                      </c:pt>
                      <c:pt idx="77">
                        <c:v>922</c:v>
                      </c:pt>
                      <c:pt idx="78">
                        <c:v>930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EVALUATION!$B$116:$CP$116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-21.473063063063062</c:v>
                      </c:pt>
                      <c:pt idx="1">
                        <c:v>-21.045435435435436</c:v>
                      </c:pt>
                      <c:pt idx="2">
                        <c:v>-20.617807807807807</c:v>
                      </c:pt>
                      <c:pt idx="3">
                        <c:v>-20.190180180180178</c:v>
                      </c:pt>
                      <c:pt idx="4" formatCode="General">
                        <c:v>-20.082754491017962</c:v>
                      </c:pt>
                      <c:pt idx="5" formatCode="General">
                        <c:v>-20.049221556886227</c:v>
                      </c:pt>
                      <c:pt idx="6" formatCode="General">
                        <c:v>-20.015688622754489</c:v>
                      </c:pt>
                      <c:pt idx="7" formatCode="General">
                        <c:v>-19.982155688622754</c:v>
                      </c:pt>
                      <c:pt idx="8" formatCode="General">
                        <c:v>-20.046347305389222</c:v>
                      </c:pt>
                      <c:pt idx="9" formatCode="General">
                        <c:v>-20.166107784431137</c:v>
                      </c:pt>
                      <c:pt idx="10" formatCode="General">
                        <c:v>-20.285868263473052</c:v>
                      </c:pt>
                      <c:pt idx="11" formatCode="General">
                        <c:v>-20.40562874251497</c:v>
                      </c:pt>
                      <c:pt idx="12" formatCode="General">
                        <c:v>-20.526497005988023</c:v>
                      </c:pt>
                      <c:pt idx="13" formatCode="General">
                        <c:v>-20.648652694610778</c:v>
                      </c:pt>
                      <c:pt idx="14" formatCode="General">
                        <c:v>-20.770808383233533</c:v>
                      </c:pt>
                      <c:pt idx="15" formatCode="General">
                        <c:v>-20.892964071856287</c:v>
                      </c:pt>
                      <c:pt idx="16" formatCode="General">
                        <c:v>-21.015119760479042</c:v>
                      </c:pt>
                      <c:pt idx="17" formatCode="General">
                        <c:v>-21.137275449101796</c:v>
                      </c:pt>
                      <c:pt idx="18" formatCode="General">
                        <c:v>-21.259431137724551</c:v>
                      </c:pt>
                      <c:pt idx="19" formatCode="General">
                        <c:v>-21.381586826347306</c:v>
                      </c:pt>
                      <c:pt idx="20" formatCode="General">
                        <c:v>-21.504011976047902</c:v>
                      </c:pt>
                      <c:pt idx="21" formatCode="General">
                        <c:v>-21.628562874251497</c:v>
                      </c:pt>
                      <c:pt idx="22" formatCode="General">
                        <c:v>-21.753113772455091</c:v>
                      </c:pt>
                      <c:pt idx="23" formatCode="General">
                        <c:v>-21.877664670658682</c:v>
                      </c:pt>
                      <c:pt idx="24" formatCode="General">
                        <c:v>-22.002215568862276</c:v>
                      </c:pt>
                      <c:pt idx="25" formatCode="General">
                        <c:v>-22.122612612612613</c:v>
                      </c:pt>
                      <c:pt idx="26" formatCode="General">
                        <c:v>-22.242732732732733</c:v>
                      </c:pt>
                      <c:pt idx="27" formatCode="General">
                        <c:v>-22.362852852852853</c:v>
                      </c:pt>
                      <c:pt idx="28" formatCode="General">
                        <c:v>-22.482972972972973</c:v>
                      </c:pt>
                      <c:pt idx="29" formatCode="General">
                        <c:v>-22.604670658682636</c:v>
                      </c:pt>
                      <c:pt idx="30" formatCode="General">
                        <c:v>-22.726826347305391</c:v>
                      </c:pt>
                      <c:pt idx="31" formatCode="General">
                        <c:v>-22.848982035928145</c:v>
                      </c:pt>
                      <c:pt idx="32" formatCode="General">
                        <c:v>-22.971137724550896</c:v>
                      </c:pt>
                      <c:pt idx="33" formatCode="General">
                        <c:v>-23.089700598802395</c:v>
                      </c:pt>
                      <c:pt idx="34" formatCode="General">
                        <c:v>-23.205868263473054</c:v>
                      </c:pt>
                      <c:pt idx="35" formatCode="General">
                        <c:v>-23.322035928143713</c:v>
                      </c:pt>
                      <c:pt idx="36" formatCode="General">
                        <c:v>-23.438203592814371</c:v>
                      </c:pt>
                      <c:pt idx="37" formatCode="General">
                        <c:v>-23.55437125748503</c:v>
                      </c:pt>
                      <c:pt idx="38" formatCode="General">
                        <c:v>-23.670538922155689</c:v>
                      </c:pt>
                      <c:pt idx="39" formatCode="General">
                        <c:v>-23.786706586826348</c:v>
                      </c:pt>
                      <c:pt idx="40" formatCode="General">
                        <c:v>-23.902874251497007</c:v>
                      </c:pt>
                      <c:pt idx="41" formatCode="General">
                        <c:v>-24.019041916167666</c:v>
                      </c:pt>
                      <c:pt idx="42" formatCode="General">
                        <c:v>-24.135209580838325</c:v>
                      </c:pt>
                      <c:pt idx="43" formatCode="General">
                        <c:v>-24.251377245508984</c:v>
                      </c:pt>
                      <c:pt idx="44" formatCode="General">
                        <c:v>-24.367544910179642</c:v>
                      </c:pt>
                      <c:pt idx="45" formatCode="General">
                        <c:v>-24.483712574850301</c:v>
                      </c:pt>
                      <c:pt idx="46" formatCode="General">
                        <c:v>-24.59988023952096</c:v>
                      </c:pt>
                      <c:pt idx="47" formatCode="General">
                        <c:v>-24.716047904191619</c:v>
                      </c:pt>
                      <c:pt idx="48" formatCode="General">
                        <c:v>-24.832215568862278</c:v>
                      </c:pt>
                      <c:pt idx="49" formatCode="General">
                        <c:v>-24.948383233532937</c:v>
                      </c:pt>
                      <c:pt idx="50" formatCode="General">
                        <c:v>-25.057617977528093</c:v>
                      </c:pt>
                      <c:pt idx="51" formatCode="General">
                        <c:v>-25.166082397003748</c:v>
                      </c:pt>
                      <c:pt idx="52" formatCode="General">
                        <c:v>-25.2745468164794</c:v>
                      </c:pt>
                      <c:pt idx="53" formatCode="General">
                        <c:v>-25.383011235955056</c:v>
                      </c:pt>
                      <c:pt idx="54" formatCode="General">
                        <c:v>-25.491475655430712</c:v>
                      </c:pt>
                      <c:pt idx="55" formatCode="General">
                        <c:v>-25.599940074906367</c:v>
                      </c:pt>
                      <c:pt idx="56" formatCode="General">
                        <c:v>-25.708404494382023</c:v>
                      </c:pt>
                      <c:pt idx="57" formatCode="General">
                        <c:v>-25.816868913857679</c:v>
                      </c:pt>
                      <c:pt idx="58" formatCode="General">
                        <c:v>-25.925333333333334</c:v>
                      </c:pt>
                      <c:pt idx="59" formatCode="General">
                        <c:v>-26.03379775280899</c:v>
                      </c:pt>
                      <c:pt idx="60" formatCode="General">
                        <c:v>-26.142262172284646</c:v>
                      </c:pt>
                      <c:pt idx="61" formatCode="General">
                        <c:v>-26.250726591760301</c:v>
                      </c:pt>
                      <c:pt idx="62" formatCode="General">
                        <c:v>-26.359191011235957</c:v>
                      </c:pt>
                      <c:pt idx="63" formatCode="General">
                        <c:v>-26.467655430711609</c:v>
                      </c:pt>
                      <c:pt idx="64" formatCode="General">
                        <c:v>-26.576119850187265</c:v>
                      </c:pt>
                      <c:pt idx="65" formatCode="General">
                        <c:v>-26.684584269662921</c:v>
                      </c:pt>
                      <c:pt idx="66" formatCode="General">
                        <c:v>-26.791902621722848</c:v>
                      </c:pt>
                      <c:pt idx="67" formatCode="General">
                        <c:v>-26.894973782771537</c:v>
                      </c:pt>
                      <c:pt idx="68" formatCode="General">
                        <c:v>-26.998044943820226</c:v>
                      </c:pt>
                      <c:pt idx="69" formatCode="General">
                        <c:v>-27.101116104868915</c:v>
                      </c:pt>
                      <c:pt idx="70" formatCode="General">
                        <c:v>-27.204187265917604</c:v>
                      </c:pt>
                      <c:pt idx="71" formatCode="General">
                        <c:v>-27.307258426966293</c:v>
                      </c:pt>
                      <c:pt idx="72" formatCode="General">
                        <c:v>-27.410329588014982</c:v>
                      </c:pt>
                      <c:pt idx="73" formatCode="General">
                        <c:v>-27.513400749063671</c:v>
                      </c:pt>
                      <c:pt idx="74" formatCode="General">
                        <c:v>-27.616471910112359</c:v>
                      </c:pt>
                      <c:pt idx="75" formatCode="General">
                        <c:v>-27.719543071161048</c:v>
                      </c:pt>
                      <c:pt idx="76" formatCode="General">
                        <c:v>-27.822614232209737</c:v>
                      </c:pt>
                      <c:pt idx="77" formatCode="General">
                        <c:v>-27.925685393258426</c:v>
                      </c:pt>
                      <c:pt idx="78" formatCode="General">
                        <c:v>-28.028756554307115</c:v>
                      </c:pt>
                      <c:pt idx="79" formatCode="General">
                        <c:v>-28.131827715355804</c:v>
                      </c:pt>
                      <c:pt idx="80" formatCode="General">
                        <c:v>-28.234898876404493</c:v>
                      </c:pt>
                      <c:pt idx="81" formatCode="General">
                        <c:v>-28.337970037453182</c:v>
                      </c:pt>
                      <c:pt idx="82" formatCode="General">
                        <c:v>-28.441041198501871</c:v>
                      </c:pt>
                      <c:pt idx="83" formatCode="General">
                        <c:v>-28.541556886227543</c:v>
                      </c:pt>
                      <c:pt idx="84" formatCode="General">
                        <c:v>-28.639760479041914</c:v>
                      </c:pt>
                      <c:pt idx="85" formatCode="General">
                        <c:v>-28.737964071856286</c:v>
                      </c:pt>
                      <c:pt idx="86" formatCode="General">
                        <c:v>-28.836167664670658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5-35EF-46D6-A94F-2517E60135C4}"/>
                  </c:ext>
                </c:extLst>
              </c15:ser>
            </c15:filteredScatterSeries>
            <c15:filteredScatterSeries>
              <c15:ser>
                <c:idx val="14"/>
                <c:order val="16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306</c:v>
                      </c:pt>
                      <c:pt idx="1">
                        <c:v>314</c:v>
                      </c:pt>
                      <c:pt idx="2">
                        <c:v>322</c:v>
                      </c:pt>
                      <c:pt idx="3">
                        <c:v>330</c:v>
                      </c:pt>
                      <c:pt idx="4">
                        <c:v>338</c:v>
                      </c:pt>
                      <c:pt idx="5">
                        <c:v>346</c:v>
                      </c:pt>
                      <c:pt idx="6">
                        <c:v>354</c:v>
                      </c:pt>
                      <c:pt idx="7">
                        <c:v>362</c:v>
                      </c:pt>
                      <c:pt idx="8">
                        <c:v>370</c:v>
                      </c:pt>
                      <c:pt idx="9">
                        <c:v>378</c:v>
                      </c:pt>
                      <c:pt idx="10">
                        <c:v>386</c:v>
                      </c:pt>
                      <c:pt idx="11">
                        <c:v>394</c:v>
                      </c:pt>
                      <c:pt idx="12">
                        <c:v>402</c:v>
                      </c:pt>
                      <c:pt idx="13">
                        <c:v>410</c:v>
                      </c:pt>
                      <c:pt idx="14">
                        <c:v>418</c:v>
                      </c:pt>
                      <c:pt idx="15">
                        <c:v>426</c:v>
                      </c:pt>
                      <c:pt idx="16">
                        <c:v>434</c:v>
                      </c:pt>
                      <c:pt idx="17">
                        <c:v>442</c:v>
                      </c:pt>
                      <c:pt idx="18">
                        <c:v>450</c:v>
                      </c:pt>
                      <c:pt idx="19">
                        <c:v>458</c:v>
                      </c:pt>
                      <c:pt idx="20">
                        <c:v>466</c:v>
                      </c:pt>
                      <c:pt idx="21">
                        <c:v>474</c:v>
                      </c:pt>
                      <c:pt idx="22">
                        <c:v>482</c:v>
                      </c:pt>
                      <c:pt idx="23">
                        <c:v>490</c:v>
                      </c:pt>
                      <c:pt idx="24">
                        <c:v>498</c:v>
                      </c:pt>
                      <c:pt idx="25">
                        <c:v>506</c:v>
                      </c:pt>
                      <c:pt idx="26">
                        <c:v>514</c:v>
                      </c:pt>
                      <c:pt idx="27">
                        <c:v>522</c:v>
                      </c:pt>
                      <c:pt idx="28">
                        <c:v>530</c:v>
                      </c:pt>
                      <c:pt idx="29">
                        <c:v>538</c:v>
                      </c:pt>
                      <c:pt idx="30">
                        <c:v>546</c:v>
                      </c:pt>
                      <c:pt idx="31">
                        <c:v>554</c:v>
                      </c:pt>
                      <c:pt idx="32">
                        <c:v>562</c:v>
                      </c:pt>
                      <c:pt idx="33">
                        <c:v>570</c:v>
                      </c:pt>
                      <c:pt idx="34">
                        <c:v>578</c:v>
                      </c:pt>
                      <c:pt idx="35">
                        <c:v>586</c:v>
                      </c:pt>
                      <c:pt idx="36">
                        <c:v>594</c:v>
                      </c:pt>
                      <c:pt idx="37">
                        <c:v>602</c:v>
                      </c:pt>
                      <c:pt idx="38">
                        <c:v>610</c:v>
                      </c:pt>
                      <c:pt idx="39">
                        <c:v>618</c:v>
                      </c:pt>
                      <c:pt idx="40">
                        <c:v>626</c:v>
                      </c:pt>
                      <c:pt idx="41">
                        <c:v>634</c:v>
                      </c:pt>
                      <c:pt idx="42">
                        <c:v>642</c:v>
                      </c:pt>
                      <c:pt idx="43">
                        <c:v>650</c:v>
                      </c:pt>
                      <c:pt idx="44">
                        <c:v>658</c:v>
                      </c:pt>
                      <c:pt idx="45">
                        <c:v>666</c:v>
                      </c:pt>
                      <c:pt idx="46">
                        <c:v>674</c:v>
                      </c:pt>
                      <c:pt idx="47">
                        <c:v>682</c:v>
                      </c:pt>
                      <c:pt idx="48">
                        <c:v>690</c:v>
                      </c:pt>
                      <c:pt idx="49">
                        <c:v>698</c:v>
                      </c:pt>
                      <c:pt idx="50">
                        <c:v>706</c:v>
                      </c:pt>
                      <c:pt idx="51">
                        <c:v>714</c:v>
                      </c:pt>
                      <c:pt idx="52">
                        <c:v>722</c:v>
                      </c:pt>
                      <c:pt idx="53">
                        <c:v>730</c:v>
                      </c:pt>
                      <c:pt idx="54">
                        <c:v>738</c:v>
                      </c:pt>
                      <c:pt idx="55">
                        <c:v>746</c:v>
                      </c:pt>
                      <c:pt idx="56">
                        <c:v>754</c:v>
                      </c:pt>
                      <c:pt idx="57">
                        <c:v>762</c:v>
                      </c:pt>
                      <c:pt idx="58">
                        <c:v>770</c:v>
                      </c:pt>
                      <c:pt idx="59">
                        <c:v>778</c:v>
                      </c:pt>
                      <c:pt idx="60">
                        <c:v>786</c:v>
                      </c:pt>
                      <c:pt idx="61">
                        <c:v>794</c:v>
                      </c:pt>
                      <c:pt idx="62">
                        <c:v>802</c:v>
                      </c:pt>
                      <c:pt idx="63">
                        <c:v>810</c:v>
                      </c:pt>
                      <c:pt idx="64">
                        <c:v>818</c:v>
                      </c:pt>
                      <c:pt idx="65">
                        <c:v>826</c:v>
                      </c:pt>
                      <c:pt idx="66">
                        <c:v>834</c:v>
                      </c:pt>
                      <c:pt idx="67">
                        <c:v>842</c:v>
                      </c:pt>
                      <c:pt idx="68">
                        <c:v>850</c:v>
                      </c:pt>
                      <c:pt idx="69">
                        <c:v>858</c:v>
                      </c:pt>
                      <c:pt idx="70">
                        <c:v>866</c:v>
                      </c:pt>
                      <c:pt idx="71">
                        <c:v>874</c:v>
                      </c:pt>
                      <c:pt idx="72">
                        <c:v>882</c:v>
                      </c:pt>
                      <c:pt idx="73">
                        <c:v>890</c:v>
                      </c:pt>
                      <c:pt idx="74">
                        <c:v>898</c:v>
                      </c:pt>
                      <c:pt idx="75">
                        <c:v>906</c:v>
                      </c:pt>
                      <c:pt idx="76">
                        <c:v>914</c:v>
                      </c:pt>
                      <c:pt idx="77">
                        <c:v>922</c:v>
                      </c:pt>
                      <c:pt idx="78">
                        <c:v>930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EVALUATION!$B$117:$CP$117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6-35EF-46D6-A94F-2517E60135C4}"/>
                  </c:ext>
                </c:extLst>
              </c15:ser>
            </c15:filteredScatterSeries>
            <c15:filteredScatterSeries>
              <c15:ser>
                <c:idx val="15"/>
                <c:order val="17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306</c:v>
                      </c:pt>
                      <c:pt idx="1">
                        <c:v>314</c:v>
                      </c:pt>
                      <c:pt idx="2">
                        <c:v>322</c:v>
                      </c:pt>
                      <c:pt idx="3">
                        <c:v>330</c:v>
                      </c:pt>
                      <c:pt idx="4">
                        <c:v>338</c:v>
                      </c:pt>
                      <c:pt idx="5">
                        <c:v>346</c:v>
                      </c:pt>
                      <c:pt idx="6">
                        <c:v>354</c:v>
                      </c:pt>
                      <c:pt idx="7">
                        <c:v>362</c:v>
                      </c:pt>
                      <c:pt idx="8">
                        <c:v>370</c:v>
                      </c:pt>
                      <c:pt idx="9">
                        <c:v>378</c:v>
                      </c:pt>
                      <c:pt idx="10">
                        <c:v>386</c:v>
                      </c:pt>
                      <c:pt idx="11">
                        <c:v>394</c:v>
                      </c:pt>
                      <c:pt idx="12">
                        <c:v>402</c:v>
                      </c:pt>
                      <c:pt idx="13">
                        <c:v>410</c:v>
                      </c:pt>
                      <c:pt idx="14">
                        <c:v>418</c:v>
                      </c:pt>
                      <c:pt idx="15">
                        <c:v>426</c:v>
                      </c:pt>
                      <c:pt idx="16">
                        <c:v>434</c:v>
                      </c:pt>
                      <c:pt idx="17">
                        <c:v>442</c:v>
                      </c:pt>
                      <c:pt idx="18">
                        <c:v>450</c:v>
                      </c:pt>
                      <c:pt idx="19">
                        <c:v>458</c:v>
                      </c:pt>
                      <c:pt idx="20">
                        <c:v>466</c:v>
                      </c:pt>
                      <c:pt idx="21">
                        <c:v>474</c:v>
                      </c:pt>
                      <c:pt idx="22">
                        <c:v>482</c:v>
                      </c:pt>
                      <c:pt idx="23">
                        <c:v>490</c:v>
                      </c:pt>
                      <c:pt idx="24">
                        <c:v>498</c:v>
                      </c:pt>
                      <c:pt idx="25">
                        <c:v>506</c:v>
                      </c:pt>
                      <c:pt idx="26">
                        <c:v>514</c:v>
                      </c:pt>
                      <c:pt idx="27">
                        <c:v>522</c:v>
                      </c:pt>
                      <c:pt idx="28">
                        <c:v>530</c:v>
                      </c:pt>
                      <c:pt idx="29">
                        <c:v>538</c:v>
                      </c:pt>
                      <c:pt idx="30">
                        <c:v>546</c:v>
                      </c:pt>
                      <c:pt idx="31">
                        <c:v>554</c:v>
                      </c:pt>
                      <c:pt idx="32">
                        <c:v>562</c:v>
                      </c:pt>
                      <c:pt idx="33">
                        <c:v>570</c:v>
                      </c:pt>
                      <c:pt idx="34">
                        <c:v>578</c:v>
                      </c:pt>
                      <c:pt idx="35">
                        <c:v>586</c:v>
                      </c:pt>
                      <c:pt idx="36">
                        <c:v>594</c:v>
                      </c:pt>
                      <c:pt idx="37">
                        <c:v>602</c:v>
                      </c:pt>
                      <c:pt idx="38">
                        <c:v>610</c:v>
                      </c:pt>
                      <c:pt idx="39">
                        <c:v>618</c:v>
                      </c:pt>
                      <c:pt idx="40">
                        <c:v>626</c:v>
                      </c:pt>
                      <c:pt idx="41">
                        <c:v>634</c:v>
                      </c:pt>
                      <c:pt idx="42">
                        <c:v>642</c:v>
                      </c:pt>
                      <c:pt idx="43">
                        <c:v>650</c:v>
                      </c:pt>
                      <c:pt idx="44">
                        <c:v>658</c:v>
                      </c:pt>
                      <c:pt idx="45">
                        <c:v>666</c:v>
                      </c:pt>
                      <c:pt idx="46">
                        <c:v>674</c:v>
                      </c:pt>
                      <c:pt idx="47">
                        <c:v>682</c:v>
                      </c:pt>
                      <c:pt idx="48">
                        <c:v>690</c:v>
                      </c:pt>
                      <c:pt idx="49">
                        <c:v>698</c:v>
                      </c:pt>
                      <c:pt idx="50">
                        <c:v>706</c:v>
                      </c:pt>
                      <c:pt idx="51">
                        <c:v>714</c:v>
                      </c:pt>
                      <c:pt idx="52">
                        <c:v>722</c:v>
                      </c:pt>
                      <c:pt idx="53">
                        <c:v>730</c:v>
                      </c:pt>
                      <c:pt idx="54">
                        <c:v>738</c:v>
                      </c:pt>
                      <c:pt idx="55">
                        <c:v>746</c:v>
                      </c:pt>
                      <c:pt idx="56">
                        <c:v>754</c:v>
                      </c:pt>
                      <c:pt idx="57">
                        <c:v>762</c:v>
                      </c:pt>
                      <c:pt idx="58">
                        <c:v>770</c:v>
                      </c:pt>
                      <c:pt idx="59">
                        <c:v>778</c:v>
                      </c:pt>
                      <c:pt idx="60">
                        <c:v>786</c:v>
                      </c:pt>
                      <c:pt idx="61">
                        <c:v>794</c:v>
                      </c:pt>
                      <c:pt idx="62">
                        <c:v>802</c:v>
                      </c:pt>
                      <c:pt idx="63">
                        <c:v>810</c:v>
                      </c:pt>
                      <c:pt idx="64">
                        <c:v>818</c:v>
                      </c:pt>
                      <c:pt idx="65">
                        <c:v>826</c:v>
                      </c:pt>
                      <c:pt idx="66">
                        <c:v>834</c:v>
                      </c:pt>
                      <c:pt idx="67">
                        <c:v>842</c:v>
                      </c:pt>
                      <c:pt idx="68">
                        <c:v>850</c:v>
                      </c:pt>
                      <c:pt idx="69">
                        <c:v>858</c:v>
                      </c:pt>
                      <c:pt idx="70">
                        <c:v>866</c:v>
                      </c:pt>
                      <c:pt idx="71">
                        <c:v>874</c:v>
                      </c:pt>
                      <c:pt idx="72">
                        <c:v>882</c:v>
                      </c:pt>
                      <c:pt idx="73">
                        <c:v>890</c:v>
                      </c:pt>
                      <c:pt idx="74">
                        <c:v>898</c:v>
                      </c:pt>
                      <c:pt idx="75">
                        <c:v>906</c:v>
                      </c:pt>
                      <c:pt idx="76">
                        <c:v>914</c:v>
                      </c:pt>
                      <c:pt idx="77">
                        <c:v>922</c:v>
                      </c:pt>
                      <c:pt idx="78">
                        <c:v>930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EVALUATION!$B$118:$CP$118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7-35EF-46D6-A94F-2517E60135C4}"/>
                  </c:ext>
                </c:extLst>
              </c15:ser>
            </c15:filteredScatterSeries>
            <c15:filteredScatterSeries>
              <c15:ser>
                <c:idx val="16"/>
                <c:order val="18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306</c:v>
                      </c:pt>
                      <c:pt idx="1">
                        <c:v>314</c:v>
                      </c:pt>
                      <c:pt idx="2">
                        <c:v>322</c:v>
                      </c:pt>
                      <c:pt idx="3">
                        <c:v>330</c:v>
                      </c:pt>
                      <c:pt idx="4">
                        <c:v>338</c:v>
                      </c:pt>
                      <c:pt idx="5">
                        <c:v>346</c:v>
                      </c:pt>
                      <c:pt idx="6">
                        <c:v>354</c:v>
                      </c:pt>
                      <c:pt idx="7">
                        <c:v>362</c:v>
                      </c:pt>
                      <c:pt idx="8">
                        <c:v>370</c:v>
                      </c:pt>
                      <c:pt idx="9">
                        <c:v>378</c:v>
                      </c:pt>
                      <c:pt idx="10">
                        <c:v>386</c:v>
                      </c:pt>
                      <c:pt idx="11">
                        <c:v>394</c:v>
                      </c:pt>
                      <c:pt idx="12">
                        <c:v>402</c:v>
                      </c:pt>
                      <c:pt idx="13">
                        <c:v>410</c:v>
                      </c:pt>
                      <c:pt idx="14">
                        <c:v>418</c:v>
                      </c:pt>
                      <c:pt idx="15">
                        <c:v>426</c:v>
                      </c:pt>
                      <c:pt idx="16">
                        <c:v>434</c:v>
                      </c:pt>
                      <c:pt idx="17">
                        <c:v>442</c:v>
                      </c:pt>
                      <c:pt idx="18">
                        <c:v>450</c:v>
                      </c:pt>
                      <c:pt idx="19">
                        <c:v>458</c:v>
                      </c:pt>
                      <c:pt idx="20">
                        <c:v>466</c:v>
                      </c:pt>
                      <c:pt idx="21">
                        <c:v>474</c:v>
                      </c:pt>
                      <c:pt idx="22">
                        <c:v>482</c:v>
                      </c:pt>
                      <c:pt idx="23">
                        <c:v>490</c:v>
                      </c:pt>
                      <c:pt idx="24">
                        <c:v>498</c:v>
                      </c:pt>
                      <c:pt idx="25">
                        <c:v>506</c:v>
                      </c:pt>
                      <c:pt idx="26">
                        <c:v>514</c:v>
                      </c:pt>
                      <c:pt idx="27">
                        <c:v>522</c:v>
                      </c:pt>
                      <c:pt idx="28">
                        <c:v>530</c:v>
                      </c:pt>
                      <c:pt idx="29">
                        <c:v>538</c:v>
                      </c:pt>
                      <c:pt idx="30">
                        <c:v>546</c:v>
                      </c:pt>
                      <c:pt idx="31">
                        <c:v>554</c:v>
                      </c:pt>
                      <c:pt idx="32">
                        <c:v>562</c:v>
                      </c:pt>
                      <c:pt idx="33">
                        <c:v>570</c:v>
                      </c:pt>
                      <c:pt idx="34">
                        <c:v>578</c:v>
                      </c:pt>
                      <c:pt idx="35">
                        <c:v>586</c:v>
                      </c:pt>
                      <c:pt idx="36">
                        <c:v>594</c:v>
                      </c:pt>
                      <c:pt idx="37">
                        <c:v>602</c:v>
                      </c:pt>
                      <c:pt idx="38">
                        <c:v>610</c:v>
                      </c:pt>
                      <c:pt idx="39">
                        <c:v>618</c:v>
                      </c:pt>
                      <c:pt idx="40">
                        <c:v>626</c:v>
                      </c:pt>
                      <c:pt idx="41">
                        <c:v>634</c:v>
                      </c:pt>
                      <c:pt idx="42">
                        <c:v>642</c:v>
                      </c:pt>
                      <c:pt idx="43">
                        <c:v>650</c:v>
                      </c:pt>
                      <c:pt idx="44">
                        <c:v>658</c:v>
                      </c:pt>
                      <c:pt idx="45">
                        <c:v>666</c:v>
                      </c:pt>
                      <c:pt idx="46">
                        <c:v>674</c:v>
                      </c:pt>
                      <c:pt idx="47">
                        <c:v>682</c:v>
                      </c:pt>
                      <c:pt idx="48">
                        <c:v>690</c:v>
                      </c:pt>
                      <c:pt idx="49">
                        <c:v>698</c:v>
                      </c:pt>
                      <c:pt idx="50">
                        <c:v>706</c:v>
                      </c:pt>
                      <c:pt idx="51">
                        <c:v>714</c:v>
                      </c:pt>
                      <c:pt idx="52">
                        <c:v>722</c:v>
                      </c:pt>
                      <c:pt idx="53">
                        <c:v>730</c:v>
                      </c:pt>
                      <c:pt idx="54">
                        <c:v>738</c:v>
                      </c:pt>
                      <c:pt idx="55">
                        <c:v>746</c:v>
                      </c:pt>
                      <c:pt idx="56">
                        <c:v>754</c:v>
                      </c:pt>
                      <c:pt idx="57">
                        <c:v>762</c:v>
                      </c:pt>
                      <c:pt idx="58">
                        <c:v>770</c:v>
                      </c:pt>
                      <c:pt idx="59">
                        <c:v>778</c:v>
                      </c:pt>
                      <c:pt idx="60">
                        <c:v>786</c:v>
                      </c:pt>
                      <c:pt idx="61">
                        <c:v>794</c:v>
                      </c:pt>
                      <c:pt idx="62">
                        <c:v>802</c:v>
                      </c:pt>
                      <c:pt idx="63">
                        <c:v>810</c:v>
                      </c:pt>
                      <c:pt idx="64">
                        <c:v>818</c:v>
                      </c:pt>
                      <c:pt idx="65">
                        <c:v>826</c:v>
                      </c:pt>
                      <c:pt idx="66">
                        <c:v>834</c:v>
                      </c:pt>
                      <c:pt idx="67">
                        <c:v>842</c:v>
                      </c:pt>
                      <c:pt idx="68">
                        <c:v>850</c:v>
                      </c:pt>
                      <c:pt idx="69">
                        <c:v>858</c:v>
                      </c:pt>
                      <c:pt idx="70">
                        <c:v>866</c:v>
                      </c:pt>
                      <c:pt idx="71">
                        <c:v>874</c:v>
                      </c:pt>
                      <c:pt idx="72">
                        <c:v>882</c:v>
                      </c:pt>
                      <c:pt idx="73">
                        <c:v>890</c:v>
                      </c:pt>
                      <c:pt idx="74">
                        <c:v>898</c:v>
                      </c:pt>
                      <c:pt idx="75">
                        <c:v>906</c:v>
                      </c:pt>
                      <c:pt idx="76">
                        <c:v>914</c:v>
                      </c:pt>
                      <c:pt idx="77">
                        <c:v>922</c:v>
                      </c:pt>
                      <c:pt idx="78">
                        <c:v>930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EVALUATION!$B$119:$CP$119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8-35EF-46D6-A94F-2517E60135C4}"/>
                  </c:ext>
                </c:extLst>
              </c15:ser>
            </c15:filteredScatterSeries>
            <c15:filteredScatterSeries>
              <c15:ser>
                <c:idx val="17"/>
                <c:order val="19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306</c:v>
                      </c:pt>
                      <c:pt idx="1">
                        <c:v>314</c:v>
                      </c:pt>
                      <c:pt idx="2">
                        <c:v>322</c:v>
                      </c:pt>
                      <c:pt idx="3">
                        <c:v>330</c:v>
                      </c:pt>
                      <c:pt idx="4">
                        <c:v>338</c:v>
                      </c:pt>
                      <c:pt idx="5">
                        <c:v>346</c:v>
                      </c:pt>
                      <c:pt idx="6">
                        <c:v>354</c:v>
                      </c:pt>
                      <c:pt idx="7">
                        <c:v>362</c:v>
                      </c:pt>
                      <c:pt idx="8">
                        <c:v>370</c:v>
                      </c:pt>
                      <c:pt idx="9">
                        <c:v>378</c:v>
                      </c:pt>
                      <c:pt idx="10">
                        <c:v>386</c:v>
                      </c:pt>
                      <c:pt idx="11">
                        <c:v>394</c:v>
                      </c:pt>
                      <c:pt idx="12">
                        <c:v>402</c:v>
                      </c:pt>
                      <c:pt idx="13">
                        <c:v>410</c:v>
                      </c:pt>
                      <c:pt idx="14">
                        <c:v>418</c:v>
                      </c:pt>
                      <c:pt idx="15">
                        <c:v>426</c:v>
                      </c:pt>
                      <c:pt idx="16">
                        <c:v>434</c:v>
                      </c:pt>
                      <c:pt idx="17">
                        <c:v>442</c:v>
                      </c:pt>
                      <c:pt idx="18">
                        <c:v>450</c:v>
                      </c:pt>
                      <c:pt idx="19">
                        <c:v>458</c:v>
                      </c:pt>
                      <c:pt idx="20">
                        <c:v>466</c:v>
                      </c:pt>
                      <c:pt idx="21">
                        <c:v>474</c:v>
                      </c:pt>
                      <c:pt idx="22">
                        <c:v>482</c:v>
                      </c:pt>
                      <c:pt idx="23">
                        <c:v>490</c:v>
                      </c:pt>
                      <c:pt idx="24">
                        <c:v>498</c:v>
                      </c:pt>
                      <c:pt idx="25">
                        <c:v>506</c:v>
                      </c:pt>
                      <c:pt idx="26">
                        <c:v>514</c:v>
                      </c:pt>
                      <c:pt idx="27">
                        <c:v>522</c:v>
                      </c:pt>
                      <c:pt idx="28">
                        <c:v>530</c:v>
                      </c:pt>
                      <c:pt idx="29">
                        <c:v>538</c:v>
                      </c:pt>
                      <c:pt idx="30">
                        <c:v>546</c:v>
                      </c:pt>
                      <c:pt idx="31">
                        <c:v>554</c:v>
                      </c:pt>
                      <c:pt idx="32">
                        <c:v>562</c:v>
                      </c:pt>
                      <c:pt idx="33">
                        <c:v>570</c:v>
                      </c:pt>
                      <c:pt idx="34">
                        <c:v>578</c:v>
                      </c:pt>
                      <c:pt idx="35">
                        <c:v>586</c:v>
                      </c:pt>
                      <c:pt idx="36">
                        <c:v>594</c:v>
                      </c:pt>
                      <c:pt idx="37">
                        <c:v>602</c:v>
                      </c:pt>
                      <c:pt idx="38">
                        <c:v>610</c:v>
                      </c:pt>
                      <c:pt idx="39">
                        <c:v>618</c:v>
                      </c:pt>
                      <c:pt idx="40">
                        <c:v>626</c:v>
                      </c:pt>
                      <c:pt idx="41">
                        <c:v>634</c:v>
                      </c:pt>
                      <c:pt idx="42">
                        <c:v>642</c:v>
                      </c:pt>
                      <c:pt idx="43">
                        <c:v>650</c:v>
                      </c:pt>
                      <c:pt idx="44">
                        <c:v>658</c:v>
                      </c:pt>
                      <c:pt idx="45">
                        <c:v>666</c:v>
                      </c:pt>
                      <c:pt idx="46">
                        <c:v>674</c:v>
                      </c:pt>
                      <c:pt idx="47">
                        <c:v>682</c:v>
                      </c:pt>
                      <c:pt idx="48">
                        <c:v>690</c:v>
                      </c:pt>
                      <c:pt idx="49">
                        <c:v>698</c:v>
                      </c:pt>
                      <c:pt idx="50">
                        <c:v>706</c:v>
                      </c:pt>
                      <c:pt idx="51">
                        <c:v>714</c:v>
                      </c:pt>
                      <c:pt idx="52">
                        <c:v>722</c:v>
                      </c:pt>
                      <c:pt idx="53">
                        <c:v>730</c:v>
                      </c:pt>
                      <c:pt idx="54">
                        <c:v>738</c:v>
                      </c:pt>
                      <c:pt idx="55">
                        <c:v>746</c:v>
                      </c:pt>
                      <c:pt idx="56">
                        <c:v>754</c:v>
                      </c:pt>
                      <c:pt idx="57">
                        <c:v>762</c:v>
                      </c:pt>
                      <c:pt idx="58">
                        <c:v>770</c:v>
                      </c:pt>
                      <c:pt idx="59">
                        <c:v>778</c:v>
                      </c:pt>
                      <c:pt idx="60">
                        <c:v>786</c:v>
                      </c:pt>
                      <c:pt idx="61">
                        <c:v>794</c:v>
                      </c:pt>
                      <c:pt idx="62">
                        <c:v>802</c:v>
                      </c:pt>
                      <c:pt idx="63">
                        <c:v>810</c:v>
                      </c:pt>
                      <c:pt idx="64">
                        <c:v>818</c:v>
                      </c:pt>
                      <c:pt idx="65">
                        <c:v>826</c:v>
                      </c:pt>
                      <c:pt idx="66">
                        <c:v>834</c:v>
                      </c:pt>
                      <c:pt idx="67">
                        <c:v>842</c:v>
                      </c:pt>
                      <c:pt idx="68">
                        <c:v>850</c:v>
                      </c:pt>
                      <c:pt idx="69">
                        <c:v>858</c:v>
                      </c:pt>
                      <c:pt idx="70">
                        <c:v>866</c:v>
                      </c:pt>
                      <c:pt idx="71">
                        <c:v>874</c:v>
                      </c:pt>
                      <c:pt idx="72">
                        <c:v>882</c:v>
                      </c:pt>
                      <c:pt idx="73">
                        <c:v>890</c:v>
                      </c:pt>
                      <c:pt idx="74">
                        <c:v>898</c:v>
                      </c:pt>
                      <c:pt idx="75">
                        <c:v>906</c:v>
                      </c:pt>
                      <c:pt idx="76">
                        <c:v>914</c:v>
                      </c:pt>
                      <c:pt idx="77">
                        <c:v>922</c:v>
                      </c:pt>
                      <c:pt idx="78">
                        <c:v>930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EVALUATION!$B$120:$CP$120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9-35EF-46D6-A94F-2517E60135C4}"/>
                  </c:ext>
                </c:extLst>
              </c15:ser>
            </c15:filteredScatterSeries>
            <c15:filteredScatterSeries>
              <c15:ser>
                <c:idx val="18"/>
                <c:order val="20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306</c:v>
                      </c:pt>
                      <c:pt idx="1">
                        <c:v>314</c:v>
                      </c:pt>
                      <c:pt idx="2">
                        <c:v>322</c:v>
                      </c:pt>
                      <c:pt idx="3">
                        <c:v>330</c:v>
                      </c:pt>
                      <c:pt idx="4">
                        <c:v>338</c:v>
                      </c:pt>
                      <c:pt idx="5">
                        <c:v>346</c:v>
                      </c:pt>
                      <c:pt idx="6">
                        <c:v>354</c:v>
                      </c:pt>
                      <c:pt idx="7">
                        <c:v>362</c:v>
                      </c:pt>
                      <c:pt idx="8">
                        <c:v>370</c:v>
                      </c:pt>
                      <c:pt idx="9">
                        <c:v>378</c:v>
                      </c:pt>
                      <c:pt idx="10">
                        <c:v>386</c:v>
                      </c:pt>
                      <c:pt idx="11">
                        <c:v>394</c:v>
                      </c:pt>
                      <c:pt idx="12">
                        <c:v>402</c:v>
                      </c:pt>
                      <c:pt idx="13">
                        <c:v>410</c:v>
                      </c:pt>
                      <c:pt idx="14">
                        <c:v>418</c:v>
                      </c:pt>
                      <c:pt idx="15">
                        <c:v>426</c:v>
                      </c:pt>
                      <c:pt idx="16">
                        <c:v>434</c:v>
                      </c:pt>
                      <c:pt idx="17">
                        <c:v>442</c:v>
                      </c:pt>
                      <c:pt idx="18">
                        <c:v>450</c:v>
                      </c:pt>
                      <c:pt idx="19">
                        <c:v>458</c:v>
                      </c:pt>
                      <c:pt idx="20">
                        <c:v>466</c:v>
                      </c:pt>
                      <c:pt idx="21">
                        <c:v>474</c:v>
                      </c:pt>
                      <c:pt idx="22">
                        <c:v>482</c:v>
                      </c:pt>
                      <c:pt idx="23">
                        <c:v>490</c:v>
                      </c:pt>
                      <c:pt idx="24">
                        <c:v>498</c:v>
                      </c:pt>
                      <c:pt idx="25">
                        <c:v>506</c:v>
                      </c:pt>
                      <c:pt idx="26">
                        <c:v>514</c:v>
                      </c:pt>
                      <c:pt idx="27">
                        <c:v>522</c:v>
                      </c:pt>
                      <c:pt idx="28">
                        <c:v>530</c:v>
                      </c:pt>
                      <c:pt idx="29">
                        <c:v>538</c:v>
                      </c:pt>
                      <c:pt idx="30">
                        <c:v>546</c:v>
                      </c:pt>
                      <c:pt idx="31">
                        <c:v>554</c:v>
                      </c:pt>
                      <c:pt idx="32">
                        <c:v>562</c:v>
                      </c:pt>
                      <c:pt idx="33">
                        <c:v>570</c:v>
                      </c:pt>
                      <c:pt idx="34">
                        <c:v>578</c:v>
                      </c:pt>
                      <c:pt idx="35">
                        <c:v>586</c:v>
                      </c:pt>
                      <c:pt idx="36">
                        <c:v>594</c:v>
                      </c:pt>
                      <c:pt idx="37">
                        <c:v>602</c:v>
                      </c:pt>
                      <c:pt idx="38">
                        <c:v>610</c:v>
                      </c:pt>
                      <c:pt idx="39">
                        <c:v>618</c:v>
                      </c:pt>
                      <c:pt idx="40">
                        <c:v>626</c:v>
                      </c:pt>
                      <c:pt idx="41">
                        <c:v>634</c:v>
                      </c:pt>
                      <c:pt idx="42">
                        <c:v>642</c:v>
                      </c:pt>
                      <c:pt idx="43">
                        <c:v>650</c:v>
                      </c:pt>
                      <c:pt idx="44">
                        <c:v>658</c:v>
                      </c:pt>
                      <c:pt idx="45">
                        <c:v>666</c:v>
                      </c:pt>
                      <c:pt idx="46">
                        <c:v>674</c:v>
                      </c:pt>
                      <c:pt idx="47">
                        <c:v>682</c:v>
                      </c:pt>
                      <c:pt idx="48">
                        <c:v>690</c:v>
                      </c:pt>
                      <c:pt idx="49">
                        <c:v>698</c:v>
                      </c:pt>
                      <c:pt idx="50">
                        <c:v>706</c:v>
                      </c:pt>
                      <c:pt idx="51">
                        <c:v>714</c:v>
                      </c:pt>
                      <c:pt idx="52">
                        <c:v>722</c:v>
                      </c:pt>
                      <c:pt idx="53">
                        <c:v>730</c:v>
                      </c:pt>
                      <c:pt idx="54">
                        <c:v>738</c:v>
                      </c:pt>
                      <c:pt idx="55">
                        <c:v>746</c:v>
                      </c:pt>
                      <c:pt idx="56">
                        <c:v>754</c:v>
                      </c:pt>
                      <c:pt idx="57">
                        <c:v>762</c:v>
                      </c:pt>
                      <c:pt idx="58">
                        <c:v>770</c:v>
                      </c:pt>
                      <c:pt idx="59">
                        <c:v>778</c:v>
                      </c:pt>
                      <c:pt idx="60">
                        <c:v>786</c:v>
                      </c:pt>
                      <c:pt idx="61">
                        <c:v>794</c:v>
                      </c:pt>
                      <c:pt idx="62">
                        <c:v>802</c:v>
                      </c:pt>
                      <c:pt idx="63">
                        <c:v>810</c:v>
                      </c:pt>
                      <c:pt idx="64">
                        <c:v>818</c:v>
                      </c:pt>
                      <c:pt idx="65">
                        <c:v>826</c:v>
                      </c:pt>
                      <c:pt idx="66">
                        <c:v>834</c:v>
                      </c:pt>
                      <c:pt idx="67">
                        <c:v>842</c:v>
                      </c:pt>
                      <c:pt idx="68">
                        <c:v>850</c:v>
                      </c:pt>
                      <c:pt idx="69">
                        <c:v>858</c:v>
                      </c:pt>
                      <c:pt idx="70">
                        <c:v>866</c:v>
                      </c:pt>
                      <c:pt idx="71">
                        <c:v>874</c:v>
                      </c:pt>
                      <c:pt idx="72">
                        <c:v>882</c:v>
                      </c:pt>
                      <c:pt idx="73">
                        <c:v>890</c:v>
                      </c:pt>
                      <c:pt idx="74">
                        <c:v>898</c:v>
                      </c:pt>
                      <c:pt idx="75">
                        <c:v>906</c:v>
                      </c:pt>
                      <c:pt idx="76">
                        <c:v>914</c:v>
                      </c:pt>
                      <c:pt idx="77">
                        <c:v>922</c:v>
                      </c:pt>
                      <c:pt idx="78">
                        <c:v>930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EVALUATION!$B$121:$CP$121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A-35EF-46D6-A94F-2517E60135C4}"/>
                  </c:ext>
                </c:extLst>
              </c15:ser>
            </c15:filteredScatterSeries>
            <c15:filteredScatterSeries>
              <c15:ser>
                <c:idx val="19"/>
                <c:order val="21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306</c:v>
                      </c:pt>
                      <c:pt idx="1">
                        <c:v>314</c:v>
                      </c:pt>
                      <c:pt idx="2">
                        <c:v>322</c:v>
                      </c:pt>
                      <c:pt idx="3">
                        <c:v>330</c:v>
                      </c:pt>
                      <c:pt idx="4">
                        <c:v>338</c:v>
                      </c:pt>
                      <c:pt idx="5">
                        <c:v>346</c:v>
                      </c:pt>
                      <c:pt idx="6">
                        <c:v>354</c:v>
                      </c:pt>
                      <c:pt idx="7">
                        <c:v>362</c:v>
                      </c:pt>
                      <c:pt idx="8">
                        <c:v>370</c:v>
                      </c:pt>
                      <c:pt idx="9">
                        <c:v>378</c:v>
                      </c:pt>
                      <c:pt idx="10">
                        <c:v>386</c:v>
                      </c:pt>
                      <c:pt idx="11">
                        <c:v>394</c:v>
                      </c:pt>
                      <c:pt idx="12">
                        <c:v>402</c:v>
                      </c:pt>
                      <c:pt idx="13">
                        <c:v>410</c:v>
                      </c:pt>
                      <c:pt idx="14">
                        <c:v>418</c:v>
                      </c:pt>
                      <c:pt idx="15">
                        <c:v>426</c:v>
                      </c:pt>
                      <c:pt idx="16">
                        <c:v>434</c:v>
                      </c:pt>
                      <c:pt idx="17">
                        <c:v>442</c:v>
                      </c:pt>
                      <c:pt idx="18">
                        <c:v>450</c:v>
                      </c:pt>
                      <c:pt idx="19">
                        <c:v>458</c:v>
                      </c:pt>
                      <c:pt idx="20">
                        <c:v>466</c:v>
                      </c:pt>
                      <c:pt idx="21">
                        <c:v>474</c:v>
                      </c:pt>
                      <c:pt idx="22">
                        <c:v>482</c:v>
                      </c:pt>
                      <c:pt idx="23">
                        <c:v>490</c:v>
                      </c:pt>
                      <c:pt idx="24">
                        <c:v>498</c:v>
                      </c:pt>
                      <c:pt idx="25">
                        <c:v>506</c:v>
                      </c:pt>
                      <c:pt idx="26">
                        <c:v>514</c:v>
                      </c:pt>
                      <c:pt idx="27">
                        <c:v>522</c:v>
                      </c:pt>
                      <c:pt idx="28">
                        <c:v>530</c:v>
                      </c:pt>
                      <c:pt idx="29">
                        <c:v>538</c:v>
                      </c:pt>
                      <c:pt idx="30">
                        <c:v>546</c:v>
                      </c:pt>
                      <c:pt idx="31">
                        <c:v>554</c:v>
                      </c:pt>
                      <c:pt idx="32">
                        <c:v>562</c:v>
                      </c:pt>
                      <c:pt idx="33">
                        <c:v>570</c:v>
                      </c:pt>
                      <c:pt idx="34">
                        <c:v>578</c:v>
                      </c:pt>
                      <c:pt idx="35">
                        <c:v>586</c:v>
                      </c:pt>
                      <c:pt idx="36">
                        <c:v>594</c:v>
                      </c:pt>
                      <c:pt idx="37">
                        <c:v>602</c:v>
                      </c:pt>
                      <c:pt idx="38">
                        <c:v>610</c:v>
                      </c:pt>
                      <c:pt idx="39">
                        <c:v>618</c:v>
                      </c:pt>
                      <c:pt idx="40">
                        <c:v>626</c:v>
                      </c:pt>
                      <c:pt idx="41">
                        <c:v>634</c:v>
                      </c:pt>
                      <c:pt idx="42">
                        <c:v>642</c:v>
                      </c:pt>
                      <c:pt idx="43">
                        <c:v>650</c:v>
                      </c:pt>
                      <c:pt idx="44">
                        <c:v>658</c:v>
                      </c:pt>
                      <c:pt idx="45">
                        <c:v>666</c:v>
                      </c:pt>
                      <c:pt idx="46">
                        <c:v>674</c:v>
                      </c:pt>
                      <c:pt idx="47">
                        <c:v>682</c:v>
                      </c:pt>
                      <c:pt idx="48">
                        <c:v>690</c:v>
                      </c:pt>
                      <c:pt idx="49">
                        <c:v>698</c:v>
                      </c:pt>
                      <c:pt idx="50">
                        <c:v>706</c:v>
                      </c:pt>
                      <c:pt idx="51">
                        <c:v>714</c:v>
                      </c:pt>
                      <c:pt idx="52">
                        <c:v>722</c:v>
                      </c:pt>
                      <c:pt idx="53">
                        <c:v>730</c:v>
                      </c:pt>
                      <c:pt idx="54">
                        <c:v>738</c:v>
                      </c:pt>
                      <c:pt idx="55">
                        <c:v>746</c:v>
                      </c:pt>
                      <c:pt idx="56">
                        <c:v>754</c:v>
                      </c:pt>
                      <c:pt idx="57">
                        <c:v>762</c:v>
                      </c:pt>
                      <c:pt idx="58">
                        <c:v>770</c:v>
                      </c:pt>
                      <c:pt idx="59">
                        <c:v>778</c:v>
                      </c:pt>
                      <c:pt idx="60">
                        <c:v>786</c:v>
                      </c:pt>
                      <c:pt idx="61">
                        <c:v>794</c:v>
                      </c:pt>
                      <c:pt idx="62">
                        <c:v>802</c:v>
                      </c:pt>
                      <c:pt idx="63">
                        <c:v>810</c:v>
                      </c:pt>
                      <c:pt idx="64">
                        <c:v>818</c:v>
                      </c:pt>
                      <c:pt idx="65">
                        <c:v>826</c:v>
                      </c:pt>
                      <c:pt idx="66">
                        <c:v>834</c:v>
                      </c:pt>
                      <c:pt idx="67">
                        <c:v>842</c:v>
                      </c:pt>
                      <c:pt idx="68">
                        <c:v>850</c:v>
                      </c:pt>
                      <c:pt idx="69">
                        <c:v>858</c:v>
                      </c:pt>
                      <c:pt idx="70">
                        <c:v>866</c:v>
                      </c:pt>
                      <c:pt idx="71">
                        <c:v>874</c:v>
                      </c:pt>
                      <c:pt idx="72">
                        <c:v>882</c:v>
                      </c:pt>
                      <c:pt idx="73">
                        <c:v>890</c:v>
                      </c:pt>
                      <c:pt idx="74">
                        <c:v>898</c:v>
                      </c:pt>
                      <c:pt idx="75">
                        <c:v>906</c:v>
                      </c:pt>
                      <c:pt idx="76">
                        <c:v>914</c:v>
                      </c:pt>
                      <c:pt idx="77">
                        <c:v>922</c:v>
                      </c:pt>
                      <c:pt idx="78">
                        <c:v>930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EVALUATION!$B$122:$CP$122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B-35EF-46D6-A94F-2517E60135C4}"/>
                  </c:ext>
                </c:extLst>
              </c15:ser>
            </c15:filteredScatterSeries>
            <c15:filteredScatterSeries>
              <c15:ser>
                <c:idx val="20"/>
                <c:order val="22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306</c:v>
                      </c:pt>
                      <c:pt idx="1">
                        <c:v>314</c:v>
                      </c:pt>
                      <c:pt idx="2">
                        <c:v>322</c:v>
                      </c:pt>
                      <c:pt idx="3">
                        <c:v>330</c:v>
                      </c:pt>
                      <c:pt idx="4">
                        <c:v>338</c:v>
                      </c:pt>
                      <c:pt idx="5">
                        <c:v>346</c:v>
                      </c:pt>
                      <c:pt idx="6">
                        <c:v>354</c:v>
                      </c:pt>
                      <c:pt idx="7">
                        <c:v>362</c:v>
                      </c:pt>
                      <c:pt idx="8">
                        <c:v>370</c:v>
                      </c:pt>
                      <c:pt idx="9">
                        <c:v>378</c:v>
                      </c:pt>
                      <c:pt idx="10">
                        <c:v>386</c:v>
                      </c:pt>
                      <c:pt idx="11">
                        <c:v>394</c:v>
                      </c:pt>
                      <c:pt idx="12">
                        <c:v>402</c:v>
                      </c:pt>
                      <c:pt idx="13">
                        <c:v>410</c:v>
                      </c:pt>
                      <c:pt idx="14">
                        <c:v>418</c:v>
                      </c:pt>
                      <c:pt idx="15">
                        <c:v>426</c:v>
                      </c:pt>
                      <c:pt idx="16">
                        <c:v>434</c:v>
                      </c:pt>
                      <c:pt idx="17">
                        <c:v>442</c:v>
                      </c:pt>
                      <c:pt idx="18">
                        <c:v>450</c:v>
                      </c:pt>
                      <c:pt idx="19">
                        <c:v>458</c:v>
                      </c:pt>
                      <c:pt idx="20">
                        <c:v>466</c:v>
                      </c:pt>
                      <c:pt idx="21">
                        <c:v>474</c:v>
                      </c:pt>
                      <c:pt idx="22">
                        <c:v>482</c:v>
                      </c:pt>
                      <c:pt idx="23">
                        <c:v>490</c:v>
                      </c:pt>
                      <c:pt idx="24">
                        <c:v>498</c:v>
                      </c:pt>
                      <c:pt idx="25">
                        <c:v>506</c:v>
                      </c:pt>
                      <c:pt idx="26">
                        <c:v>514</c:v>
                      </c:pt>
                      <c:pt idx="27">
                        <c:v>522</c:v>
                      </c:pt>
                      <c:pt idx="28">
                        <c:v>530</c:v>
                      </c:pt>
                      <c:pt idx="29">
                        <c:v>538</c:v>
                      </c:pt>
                      <c:pt idx="30">
                        <c:v>546</c:v>
                      </c:pt>
                      <c:pt idx="31">
                        <c:v>554</c:v>
                      </c:pt>
                      <c:pt idx="32">
                        <c:v>562</c:v>
                      </c:pt>
                      <c:pt idx="33">
                        <c:v>570</c:v>
                      </c:pt>
                      <c:pt idx="34">
                        <c:v>578</c:v>
                      </c:pt>
                      <c:pt idx="35">
                        <c:v>586</c:v>
                      </c:pt>
                      <c:pt idx="36">
                        <c:v>594</c:v>
                      </c:pt>
                      <c:pt idx="37">
                        <c:v>602</c:v>
                      </c:pt>
                      <c:pt idx="38">
                        <c:v>610</c:v>
                      </c:pt>
                      <c:pt idx="39">
                        <c:v>618</c:v>
                      </c:pt>
                      <c:pt idx="40">
                        <c:v>626</c:v>
                      </c:pt>
                      <c:pt idx="41">
                        <c:v>634</c:v>
                      </c:pt>
                      <c:pt idx="42">
                        <c:v>642</c:v>
                      </c:pt>
                      <c:pt idx="43">
                        <c:v>650</c:v>
                      </c:pt>
                      <c:pt idx="44">
                        <c:v>658</c:v>
                      </c:pt>
                      <c:pt idx="45">
                        <c:v>666</c:v>
                      </c:pt>
                      <c:pt idx="46">
                        <c:v>674</c:v>
                      </c:pt>
                      <c:pt idx="47">
                        <c:v>682</c:v>
                      </c:pt>
                      <c:pt idx="48">
                        <c:v>690</c:v>
                      </c:pt>
                      <c:pt idx="49">
                        <c:v>698</c:v>
                      </c:pt>
                      <c:pt idx="50">
                        <c:v>706</c:v>
                      </c:pt>
                      <c:pt idx="51">
                        <c:v>714</c:v>
                      </c:pt>
                      <c:pt idx="52">
                        <c:v>722</c:v>
                      </c:pt>
                      <c:pt idx="53">
                        <c:v>730</c:v>
                      </c:pt>
                      <c:pt idx="54">
                        <c:v>738</c:v>
                      </c:pt>
                      <c:pt idx="55">
                        <c:v>746</c:v>
                      </c:pt>
                      <c:pt idx="56">
                        <c:v>754</c:v>
                      </c:pt>
                      <c:pt idx="57">
                        <c:v>762</c:v>
                      </c:pt>
                      <c:pt idx="58">
                        <c:v>770</c:v>
                      </c:pt>
                      <c:pt idx="59">
                        <c:v>778</c:v>
                      </c:pt>
                      <c:pt idx="60">
                        <c:v>786</c:v>
                      </c:pt>
                      <c:pt idx="61">
                        <c:v>794</c:v>
                      </c:pt>
                      <c:pt idx="62">
                        <c:v>802</c:v>
                      </c:pt>
                      <c:pt idx="63">
                        <c:v>810</c:v>
                      </c:pt>
                      <c:pt idx="64">
                        <c:v>818</c:v>
                      </c:pt>
                      <c:pt idx="65">
                        <c:v>826</c:v>
                      </c:pt>
                      <c:pt idx="66">
                        <c:v>834</c:v>
                      </c:pt>
                      <c:pt idx="67">
                        <c:v>842</c:v>
                      </c:pt>
                      <c:pt idx="68">
                        <c:v>850</c:v>
                      </c:pt>
                      <c:pt idx="69">
                        <c:v>858</c:v>
                      </c:pt>
                      <c:pt idx="70">
                        <c:v>866</c:v>
                      </c:pt>
                      <c:pt idx="71">
                        <c:v>874</c:v>
                      </c:pt>
                      <c:pt idx="72">
                        <c:v>882</c:v>
                      </c:pt>
                      <c:pt idx="73">
                        <c:v>890</c:v>
                      </c:pt>
                      <c:pt idx="74">
                        <c:v>898</c:v>
                      </c:pt>
                      <c:pt idx="75">
                        <c:v>906</c:v>
                      </c:pt>
                      <c:pt idx="76">
                        <c:v>914</c:v>
                      </c:pt>
                      <c:pt idx="77">
                        <c:v>922</c:v>
                      </c:pt>
                      <c:pt idx="78">
                        <c:v>930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EVALUATION!$B$123:$CP$123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C-35EF-46D6-A94F-2517E60135C4}"/>
                  </c:ext>
                </c:extLst>
              </c15:ser>
            </c15:filteredScatterSeries>
            <c15:filteredScatterSeries>
              <c15:ser>
                <c:idx val="21"/>
                <c:order val="23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306</c:v>
                      </c:pt>
                      <c:pt idx="1">
                        <c:v>314</c:v>
                      </c:pt>
                      <c:pt idx="2">
                        <c:v>322</c:v>
                      </c:pt>
                      <c:pt idx="3">
                        <c:v>330</c:v>
                      </c:pt>
                      <c:pt idx="4">
                        <c:v>338</c:v>
                      </c:pt>
                      <c:pt idx="5">
                        <c:v>346</c:v>
                      </c:pt>
                      <c:pt idx="6">
                        <c:v>354</c:v>
                      </c:pt>
                      <c:pt idx="7">
                        <c:v>362</c:v>
                      </c:pt>
                      <c:pt idx="8">
                        <c:v>370</c:v>
                      </c:pt>
                      <c:pt idx="9">
                        <c:v>378</c:v>
                      </c:pt>
                      <c:pt idx="10">
                        <c:v>386</c:v>
                      </c:pt>
                      <c:pt idx="11">
                        <c:v>394</c:v>
                      </c:pt>
                      <c:pt idx="12">
                        <c:v>402</c:v>
                      </c:pt>
                      <c:pt idx="13">
                        <c:v>410</c:v>
                      </c:pt>
                      <c:pt idx="14">
                        <c:v>418</c:v>
                      </c:pt>
                      <c:pt idx="15">
                        <c:v>426</c:v>
                      </c:pt>
                      <c:pt idx="16">
                        <c:v>434</c:v>
                      </c:pt>
                      <c:pt idx="17">
                        <c:v>442</c:v>
                      </c:pt>
                      <c:pt idx="18">
                        <c:v>450</c:v>
                      </c:pt>
                      <c:pt idx="19">
                        <c:v>458</c:v>
                      </c:pt>
                      <c:pt idx="20">
                        <c:v>466</c:v>
                      </c:pt>
                      <c:pt idx="21">
                        <c:v>474</c:v>
                      </c:pt>
                      <c:pt idx="22">
                        <c:v>482</c:v>
                      </c:pt>
                      <c:pt idx="23">
                        <c:v>490</c:v>
                      </c:pt>
                      <c:pt idx="24">
                        <c:v>498</c:v>
                      </c:pt>
                      <c:pt idx="25">
                        <c:v>506</c:v>
                      </c:pt>
                      <c:pt idx="26">
                        <c:v>514</c:v>
                      </c:pt>
                      <c:pt idx="27">
                        <c:v>522</c:v>
                      </c:pt>
                      <c:pt idx="28">
                        <c:v>530</c:v>
                      </c:pt>
                      <c:pt idx="29">
                        <c:v>538</c:v>
                      </c:pt>
                      <c:pt idx="30">
                        <c:v>546</c:v>
                      </c:pt>
                      <c:pt idx="31">
                        <c:v>554</c:v>
                      </c:pt>
                      <c:pt idx="32">
                        <c:v>562</c:v>
                      </c:pt>
                      <c:pt idx="33">
                        <c:v>570</c:v>
                      </c:pt>
                      <c:pt idx="34">
                        <c:v>578</c:v>
                      </c:pt>
                      <c:pt idx="35">
                        <c:v>586</c:v>
                      </c:pt>
                      <c:pt idx="36">
                        <c:v>594</c:v>
                      </c:pt>
                      <c:pt idx="37">
                        <c:v>602</c:v>
                      </c:pt>
                      <c:pt idx="38">
                        <c:v>610</c:v>
                      </c:pt>
                      <c:pt idx="39">
                        <c:v>618</c:v>
                      </c:pt>
                      <c:pt idx="40">
                        <c:v>626</c:v>
                      </c:pt>
                      <c:pt idx="41">
                        <c:v>634</c:v>
                      </c:pt>
                      <c:pt idx="42">
                        <c:v>642</c:v>
                      </c:pt>
                      <c:pt idx="43">
                        <c:v>650</c:v>
                      </c:pt>
                      <c:pt idx="44">
                        <c:v>658</c:v>
                      </c:pt>
                      <c:pt idx="45">
                        <c:v>666</c:v>
                      </c:pt>
                      <c:pt idx="46">
                        <c:v>674</c:v>
                      </c:pt>
                      <c:pt idx="47">
                        <c:v>682</c:v>
                      </c:pt>
                      <c:pt idx="48">
                        <c:v>690</c:v>
                      </c:pt>
                      <c:pt idx="49">
                        <c:v>698</c:v>
                      </c:pt>
                      <c:pt idx="50">
                        <c:v>706</c:v>
                      </c:pt>
                      <c:pt idx="51">
                        <c:v>714</c:v>
                      </c:pt>
                      <c:pt idx="52">
                        <c:v>722</c:v>
                      </c:pt>
                      <c:pt idx="53">
                        <c:v>730</c:v>
                      </c:pt>
                      <c:pt idx="54">
                        <c:v>738</c:v>
                      </c:pt>
                      <c:pt idx="55">
                        <c:v>746</c:v>
                      </c:pt>
                      <c:pt idx="56">
                        <c:v>754</c:v>
                      </c:pt>
                      <c:pt idx="57">
                        <c:v>762</c:v>
                      </c:pt>
                      <c:pt idx="58">
                        <c:v>770</c:v>
                      </c:pt>
                      <c:pt idx="59">
                        <c:v>778</c:v>
                      </c:pt>
                      <c:pt idx="60">
                        <c:v>786</c:v>
                      </c:pt>
                      <c:pt idx="61">
                        <c:v>794</c:v>
                      </c:pt>
                      <c:pt idx="62">
                        <c:v>802</c:v>
                      </c:pt>
                      <c:pt idx="63">
                        <c:v>810</c:v>
                      </c:pt>
                      <c:pt idx="64">
                        <c:v>818</c:v>
                      </c:pt>
                      <c:pt idx="65">
                        <c:v>826</c:v>
                      </c:pt>
                      <c:pt idx="66">
                        <c:v>834</c:v>
                      </c:pt>
                      <c:pt idx="67">
                        <c:v>842</c:v>
                      </c:pt>
                      <c:pt idx="68">
                        <c:v>850</c:v>
                      </c:pt>
                      <c:pt idx="69">
                        <c:v>858</c:v>
                      </c:pt>
                      <c:pt idx="70">
                        <c:v>866</c:v>
                      </c:pt>
                      <c:pt idx="71">
                        <c:v>874</c:v>
                      </c:pt>
                      <c:pt idx="72">
                        <c:v>882</c:v>
                      </c:pt>
                      <c:pt idx="73">
                        <c:v>890</c:v>
                      </c:pt>
                      <c:pt idx="74">
                        <c:v>898</c:v>
                      </c:pt>
                      <c:pt idx="75">
                        <c:v>906</c:v>
                      </c:pt>
                      <c:pt idx="76">
                        <c:v>914</c:v>
                      </c:pt>
                      <c:pt idx="77">
                        <c:v>922</c:v>
                      </c:pt>
                      <c:pt idx="78">
                        <c:v>930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EVALUATION!$B$124:$CP$124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D-35EF-46D6-A94F-2517E60135C4}"/>
                  </c:ext>
                </c:extLst>
              </c15:ser>
            </c15:filteredScatterSeries>
            <c15:filteredScatterSeries>
              <c15:ser>
                <c:idx val="22"/>
                <c:order val="24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306</c:v>
                      </c:pt>
                      <c:pt idx="1">
                        <c:v>314</c:v>
                      </c:pt>
                      <c:pt idx="2">
                        <c:v>322</c:v>
                      </c:pt>
                      <c:pt idx="3">
                        <c:v>330</c:v>
                      </c:pt>
                      <c:pt idx="4">
                        <c:v>338</c:v>
                      </c:pt>
                      <c:pt idx="5">
                        <c:v>346</c:v>
                      </c:pt>
                      <c:pt idx="6">
                        <c:v>354</c:v>
                      </c:pt>
                      <c:pt idx="7">
                        <c:v>362</c:v>
                      </c:pt>
                      <c:pt idx="8">
                        <c:v>370</c:v>
                      </c:pt>
                      <c:pt idx="9">
                        <c:v>378</c:v>
                      </c:pt>
                      <c:pt idx="10">
                        <c:v>386</c:v>
                      </c:pt>
                      <c:pt idx="11">
                        <c:v>394</c:v>
                      </c:pt>
                      <c:pt idx="12">
                        <c:v>402</c:v>
                      </c:pt>
                      <c:pt idx="13">
                        <c:v>410</c:v>
                      </c:pt>
                      <c:pt idx="14">
                        <c:v>418</c:v>
                      </c:pt>
                      <c:pt idx="15">
                        <c:v>426</c:v>
                      </c:pt>
                      <c:pt idx="16">
                        <c:v>434</c:v>
                      </c:pt>
                      <c:pt idx="17">
                        <c:v>442</c:v>
                      </c:pt>
                      <c:pt idx="18">
                        <c:v>450</c:v>
                      </c:pt>
                      <c:pt idx="19">
                        <c:v>458</c:v>
                      </c:pt>
                      <c:pt idx="20">
                        <c:v>466</c:v>
                      </c:pt>
                      <c:pt idx="21">
                        <c:v>474</c:v>
                      </c:pt>
                      <c:pt idx="22">
                        <c:v>482</c:v>
                      </c:pt>
                      <c:pt idx="23">
                        <c:v>490</c:v>
                      </c:pt>
                      <c:pt idx="24">
                        <c:v>498</c:v>
                      </c:pt>
                      <c:pt idx="25">
                        <c:v>506</c:v>
                      </c:pt>
                      <c:pt idx="26">
                        <c:v>514</c:v>
                      </c:pt>
                      <c:pt idx="27">
                        <c:v>522</c:v>
                      </c:pt>
                      <c:pt idx="28">
                        <c:v>530</c:v>
                      </c:pt>
                      <c:pt idx="29">
                        <c:v>538</c:v>
                      </c:pt>
                      <c:pt idx="30">
                        <c:v>546</c:v>
                      </c:pt>
                      <c:pt idx="31">
                        <c:v>554</c:v>
                      </c:pt>
                      <c:pt idx="32">
                        <c:v>562</c:v>
                      </c:pt>
                      <c:pt idx="33">
                        <c:v>570</c:v>
                      </c:pt>
                      <c:pt idx="34">
                        <c:v>578</c:v>
                      </c:pt>
                      <c:pt idx="35">
                        <c:v>586</c:v>
                      </c:pt>
                      <c:pt idx="36">
                        <c:v>594</c:v>
                      </c:pt>
                      <c:pt idx="37">
                        <c:v>602</c:v>
                      </c:pt>
                      <c:pt idx="38">
                        <c:v>610</c:v>
                      </c:pt>
                      <c:pt idx="39">
                        <c:v>618</c:v>
                      </c:pt>
                      <c:pt idx="40">
                        <c:v>626</c:v>
                      </c:pt>
                      <c:pt idx="41">
                        <c:v>634</c:v>
                      </c:pt>
                      <c:pt idx="42">
                        <c:v>642</c:v>
                      </c:pt>
                      <c:pt idx="43">
                        <c:v>650</c:v>
                      </c:pt>
                      <c:pt idx="44">
                        <c:v>658</c:v>
                      </c:pt>
                      <c:pt idx="45">
                        <c:v>666</c:v>
                      </c:pt>
                      <c:pt idx="46">
                        <c:v>674</c:v>
                      </c:pt>
                      <c:pt idx="47">
                        <c:v>682</c:v>
                      </c:pt>
                      <c:pt idx="48">
                        <c:v>690</c:v>
                      </c:pt>
                      <c:pt idx="49">
                        <c:v>698</c:v>
                      </c:pt>
                      <c:pt idx="50">
                        <c:v>706</c:v>
                      </c:pt>
                      <c:pt idx="51">
                        <c:v>714</c:v>
                      </c:pt>
                      <c:pt idx="52">
                        <c:v>722</c:v>
                      </c:pt>
                      <c:pt idx="53">
                        <c:v>730</c:v>
                      </c:pt>
                      <c:pt idx="54">
                        <c:v>738</c:v>
                      </c:pt>
                      <c:pt idx="55">
                        <c:v>746</c:v>
                      </c:pt>
                      <c:pt idx="56">
                        <c:v>754</c:v>
                      </c:pt>
                      <c:pt idx="57">
                        <c:v>762</c:v>
                      </c:pt>
                      <c:pt idx="58">
                        <c:v>770</c:v>
                      </c:pt>
                      <c:pt idx="59">
                        <c:v>778</c:v>
                      </c:pt>
                      <c:pt idx="60">
                        <c:v>786</c:v>
                      </c:pt>
                      <c:pt idx="61">
                        <c:v>794</c:v>
                      </c:pt>
                      <c:pt idx="62">
                        <c:v>802</c:v>
                      </c:pt>
                      <c:pt idx="63">
                        <c:v>810</c:v>
                      </c:pt>
                      <c:pt idx="64">
                        <c:v>818</c:v>
                      </c:pt>
                      <c:pt idx="65">
                        <c:v>826</c:v>
                      </c:pt>
                      <c:pt idx="66">
                        <c:v>834</c:v>
                      </c:pt>
                      <c:pt idx="67">
                        <c:v>842</c:v>
                      </c:pt>
                      <c:pt idx="68">
                        <c:v>850</c:v>
                      </c:pt>
                      <c:pt idx="69">
                        <c:v>858</c:v>
                      </c:pt>
                      <c:pt idx="70">
                        <c:v>866</c:v>
                      </c:pt>
                      <c:pt idx="71">
                        <c:v>874</c:v>
                      </c:pt>
                      <c:pt idx="72">
                        <c:v>882</c:v>
                      </c:pt>
                      <c:pt idx="73">
                        <c:v>890</c:v>
                      </c:pt>
                      <c:pt idx="74">
                        <c:v>898</c:v>
                      </c:pt>
                      <c:pt idx="75">
                        <c:v>906</c:v>
                      </c:pt>
                      <c:pt idx="76">
                        <c:v>914</c:v>
                      </c:pt>
                      <c:pt idx="77">
                        <c:v>922</c:v>
                      </c:pt>
                      <c:pt idx="78">
                        <c:v>930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EVALUATION!$B$125:$CP$125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E-35EF-46D6-A94F-2517E60135C4}"/>
                  </c:ext>
                </c:extLst>
              </c15:ser>
            </c15:filteredScatterSeries>
            <c15:filteredScatterSeries>
              <c15:ser>
                <c:idx val="23"/>
                <c:order val="25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306</c:v>
                      </c:pt>
                      <c:pt idx="1">
                        <c:v>314</c:v>
                      </c:pt>
                      <c:pt idx="2">
                        <c:v>322</c:v>
                      </c:pt>
                      <c:pt idx="3">
                        <c:v>330</c:v>
                      </c:pt>
                      <c:pt idx="4">
                        <c:v>338</c:v>
                      </c:pt>
                      <c:pt idx="5">
                        <c:v>346</c:v>
                      </c:pt>
                      <c:pt idx="6">
                        <c:v>354</c:v>
                      </c:pt>
                      <c:pt idx="7">
                        <c:v>362</c:v>
                      </c:pt>
                      <c:pt idx="8">
                        <c:v>370</c:v>
                      </c:pt>
                      <c:pt idx="9">
                        <c:v>378</c:v>
                      </c:pt>
                      <c:pt idx="10">
                        <c:v>386</c:v>
                      </c:pt>
                      <c:pt idx="11">
                        <c:v>394</c:v>
                      </c:pt>
                      <c:pt idx="12">
                        <c:v>402</c:v>
                      </c:pt>
                      <c:pt idx="13">
                        <c:v>410</c:v>
                      </c:pt>
                      <c:pt idx="14">
                        <c:v>418</c:v>
                      </c:pt>
                      <c:pt idx="15">
                        <c:v>426</c:v>
                      </c:pt>
                      <c:pt idx="16">
                        <c:v>434</c:v>
                      </c:pt>
                      <c:pt idx="17">
                        <c:v>442</c:v>
                      </c:pt>
                      <c:pt idx="18">
                        <c:v>450</c:v>
                      </c:pt>
                      <c:pt idx="19">
                        <c:v>458</c:v>
                      </c:pt>
                      <c:pt idx="20">
                        <c:v>466</c:v>
                      </c:pt>
                      <c:pt idx="21">
                        <c:v>474</c:v>
                      </c:pt>
                      <c:pt idx="22">
                        <c:v>482</c:v>
                      </c:pt>
                      <c:pt idx="23">
                        <c:v>490</c:v>
                      </c:pt>
                      <c:pt idx="24">
                        <c:v>498</c:v>
                      </c:pt>
                      <c:pt idx="25">
                        <c:v>506</c:v>
                      </c:pt>
                      <c:pt idx="26">
                        <c:v>514</c:v>
                      </c:pt>
                      <c:pt idx="27">
                        <c:v>522</c:v>
                      </c:pt>
                      <c:pt idx="28">
                        <c:v>530</c:v>
                      </c:pt>
                      <c:pt idx="29">
                        <c:v>538</c:v>
                      </c:pt>
                      <c:pt idx="30">
                        <c:v>546</c:v>
                      </c:pt>
                      <c:pt idx="31">
                        <c:v>554</c:v>
                      </c:pt>
                      <c:pt idx="32">
                        <c:v>562</c:v>
                      </c:pt>
                      <c:pt idx="33">
                        <c:v>570</c:v>
                      </c:pt>
                      <c:pt idx="34">
                        <c:v>578</c:v>
                      </c:pt>
                      <c:pt idx="35">
                        <c:v>586</c:v>
                      </c:pt>
                      <c:pt idx="36">
                        <c:v>594</c:v>
                      </c:pt>
                      <c:pt idx="37">
                        <c:v>602</c:v>
                      </c:pt>
                      <c:pt idx="38">
                        <c:v>610</c:v>
                      </c:pt>
                      <c:pt idx="39">
                        <c:v>618</c:v>
                      </c:pt>
                      <c:pt idx="40">
                        <c:v>626</c:v>
                      </c:pt>
                      <c:pt idx="41">
                        <c:v>634</c:v>
                      </c:pt>
                      <c:pt idx="42">
                        <c:v>642</c:v>
                      </c:pt>
                      <c:pt idx="43">
                        <c:v>650</c:v>
                      </c:pt>
                      <c:pt idx="44">
                        <c:v>658</c:v>
                      </c:pt>
                      <c:pt idx="45">
                        <c:v>666</c:v>
                      </c:pt>
                      <c:pt idx="46">
                        <c:v>674</c:v>
                      </c:pt>
                      <c:pt idx="47">
                        <c:v>682</c:v>
                      </c:pt>
                      <c:pt idx="48">
                        <c:v>690</c:v>
                      </c:pt>
                      <c:pt idx="49">
                        <c:v>698</c:v>
                      </c:pt>
                      <c:pt idx="50">
                        <c:v>706</c:v>
                      </c:pt>
                      <c:pt idx="51">
                        <c:v>714</c:v>
                      </c:pt>
                      <c:pt idx="52">
                        <c:v>722</c:v>
                      </c:pt>
                      <c:pt idx="53">
                        <c:v>730</c:v>
                      </c:pt>
                      <c:pt idx="54">
                        <c:v>738</c:v>
                      </c:pt>
                      <c:pt idx="55">
                        <c:v>746</c:v>
                      </c:pt>
                      <c:pt idx="56">
                        <c:v>754</c:v>
                      </c:pt>
                      <c:pt idx="57">
                        <c:v>762</c:v>
                      </c:pt>
                      <c:pt idx="58">
                        <c:v>770</c:v>
                      </c:pt>
                      <c:pt idx="59">
                        <c:v>778</c:v>
                      </c:pt>
                      <c:pt idx="60">
                        <c:v>786</c:v>
                      </c:pt>
                      <c:pt idx="61">
                        <c:v>794</c:v>
                      </c:pt>
                      <c:pt idx="62">
                        <c:v>802</c:v>
                      </c:pt>
                      <c:pt idx="63">
                        <c:v>810</c:v>
                      </c:pt>
                      <c:pt idx="64">
                        <c:v>818</c:v>
                      </c:pt>
                      <c:pt idx="65">
                        <c:v>826</c:v>
                      </c:pt>
                      <c:pt idx="66">
                        <c:v>834</c:v>
                      </c:pt>
                      <c:pt idx="67">
                        <c:v>842</c:v>
                      </c:pt>
                      <c:pt idx="68">
                        <c:v>850</c:v>
                      </c:pt>
                      <c:pt idx="69">
                        <c:v>858</c:v>
                      </c:pt>
                      <c:pt idx="70">
                        <c:v>866</c:v>
                      </c:pt>
                      <c:pt idx="71">
                        <c:v>874</c:v>
                      </c:pt>
                      <c:pt idx="72">
                        <c:v>882</c:v>
                      </c:pt>
                      <c:pt idx="73">
                        <c:v>890</c:v>
                      </c:pt>
                      <c:pt idx="74">
                        <c:v>898</c:v>
                      </c:pt>
                      <c:pt idx="75">
                        <c:v>906</c:v>
                      </c:pt>
                      <c:pt idx="76">
                        <c:v>914</c:v>
                      </c:pt>
                      <c:pt idx="77">
                        <c:v>922</c:v>
                      </c:pt>
                      <c:pt idx="78">
                        <c:v>930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EVALUATION!$B$126:$CP$126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F-35EF-46D6-A94F-2517E60135C4}"/>
                  </c:ext>
                </c:extLst>
              </c15:ser>
            </c15:filteredScatterSeries>
            <c15:filteredScatterSeries>
              <c15:ser>
                <c:idx val="24"/>
                <c:order val="26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306</c:v>
                      </c:pt>
                      <c:pt idx="1">
                        <c:v>314</c:v>
                      </c:pt>
                      <c:pt idx="2">
                        <c:v>322</c:v>
                      </c:pt>
                      <c:pt idx="3">
                        <c:v>330</c:v>
                      </c:pt>
                      <c:pt idx="4">
                        <c:v>338</c:v>
                      </c:pt>
                      <c:pt idx="5">
                        <c:v>346</c:v>
                      </c:pt>
                      <c:pt idx="6">
                        <c:v>354</c:v>
                      </c:pt>
                      <c:pt idx="7">
                        <c:v>362</c:v>
                      </c:pt>
                      <c:pt idx="8">
                        <c:v>370</c:v>
                      </c:pt>
                      <c:pt idx="9">
                        <c:v>378</c:v>
                      </c:pt>
                      <c:pt idx="10">
                        <c:v>386</c:v>
                      </c:pt>
                      <c:pt idx="11">
                        <c:v>394</c:v>
                      </c:pt>
                      <c:pt idx="12">
                        <c:v>402</c:v>
                      </c:pt>
                      <c:pt idx="13">
                        <c:v>410</c:v>
                      </c:pt>
                      <c:pt idx="14">
                        <c:v>418</c:v>
                      </c:pt>
                      <c:pt idx="15">
                        <c:v>426</c:v>
                      </c:pt>
                      <c:pt idx="16">
                        <c:v>434</c:v>
                      </c:pt>
                      <c:pt idx="17">
                        <c:v>442</c:v>
                      </c:pt>
                      <c:pt idx="18">
                        <c:v>450</c:v>
                      </c:pt>
                      <c:pt idx="19">
                        <c:v>458</c:v>
                      </c:pt>
                      <c:pt idx="20">
                        <c:v>466</c:v>
                      </c:pt>
                      <c:pt idx="21">
                        <c:v>474</c:v>
                      </c:pt>
                      <c:pt idx="22">
                        <c:v>482</c:v>
                      </c:pt>
                      <c:pt idx="23">
                        <c:v>490</c:v>
                      </c:pt>
                      <c:pt idx="24">
                        <c:v>498</c:v>
                      </c:pt>
                      <c:pt idx="25">
                        <c:v>506</c:v>
                      </c:pt>
                      <c:pt idx="26">
                        <c:v>514</c:v>
                      </c:pt>
                      <c:pt idx="27">
                        <c:v>522</c:v>
                      </c:pt>
                      <c:pt idx="28">
                        <c:v>530</c:v>
                      </c:pt>
                      <c:pt idx="29">
                        <c:v>538</c:v>
                      </c:pt>
                      <c:pt idx="30">
                        <c:v>546</c:v>
                      </c:pt>
                      <c:pt idx="31">
                        <c:v>554</c:v>
                      </c:pt>
                      <c:pt idx="32">
                        <c:v>562</c:v>
                      </c:pt>
                      <c:pt idx="33">
                        <c:v>570</c:v>
                      </c:pt>
                      <c:pt idx="34">
                        <c:v>578</c:v>
                      </c:pt>
                      <c:pt idx="35">
                        <c:v>586</c:v>
                      </c:pt>
                      <c:pt idx="36">
                        <c:v>594</c:v>
                      </c:pt>
                      <c:pt idx="37">
                        <c:v>602</c:v>
                      </c:pt>
                      <c:pt idx="38">
                        <c:v>610</c:v>
                      </c:pt>
                      <c:pt idx="39">
                        <c:v>618</c:v>
                      </c:pt>
                      <c:pt idx="40">
                        <c:v>626</c:v>
                      </c:pt>
                      <c:pt idx="41">
                        <c:v>634</c:v>
                      </c:pt>
                      <c:pt idx="42">
                        <c:v>642</c:v>
                      </c:pt>
                      <c:pt idx="43">
                        <c:v>650</c:v>
                      </c:pt>
                      <c:pt idx="44">
                        <c:v>658</c:v>
                      </c:pt>
                      <c:pt idx="45">
                        <c:v>666</c:v>
                      </c:pt>
                      <c:pt idx="46">
                        <c:v>674</c:v>
                      </c:pt>
                      <c:pt idx="47">
                        <c:v>682</c:v>
                      </c:pt>
                      <c:pt idx="48">
                        <c:v>690</c:v>
                      </c:pt>
                      <c:pt idx="49">
                        <c:v>698</c:v>
                      </c:pt>
                      <c:pt idx="50">
                        <c:v>706</c:v>
                      </c:pt>
                      <c:pt idx="51">
                        <c:v>714</c:v>
                      </c:pt>
                      <c:pt idx="52">
                        <c:v>722</c:v>
                      </c:pt>
                      <c:pt idx="53">
                        <c:v>730</c:v>
                      </c:pt>
                      <c:pt idx="54">
                        <c:v>738</c:v>
                      </c:pt>
                      <c:pt idx="55">
                        <c:v>746</c:v>
                      </c:pt>
                      <c:pt idx="56">
                        <c:v>754</c:v>
                      </c:pt>
                      <c:pt idx="57">
                        <c:v>762</c:v>
                      </c:pt>
                      <c:pt idx="58">
                        <c:v>770</c:v>
                      </c:pt>
                      <c:pt idx="59">
                        <c:v>778</c:v>
                      </c:pt>
                      <c:pt idx="60">
                        <c:v>786</c:v>
                      </c:pt>
                      <c:pt idx="61">
                        <c:v>794</c:v>
                      </c:pt>
                      <c:pt idx="62">
                        <c:v>802</c:v>
                      </c:pt>
                      <c:pt idx="63">
                        <c:v>810</c:v>
                      </c:pt>
                      <c:pt idx="64">
                        <c:v>818</c:v>
                      </c:pt>
                      <c:pt idx="65">
                        <c:v>826</c:v>
                      </c:pt>
                      <c:pt idx="66">
                        <c:v>834</c:v>
                      </c:pt>
                      <c:pt idx="67">
                        <c:v>842</c:v>
                      </c:pt>
                      <c:pt idx="68">
                        <c:v>850</c:v>
                      </c:pt>
                      <c:pt idx="69">
                        <c:v>858</c:v>
                      </c:pt>
                      <c:pt idx="70">
                        <c:v>866</c:v>
                      </c:pt>
                      <c:pt idx="71">
                        <c:v>874</c:v>
                      </c:pt>
                      <c:pt idx="72">
                        <c:v>882</c:v>
                      </c:pt>
                      <c:pt idx="73">
                        <c:v>890</c:v>
                      </c:pt>
                      <c:pt idx="74">
                        <c:v>898</c:v>
                      </c:pt>
                      <c:pt idx="75">
                        <c:v>906</c:v>
                      </c:pt>
                      <c:pt idx="76">
                        <c:v>914</c:v>
                      </c:pt>
                      <c:pt idx="77">
                        <c:v>922</c:v>
                      </c:pt>
                      <c:pt idx="78">
                        <c:v>930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EVALUATION!$B$127:$CP$127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0-35EF-46D6-A94F-2517E60135C4}"/>
                  </c:ext>
                </c:extLst>
              </c15:ser>
            </c15:filteredScatterSeries>
            <c15:filteredScatterSeries>
              <c15:ser>
                <c:idx val="25"/>
                <c:order val="27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306</c:v>
                      </c:pt>
                      <c:pt idx="1">
                        <c:v>314</c:v>
                      </c:pt>
                      <c:pt idx="2">
                        <c:v>322</c:v>
                      </c:pt>
                      <c:pt idx="3">
                        <c:v>330</c:v>
                      </c:pt>
                      <c:pt idx="4">
                        <c:v>338</c:v>
                      </c:pt>
                      <c:pt idx="5">
                        <c:v>346</c:v>
                      </c:pt>
                      <c:pt idx="6">
                        <c:v>354</c:v>
                      </c:pt>
                      <c:pt idx="7">
                        <c:v>362</c:v>
                      </c:pt>
                      <c:pt idx="8">
                        <c:v>370</c:v>
                      </c:pt>
                      <c:pt idx="9">
                        <c:v>378</c:v>
                      </c:pt>
                      <c:pt idx="10">
                        <c:v>386</c:v>
                      </c:pt>
                      <c:pt idx="11">
                        <c:v>394</c:v>
                      </c:pt>
                      <c:pt idx="12">
                        <c:v>402</c:v>
                      </c:pt>
                      <c:pt idx="13">
                        <c:v>410</c:v>
                      </c:pt>
                      <c:pt idx="14">
                        <c:v>418</c:v>
                      </c:pt>
                      <c:pt idx="15">
                        <c:v>426</c:v>
                      </c:pt>
                      <c:pt idx="16">
                        <c:v>434</c:v>
                      </c:pt>
                      <c:pt idx="17">
                        <c:v>442</c:v>
                      </c:pt>
                      <c:pt idx="18">
                        <c:v>450</c:v>
                      </c:pt>
                      <c:pt idx="19">
                        <c:v>458</c:v>
                      </c:pt>
                      <c:pt idx="20">
                        <c:v>466</c:v>
                      </c:pt>
                      <c:pt idx="21">
                        <c:v>474</c:v>
                      </c:pt>
                      <c:pt idx="22">
                        <c:v>482</c:v>
                      </c:pt>
                      <c:pt idx="23">
                        <c:v>490</c:v>
                      </c:pt>
                      <c:pt idx="24">
                        <c:v>498</c:v>
                      </c:pt>
                      <c:pt idx="25">
                        <c:v>506</c:v>
                      </c:pt>
                      <c:pt idx="26">
                        <c:v>514</c:v>
                      </c:pt>
                      <c:pt idx="27">
                        <c:v>522</c:v>
                      </c:pt>
                      <c:pt idx="28">
                        <c:v>530</c:v>
                      </c:pt>
                      <c:pt idx="29">
                        <c:v>538</c:v>
                      </c:pt>
                      <c:pt idx="30">
                        <c:v>546</c:v>
                      </c:pt>
                      <c:pt idx="31">
                        <c:v>554</c:v>
                      </c:pt>
                      <c:pt idx="32">
                        <c:v>562</c:v>
                      </c:pt>
                      <c:pt idx="33">
                        <c:v>570</c:v>
                      </c:pt>
                      <c:pt idx="34">
                        <c:v>578</c:v>
                      </c:pt>
                      <c:pt idx="35">
                        <c:v>586</c:v>
                      </c:pt>
                      <c:pt idx="36">
                        <c:v>594</c:v>
                      </c:pt>
                      <c:pt idx="37">
                        <c:v>602</c:v>
                      </c:pt>
                      <c:pt idx="38">
                        <c:v>610</c:v>
                      </c:pt>
                      <c:pt idx="39">
                        <c:v>618</c:v>
                      </c:pt>
                      <c:pt idx="40">
                        <c:v>626</c:v>
                      </c:pt>
                      <c:pt idx="41">
                        <c:v>634</c:v>
                      </c:pt>
                      <c:pt idx="42">
                        <c:v>642</c:v>
                      </c:pt>
                      <c:pt idx="43">
                        <c:v>650</c:v>
                      </c:pt>
                      <c:pt idx="44">
                        <c:v>658</c:v>
                      </c:pt>
                      <c:pt idx="45">
                        <c:v>666</c:v>
                      </c:pt>
                      <c:pt idx="46">
                        <c:v>674</c:v>
                      </c:pt>
                      <c:pt idx="47">
                        <c:v>682</c:v>
                      </c:pt>
                      <c:pt idx="48">
                        <c:v>690</c:v>
                      </c:pt>
                      <c:pt idx="49">
                        <c:v>698</c:v>
                      </c:pt>
                      <c:pt idx="50">
                        <c:v>706</c:v>
                      </c:pt>
                      <c:pt idx="51">
                        <c:v>714</c:v>
                      </c:pt>
                      <c:pt idx="52">
                        <c:v>722</c:v>
                      </c:pt>
                      <c:pt idx="53">
                        <c:v>730</c:v>
                      </c:pt>
                      <c:pt idx="54">
                        <c:v>738</c:v>
                      </c:pt>
                      <c:pt idx="55">
                        <c:v>746</c:v>
                      </c:pt>
                      <c:pt idx="56">
                        <c:v>754</c:v>
                      </c:pt>
                      <c:pt idx="57">
                        <c:v>762</c:v>
                      </c:pt>
                      <c:pt idx="58">
                        <c:v>770</c:v>
                      </c:pt>
                      <c:pt idx="59">
                        <c:v>778</c:v>
                      </c:pt>
                      <c:pt idx="60">
                        <c:v>786</c:v>
                      </c:pt>
                      <c:pt idx="61">
                        <c:v>794</c:v>
                      </c:pt>
                      <c:pt idx="62">
                        <c:v>802</c:v>
                      </c:pt>
                      <c:pt idx="63">
                        <c:v>810</c:v>
                      </c:pt>
                      <c:pt idx="64">
                        <c:v>818</c:v>
                      </c:pt>
                      <c:pt idx="65">
                        <c:v>826</c:v>
                      </c:pt>
                      <c:pt idx="66">
                        <c:v>834</c:v>
                      </c:pt>
                      <c:pt idx="67">
                        <c:v>842</c:v>
                      </c:pt>
                      <c:pt idx="68">
                        <c:v>850</c:v>
                      </c:pt>
                      <c:pt idx="69">
                        <c:v>858</c:v>
                      </c:pt>
                      <c:pt idx="70">
                        <c:v>866</c:v>
                      </c:pt>
                      <c:pt idx="71">
                        <c:v>874</c:v>
                      </c:pt>
                      <c:pt idx="72">
                        <c:v>882</c:v>
                      </c:pt>
                      <c:pt idx="73">
                        <c:v>890</c:v>
                      </c:pt>
                      <c:pt idx="74">
                        <c:v>898</c:v>
                      </c:pt>
                      <c:pt idx="75">
                        <c:v>906</c:v>
                      </c:pt>
                      <c:pt idx="76">
                        <c:v>914</c:v>
                      </c:pt>
                      <c:pt idx="77">
                        <c:v>922</c:v>
                      </c:pt>
                      <c:pt idx="78">
                        <c:v>930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EVALUATION!$B$128:$CP$128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1-35EF-46D6-A94F-2517E60135C4}"/>
                  </c:ext>
                </c:extLst>
              </c15:ser>
            </c15:filteredScatterSeries>
            <c15:filteredScatterSeries>
              <c15:ser>
                <c:idx val="26"/>
                <c:order val="28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306</c:v>
                      </c:pt>
                      <c:pt idx="1">
                        <c:v>314</c:v>
                      </c:pt>
                      <c:pt idx="2">
                        <c:v>322</c:v>
                      </c:pt>
                      <c:pt idx="3">
                        <c:v>330</c:v>
                      </c:pt>
                      <c:pt idx="4">
                        <c:v>338</c:v>
                      </c:pt>
                      <c:pt idx="5">
                        <c:v>346</c:v>
                      </c:pt>
                      <c:pt idx="6">
                        <c:v>354</c:v>
                      </c:pt>
                      <c:pt idx="7">
                        <c:v>362</c:v>
                      </c:pt>
                      <c:pt idx="8">
                        <c:v>370</c:v>
                      </c:pt>
                      <c:pt idx="9">
                        <c:v>378</c:v>
                      </c:pt>
                      <c:pt idx="10">
                        <c:v>386</c:v>
                      </c:pt>
                      <c:pt idx="11">
                        <c:v>394</c:v>
                      </c:pt>
                      <c:pt idx="12">
                        <c:v>402</c:v>
                      </c:pt>
                      <c:pt idx="13">
                        <c:v>410</c:v>
                      </c:pt>
                      <c:pt idx="14">
                        <c:v>418</c:v>
                      </c:pt>
                      <c:pt idx="15">
                        <c:v>426</c:v>
                      </c:pt>
                      <c:pt idx="16">
                        <c:v>434</c:v>
                      </c:pt>
                      <c:pt idx="17">
                        <c:v>442</c:v>
                      </c:pt>
                      <c:pt idx="18">
                        <c:v>450</c:v>
                      </c:pt>
                      <c:pt idx="19">
                        <c:v>458</c:v>
                      </c:pt>
                      <c:pt idx="20">
                        <c:v>466</c:v>
                      </c:pt>
                      <c:pt idx="21">
                        <c:v>474</c:v>
                      </c:pt>
                      <c:pt idx="22">
                        <c:v>482</c:v>
                      </c:pt>
                      <c:pt idx="23">
                        <c:v>490</c:v>
                      </c:pt>
                      <c:pt idx="24">
                        <c:v>498</c:v>
                      </c:pt>
                      <c:pt idx="25">
                        <c:v>506</c:v>
                      </c:pt>
                      <c:pt idx="26">
                        <c:v>514</c:v>
                      </c:pt>
                      <c:pt idx="27">
                        <c:v>522</c:v>
                      </c:pt>
                      <c:pt idx="28">
                        <c:v>530</c:v>
                      </c:pt>
                      <c:pt idx="29">
                        <c:v>538</c:v>
                      </c:pt>
                      <c:pt idx="30">
                        <c:v>546</c:v>
                      </c:pt>
                      <c:pt idx="31">
                        <c:v>554</c:v>
                      </c:pt>
                      <c:pt idx="32">
                        <c:v>562</c:v>
                      </c:pt>
                      <c:pt idx="33">
                        <c:v>570</c:v>
                      </c:pt>
                      <c:pt idx="34">
                        <c:v>578</c:v>
                      </c:pt>
                      <c:pt idx="35">
                        <c:v>586</c:v>
                      </c:pt>
                      <c:pt idx="36">
                        <c:v>594</c:v>
                      </c:pt>
                      <c:pt idx="37">
                        <c:v>602</c:v>
                      </c:pt>
                      <c:pt idx="38">
                        <c:v>610</c:v>
                      </c:pt>
                      <c:pt idx="39">
                        <c:v>618</c:v>
                      </c:pt>
                      <c:pt idx="40">
                        <c:v>626</c:v>
                      </c:pt>
                      <c:pt idx="41">
                        <c:v>634</c:v>
                      </c:pt>
                      <c:pt idx="42">
                        <c:v>642</c:v>
                      </c:pt>
                      <c:pt idx="43">
                        <c:v>650</c:v>
                      </c:pt>
                      <c:pt idx="44">
                        <c:v>658</c:v>
                      </c:pt>
                      <c:pt idx="45">
                        <c:v>666</c:v>
                      </c:pt>
                      <c:pt idx="46">
                        <c:v>674</c:v>
                      </c:pt>
                      <c:pt idx="47">
                        <c:v>682</c:v>
                      </c:pt>
                      <c:pt idx="48">
                        <c:v>690</c:v>
                      </c:pt>
                      <c:pt idx="49">
                        <c:v>698</c:v>
                      </c:pt>
                      <c:pt idx="50">
                        <c:v>706</c:v>
                      </c:pt>
                      <c:pt idx="51">
                        <c:v>714</c:v>
                      </c:pt>
                      <c:pt idx="52">
                        <c:v>722</c:v>
                      </c:pt>
                      <c:pt idx="53">
                        <c:v>730</c:v>
                      </c:pt>
                      <c:pt idx="54">
                        <c:v>738</c:v>
                      </c:pt>
                      <c:pt idx="55">
                        <c:v>746</c:v>
                      </c:pt>
                      <c:pt idx="56">
                        <c:v>754</c:v>
                      </c:pt>
                      <c:pt idx="57">
                        <c:v>762</c:v>
                      </c:pt>
                      <c:pt idx="58">
                        <c:v>770</c:v>
                      </c:pt>
                      <c:pt idx="59">
                        <c:v>778</c:v>
                      </c:pt>
                      <c:pt idx="60">
                        <c:v>786</c:v>
                      </c:pt>
                      <c:pt idx="61">
                        <c:v>794</c:v>
                      </c:pt>
                      <c:pt idx="62">
                        <c:v>802</c:v>
                      </c:pt>
                      <c:pt idx="63">
                        <c:v>810</c:v>
                      </c:pt>
                      <c:pt idx="64">
                        <c:v>818</c:v>
                      </c:pt>
                      <c:pt idx="65">
                        <c:v>826</c:v>
                      </c:pt>
                      <c:pt idx="66">
                        <c:v>834</c:v>
                      </c:pt>
                      <c:pt idx="67">
                        <c:v>842</c:v>
                      </c:pt>
                      <c:pt idx="68">
                        <c:v>850</c:v>
                      </c:pt>
                      <c:pt idx="69">
                        <c:v>858</c:v>
                      </c:pt>
                      <c:pt idx="70">
                        <c:v>866</c:v>
                      </c:pt>
                      <c:pt idx="71">
                        <c:v>874</c:v>
                      </c:pt>
                      <c:pt idx="72">
                        <c:v>882</c:v>
                      </c:pt>
                      <c:pt idx="73">
                        <c:v>890</c:v>
                      </c:pt>
                      <c:pt idx="74">
                        <c:v>898</c:v>
                      </c:pt>
                      <c:pt idx="75">
                        <c:v>906</c:v>
                      </c:pt>
                      <c:pt idx="76">
                        <c:v>914</c:v>
                      </c:pt>
                      <c:pt idx="77">
                        <c:v>922</c:v>
                      </c:pt>
                      <c:pt idx="78">
                        <c:v>930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EVALUATION!$B$129:$CP$129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2-35EF-46D6-A94F-2517E60135C4}"/>
                  </c:ext>
                </c:extLst>
              </c15:ser>
            </c15:filteredScatterSeries>
            <c15:filteredScatterSeries>
              <c15:ser>
                <c:idx val="27"/>
                <c:order val="29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306</c:v>
                      </c:pt>
                      <c:pt idx="1">
                        <c:v>314</c:v>
                      </c:pt>
                      <c:pt idx="2">
                        <c:v>322</c:v>
                      </c:pt>
                      <c:pt idx="3">
                        <c:v>330</c:v>
                      </c:pt>
                      <c:pt idx="4">
                        <c:v>338</c:v>
                      </c:pt>
                      <c:pt idx="5">
                        <c:v>346</c:v>
                      </c:pt>
                      <c:pt idx="6">
                        <c:v>354</c:v>
                      </c:pt>
                      <c:pt idx="7">
                        <c:v>362</c:v>
                      </c:pt>
                      <c:pt idx="8">
                        <c:v>370</c:v>
                      </c:pt>
                      <c:pt idx="9">
                        <c:v>378</c:v>
                      </c:pt>
                      <c:pt idx="10">
                        <c:v>386</c:v>
                      </c:pt>
                      <c:pt idx="11">
                        <c:v>394</c:v>
                      </c:pt>
                      <c:pt idx="12">
                        <c:v>402</c:v>
                      </c:pt>
                      <c:pt idx="13">
                        <c:v>410</c:v>
                      </c:pt>
                      <c:pt idx="14">
                        <c:v>418</c:v>
                      </c:pt>
                      <c:pt idx="15">
                        <c:v>426</c:v>
                      </c:pt>
                      <c:pt idx="16">
                        <c:v>434</c:v>
                      </c:pt>
                      <c:pt idx="17">
                        <c:v>442</c:v>
                      </c:pt>
                      <c:pt idx="18">
                        <c:v>450</c:v>
                      </c:pt>
                      <c:pt idx="19">
                        <c:v>458</c:v>
                      </c:pt>
                      <c:pt idx="20">
                        <c:v>466</c:v>
                      </c:pt>
                      <c:pt idx="21">
                        <c:v>474</c:v>
                      </c:pt>
                      <c:pt idx="22">
                        <c:v>482</c:v>
                      </c:pt>
                      <c:pt idx="23">
                        <c:v>490</c:v>
                      </c:pt>
                      <c:pt idx="24">
                        <c:v>498</c:v>
                      </c:pt>
                      <c:pt idx="25">
                        <c:v>506</c:v>
                      </c:pt>
                      <c:pt idx="26">
                        <c:v>514</c:v>
                      </c:pt>
                      <c:pt idx="27">
                        <c:v>522</c:v>
                      </c:pt>
                      <c:pt idx="28">
                        <c:v>530</c:v>
                      </c:pt>
                      <c:pt idx="29">
                        <c:v>538</c:v>
                      </c:pt>
                      <c:pt idx="30">
                        <c:v>546</c:v>
                      </c:pt>
                      <c:pt idx="31">
                        <c:v>554</c:v>
                      </c:pt>
                      <c:pt idx="32">
                        <c:v>562</c:v>
                      </c:pt>
                      <c:pt idx="33">
                        <c:v>570</c:v>
                      </c:pt>
                      <c:pt idx="34">
                        <c:v>578</c:v>
                      </c:pt>
                      <c:pt idx="35">
                        <c:v>586</c:v>
                      </c:pt>
                      <c:pt idx="36">
                        <c:v>594</c:v>
                      </c:pt>
                      <c:pt idx="37">
                        <c:v>602</c:v>
                      </c:pt>
                      <c:pt idx="38">
                        <c:v>610</c:v>
                      </c:pt>
                      <c:pt idx="39">
                        <c:v>618</c:v>
                      </c:pt>
                      <c:pt idx="40">
                        <c:v>626</c:v>
                      </c:pt>
                      <c:pt idx="41">
                        <c:v>634</c:v>
                      </c:pt>
                      <c:pt idx="42">
                        <c:v>642</c:v>
                      </c:pt>
                      <c:pt idx="43">
                        <c:v>650</c:v>
                      </c:pt>
                      <c:pt idx="44">
                        <c:v>658</c:v>
                      </c:pt>
                      <c:pt idx="45">
                        <c:v>666</c:v>
                      </c:pt>
                      <c:pt idx="46">
                        <c:v>674</c:v>
                      </c:pt>
                      <c:pt idx="47">
                        <c:v>682</c:v>
                      </c:pt>
                      <c:pt idx="48">
                        <c:v>690</c:v>
                      </c:pt>
                      <c:pt idx="49">
                        <c:v>698</c:v>
                      </c:pt>
                      <c:pt idx="50">
                        <c:v>706</c:v>
                      </c:pt>
                      <c:pt idx="51">
                        <c:v>714</c:v>
                      </c:pt>
                      <c:pt idx="52">
                        <c:v>722</c:v>
                      </c:pt>
                      <c:pt idx="53">
                        <c:v>730</c:v>
                      </c:pt>
                      <c:pt idx="54">
                        <c:v>738</c:v>
                      </c:pt>
                      <c:pt idx="55">
                        <c:v>746</c:v>
                      </c:pt>
                      <c:pt idx="56">
                        <c:v>754</c:v>
                      </c:pt>
                      <c:pt idx="57">
                        <c:v>762</c:v>
                      </c:pt>
                      <c:pt idx="58">
                        <c:v>770</c:v>
                      </c:pt>
                      <c:pt idx="59">
                        <c:v>778</c:v>
                      </c:pt>
                      <c:pt idx="60">
                        <c:v>786</c:v>
                      </c:pt>
                      <c:pt idx="61">
                        <c:v>794</c:v>
                      </c:pt>
                      <c:pt idx="62">
                        <c:v>802</c:v>
                      </c:pt>
                      <c:pt idx="63">
                        <c:v>810</c:v>
                      </c:pt>
                      <c:pt idx="64">
                        <c:v>818</c:v>
                      </c:pt>
                      <c:pt idx="65">
                        <c:v>826</c:v>
                      </c:pt>
                      <c:pt idx="66">
                        <c:v>834</c:v>
                      </c:pt>
                      <c:pt idx="67">
                        <c:v>842</c:v>
                      </c:pt>
                      <c:pt idx="68">
                        <c:v>850</c:v>
                      </c:pt>
                      <c:pt idx="69">
                        <c:v>858</c:v>
                      </c:pt>
                      <c:pt idx="70">
                        <c:v>866</c:v>
                      </c:pt>
                      <c:pt idx="71">
                        <c:v>874</c:v>
                      </c:pt>
                      <c:pt idx="72">
                        <c:v>882</c:v>
                      </c:pt>
                      <c:pt idx="73">
                        <c:v>890</c:v>
                      </c:pt>
                      <c:pt idx="74">
                        <c:v>898</c:v>
                      </c:pt>
                      <c:pt idx="75">
                        <c:v>906</c:v>
                      </c:pt>
                      <c:pt idx="76">
                        <c:v>914</c:v>
                      </c:pt>
                      <c:pt idx="77">
                        <c:v>922</c:v>
                      </c:pt>
                      <c:pt idx="78">
                        <c:v>930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EVALUATION!$B$130:$CP$130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3-35EF-46D6-A94F-2517E60135C4}"/>
                  </c:ext>
                </c:extLst>
              </c15:ser>
            </c15:filteredScatterSeries>
            <c15:filteredScatterSeries>
              <c15:ser>
                <c:idx val="28"/>
                <c:order val="30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306</c:v>
                      </c:pt>
                      <c:pt idx="1">
                        <c:v>314</c:v>
                      </c:pt>
                      <c:pt idx="2">
                        <c:v>322</c:v>
                      </c:pt>
                      <c:pt idx="3">
                        <c:v>330</c:v>
                      </c:pt>
                      <c:pt idx="4">
                        <c:v>338</c:v>
                      </c:pt>
                      <c:pt idx="5">
                        <c:v>346</c:v>
                      </c:pt>
                      <c:pt idx="6">
                        <c:v>354</c:v>
                      </c:pt>
                      <c:pt idx="7">
                        <c:v>362</c:v>
                      </c:pt>
                      <c:pt idx="8">
                        <c:v>370</c:v>
                      </c:pt>
                      <c:pt idx="9">
                        <c:v>378</c:v>
                      </c:pt>
                      <c:pt idx="10">
                        <c:v>386</c:v>
                      </c:pt>
                      <c:pt idx="11">
                        <c:v>394</c:v>
                      </c:pt>
                      <c:pt idx="12">
                        <c:v>402</c:v>
                      </c:pt>
                      <c:pt idx="13">
                        <c:v>410</c:v>
                      </c:pt>
                      <c:pt idx="14">
                        <c:v>418</c:v>
                      </c:pt>
                      <c:pt idx="15">
                        <c:v>426</c:v>
                      </c:pt>
                      <c:pt idx="16">
                        <c:v>434</c:v>
                      </c:pt>
                      <c:pt idx="17">
                        <c:v>442</c:v>
                      </c:pt>
                      <c:pt idx="18">
                        <c:v>450</c:v>
                      </c:pt>
                      <c:pt idx="19">
                        <c:v>458</c:v>
                      </c:pt>
                      <c:pt idx="20">
                        <c:v>466</c:v>
                      </c:pt>
                      <c:pt idx="21">
                        <c:v>474</c:v>
                      </c:pt>
                      <c:pt idx="22">
                        <c:v>482</c:v>
                      </c:pt>
                      <c:pt idx="23">
                        <c:v>490</c:v>
                      </c:pt>
                      <c:pt idx="24">
                        <c:v>498</c:v>
                      </c:pt>
                      <c:pt idx="25">
                        <c:v>506</c:v>
                      </c:pt>
                      <c:pt idx="26">
                        <c:v>514</c:v>
                      </c:pt>
                      <c:pt idx="27">
                        <c:v>522</c:v>
                      </c:pt>
                      <c:pt idx="28">
                        <c:v>530</c:v>
                      </c:pt>
                      <c:pt idx="29">
                        <c:v>538</c:v>
                      </c:pt>
                      <c:pt idx="30">
                        <c:v>546</c:v>
                      </c:pt>
                      <c:pt idx="31">
                        <c:v>554</c:v>
                      </c:pt>
                      <c:pt idx="32">
                        <c:v>562</c:v>
                      </c:pt>
                      <c:pt idx="33">
                        <c:v>570</c:v>
                      </c:pt>
                      <c:pt idx="34">
                        <c:v>578</c:v>
                      </c:pt>
                      <c:pt idx="35">
                        <c:v>586</c:v>
                      </c:pt>
                      <c:pt idx="36">
                        <c:v>594</c:v>
                      </c:pt>
                      <c:pt idx="37">
                        <c:v>602</c:v>
                      </c:pt>
                      <c:pt idx="38">
                        <c:v>610</c:v>
                      </c:pt>
                      <c:pt idx="39">
                        <c:v>618</c:v>
                      </c:pt>
                      <c:pt idx="40">
                        <c:v>626</c:v>
                      </c:pt>
                      <c:pt idx="41">
                        <c:v>634</c:v>
                      </c:pt>
                      <c:pt idx="42">
                        <c:v>642</c:v>
                      </c:pt>
                      <c:pt idx="43">
                        <c:v>650</c:v>
                      </c:pt>
                      <c:pt idx="44">
                        <c:v>658</c:v>
                      </c:pt>
                      <c:pt idx="45">
                        <c:v>666</c:v>
                      </c:pt>
                      <c:pt idx="46">
                        <c:v>674</c:v>
                      </c:pt>
                      <c:pt idx="47">
                        <c:v>682</c:v>
                      </c:pt>
                      <c:pt idx="48">
                        <c:v>690</c:v>
                      </c:pt>
                      <c:pt idx="49">
                        <c:v>698</c:v>
                      </c:pt>
                      <c:pt idx="50">
                        <c:v>706</c:v>
                      </c:pt>
                      <c:pt idx="51">
                        <c:v>714</c:v>
                      </c:pt>
                      <c:pt idx="52">
                        <c:v>722</c:v>
                      </c:pt>
                      <c:pt idx="53">
                        <c:v>730</c:v>
                      </c:pt>
                      <c:pt idx="54">
                        <c:v>738</c:v>
                      </c:pt>
                      <c:pt idx="55">
                        <c:v>746</c:v>
                      </c:pt>
                      <c:pt idx="56">
                        <c:v>754</c:v>
                      </c:pt>
                      <c:pt idx="57">
                        <c:v>762</c:v>
                      </c:pt>
                      <c:pt idx="58">
                        <c:v>770</c:v>
                      </c:pt>
                      <c:pt idx="59">
                        <c:v>778</c:v>
                      </c:pt>
                      <c:pt idx="60">
                        <c:v>786</c:v>
                      </c:pt>
                      <c:pt idx="61">
                        <c:v>794</c:v>
                      </c:pt>
                      <c:pt idx="62">
                        <c:v>802</c:v>
                      </c:pt>
                      <c:pt idx="63">
                        <c:v>810</c:v>
                      </c:pt>
                      <c:pt idx="64">
                        <c:v>818</c:v>
                      </c:pt>
                      <c:pt idx="65">
                        <c:v>826</c:v>
                      </c:pt>
                      <c:pt idx="66">
                        <c:v>834</c:v>
                      </c:pt>
                      <c:pt idx="67">
                        <c:v>842</c:v>
                      </c:pt>
                      <c:pt idx="68">
                        <c:v>850</c:v>
                      </c:pt>
                      <c:pt idx="69">
                        <c:v>858</c:v>
                      </c:pt>
                      <c:pt idx="70">
                        <c:v>866</c:v>
                      </c:pt>
                      <c:pt idx="71">
                        <c:v>874</c:v>
                      </c:pt>
                      <c:pt idx="72">
                        <c:v>882</c:v>
                      </c:pt>
                      <c:pt idx="73">
                        <c:v>890</c:v>
                      </c:pt>
                      <c:pt idx="74">
                        <c:v>898</c:v>
                      </c:pt>
                      <c:pt idx="75">
                        <c:v>906</c:v>
                      </c:pt>
                      <c:pt idx="76">
                        <c:v>914</c:v>
                      </c:pt>
                      <c:pt idx="77">
                        <c:v>922</c:v>
                      </c:pt>
                      <c:pt idx="78">
                        <c:v>930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EVALUATION!$B$131:$CP$131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4-35EF-46D6-A94F-2517E60135C4}"/>
                  </c:ext>
                </c:extLst>
              </c15:ser>
            </c15:filteredScatterSeries>
            <c15:filteredScatterSeries>
              <c15:ser>
                <c:idx val="29"/>
                <c:order val="31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306</c:v>
                      </c:pt>
                      <c:pt idx="1">
                        <c:v>314</c:v>
                      </c:pt>
                      <c:pt idx="2">
                        <c:v>322</c:v>
                      </c:pt>
                      <c:pt idx="3">
                        <c:v>330</c:v>
                      </c:pt>
                      <c:pt idx="4">
                        <c:v>338</c:v>
                      </c:pt>
                      <c:pt idx="5">
                        <c:v>346</c:v>
                      </c:pt>
                      <c:pt idx="6">
                        <c:v>354</c:v>
                      </c:pt>
                      <c:pt idx="7">
                        <c:v>362</c:v>
                      </c:pt>
                      <c:pt idx="8">
                        <c:v>370</c:v>
                      </c:pt>
                      <c:pt idx="9">
                        <c:v>378</c:v>
                      </c:pt>
                      <c:pt idx="10">
                        <c:v>386</c:v>
                      </c:pt>
                      <c:pt idx="11">
                        <c:v>394</c:v>
                      </c:pt>
                      <c:pt idx="12">
                        <c:v>402</c:v>
                      </c:pt>
                      <c:pt idx="13">
                        <c:v>410</c:v>
                      </c:pt>
                      <c:pt idx="14">
                        <c:v>418</c:v>
                      </c:pt>
                      <c:pt idx="15">
                        <c:v>426</c:v>
                      </c:pt>
                      <c:pt idx="16">
                        <c:v>434</c:v>
                      </c:pt>
                      <c:pt idx="17">
                        <c:v>442</c:v>
                      </c:pt>
                      <c:pt idx="18">
                        <c:v>450</c:v>
                      </c:pt>
                      <c:pt idx="19">
                        <c:v>458</c:v>
                      </c:pt>
                      <c:pt idx="20">
                        <c:v>466</c:v>
                      </c:pt>
                      <c:pt idx="21">
                        <c:v>474</c:v>
                      </c:pt>
                      <c:pt idx="22">
                        <c:v>482</c:v>
                      </c:pt>
                      <c:pt idx="23">
                        <c:v>490</c:v>
                      </c:pt>
                      <c:pt idx="24">
                        <c:v>498</c:v>
                      </c:pt>
                      <c:pt idx="25">
                        <c:v>506</c:v>
                      </c:pt>
                      <c:pt idx="26">
                        <c:v>514</c:v>
                      </c:pt>
                      <c:pt idx="27">
                        <c:v>522</c:v>
                      </c:pt>
                      <c:pt idx="28">
                        <c:v>530</c:v>
                      </c:pt>
                      <c:pt idx="29">
                        <c:v>538</c:v>
                      </c:pt>
                      <c:pt idx="30">
                        <c:v>546</c:v>
                      </c:pt>
                      <c:pt idx="31">
                        <c:v>554</c:v>
                      </c:pt>
                      <c:pt idx="32">
                        <c:v>562</c:v>
                      </c:pt>
                      <c:pt idx="33">
                        <c:v>570</c:v>
                      </c:pt>
                      <c:pt idx="34">
                        <c:v>578</c:v>
                      </c:pt>
                      <c:pt idx="35">
                        <c:v>586</c:v>
                      </c:pt>
                      <c:pt idx="36">
                        <c:v>594</c:v>
                      </c:pt>
                      <c:pt idx="37">
                        <c:v>602</c:v>
                      </c:pt>
                      <c:pt idx="38">
                        <c:v>610</c:v>
                      </c:pt>
                      <c:pt idx="39">
                        <c:v>618</c:v>
                      </c:pt>
                      <c:pt idx="40">
                        <c:v>626</c:v>
                      </c:pt>
                      <c:pt idx="41">
                        <c:v>634</c:v>
                      </c:pt>
                      <c:pt idx="42">
                        <c:v>642</c:v>
                      </c:pt>
                      <c:pt idx="43">
                        <c:v>650</c:v>
                      </c:pt>
                      <c:pt idx="44">
                        <c:v>658</c:v>
                      </c:pt>
                      <c:pt idx="45">
                        <c:v>666</c:v>
                      </c:pt>
                      <c:pt idx="46">
                        <c:v>674</c:v>
                      </c:pt>
                      <c:pt idx="47">
                        <c:v>682</c:v>
                      </c:pt>
                      <c:pt idx="48">
                        <c:v>690</c:v>
                      </c:pt>
                      <c:pt idx="49">
                        <c:v>698</c:v>
                      </c:pt>
                      <c:pt idx="50">
                        <c:v>706</c:v>
                      </c:pt>
                      <c:pt idx="51">
                        <c:v>714</c:v>
                      </c:pt>
                      <c:pt idx="52">
                        <c:v>722</c:v>
                      </c:pt>
                      <c:pt idx="53">
                        <c:v>730</c:v>
                      </c:pt>
                      <c:pt idx="54">
                        <c:v>738</c:v>
                      </c:pt>
                      <c:pt idx="55">
                        <c:v>746</c:v>
                      </c:pt>
                      <c:pt idx="56">
                        <c:v>754</c:v>
                      </c:pt>
                      <c:pt idx="57">
                        <c:v>762</c:v>
                      </c:pt>
                      <c:pt idx="58">
                        <c:v>770</c:v>
                      </c:pt>
                      <c:pt idx="59">
                        <c:v>778</c:v>
                      </c:pt>
                      <c:pt idx="60">
                        <c:v>786</c:v>
                      </c:pt>
                      <c:pt idx="61">
                        <c:v>794</c:v>
                      </c:pt>
                      <c:pt idx="62">
                        <c:v>802</c:v>
                      </c:pt>
                      <c:pt idx="63">
                        <c:v>810</c:v>
                      </c:pt>
                      <c:pt idx="64">
                        <c:v>818</c:v>
                      </c:pt>
                      <c:pt idx="65">
                        <c:v>826</c:v>
                      </c:pt>
                      <c:pt idx="66">
                        <c:v>834</c:v>
                      </c:pt>
                      <c:pt idx="67">
                        <c:v>842</c:v>
                      </c:pt>
                      <c:pt idx="68">
                        <c:v>850</c:v>
                      </c:pt>
                      <c:pt idx="69">
                        <c:v>858</c:v>
                      </c:pt>
                      <c:pt idx="70">
                        <c:v>866</c:v>
                      </c:pt>
                      <c:pt idx="71">
                        <c:v>874</c:v>
                      </c:pt>
                      <c:pt idx="72">
                        <c:v>882</c:v>
                      </c:pt>
                      <c:pt idx="73">
                        <c:v>890</c:v>
                      </c:pt>
                      <c:pt idx="74">
                        <c:v>898</c:v>
                      </c:pt>
                      <c:pt idx="75">
                        <c:v>906</c:v>
                      </c:pt>
                      <c:pt idx="76">
                        <c:v>914</c:v>
                      </c:pt>
                      <c:pt idx="77">
                        <c:v>922</c:v>
                      </c:pt>
                      <c:pt idx="78">
                        <c:v>930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EVALUATION!$B$132:$CP$132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-37.456036036036032</c:v>
                      </c:pt>
                      <c:pt idx="1">
                        <c:v>-36.754534534534535</c:v>
                      </c:pt>
                      <c:pt idx="2">
                        <c:v>-36.053033033033032</c:v>
                      </c:pt>
                      <c:pt idx="3">
                        <c:v>-35.351531531531528</c:v>
                      </c:pt>
                      <c:pt idx="4" formatCode="General">
                        <c:v>-34.77434131736527</c:v>
                      </c:pt>
                      <c:pt idx="5" formatCode="General">
                        <c:v>-34.225838323353294</c:v>
                      </c:pt>
                      <c:pt idx="6" formatCode="General">
                        <c:v>-33.677335329341318</c:v>
                      </c:pt>
                      <c:pt idx="7" formatCode="General">
                        <c:v>-33.128832335329342</c:v>
                      </c:pt>
                      <c:pt idx="8" formatCode="General">
                        <c:v>-32.657592814371256</c:v>
                      </c:pt>
                      <c:pt idx="9" formatCode="General">
                        <c:v>-32.230287425149697</c:v>
                      </c:pt>
                      <c:pt idx="10" formatCode="General">
                        <c:v>-31.802982035928146</c:v>
                      </c:pt>
                      <c:pt idx="11" formatCode="General">
                        <c:v>-31.375676646706587</c:v>
                      </c:pt>
                      <c:pt idx="12" formatCode="General">
                        <c:v>-30.997113772455091</c:v>
                      </c:pt>
                      <c:pt idx="13" formatCode="General">
                        <c:v>-30.675197604790419</c:v>
                      </c:pt>
                      <c:pt idx="14" formatCode="General">
                        <c:v>-30.353281437125748</c:v>
                      </c:pt>
                      <c:pt idx="15" formatCode="General">
                        <c:v>-30.031365269461077</c:v>
                      </c:pt>
                      <c:pt idx="16" formatCode="General">
                        <c:v>-29.749044910179641</c:v>
                      </c:pt>
                      <c:pt idx="17" formatCode="General">
                        <c:v>-29.564853293413172</c:v>
                      </c:pt>
                      <c:pt idx="18" formatCode="General">
                        <c:v>-29.380661676646707</c:v>
                      </c:pt>
                      <c:pt idx="19" formatCode="General">
                        <c:v>-29.196470059880241</c:v>
                      </c:pt>
                      <c:pt idx="20" formatCode="General">
                        <c:v>-29.031194610778446</c:v>
                      </c:pt>
                      <c:pt idx="21" formatCode="General">
                        <c:v>-29.015146706586826</c:v>
                      </c:pt>
                      <c:pt idx="22" formatCode="General">
                        <c:v>-28.99909880239521</c:v>
                      </c:pt>
                      <c:pt idx="23" formatCode="General">
                        <c:v>-28.983050898203594</c:v>
                      </c:pt>
                      <c:pt idx="24" formatCode="General">
                        <c:v>-28.967002994011978</c:v>
                      </c:pt>
                      <c:pt idx="25" formatCode="General">
                        <c:v>-29.170279279279281</c:v>
                      </c:pt>
                      <c:pt idx="26" formatCode="General">
                        <c:v>-29.388177177177177</c:v>
                      </c:pt>
                      <c:pt idx="27" formatCode="General">
                        <c:v>-29.606075075075076</c:v>
                      </c:pt>
                      <c:pt idx="28" formatCode="General">
                        <c:v>-29.823972972972971</c:v>
                      </c:pt>
                      <c:pt idx="29" formatCode="General">
                        <c:v>-29.965814371257483</c:v>
                      </c:pt>
                      <c:pt idx="30" formatCode="General">
                        <c:v>-30.085574850299402</c:v>
                      </c:pt>
                      <c:pt idx="31" formatCode="General">
                        <c:v>-30.205335329341317</c:v>
                      </c:pt>
                      <c:pt idx="32" formatCode="General">
                        <c:v>-30.325095808383235</c:v>
                      </c:pt>
                      <c:pt idx="33" formatCode="General">
                        <c:v>-30.453622754491018</c:v>
                      </c:pt>
                      <c:pt idx="34" formatCode="General">
                        <c:v>-30.587994011976047</c:v>
                      </c:pt>
                      <c:pt idx="35" formatCode="General">
                        <c:v>-30.722365269461079</c:v>
                      </c:pt>
                      <c:pt idx="36" formatCode="General">
                        <c:v>-30.856736526946108</c:v>
                      </c:pt>
                      <c:pt idx="37" formatCode="General">
                        <c:v>-30.990700598802395</c:v>
                      </c:pt>
                      <c:pt idx="38" formatCode="General">
                        <c:v>-31.12411377245509</c:v>
                      </c:pt>
                      <c:pt idx="39" formatCode="General">
                        <c:v>-31.257526946107784</c:v>
                      </c:pt>
                      <c:pt idx="40" formatCode="General">
                        <c:v>-31.390940119760479</c:v>
                      </c:pt>
                      <c:pt idx="41" formatCode="General">
                        <c:v>-31.524592814371257</c:v>
                      </c:pt>
                      <c:pt idx="42" formatCode="General">
                        <c:v>-31.658964071856285</c:v>
                      </c:pt>
                      <c:pt idx="43" formatCode="General">
                        <c:v>-31.793335329341318</c:v>
                      </c:pt>
                      <c:pt idx="44" formatCode="General">
                        <c:v>-31.927706586826346</c:v>
                      </c:pt>
                      <c:pt idx="45" formatCode="General">
                        <c:v>-32.062077844311375</c:v>
                      </c:pt>
                      <c:pt idx="46" formatCode="General">
                        <c:v>-32.196449101796411</c:v>
                      </c:pt>
                      <c:pt idx="47" formatCode="General">
                        <c:v>-32.330820359281439</c:v>
                      </c:pt>
                      <c:pt idx="48" formatCode="General">
                        <c:v>-32.465191616766468</c:v>
                      </c:pt>
                      <c:pt idx="49" formatCode="General">
                        <c:v>-32.599562874251497</c:v>
                      </c:pt>
                      <c:pt idx="50" formatCode="General">
                        <c:v>-32.727876404494381</c:v>
                      </c:pt>
                      <c:pt idx="51" formatCode="General">
                        <c:v>-32.855516853932585</c:v>
                      </c:pt>
                      <c:pt idx="52" formatCode="General">
                        <c:v>-32.983157303370788</c:v>
                      </c:pt>
                      <c:pt idx="53" formatCode="General">
                        <c:v>-33.110797752808992</c:v>
                      </c:pt>
                      <c:pt idx="54" formatCode="General">
                        <c:v>-33.238438202247195</c:v>
                      </c:pt>
                      <c:pt idx="55" formatCode="General">
                        <c:v>-33.366078651685392</c:v>
                      </c:pt>
                      <c:pt idx="56" formatCode="General">
                        <c:v>-33.493719101123595</c:v>
                      </c:pt>
                      <c:pt idx="57" formatCode="General">
                        <c:v>-33.621359550561799</c:v>
                      </c:pt>
                      <c:pt idx="58" formatCode="General">
                        <c:v>-33.749000000000002</c:v>
                      </c:pt>
                      <c:pt idx="59" formatCode="General">
                        <c:v>-33.876640449438206</c:v>
                      </c:pt>
                      <c:pt idx="60" formatCode="General">
                        <c:v>-34.004280898876409</c:v>
                      </c:pt>
                      <c:pt idx="61" formatCode="General">
                        <c:v>-34.131921348314606</c:v>
                      </c:pt>
                      <c:pt idx="62" formatCode="General">
                        <c:v>-34.259561797752809</c:v>
                      </c:pt>
                      <c:pt idx="63" formatCode="General">
                        <c:v>-34.387202247191013</c:v>
                      </c:pt>
                      <c:pt idx="64" formatCode="General">
                        <c:v>-34.514842696629216</c:v>
                      </c:pt>
                      <c:pt idx="65" formatCode="General">
                        <c:v>-34.64248314606742</c:v>
                      </c:pt>
                      <c:pt idx="66" formatCode="General">
                        <c:v>-34.768748314606746</c:v>
                      </c:pt>
                      <c:pt idx="67" formatCode="General">
                        <c:v>-34.88991685393259</c:v>
                      </c:pt>
                      <c:pt idx="68" formatCode="General">
                        <c:v>-35.011085393258426</c:v>
                      </c:pt>
                      <c:pt idx="69" formatCode="General">
                        <c:v>-35.13225393258427</c:v>
                      </c:pt>
                      <c:pt idx="70" formatCode="General">
                        <c:v>-35.253422471910113</c:v>
                      </c:pt>
                      <c:pt idx="71" formatCode="General">
                        <c:v>-35.374591011235957</c:v>
                      </c:pt>
                      <c:pt idx="72" formatCode="General">
                        <c:v>-35.4957595505618</c:v>
                      </c:pt>
                      <c:pt idx="73" formatCode="General">
                        <c:v>-35.616928089887644</c:v>
                      </c:pt>
                      <c:pt idx="74" formatCode="General">
                        <c:v>-35.738096629213487</c:v>
                      </c:pt>
                      <c:pt idx="75" formatCode="General">
                        <c:v>-35.859265168539331</c:v>
                      </c:pt>
                      <c:pt idx="76" formatCode="General">
                        <c:v>-35.980433707865167</c:v>
                      </c:pt>
                      <c:pt idx="77" formatCode="General">
                        <c:v>-36.101602247191011</c:v>
                      </c:pt>
                      <c:pt idx="78" formatCode="General">
                        <c:v>-36.222770786516854</c:v>
                      </c:pt>
                      <c:pt idx="79" formatCode="General">
                        <c:v>-36.343939325842697</c:v>
                      </c:pt>
                      <c:pt idx="80" formatCode="General">
                        <c:v>-36.465107865168541</c:v>
                      </c:pt>
                      <c:pt idx="81" formatCode="General">
                        <c:v>-36.586276404494384</c:v>
                      </c:pt>
                      <c:pt idx="82" formatCode="General">
                        <c:v>-36.707444943820228</c:v>
                      </c:pt>
                      <c:pt idx="83" formatCode="General">
                        <c:v>-36.825319819819818</c:v>
                      </c:pt>
                      <c:pt idx="84" formatCode="General">
                        <c:v>-36.940214714714713</c:v>
                      </c:pt>
                      <c:pt idx="85" formatCode="General">
                        <c:v>-37.055109609609609</c:v>
                      </c:pt>
                      <c:pt idx="86" formatCode="General">
                        <c:v>-37.170004504504504</c:v>
                      </c:pt>
                      <c:pt idx="87" formatCode="General">
                        <c:v>-36.080475247524753</c:v>
                      </c:pt>
                      <c:pt idx="88" formatCode="General">
                        <c:v>-36.193346534653465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5-35EF-46D6-A94F-2517E60135C4}"/>
                  </c:ext>
                </c:extLst>
              </c15:ser>
            </c15:filteredScatterSeries>
            <c15:filteredScatterSeries>
              <c15:ser>
                <c:idx val="30"/>
                <c:order val="32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306</c:v>
                      </c:pt>
                      <c:pt idx="1">
                        <c:v>314</c:v>
                      </c:pt>
                      <c:pt idx="2">
                        <c:v>322</c:v>
                      </c:pt>
                      <c:pt idx="3">
                        <c:v>330</c:v>
                      </c:pt>
                      <c:pt idx="4">
                        <c:v>338</c:v>
                      </c:pt>
                      <c:pt idx="5">
                        <c:v>346</c:v>
                      </c:pt>
                      <c:pt idx="6">
                        <c:v>354</c:v>
                      </c:pt>
                      <c:pt idx="7">
                        <c:v>362</c:v>
                      </c:pt>
                      <c:pt idx="8">
                        <c:v>370</c:v>
                      </c:pt>
                      <c:pt idx="9">
                        <c:v>378</c:v>
                      </c:pt>
                      <c:pt idx="10">
                        <c:v>386</c:v>
                      </c:pt>
                      <c:pt idx="11">
                        <c:v>394</c:v>
                      </c:pt>
                      <c:pt idx="12">
                        <c:v>402</c:v>
                      </c:pt>
                      <c:pt idx="13">
                        <c:v>410</c:v>
                      </c:pt>
                      <c:pt idx="14">
                        <c:v>418</c:v>
                      </c:pt>
                      <c:pt idx="15">
                        <c:v>426</c:v>
                      </c:pt>
                      <c:pt idx="16">
                        <c:v>434</c:v>
                      </c:pt>
                      <c:pt idx="17">
                        <c:v>442</c:v>
                      </c:pt>
                      <c:pt idx="18">
                        <c:v>450</c:v>
                      </c:pt>
                      <c:pt idx="19">
                        <c:v>458</c:v>
                      </c:pt>
                      <c:pt idx="20">
                        <c:v>466</c:v>
                      </c:pt>
                      <c:pt idx="21">
                        <c:v>474</c:v>
                      </c:pt>
                      <c:pt idx="22">
                        <c:v>482</c:v>
                      </c:pt>
                      <c:pt idx="23">
                        <c:v>490</c:v>
                      </c:pt>
                      <c:pt idx="24">
                        <c:v>498</c:v>
                      </c:pt>
                      <c:pt idx="25">
                        <c:v>506</c:v>
                      </c:pt>
                      <c:pt idx="26">
                        <c:v>514</c:v>
                      </c:pt>
                      <c:pt idx="27">
                        <c:v>522</c:v>
                      </c:pt>
                      <c:pt idx="28">
                        <c:v>530</c:v>
                      </c:pt>
                      <c:pt idx="29">
                        <c:v>538</c:v>
                      </c:pt>
                      <c:pt idx="30">
                        <c:v>546</c:v>
                      </c:pt>
                      <c:pt idx="31">
                        <c:v>554</c:v>
                      </c:pt>
                      <c:pt idx="32">
                        <c:v>562</c:v>
                      </c:pt>
                      <c:pt idx="33">
                        <c:v>570</c:v>
                      </c:pt>
                      <c:pt idx="34">
                        <c:v>578</c:v>
                      </c:pt>
                      <c:pt idx="35">
                        <c:v>586</c:v>
                      </c:pt>
                      <c:pt idx="36">
                        <c:v>594</c:v>
                      </c:pt>
                      <c:pt idx="37">
                        <c:v>602</c:v>
                      </c:pt>
                      <c:pt idx="38">
                        <c:v>610</c:v>
                      </c:pt>
                      <c:pt idx="39">
                        <c:v>618</c:v>
                      </c:pt>
                      <c:pt idx="40">
                        <c:v>626</c:v>
                      </c:pt>
                      <c:pt idx="41">
                        <c:v>634</c:v>
                      </c:pt>
                      <c:pt idx="42">
                        <c:v>642</c:v>
                      </c:pt>
                      <c:pt idx="43">
                        <c:v>650</c:v>
                      </c:pt>
                      <c:pt idx="44">
                        <c:v>658</c:v>
                      </c:pt>
                      <c:pt idx="45">
                        <c:v>666</c:v>
                      </c:pt>
                      <c:pt idx="46">
                        <c:v>674</c:v>
                      </c:pt>
                      <c:pt idx="47">
                        <c:v>682</c:v>
                      </c:pt>
                      <c:pt idx="48">
                        <c:v>690</c:v>
                      </c:pt>
                      <c:pt idx="49">
                        <c:v>698</c:v>
                      </c:pt>
                      <c:pt idx="50">
                        <c:v>706</c:v>
                      </c:pt>
                      <c:pt idx="51">
                        <c:v>714</c:v>
                      </c:pt>
                      <c:pt idx="52">
                        <c:v>722</c:v>
                      </c:pt>
                      <c:pt idx="53">
                        <c:v>730</c:v>
                      </c:pt>
                      <c:pt idx="54">
                        <c:v>738</c:v>
                      </c:pt>
                      <c:pt idx="55">
                        <c:v>746</c:v>
                      </c:pt>
                      <c:pt idx="56">
                        <c:v>754</c:v>
                      </c:pt>
                      <c:pt idx="57">
                        <c:v>762</c:v>
                      </c:pt>
                      <c:pt idx="58">
                        <c:v>770</c:v>
                      </c:pt>
                      <c:pt idx="59">
                        <c:v>778</c:v>
                      </c:pt>
                      <c:pt idx="60">
                        <c:v>786</c:v>
                      </c:pt>
                      <c:pt idx="61">
                        <c:v>794</c:v>
                      </c:pt>
                      <c:pt idx="62">
                        <c:v>802</c:v>
                      </c:pt>
                      <c:pt idx="63">
                        <c:v>810</c:v>
                      </c:pt>
                      <c:pt idx="64">
                        <c:v>818</c:v>
                      </c:pt>
                      <c:pt idx="65">
                        <c:v>826</c:v>
                      </c:pt>
                      <c:pt idx="66">
                        <c:v>834</c:v>
                      </c:pt>
                      <c:pt idx="67">
                        <c:v>842</c:v>
                      </c:pt>
                      <c:pt idx="68">
                        <c:v>850</c:v>
                      </c:pt>
                      <c:pt idx="69">
                        <c:v>858</c:v>
                      </c:pt>
                      <c:pt idx="70">
                        <c:v>866</c:v>
                      </c:pt>
                      <c:pt idx="71">
                        <c:v>874</c:v>
                      </c:pt>
                      <c:pt idx="72">
                        <c:v>882</c:v>
                      </c:pt>
                      <c:pt idx="73">
                        <c:v>890</c:v>
                      </c:pt>
                      <c:pt idx="74">
                        <c:v>898</c:v>
                      </c:pt>
                      <c:pt idx="75">
                        <c:v>906</c:v>
                      </c:pt>
                      <c:pt idx="76">
                        <c:v>914</c:v>
                      </c:pt>
                      <c:pt idx="77">
                        <c:v>922</c:v>
                      </c:pt>
                      <c:pt idx="78">
                        <c:v>930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EVALUATION!$B$133:$CP$133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-21.943243243243245</c:v>
                      </c:pt>
                      <c:pt idx="1">
                        <c:v>-21.741441441441442</c:v>
                      </c:pt>
                      <c:pt idx="2">
                        <c:v>-21.539639639639642</c:v>
                      </c:pt>
                      <c:pt idx="3">
                        <c:v>-21.337837837837839</c:v>
                      </c:pt>
                      <c:pt idx="4" formatCode="General">
                        <c:v>-21.317514970059882</c:v>
                      </c:pt>
                      <c:pt idx="5" formatCode="General">
                        <c:v>-21.339071856287426</c:v>
                      </c:pt>
                      <c:pt idx="6" formatCode="General">
                        <c:v>-21.360628742514972</c:v>
                      </c:pt>
                      <c:pt idx="7" formatCode="General">
                        <c:v>-21.382185628742516</c:v>
                      </c:pt>
                      <c:pt idx="8" formatCode="General">
                        <c:v>-21.452604790419162</c:v>
                      </c:pt>
                      <c:pt idx="9" formatCode="General">
                        <c:v>-21.550808383233534</c:v>
                      </c:pt>
                      <c:pt idx="10" formatCode="General">
                        <c:v>-21.649011976047905</c:v>
                      </c:pt>
                      <c:pt idx="11" formatCode="General">
                        <c:v>-21.747215568862277</c:v>
                      </c:pt>
                      <c:pt idx="12" formatCode="General">
                        <c:v>-21.843203592814373</c:v>
                      </c:pt>
                      <c:pt idx="13" formatCode="General">
                        <c:v>-21.936616766467068</c:v>
                      </c:pt>
                      <c:pt idx="14" formatCode="General">
                        <c:v>-22.030029940119761</c:v>
                      </c:pt>
                      <c:pt idx="15" formatCode="General">
                        <c:v>-22.123443113772456</c:v>
                      </c:pt>
                      <c:pt idx="16" formatCode="General">
                        <c:v>-22.209970059880241</c:v>
                      </c:pt>
                      <c:pt idx="17" formatCode="General">
                        <c:v>-22.279431137724551</c:v>
                      </c:pt>
                      <c:pt idx="18" formatCode="General">
                        <c:v>-22.348892215568863</c:v>
                      </c:pt>
                      <c:pt idx="19" formatCode="General">
                        <c:v>-22.418353293413173</c:v>
                      </c:pt>
                      <c:pt idx="20" formatCode="General">
                        <c:v>-22.488353293413173</c:v>
                      </c:pt>
                      <c:pt idx="21" formatCode="General">
                        <c:v>-22.562604790419162</c:v>
                      </c:pt>
                      <c:pt idx="22" formatCode="General">
                        <c:v>-22.63685628742515</c:v>
                      </c:pt>
                      <c:pt idx="23" formatCode="General">
                        <c:v>-22.711107784431139</c:v>
                      </c:pt>
                      <c:pt idx="24" formatCode="General">
                        <c:v>-22.785359281437124</c:v>
                      </c:pt>
                      <c:pt idx="25" formatCode="General">
                        <c:v>-22.846306306306307</c:v>
                      </c:pt>
                      <c:pt idx="26" formatCode="General">
                        <c:v>-22.906366366366367</c:v>
                      </c:pt>
                      <c:pt idx="27" formatCode="General">
                        <c:v>-22.966426426426427</c:v>
                      </c:pt>
                      <c:pt idx="28" formatCode="General">
                        <c:v>-23.026486486486487</c:v>
                      </c:pt>
                      <c:pt idx="29" formatCode="General">
                        <c:v>-23.130958083832336</c:v>
                      </c:pt>
                      <c:pt idx="30" formatCode="General">
                        <c:v>-23.248323353293415</c:v>
                      </c:pt>
                      <c:pt idx="31" formatCode="General">
                        <c:v>-23.36568862275449</c:v>
                      </c:pt>
                      <c:pt idx="32" formatCode="General">
                        <c:v>-23.483053892215569</c:v>
                      </c:pt>
                      <c:pt idx="33" formatCode="General">
                        <c:v>-23.60185628742515</c:v>
                      </c:pt>
                      <c:pt idx="34" formatCode="General">
                        <c:v>-23.721616766467065</c:v>
                      </c:pt>
                      <c:pt idx="35" formatCode="General">
                        <c:v>-23.841377245508983</c:v>
                      </c:pt>
                      <c:pt idx="36" formatCode="General">
                        <c:v>-23.961137724550898</c:v>
                      </c:pt>
                      <c:pt idx="37" formatCode="General">
                        <c:v>-24.078862275449104</c:v>
                      </c:pt>
                      <c:pt idx="38" formatCode="General">
                        <c:v>-24.193832335329343</c:v>
                      </c:pt>
                      <c:pt idx="39" formatCode="General">
                        <c:v>-24.308802395209582</c:v>
                      </c:pt>
                      <c:pt idx="40" formatCode="General">
                        <c:v>-24.423772455089821</c:v>
                      </c:pt>
                      <c:pt idx="41" formatCode="General">
                        <c:v>-24.53874251497006</c:v>
                      </c:pt>
                      <c:pt idx="42" formatCode="General">
                        <c:v>-24.653712574850299</c:v>
                      </c:pt>
                      <c:pt idx="43" formatCode="General">
                        <c:v>-24.768682634730538</c:v>
                      </c:pt>
                      <c:pt idx="44" formatCode="General">
                        <c:v>-24.883652694610777</c:v>
                      </c:pt>
                      <c:pt idx="45" formatCode="General">
                        <c:v>-24.998622754491016</c:v>
                      </c:pt>
                      <c:pt idx="46" formatCode="General">
                        <c:v>-25.113592814371255</c:v>
                      </c:pt>
                      <c:pt idx="47" formatCode="General">
                        <c:v>-25.228562874251494</c:v>
                      </c:pt>
                      <c:pt idx="48" formatCode="General">
                        <c:v>-25.343532934131737</c:v>
                      </c:pt>
                      <c:pt idx="49" formatCode="General">
                        <c:v>-25.458502994011976</c:v>
                      </c:pt>
                      <c:pt idx="50" formatCode="General">
                        <c:v>-25.567617977528091</c:v>
                      </c:pt>
                      <c:pt idx="51" formatCode="General">
                        <c:v>-25.676082397003746</c:v>
                      </c:pt>
                      <c:pt idx="52" formatCode="General">
                        <c:v>-25.784546816479402</c:v>
                      </c:pt>
                      <c:pt idx="53" formatCode="General">
                        <c:v>-25.893011235955058</c:v>
                      </c:pt>
                      <c:pt idx="54" formatCode="General">
                        <c:v>-26.001475655430713</c:v>
                      </c:pt>
                      <c:pt idx="55" formatCode="General">
                        <c:v>-26.109940074906369</c:v>
                      </c:pt>
                      <c:pt idx="56" formatCode="General">
                        <c:v>-26.218404494382021</c:v>
                      </c:pt>
                      <c:pt idx="57" formatCode="General">
                        <c:v>-26.326868913857677</c:v>
                      </c:pt>
                      <c:pt idx="58" formatCode="General">
                        <c:v>-26.435333333333332</c:v>
                      </c:pt>
                      <c:pt idx="59" formatCode="General">
                        <c:v>-26.543797752808988</c:v>
                      </c:pt>
                      <c:pt idx="60" formatCode="General">
                        <c:v>-26.652262172284644</c:v>
                      </c:pt>
                      <c:pt idx="61" formatCode="General">
                        <c:v>-26.760726591760299</c:v>
                      </c:pt>
                      <c:pt idx="62" formatCode="General">
                        <c:v>-26.869191011235955</c:v>
                      </c:pt>
                      <c:pt idx="63" formatCode="General">
                        <c:v>-26.977655430711611</c:v>
                      </c:pt>
                      <c:pt idx="64" formatCode="General">
                        <c:v>-27.086119850187266</c:v>
                      </c:pt>
                      <c:pt idx="65" formatCode="General">
                        <c:v>-27.194584269662922</c:v>
                      </c:pt>
                      <c:pt idx="66" formatCode="General">
                        <c:v>-27.301902621722849</c:v>
                      </c:pt>
                      <c:pt idx="67" formatCode="General">
                        <c:v>-27.404973782771538</c:v>
                      </c:pt>
                      <c:pt idx="68" formatCode="General">
                        <c:v>-27.508044943820227</c:v>
                      </c:pt>
                      <c:pt idx="69" formatCode="General">
                        <c:v>-27.611116104868916</c:v>
                      </c:pt>
                      <c:pt idx="70" formatCode="General">
                        <c:v>-27.714187265917605</c:v>
                      </c:pt>
                      <c:pt idx="71" formatCode="General">
                        <c:v>-27.817258426966294</c:v>
                      </c:pt>
                      <c:pt idx="72" formatCode="General">
                        <c:v>-27.920329588014983</c:v>
                      </c:pt>
                      <c:pt idx="73" formatCode="General">
                        <c:v>-28.023400749063672</c:v>
                      </c:pt>
                      <c:pt idx="74" formatCode="General">
                        <c:v>-28.126471910112361</c:v>
                      </c:pt>
                      <c:pt idx="75" formatCode="General">
                        <c:v>-28.22954307116105</c:v>
                      </c:pt>
                      <c:pt idx="76" formatCode="General">
                        <c:v>-28.332614232209739</c:v>
                      </c:pt>
                      <c:pt idx="77" formatCode="General">
                        <c:v>-28.435685393258428</c:v>
                      </c:pt>
                      <c:pt idx="78" formatCode="General">
                        <c:v>-28.538756554307117</c:v>
                      </c:pt>
                      <c:pt idx="79" formatCode="General">
                        <c:v>-28.641827715355806</c:v>
                      </c:pt>
                      <c:pt idx="80" formatCode="General">
                        <c:v>-28.744898876404495</c:v>
                      </c:pt>
                      <c:pt idx="81" formatCode="General">
                        <c:v>-28.847970037453184</c:v>
                      </c:pt>
                      <c:pt idx="82" formatCode="General">
                        <c:v>-28.951041198501873</c:v>
                      </c:pt>
                      <c:pt idx="83" formatCode="General">
                        <c:v>-29.051396396396395</c:v>
                      </c:pt>
                      <c:pt idx="84" formatCode="General">
                        <c:v>-29.149294294294293</c:v>
                      </c:pt>
                      <c:pt idx="85" formatCode="General">
                        <c:v>-29.247192192192191</c:v>
                      </c:pt>
                      <c:pt idx="86" formatCode="General">
                        <c:v>-29.345090090090089</c:v>
                      </c:pt>
                      <c:pt idx="87" formatCode="General">
                        <c:v>-8.1209504950495059</c:v>
                      </c:pt>
                      <c:pt idx="88" formatCode="General">
                        <c:v>-8.1466930693069308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6-35EF-46D6-A94F-2517E60135C4}"/>
                  </c:ext>
                </c:extLst>
              </c15:ser>
            </c15:filteredScatterSeries>
            <c15:filteredScatterSeries>
              <c15:ser>
                <c:idx val="31"/>
                <c:order val="33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306</c:v>
                      </c:pt>
                      <c:pt idx="1">
                        <c:v>314</c:v>
                      </c:pt>
                      <c:pt idx="2">
                        <c:v>322</c:v>
                      </c:pt>
                      <c:pt idx="3">
                        <c:v>330</c:v>
                      </c:pt>
                      <c:pt idx="4">
                        <c:v>338</c:v>
                      </c:pt>
                      <c:pt idx="5">
                        <c:v>346</c:v>
                      </c:pt>
                      <c:pt idx="6">
                        <c:v>354</c:v>
                      </c:pt>
                      <c:pt idx="7">
                        <c:v>362</c:v>
                      </c:pt>
                      <c:pt idx="8">
                        <c:v>370</c:v>
                      </c:pt>
                      <c:pt idx="9">
                        <c:v>378</c:v>
                      </c:pt>
                      <c:pt idx="10">
                        <c:v>386</c:v>
                      </c:pt>
                      <c:pt idx="11">
                        <c:v>394</c:v>
                      </c:pt>
                      <c:pt idx="12">
                        <c:v>402</c:v>
                      </c:pt>
                      <c:pt idx="13">
                        <c:v>410</c:v>
                      </c:pt>
                      <c:pt idx="14">
                        <c:v>418</c:v>
                      </c:pt>
                      <c:pt idx="15">
                        <c:v>426</c:v>
                      </c:pt>
                      <c:pt idx="16">
                        <c:v>434</c:v>
                      </c:pt>
                      <c:pt idx="17">
                        <c:v>442</c:v>
                      </c:pt>
                      <c:pt idx="18">
                        <c:v>450</c:v>
                      </c:pt>
                      <c:pt idx="19">
                        <c:v>458</c:v>
                      </c:pt>
                      <c:pt idx="20">
                        <c:v>466</c:v>
                      </c:pt>
                      <c:pt idx="21">
                        <c:v>474</c:v>
                      </c:pt>
                      <c:pt idx="22">
                        <c:v>482</c:v>
                      </c:pt>
                      <c:pt idx="23">
                        <c:v>490</c:v>
                      </c:pt>
                      <c:pt idx="24">
                        <c:v>498</c:v>
                      </c:pt>
                      <c:pt idx="25">
                        <c:v>506</c:v>
                      </c:pt>
                      <c:pt idx="26">
                        <c:v>514</c:v>
                      </c:pt>
                      <c:pt idx="27">
                        <c:v>522</c:v>
                      </c:pt>
                      <c:pt idx="28">
                        <c:v>530</c:v>
                      </c:pt>
                      <c:pt idx="29">
                        <c:v>538</c:v>
                      </c:pt>
                      <c:pt idx="30">
                        <c:v>546</c:v>
                      </c:pt>
                      <c:pt idx="31">
                        <c:v>554</c:v>
                      </c:pt>
                      <c:pt idx="32">
                        <c:v>562</c:v>
                      </c:pt>
                      <c:pt idx="33">
                        <c:v>570</c:v>
                      </c:pt>
                      <c:pt idx="34">
                        <c:v>578</c:v>
                      </c:pt>
                      <c:pt idx="35">
                        <c:v>586</c:v>
                      </c:pt>
                      <c:pt idx="36">
                        <c:v>594</c:v>
                      </c:pt>
                      <c:pt idx="37">
                        <c:v>602</c:v>
                      </c:pt>
                      <c:pt idx="38">
                        <c:v>610</c:v>
                      </c:pt>
                      <c:pt idx="39">
                        <c:v>618</c:v>
                      </c:pt>
                      <c:pt idx="40">
                        <c:v>626</c:v>
                      </c:pt>
                      <c:pt idx="41">
                        <c:v>634</c:v>
                      </c:pt>
                      <c:pt idx="42">
                        <c:v>642</c:v>
                      </c:pt>
                      <c:pt idx="43">
                        <c:v>650</c:v>
                      </c:pt>
                      <c:pt idx="44">
                        <c:v>658</c:v>
                      </c:pt>
                      <c:pt idx="45">
                        <c:v>666</c:v>
                      </c:pt>
                      <c:pt idx="46">
                        <c:v>674</c:v>
                      </c:pt>
                      <c:pt idx="47">
                        <c:v>682</c:v>
                      </c:pt>
                      <c:pt idx="48">
                        <c:v>690</c:v>
                      </c:pt>
                      <c:pt idx="49">
                        <c:v>698</c:v>
                      </c:pt>
                      <c:pt idx="50">
                        <c:v>706</c:v>
                      </c:pt>
                      <c:pt idx="51">
                        <c:v>714</c:v>
                      </c:pt>
                      <c:pt idx="52">
                        <c:v>722</c:v>
                      </c:pt>
                      <c:pt idx="53">
                        <c:v>730</c:v>
                      </c:pt>
                      <c:pt idx="54">
                        <c:v>738</c:v>
                      </c:pt>
                      <c:pt idx="55">
                        <c:v>746</c:v>
                      </c:pt>
                      <c:pt idx="56">
                        <c:v>754</c:v>
                      </c:pt>
                      <c:pt idx="57">
                        <c:v>762</c:v>
                      </c:pt>
                      <c:pt idx="58">
                        <c:v>770</c:v>
                      </c:pt>
                      <c:pt idx="59">
                        <c:v>778</c:v>
                      </c:pt>
                      <c:pt idx="60">
                        <c:v>786</c:v>
                      </c:pt>
                      <c:pt idx="61">
                        <c:v>794</c:v>
                      </c:pt>
                      <c:pt idx="62">
                        <c:v>802</c:v>
                      </c:pt>
                      <c:pt idx="63">
                        <c:v>810</c:v>
                      </c:pt>
                      <c:pt idx="64">
                        <c:v>818</c:v>
                      </c:pt>
                      <c:pt idx="65">
                        <c:v>826</c:v>
                      </c:pt>
                      <c:pt idx="66">
                        <c:v>834</c:v>
                      </c:pt>
                      <c:pt idx="67">
                        <c:v>842</c:v>
                      </c:pt>
                      <c:pt idx="68">
                        <c:v>850</c:v>
                      </c:pt>
                      <c:pt idx="69">
                        <c:v>858</c:v>
                      </c:pt>
                      <c:pt idx="70">
                        <c:v>866</c:v>
                      </c:pt>
                      <c:pt idx="71">
                        <c:v>874</c:v>
                      </c:pt>
                      <c:pt idx="72">
                        <c:v>882</c:v>
                      </c:pt>
                      <c:pt idx="73">
                        <c:v>890</c:v>
                      </c:pt>
                      <c:pt idx="74">
                        <c:v>898</c:v>
                      </c:pt>
                      <c:pt idx="75">
                        <c:v>906</c:v>
                      </c:pt>
                      <c:pt idx="76">
                        <c:v>914</c:v>
                      </c:pt>
                      <c:pt idx="77">
                        <c:v>922</c:v>
                      </c:pt>
                      <c:pt idx="78">
                        <c:v>930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EVALUATION!$B$134:$CP$134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-184.14450450450451</c:v>
                      </c:pt>
                      <c:pt idx="1">
                        <c:v>-180.19015015015015</c:v>
                      </c:pt>
                      <c:pt idx="2">
                        <c:v>-176.23579579579581</c:v>
                      </c:pt>
                      <c:pt idx="3">
                        <c:v>-172.28144144144147</c:v>
                      </c:pt>
                      <c:pt idx="4" formatCode="General">
                        <c:v>-168.94194610778445</c:v>
                      </c:pt>
                      <c:pt idx="5" formatCode="General">
                        <c:v>-165.74434131736527</c:v>
                      </c:pt>
                      <c:pt idx="6" formatCode="General">
                        <c:v>-162.54673652694612</c:v>
                      </c:pt>
                      <c:pt idx="7" formatCode="General">
                        <c:v>-159.34913173652694</c:v>
                      </c:pt>
                      <c:pt idx="8" formatCode="General">
                        <c:v>-156.51188622754489</c:v>
                      </c:pt>
                      <c:pt idx="9" formatCode="General">
                        <c:v>-153.87955089820358</c:v>
                      </c:pt>
                      <c:pt idx="10" formatCode="General">
                        <c:v>-151.24721556886226</c:v>
                      </c:pt>
                      <c:pt idx="11" formatCode="General">
                        <c:v>-148.61488023952094</c:v>
                      </c:pt>
                      <c:pt idx="12" formatCode="General">
                        <c:v>-146.17973053892214</c:v>
                      </c:pt>
                      <c:pt idx="13" formatCode="General">
                        <c:v>-143.97374251497007</c:v>
                      </c:pt>
                      <c:pt idx="14" formatCode="General">
                        <c:v>-141.76775449101797</c:v>
                      </c:pt>
                      <c:pt idx="15" formatCode="General">
                        <c:v>-139.56176646706587</c:v>
                      </c:pt>
                      <c:pt idx="16" formatCode="General">
                        <c:v>-137.45494011976049</c:v>
                      </c:pt>
                      <c:pt idx="17" formatCode="General">
                        <c:v>-135.59386227544911</c:v>
                      </c:pt>
                      <c:pt idx="18" formatCode="General">
                        <c:v>-133.73278443113773</c:v>
                      </c:pt>
                      <c:pt idx="19" formatCode="General">
                        <c:v>-131.87170658682635</c:v>
                      </c:pt>
                      <c:pt idx="20" formatCode="General">
                        <c:v>-130.04404191616766</c:v>
                      </c:pt>
                      <c:pt idx="21" formatCode="General">
                        <c:v>-128.47997005988023</c:v>
                      </c:pt>
                      <c:pt idx="22" formatCode="General">
                        <c:v>-126.91589820359282</c:v>
                      </c:pt>
                      <c:pt idx="23" formatCode="General">
                        <c:v>-125.35182634730539</c:v>
                      </c:pt>
                      <c:pt idx="24" formatCode="General">
                        <c:v>-123.78775449101796</c:v>
                      </c:pt>
                      <c:pt idx="25" formatCode="General">
                        <c:v>-123.46702702702703</c:v>
                      </c:pt>
                      <c:pt idx="26" formatCode="General">
                        <c:v>-123.22918918918919</c:v>
                      </c:pt>
                      <c:pt idx="27" formatCode="General">
                        <c:v>-122.99135135135135</c:v>
                      </c:pt>
                      <c:pt idx="28" formatCode="General">
                        <c:v>-122.75351351351351</c:v>
                      </c:pt>
                      <c:pt idx="29" formatCode="General">
                        <c:v>-123.46293413173653</c:v>
                      </c:pt>
                      <c:pt idx="30" formatCode="General">
                        <c:v>-124.44736526946109</c:v>
                      </c:pt>
                      <c:pt idx="31" formatCode="General">
                        <c:v>-125.43179640718563</c:v>
                      </c:pt>
                      <c:pt idx="32" formatCode="General">
                        <c:v>-126.41622754491017</c:v>
                      </c:pt>
                      <c:pt idx="33" formatCode="General">
                        <c:v>-127.39922155688622</c:v>
                      </c:pt>
                      <c:pt idx="34" formatCode="General">
                        <c:v>-128.38125748502995</c:v>
                      </c:pt>
                      <c:pt idx="35" formatCode="General">
                        <c:v>-129.36329341317364</c:v>
                      </c:pt>
                      <c:pt idx="36" formatCode="General">
                        <c:v>-130.34532934131735</c:v>
                      </c:pt>
                      <c:pt idx="37" formatCode="General">
                        <c:v>-131.31718562874252</c:v>
                      </c:pt>
                      <c:pt idx="38" formatCode="General">
                        <c:v>-132.27526946107784</c:v>
                      </c:pt>
                      <c:pt idx="39" formatCode="General">
                        <c:v>-133.23335329341316</c:v>
                      </c:pt>
                      <c:pt idx="40" formatCode="General">
                        <c:v>-134.19143712574851</c:v>
                      </c:pt>
                      <c:pt idx="41" formatCode="General">
                        <c:v>-135.14592814371258</c:v>
                      </c:pt>
                      <c:pt idx="42" formatCode="General">
                        <c:v>-136.08964071856286</c:v>
                      </c:pt>
                      <c:pt idx="43" formatCode="General">
                        <c:v>-137.03335329341317</c:v>
                      </c:pt>
                      <c:pt idx="44" formatCode="General">
                        <c:v>-137.97706586826348</c:v>
                      </c:pt>
                      <c:pt idx="45" formatCode="General">
                        <c:v>-138.91970059880239</c:v>
                      </c:pt>
                      <c:pt idx="46" formatCode="General">
                        <c:v>-139.84904191616766</c:v>
                      </c:pt>
                      <c:pt idx="47" formatCode="General">
                        <c:v>-140.77838323353294</c:v>
                      </c:pt>
                      <c:pt idx="48" formatCode="General">
                        <c:v>-141.70772455089821</c:v>
                      </c:pt>
                      <c:pt idx="49" formatCode="General">
                        <c:v>-142.63706586826348</c:v>
                      </c:pt>
                      <c:pt idx="50" formatCode="General">
                        <c:v>-143.50932584269663</c:v>
                      </c:pt>
                      <c:pt idx="51" formatCode="General">
                        <c:v>-144.37524344569289</c:v>
                      </c:pt>
                      <c:pt idx="52" formatCode="General">
                        <c:v>-145.24116104868915</c:v>
                      </c:pt>
                      <c:pt idx="53" formatCode="General">
                        <c:v>-146.10707865168538</c:v>
                      </c:pt>
                      <c:pt idx="54" formatCode="General">
                        <c:v>-146.97299625468165</c:v>
                      </c:pt>
                      <c:pt idx="55" formatCode="General">
                        <c:v>-147.83891385767791</c:v>
                      </c:pt>
                      <c:pt idx="56" formatCode="General">
                        <c:v>-148.70483146067417</c:v>
                      </c:pt>
                      <c:pt idx="57" formatCode="General">
                        <c:v>-149.57074906367041</c:v>
                      </c:pt>
                      <c:pt idx="58" formatCode="General">
                        <c:v>-150.43666666666667</c:v>
                      </c:pt>
                      <c:pt idx="59" formatCode="General">
                        <c:v>-151.30258426966293</c:v>
                      </c:pt>
                      <c:pt idx="60" formatCode="General">
                        <c:v>-152.16850187265919</c:v>
                      </c:pt>
                      <c:pt idx="61" formatCode="General">
                        <c:v>-153.03441947565543</c:v>
                      </c:pt>
                      <c:pt idx="62" formatCode="General">
                        <c:v>-153.90033707865169</c:v>
                      </c:pt>
                      <c:pt idx="63" formatCode="General">
                        <c:v>-154.76625468164795</c:v>
                      </c:pt>
                      <c:pt idx="64" formatCode="General">
                        <c:v>-155.63217228464421</c:v>
                      </c:pt>
                      <c:pt idx="65" formatCode="General">
                        <c:v>-156.49808988764045</c:v>
                      </c:pt>
                      <c:pt idx="66" formatCode="General">
                        <c:v>-157.34146816479401</c:v>
                      </c:pt>
                      <c:pt idx="67" formatCode="General">
                        <c:v>-158.10131835205993</c:v>
                      </c:pt>
                      <c:pt idx="68" formatCode="General">
                        <c:v>-158.86116853932586</c:v>
                      </c:pt>
                      <c:pt idx="69" formatCode="General">
                        <c:v>-159.62101872659179</c:v>
                      </c:pt>
                      <c:pt idx="70" formatCode="General">
                        <c:v>-160.38086891385768</c:v>
                      </c:pt>
                      <c:pt idx="71" formatCode="General">
                        <c:v>-161.14071910112361</c:v>
                      </c:pt>
                      <c:pt idx="72" formatCode="General">
                        <c:v>-161.90056928838953</c:v>
                      </c:pt>
                      <c:pt idx="73" formatCode="General">
                        <c:v>-162.66041947565543</c:v>
                      </c:pt>
                      <c:pt idx="74" formatCode="General">
                        <c:v>-163.42026966292136</c:v>
                      </c:pt>
                      <c:pt idx="75" formatCode="General">
                        <c:v>-164.18011985018728</c:v>
                      </c:pt>
                      <c:pt idx="76" formatCode="General">
                        <c:v>-164.93997003745321</c:v>
                      </c:pt>
                      <c:pt idx="77" formatCode="General">
                        <c:v>-165.6998202247191</c:v>
                      </c:pt>
                      <c:pt idx="78" formatCode="General">
                        <c:v>-166.45967041198503</c:v>
                      </c:pt>
                      <c:pt idx="79" formatCode="General">
                        <c:v>-167.21952059925096</c:v>
                      </c:pt>
                      <c:pt idx="80" formatCode="General">
                        <c:v>-167.97937078651688</c:v>
                      </c:pt>
                      <c:pt idx="81" formatCode="General">
                        <c:v>-168.73922097378278</c:v>
                      </c:pt>
                      <c:pt idx="82" formatCode="General">
                        <c:v>-169.4990711610487</c:v>
                      </c:pt>
                      <c:pt idx="83" formatCode="General">
                        <c:v>-170.1970720720721</c:v>
                      </c:pt>
                      <c:pt idx="84" formatCode="General">
                        <c:v>-170.83911411411412</c:v>
                      </c:pt>
                      <c:pt idx="85" formatCode="General">
                        <c:v>-171.48115615615617</c:v>
                      </c:pt>
                      <c:pt idx="86" formatCode="General">
                        <c:v>-172.12319819819822</c:v>
                      </c:pt>
                      <c:pt idx="87" formatCode="General">
                        <c:v>-28.733663366336632</c:v>
                      </c:pt>
                      <c:pt idx="88" formatCode="General">
                        <c:v>-28.828712871287127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7-35EF-46D6-A94F-2517E60135C4}"/>
                  </c:ext>
                </c:extLst>
              </c15:ser>
            </c15:filteredScatterSeries>
            <c15:filteredScatterSeries>
              <c15:ser>
                <c:idx val="32"/>
                <c:order val="34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306</c:v>
                      </c:pt>
                      <c:pt idx="1">
                        <c:v>314</c:v>
                      </c:pt>
                      <c:pt idx="2">
                        <c:v>322</c:v>
                      </c:pt>
                      <c:pt idx="3">
                        <c:v>330</c:v>
                      </c:pt>
                      <c:pt idx="4">
                        <c:v>338</c:v>
                      </c:pt>
                      <c:pt idx="5">
                        <c:v>346</c:v>
                      </c:pt>
                      <c:pt idx="6">
                        <c:v>354</c:v>
                      </c:pt>
                      <c:pt idx="7">
                        <c:v>362</c:v>
                      </c:pt>
                      <c:pt idx="8">
                        <c:v>370</c:v>
                      </c:pt>
                      <c:pt idx="9">
                        <c:v>378</c:v>
                      </c:pt>
                      <c:pt idx="10">
                        <c:v>386</c:v>
                      </c:pt>
                      <c:pt idx="11">
                        <c:v>394</c:v>
                      </c:pt>
                      <c:pt idx="12">
                        <c:v>402</c:v>
                      </c:pt>
                      <c:pt idx="13">
                        <c:v>410</c:v>
                      </c:pt>
                      <c:pt idx="14">
                        <c:v>418</c:v>
                      </c:pt>
                      <c:pt idx="15">
                        <c:v>426</c:v>
                      </c:pt>
                      <c:pt idx="16">
                        <c:v>434</c:v>
                      </c:pt>
                      <c:pt idx="17">
                        <c:v>442</c:v>
                      </c:pt>
                      <c:pt idx="18">
                        <c:v>450</c:v>
                      </c:pt>
                      <c:pt idx="19">
                        <c:v>458</c:v>
                      </c:pt>
                      <c:pt idx="20">
                        <c:v>466</c:v>
                      </c:pt>
                      <c:pt idx="21">
                        <c:v>474</c:v>
                      </c:pt>
                      <c:pt idx="22">
                        <c:v>482</c:v>
                      </c:pt>
                      <c:pt idx="23">
                        <c:v>490</c:v>
                      </c:pt>
                      <c:pt idx="24">
                        <c:v>498</c:v>
                      </c:pt>
                      <c:pt idx="25">
                        <c:v>506</c:v>
                      </c:pt>
                      <c:pt idx="26">
                        <c:v>514</c:v>
                      </c:pt>
                      <c:pt idx="27">
                        <c:v>522</c:v>
                      </c:pt>
                      <c:pt idx="28">
                        <c:v>530</c:v>
                      </c:pt>
                      <c:pt idx="29">
                        <c:v>538</c:v>
                      </c:pt>
                      <c:pt idx="30">
                        <c:v>546</c:v>
                      </c:pt>
                      <c:pt idx="31">
                        <c:v>554</c:v>
                      </c:pt>
                      <c:pt idx="32">
                        <c:v>562</c:v>
                      </c:pt>
                      <c:pt idx="33">
                        <c:v>570</c:v>
                      </c:pt>
                      <c:pt idx="34">
                        <c:v>578</c:v>
                      </c:pt>
                      <c:pt idx="35">
                        <c:v>586</c:v>
                      </c:pt>
                      <c:pt idx="36">
                        <c:v>594</c:v>
                      </c:pt>
                      <c:pt idx="37">
                        <c:v>602</c:v>
                      </c:pt>
                      <c:pt idx="38">
                        <c:v>610</c:v>
                      </c:pt>
                      <c:pt idx="39">
                        <c:v>618</c:v>
                      </c:pt>
                      <c:pt idx="40">
                        <c:v>626</c:v>
                      </c:pt>
                      <c:pt idx="41">
                        <c:v>634</c:v>
                      </c:pt>
                      <c:pt idx="42">
                        <c:v>642</c:v>
                      </c:pt>
                      <c:pt idx="43">
                        <c:v>650</c:v>
                      </c:pt>
                      <c:pt idx="44">
                        <c:v>658</c:v>
                      </c:pt>
                      <c:pt idx="45">
                        <c:v>666</c:v>
                      </c:pt>
                      <c:pt idx="46">
                        <c:v>674</c:v>
                      </c:pt>
                      <c:pt idx="47">
                        <c:v>682</c:v>
                      </c:pt>
                      <c:pt idx="48">
                        <c:v>690</c:v>
                      </c:pt>
                      <c:pt idx="49">
                        <c:v>698</c:v>
                      </c:pt>
                      <c:pt idx="50">
                        <c:v>706</c:v>
                      </c:pt>
                      <c:pt idx="51">
                        <c:v>714</c:v>
                      </c:pt>
                      <c:pt idx="52">
                        <c:v>722</c:v>
                      </c:pt>
                      <c:pt idx="53">
                        <c:v>730</c:v>
                      </c:pt>
                      <c:pt idx="54">
                        <c:v>738</c:v>
                      </c:pt>
                      <c:pt idx="55">
                        <c:v>746</c:v>
                      </c:pt>
                      <c:pt idx="56">
                        <c:v>754</c:v>
                      </c:pt>
                      <c:pt idx="57">
                        <c:v>762</c:v>
                      </c:pt>
                      <c:pt idx="58">
                        <c:v>770</c:v>
                      </c:pt>
                      <c:pt idx="59">
                        <c:v>778</c:v>
                      </c:pt>
                      <c:pt idx="60">
                        <c:v>786</c:v>
                      </c:pt>
                      <c:pt idx="61">
                        <c:v>794</c:v>
                      </c:pt>
                      <c:pt idx="62">
                        <c:v>802</c:v>
                      </c:pt>
                      <c:pt idx="63">
                        <c:v>810</c:v>
                      </c:pt>
                      <c:pt idx="64">
                        <c:v>818</c:v>
                      </c:pt>
                      <c:pt idx="65">
                        <c:v>826</c:v>
                      </c:pt>
                      <c:pt idx="66">
                        <c:v>834</c:v>
                      </c:pt>
                      <c:pt idx="67">
                        <c:v>842</c:v>
                      </c:pt>
                      <c:pt idx="68">
                        <c:v>850</c:v>
                      </c:pt>
                      <c:pt idx="69">
                        <c:v>858</c:v>
                      </c:pt>
                      <c:pt idx="70">
                        <c:v>866</c:v>
                      </c:pt>
                      <c:pt idx="71">
                        <c:v>874</c:v>
                      </c:pt>
                      <c:pt idx="72">
                        <c:v>882</c:v>
                      </c:pt>
                      <c:pt idx="73">
                        <c:v>890</c:v>
                      </c:pt>
                      <c:pt idx="74">
                        <c:v>898</c:v>
                      </c:pt>
                      <c:pt idx="75">
                        <c:v>906</c:v>
                      </c:pt>
                      <c:pt idx="76">
                        <c:v>914</c:v>
                      </c:pt>
                      <c:pt idx="77">
                        <c:v>922</c:v>
                      </c:pt>
                      <c:pt idx="78">
                        <c:v>930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EVALUATION!$B$135:$CP$135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-15.512792792792792</c:v>
                      </c:pt>
                      <c:pt idx="1">
                        <c:v>-15.013093093093092</c:v>
                      </c:pt>
                      <c:pt idx="2">
                        <c:v>-14.513393393393393</c:v>
                      </c:pt>
                      <c:pt idx="3">
                        <c:v>-14.013693693693693</c:v>
                      </c:pt>
                      <c:pt idx="4" formatCode="General">
                        <c:v>-13.456826347305389</c:v>
                      </c:pt>
                      <c:pt idx="5" formatCode="General">
                        <c:v>-12.886766467065867</c:v>
                      </c:pt>
                      <c:pt idx="6" formatCode="General">
                        <c:v>-12.316706586826346</c:v>
                      </c:pt>
                      <c:pt idx="7" formatCode="General">
                        <c:v>-11.746646706586823</c:v>
                      </c:pt>
                      <c:pt idx="8" formatCode="General">
                        <c:v>-11.204988023952094</c:v>
                      </c:pt>
                      <c:pt idx="9" formatCode="General">
                        <c:v>-10.679479041916167</c:v>
                      </c:pt>
                      <c:pt idx="10" formatCode="General">
                        <c:v>-10.153970059880239</c:v>
                      </c:pt>
                      <c:pt idx="11" formatCode="General">
                        <c:v>-9.628461077844312</c:v>
                      </c:pt>
                      <c:pt idx="12" formatCode="General">
                        <c:v>-9.1539101796407198</c:v>
                      </c:pt>
                      <c:pt idx="13" formatCode="General">
                        <c:v>-8.7385808383233528</c:v>
                      </c:pt>
                      <c:pt idx="14" formatCode="General">
                        <c:v>-8.3232514970059874</c:v>
                      </c:pt>
                      <c:pt idx="15" formatCode="General">
                        <c:v>-7.9079221556886221</c:v>
                      </c:pt>
                      <c:pt idx="16" formatCode="General">
                        <c:v>-7.5390748502994009</c:v>
                      </c:pt>
                      <c:pt idx="17" formatCode="General">
                        <c:v>-7.2854221556886225</c:v>
                      </c:pt>
                      <c:pt idx="18" formatCode="General">
                        <c:v>-7.031769461077845</c:v>
                      </c:pt>
                      <c:pt idx="19" formatCode="General">
                        <c:v>-6.7781167664670665</c:v>
                      </c:pt>
                      <c:pt idx="20" formatCode="General">
                        <c:v>-6.5428413173652693</c:v>
                      </c:pt>
                      <c:pt idx="21" formatCode="General">
                        <c:v>-6.4525419161676645</c:v>
                      </c:pt>
                      <c:pt idx="22" formatCode="General">
                        <c:v>-6.3622425149700597</c:v>
                      </c:pt>
                      <c:pt idx="23" formatCode="General">
                        <c:v>-6.2719431137724548</c:v>
                      </c:pt>
                      <c:pt idx="24" formatCode="General">
                        <c:v>-6.18164371257485</c:v>
                      </c:pt>
                      <c:pt idx="25" formatCode="General">
                        <c:v>-6.3239729729729737</c:v>
                      </c:pt>
                      <c:pt idx="26" formatCode="General">
                        <c:v>-6.4818108108108117</c:v>
                      </c:pt>
                      <c:pt idx="27" formatCode="General">
                        <c:v>-6.6396486486486497</c:v>
                      </c:pt>
                      <c:pt idx="28" formatCode="General">
                        <c:v>-6.7974864864864877</c:v>
                      </c:pt>
                      <c:pt idx="29" formatCode="General">
                        <c:v>-6.8348562874251497</c:v>
                      </c:pt>
                      <c:pt idx="30" formatCode="General">
                        <c:v>-6.8372514970059886</c:v>
                      </c:pt>
                      <c:pt idx="31" formatCode="General">
                        <c:v>-6.8396467065868265</c:v>
                      </c:pt>
                      <c:pt idx="32" formatCode="General">
                        <c:v>-6.8420419161676644</c:v>
                      </c:pt>
                      <c:pt idx="33" formatCode="General">
                        <c:v>-6.8517664670658682</c:v>
                      </c:pt>
                      <c:pt idx="34" formatCode="General">
                        <c:v>-6.866377245508982</c:v>
                      </c:pt>
                      <c:pt idx="35" formatCode="General">
                        <c:v>-6.8809880239520957</c:v>
                      </c:pt>
                      <c:pt idx="36" formatCode="General">
                        <c:v>-6.8955988023952095</c:v>
                      </c:pt>
                      <c:pt idx="37" formatCode="General">
                        <c:v>-6.911838323353293</c:v>
                      </c:pt>
                      <c:pt idx="38" formatCode="General">
                        <c:v>-6.930281437125748</c:v>
                      </c:pt>
                      <c:pt idx="39" formatCode="General">
                        <c:v>-6.9487245508982038</c:v>
                      </c:pt>
                      <c:pt idx="40" formatCode="General">
                        <c:v>-6.9671676646706588</c:v>
                      </c:pt>
                      <c:pt idx="41" formatCode="General">
                        <c:v>-6.9858502994011973</c:v>
                      </c:pt>
                      <c:pt idx="42" formatCode="General">
                        <c:v>-7.0052514970059878</c:v>
                      </c:pt>
                      <c:pt idx="43" formatCode="General">
                        <c:v>-7.0246526946107783</c:v>
                      </c:pt>
                      <c:pt idx="44" formatCode="General">
                        <c:v>-7.0440538922155689</c:v>
                      </c:pt>
                      <c:pt idx="45" formatCode="General">
                        <c:v>-7.0634550898203594</c:v>
                      </c:pt>
                      <c:pt idx="46" formatCode="General">
                        <c:v>-7.0828562874251499</c:v>
                      </c:pt>
                      <c:pt idx="47" formatCode="General">
                        <c:v>-7.1022574850299405</c:v>
                      </c:pt>
                      <c:pt idx="48" formatCode="General">
                        <c:v>-7.1216586826347301</c:v>
                      </c:pt>
                      <c:pt idx="49" formatCode="General">
                        <c:v>-7.1410598802395207</c:v>
                      </c:pt>
                      <c:pt idx="50" formatCode="General">
                        <c:v>-7.1602584269662923</c:v>
                      </c:pt>
                      <c:pt idx="51" formatCode="General">
                        <c:v>-7.1794344569288393</c:v>
                      </c:pt>
                      <c:pt idx="52" formatCode="General">
                        <c:v>-7.1986104868913854</c:v>
                      </c:pt>
                      <c:pt idx="53" formatCode="General">
                        <c:v>-7.2177865168539324</c:v>
                      </c:pt>
                      <c:pt idx="54" formatCode="General">
                        <c:v>-7.2369625468164793</c:v>
                      </c:pt>
                      <c:pt idx="55" formatCode="General">
                        <c:v>-7.2561385767790263</c:v>
                      </c:pt>
                      <c:pt idx="56" formatCode="General">
                        <c:v>-7.2753146067415733</c:v>
                      </c:pt>
                      <c:pt idx="57" formatCode="General">
                        <c:v>-7.2944906367041202</c:v>
                      </c:pt>
                      <c:pt idx="58" formatCode="General">
                        <c:v>-7.3136666666666663</c:v>
                      </c:pt>
                      <c:pt idx="59" formatCode="General">
                        <c:v>-7.3328426966292133</c:v>
                      </c:pt>
                      <c:pt idx="60" formatCode="General">
                        <c:v>-7.3520187265917603</c:v>
                      </c:pt>
                      <c:pt idx="61" formatCode="General">
                        <c:v>-7.3711947565543072</c:v>
                      </c:pt>
                      <c:pt idx="62" formatCode="General">
                        <c:v>-7.3903707865168542</c:v>
                      </c:pt>
                      <c:pt idx="63" formatCode="General">
                        <c:v>-7.4095468164794012</c:v>
                      </c:pt>
                      <c:pt idx="64" formatCode="General">
                        <c:v>-7.4287228464419481</c:v>
                      </c:pt>
                      <c:pt idx="65" formatCode="General">
                        <c:v>-7.4478988764044942</c:v>
                      </c:pt>
                      <c:pt idx="66" formatCode="General">
                        <c:v>-7.4668456928838953</c:v>
                      </c:pt>
                      <c:pt idx="67" formatCode="General">
                        <c:v>-7.484943071161049</c:v>
                      </c:pt>
                      <c:pt idx="68" formatCode="General">
                        <c:v>-7.5030404494382026</c:v>
                      </c:pt>
                      <c:pt idx="69" formatCode="General">
                        <c:v>-7.5211378277153562</c:v>
                      </c:pt>
                      <c:pt idx="70" formatCode="General">
                        <c:v>-7.5392352059925098</c:v>
                      </c:pt>
                      <c:pt idx="71" formatCode="General">
                        <c:v>-7.5573325842696626</c:v>
                      </c:pt>
                      <c:pt idx="72" formatCode="General">
                        <c:v>-7.5754299625468162</c:v>
                      </c:pt>
                      <c:pt idx="73" formatCode="General">
                        <c:v>-7.5935273408239699</c:v>
                      </c:pt>
                      <c:pt idx="74" formatCode="General">
                        <c:v>-7.6116247191011235</c:v>
                      </c:pt>
                      <c:pt idx="75" formatCode="General">
                        <c:v>-7.6297220973782771</c:v>
                      </c:pt>
                      <c:pt idx="76" formatCode="General">
                        <c:v>-7.6478194756554307</c:v>
                      </c:pt>
                      <c:pt idx="77" formatCode="General">
                        <c:v>-7.6659168539325844</c:v>
                      </c:pt>
                      <c:pt idx="78" formatCode="General">
                        <c:v>-7.684014232209738</c:v>
                      </c:pt>
                      <c:pt idx="79" formatCode="General">
                        <c:v>-7.7021116104868916</c:v>
                      </c:pt>
                      <c:pt idx="80" formatCode="General">
                        <c:v>-7.7202089887640444</c:v>
                      </c:pt>
                      <c:pt idx="81" formatCode="General">
                        <c:v>-7.738306367041198</c:v>
                      </c:pt>
                      <c:pt idx="82" formatCode="General">
                        <c:v>-7.7564037453183516</c:v>
                      </c:pt>
                      <c:pt idx="83" formatCode="General">
                        <c:v>-7.7739234234234234</c:v>
                      </c:pt>
                      <c:pt idx="84" formatCode="General">
                        <c:v>-7.7909204204204201</c:v>
                      </c:pt>
                      <c:pt idx="85" formatCode="General">
                        <c:v>-7.8079174174174168</c:v>
                      </c:pt>
                      <c:pt idx="86" formatCode="General">
                        <c:v>-7.8249144144144145</c:v>
                      </c:pt>
                      <c:pt idx="87" formatCode="General">
                        <c:v>-64.814138613861388</c:v>
                      </c:pt>
                      <c:pt idx="88" formatCode="General">
                        <c:v>-65.022059405940595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8-35EF-46D6-A94F-2517E60135C4}"/>
                  </c:ext>
                </c:extLst>
              </c15:ser>
            </c15:filteredScatterSeries>
            <c15:filteredScatterSeries>
              <c15:ser>
                <c:idx val="33"/>
                <c:order val="35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306</c:v>
                      </c:pt>
                      <c:pt idx="1">
                        <c:v>314</c:v>
                      </c:pt>
                      <c:pt idx="2">
                        <c:v>322</c:v>
                      </c:pt>
                      <c:pt idx="3">
                        <c:v>330</c:v>
                      </c:pt>
                      <c:pt idx="4">
                        <c:v>338</c:v>
                      </c:pt>
                      <c:pt idx="5">
                        <c:v>346</c:v>
                      </c:pt>
                      <c:pt idx="6">
                        <c:v>354</c:v>
                      </c:pt>
                      <c:pt idx="7">
                        <c:v>362</c:v>
                      </c:pt>
                      <c:pt idx="8">
                        <c:v>370</c:v>
                      </c:pt>
                      <c:pt idx="9">
                        <c:v>378</c:v>
                      </c:pt>
                      <c:pt idx="10">
                        <c:v>386</c:v>
                      </c:pt>
                      <c:pt idx="11">
                        <c:v>394</c:v>
                      </c:pt>
                      <c:pt idx="12">
                        <c:v>402</c:v>
                      </c:pt>
                      <c:pt idx="13">
                        <c:v>410</c:v>
                      </c:pt>
                      <c:pt idx="14">
                        <c:v>418</c:v>
                      </c:pt>
                      <c:pt idx="15">
                        <c:v>426</c:v>
                      </c:pt>
                      <c:pt idx="16">
                        <c:v>434</c:v>
                      </c:pt>
                      <c:pt idx="17">
                        <c:v>442</c:v>
                      </c:pt>
                      <c:pt idx="18">
                        <c:v>450</c:v>
                      </c:pt>
                      <c:pt idx="19">
                        <c:v>458</c:v>
                      </c:pt>
                      <c:pt idx="20">
                        <c:v>466</c:v>
                      </c:pt>
                      <c:pt idx="21">
                        <c:v>474</c:v>
                      </c:pt>
                      <c:pt idx="22">
                        <c:v>482</c:v>
                      </c:pt>
                      <c:pt idx="23">
                        <c:v>490</c:v>
                      </c:pt>
                      <c:pt idx="24">
                        <c:v>498</c:v>
                      </c:pt>
                      <c:pt idx="25">
                        <c:v>506</c:v>
                      </c:pt>
                      <c:pt idx="26">
                        <c:v>514</c:v>
                      </c:pt>
                      <c:pt idx="27">
                        <c:v>522</c:v>
                      </c:pt>
                      <c:pt idx="28">
                        <c:v>530</c:v>
                      </c:pt>
                      <c:pt idx="29">
                        <c:v>538</c:v>
                      </c:pt>
                      <c:pt idx="30">
                        <c:v>546</c:v>
                      </c:pt>
                      <c:pt idx="31">
                        <c:v>554</c:v>
                      </c:pt>
                      <c:pt idx="32">
                        <c:v>562</c:v>
                      </c:pt>
                      <c:pt idx="33">
                        <c:v>570</c:v>
                      </c:pt>
                      <c:pt idx="34">
                        <c:v>578</c:v>
                      </c:pt>
                      <c:pt idx="35">
                        <c:v>586</c:v>
                      </c:pt>
                      <c:pt idx="36">
                        <c:v>594</c:v>
                      </c:pt>
                      <c:pt idx="37">
                        <c:v>602</c:v>
                      </c:pt>
                      <c:pt idx="38">
                        <c:v>610</c:v>
                      </c:pt>
                      <c:pt idx="39">
                        <c:v>618</c:v>
                      </c:pt>
                      <c:pt idx="40">
                        <c:v>626</c:v>
                      </c:pt>
                      <c:pt idx="41">
                        <c:v>634</c:v>
                      </c:pt>
                      <c:pt idx="42">
                        <c:v>642</c:v>
                      </c:pt>
                      <c:pt idx="43">
                        <c:v>650</c:v>
                      </c:pt>
                      <c:pt idx="44">
                        <c:v>658</c:v>
                      </c:pt>
                      <c:pt idx="45">
                        <c:v>666</c:v>
                      </c:pt>
                      <c:pt idx="46">
                        <c:v>674</c:v>
                      </c:pt>
                      <c:pt idx="47">
                        <c:v>682</c:v>
                      </c:pt>
                      <c:pt idx="48">
                        <c:v>690</c:v>
                      </c:pt>
                      <c:pt idx="49">
                        <c:v>698</c:v>
                      </c:pt>
                      <c:pt idx="50">
                        <c:v>706</c:v>
                      </c:pt>
                      <c:pt idx="51">
                        <c:v>714</c:v>
                      </c:pt>
                      <c:pt idx="52">
                        <c:v>722</c:v>
                      </c:pt>
                      <c:pt idx="53">
                        <c:v>730</c:v>
                      </c:pt>
                      <c:pt idx="54">
                        <c:v>738</c:v>
                      </c:pt>
                      <c:pt idx="55">
                        <c:v>746</c:v>
                      </c:pt>
                      <c:pt idx="56">
                        <c:v>754</c:v>
                      </c:pt>
                      <c:pt idx="57">
                        <c:v>762</c:v>
                      </c:pt>
                      <c:pt idx="58">
                        <c:v>770</c:v>
                      </c:pt>
                      <c:pt idx="59">
                        <c:v>778</c:v>
                      </c:pt>
                      <c:pt idx="60">
                        <c:v>786</c:v>
                      </c:pt>
                      <c:pt idx="61">
                        <c:v>794</c:v>
                      </c:pt>
                      <c:pt idx="62">
                        <c:v>802</c:v>
                      </c:pt>
                      <c:pt idx="63">
                        <c:v>810</c:v>
                      </c:pt>
                      <c:pt idx="64">
                        <c:v>818</c:v>
                      </c:pt>
                      <c:pt idx="65">
                        <c:v>826</c:v>
                      </c:pt>
                      <c:pt idx="66">
                        <c:v>834</c:v>
                      </c:pt>
                      <c:pt idx="67">
                        <c:v>842</c:v>
                      </c:pt>
                      <c:pt idx="68">
                        <c:v>850</c:v>
                      </c:pt>
                      <c:pt idx="69">
                        <c:v>858</c:v>
                      </c:pt>
                      <c:pt idx="70">
                        <c:v>866</c:v>
                      </c:pt>
                      <c:pt idx="71">
                        <c:v>874</c:v>
                      </c:pt>
                      <c:pt idx="72">
                        <c:v>882</c:v>
                      </c:pt>
                      <c:pt idx="73">
                        <c:v>890</c:v>
                      </c:pt>
                      <c:pt idx="74">
                        <c:v>898</c:v>
                      </c:pt>
                      <c:pt idx="75">
                        <c:v>906</c:v>
                      </c:pt>
                      <c:pt idx="76">
                        <c:v>914</c:v>
                      </c:pt>
                      <c:pt idx="77">
                        <c:v>922</c:v>
                      </c:pt>
                      <c:pt idx="78">
                        <c:v>930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EVALUATION!$B$136:$CP$136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-18.877657657657657</c:v>
                      </c:pt>
                      <c:pt idx="1">
                        <c:v>-18.875255255255254</c:v>
                      </c:pt>
                      <c:pt idx="2">
                        <c:v>-18.872852852852855</c:v>
                      </c:pt>
                      <c:pt idx="3">
                        <c:v>-18.870450450450452</c:v>
                      </c:pt>
                      <c:pt idx="4" formatCode="General">
                        <c:v>-18.875838323353292</c:v>
                      </c:pt>
                      <c:pt idx="5" formatCode="General">
                        <c:v>-18.883023952095808</c:v>
                      </c:pt>
                      <c:pt idx="6" formatCode="General">
                        <c:v>-18.890209580838324</c:v>
                      </c:pt>
                      <c:pt idx="7" formatCode="General">
                        <c:v>-18.897395209580836</c:v>
                      </c:pt>
                      <c:pt idx="8" formatCode="General">
                        <c:v>-18.906107784431136</c:v>
                      </c:pt>
                      <c:pt idx="9" formatCode="General">
                        <c:v>-18.915688622754491</c:v>
                      </c:pt>
                      <c:pt idx="10" formatCode="General">
                        <c:v>-18.925269461077846</c:v>
                      </c:pt>
                      <c:pt idx="11" formatCode="General">
                        <c:v>-18.934850299401198</c:v>
                      </c:pt>
                      <c:pt idx="12" formatCode="General">
                        <c:v>-18.945538922155688</c:v>
                      </c:pt>
                      <c:pt idx="13" formatCode="General">
                        <c:v>-18.957514970059879</c:v>
                      </c:pt>
                      <c:pt idx="14" formatCode="General">
                        <c:v>-18.969491017964071</c:v>
                      </c:pt>
                      <c:pt idx="15" formatCode="General">
                        <c:v>-18.981467065868262</c:v>
                      </c:pt>
                      <c:pt idx="16" formatCode="General">
                        <c:v>-18.993443113772454</c:v>
                      </c:pt>
                      <c:pt idx="17" formatCode="General">
                        <c:v>-19.005419161676645</c:v>
                      </c:pt>
                      <c:pt idx="18" formatCode="General">
                        <c:v>-19.017395209580837</c:v>
                      </c:pt>
                      <c:pt idx="19" formatCode="General">
                        <c:v>-19.029371257485028</c:v>
                      </c:pt>
                      <c:pt idx="20" formatCode="General">
                        <c:v>-19.040808383233532</c:v>
                      </c:pt>
                      <c:pt idx="21" formatCode="General">
                        <c:v>-19.047994011976048</c:v>
                      </c:pt>
                      <c:pt idx="22" formatCode="General">
                        <c:v>-19.055179640718563</c:v>
                      </c:pt>
                      <c:pt idx="23" formatCode="General">
                        <c:v>-19.062365269461079</c:v>
                      </c:pt>
                      <c:pt idx="24" formatCode="General">
                        <c:v>-19.069550898203595</c:v>
                      </c:pt>
                      <c:pt idx="25" formatCode="General">
                        <c:v>-19.045225225225227</c:v>
                      </c:pt>
                      <c:pt idx="26" formatCode="General">
                        <c:v>-19.018798798798798</c:v>
                      </c:pt>
                      <c:pt idx="27" formatCode="General">
                        <c:v>-18.992372372372373</c:v>
                      </c:pt>
                      <c:pt idx="28" formatCode="General">
                        <c:v>-18.965945945945947</c:v>
                      </c:pt>
                      <c:pt idx="29" formatCode="General">
                        <c:v>-18.972994011976049</c:v>
                      </c:pt>
                      <c:pt idx="30" formatCode="General">
                        <c:v>-18.989760479041916</c:v>
                      </c:pt>
                      <c:pt idx="31" formatCode="General">
                        <c:v>-19.006526946107787</c:v>
                      </c:pt>
                      <c:pt idx="32" formatCode="General">
                        <c:v>-19.023293413173654</c:v>
                      </c:pt>
                      <c:pt idx="33" formatCode="General">
                        <c:v>-19.040059880239522</c:v>
                      </c:pt>
                      <c:pt idx="34" formatCode="General">
                        <c:v>-19.056826347305389</c:v>
                      </c:pt>
                      <c:pt idx="35" formatCode="General">
                        <c:v>-19.07359281437126</c:v>
                      </c:pt>
                      <c:pt idx="36" formatCode="General">
                        <c:v>-19.090359281437127</c:v>
                      </c:pt>
                      <c:pt idx="37" formatCode="General">
                        <c:v>-19.107125748502995</c:v>
                      </c:pt>
                      <c:pt idx="38" formatCode="General">
                        <c:v>-19.123892215568866</c:v>
                      </c:pt>
                      <c:pt idx="39" formatCode="General">
                        <c:v>-19.140658682634733</c:v>
                      </c:pt>
                      <c:pt idx="40" formatCode="General">
                        <c:v>-19.1574251497006</c:v>
                      </c:pt>
                      <c:pt idx="41" formatCode="General">
                        <c:v>-19.174191616766468</c:v>
                      </c:pt>
                      <c:pt idx="42" formatCode="General">
                        <c:v>-19.190958083832335</c:v>
                      </c:pt>
                      <c:pt idx="43" formatCode="General">
                        <c:v>-19.207724550898202</c:v>
                      </c:pt>
                      <c:pt idx="44" formatCode="General">
                        <c:v>-19.22449101796407</c:v>
                      </c:pt>
                      <c:pt idx="45" formatCode="General">
                        <c:v>-19.241257485029937</c:v>
                      </c:pt>
                      <c:pt idx="46" formatCode="General">
                        <c:v>-19.258023952095808</c:v>
                      </c:pt>
                      <c:pt idx="47" formatCode="General">
                        <c:v>-19.274790419161675</c:v>
                      </c:pt>
                      <c:pt idx="48" formatCode="General">
                        <c:v>-19.291556886227543</c:v>
                      </c:pt>
                      <c:pt idx="49" formatCode="General">
                        <c:v>-19.30832335329341</c:v>
                      </c:pt>
                      <c:pt idx="50" formatCode="General">
                        <c:v>-19.324022471910112</c:v>
                      </c:pt>
                      <c:pt idx="51" formatCode="General">
                        <c:v>-19.33960299625468</c:v>
                      </c:pt>
                      <c:pt idx="52" formatCode="General">
                        <c:v>-19.355183520599251</c:v>
                      </c:pt>
                      <c:pt idx="53" formatCode="General">
                        <c:v>-19.370764044943819</c:v>
                      </c:pt>
                      <c:pt idx="54" formatCode="General">
                        <c:v>-19.38634456928839</c:v>
                      </c:pt>
                      <c:pt idx="55" formatCode="General">
                        <c:v>-19.401925093632958</c:v>
                      </c:pt>
                      <c:pt idx="56" formatCode="General">
                        <c:v>-19.417505617977529</c:v>
                      </c:pt>
                      <c:pt idx="57" formatCode="General">
                        <c:v>-19.433086142322097</c:v>
                      </c:pt>
                      <c:pt idx="58" formatCode="General">
                        <c:v>-19.448666666666668</c:v>
                      </c:pt>
                      <c:pt idx="59" formatCode="General">
                        <c:v>-19.464247191011236</c:v>
                      </c:pt>
                      <c:pt idx="60" formatCode="General">
                        <c:v>-19.479827715355807</c:v>
                      </c:pt>
                      <c:pt idx="61" formatCode="General">
                        <c:v>-19.495408239700375</c:v>
                      </c:pt>
                      <c:pt idx="62" formatCode="General">
                        <c:v>-19.510988764044942</c:v>
                      </c:pt>
                      <c:pt idx="63" formatCode="General">
                        <c:v>-19.526569288389513</c:v>
                      </c:pt>
                      <c:pt idx="64" formatCode="General">
                        <c:v>-19.542149812734081</c:v>
                      </c:pt>
                      <c:pt idx="65" formatCode="General">
                        <c:v>-19.557730337078652</c:v>
                      </c:pt>
                      <c:pt idx="66" formatCode="General">
                        <c:v>-19.573183520599251</c:v>
                      </c:pt>
                      <c:pt idx="67" formatCode="General">
                        <c:v>-19.58816479400749</c:v>
                      </c:pt>
                      <c:pt idx="68" formatCode="General">
                        <c:v>-19.603146067415732</c:v>
                      </c:pt>
                      <c:pt idx="69" formatCode="General">
                        <c:v>-19.618127340823971</c:v>
                      </c:pt>
                      <c:pt idx="70" formatCode="General">
                        <c:v>-19.63310861423221</c:v>
                      </c:pt>
                      <c:pt idx="71" formatCode="General">
                        <c:v>-19.648089887640449</c:v>
                      </c:pt>
                      <c:pt idx="72" formatCode="General">
                        <c:v>-19.663071161048691</c:v>
                      </c:pt>
                      <c:pt idx="73" formatCode="General">
                        <c:v>-19.67805243445693</c:v>
                      </c:pt>
                      <c:pt idx="74" formatCode="General">
                        <c:v>-19.693033707865169</c:v>
                      </c:pt>
                      <c:pt idx="75" formatCode="General">
                        <c:v>-19.708014981273408</c:v>
                      </c:pt>
                      <c:pt idx="76" formatCode="General">
                        <c:v>-19.722996254681647</c:v>
                      </c:pt>
                      <c:pt idx="77" formatCode="General">
                        <c:v>-19.737977528089889</c:v>
                      </c:pt>
                      <c:pt idx="78" formatCode="General">
                        <c:v>-19.752958801498128</c:v>
                      </c:pt>
                      <c:pt idx="79" formatCode="General">
                        <c:v>-19.767940074906367</c:v>
                      </c:pt>
                      <c:pt idx="80" formatCode="General">
                        <c:v>-19.782921348314606</c:v>
                      </c:pt>
                      <c:pt idx="81" formatCode="General">
                        <c:v>-19.797902621722848</c:v>
                      </c:pt>
                      <c:pt idx="82" formatCode="General">
                        <c:v>-19.812883895131087</c:v>
                      </c:pt>
                      <c:pt idx="83" formatCode="General">
                        <c:v>-19.827252252252254</c:v>
                      </c:pt>
                      <c:pt idx="84" formatCode="General">
                        <c:v>-19.841066066066066</c:v>
                      </c:pt>
                      <c:pt idx="85" formatCode="General">
                        <c:v>-19.854879879879881</c:v>
                      </c:pt>
                      <c:pt idx="86" formatCode="General">
                        <c:v>-19.868693693693693</c:v>
                      </c:pt>
                      <c:pt idx="87" formatCode="General">
                        <c:v>-102.44289108910891</c:v>
                      </c:pt>
                      <c:pt idx="88" formatCode="General">
                        <c:v>-102.77952475247524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9-35EF-46D6-A94F-2517E60135C4}"/>
                  </c:ext>
                </c:extLst>
              </c15:ser>
            </c15:filteredScatterSeries>
            <c15:filteredScatterSeries>
              <c15:ser>
                <c:idx val="34"/>
                <c:order val="36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306</c:v>
                      </c:pt>
                      <c:pt idx="1">
                        <c:v>314</c:v>
                      </c:pt>
                      <c:pt idx="2">
                        <c:v>322</c:v>
                      </c:pt>
                      <c:pt idx="3">
                        <c:v>330</c:v>
                      </c:pt>
                      <c:pt idx="4">
                        <c:v>338</c:v>
                      </c:pt>
                      <c:pt idx="5">
                        <c:v>346</c:v>
                      </c:pt>
                      <c:pt idx="6">
                        <c:v>354</c:v>
                      </c:pt>
                      <c:pt idx="7">
                        <c:v>362</c:v>
                      </c:pt>
                      <c:pt idx="8">
                        <c:v>370</c:v>
                      </c:pt>
                      <c:pt idx="9">
                        <c:v>378</c:v>
                      </c:pt>
                      <c:pt idx="10">
                        <c:v>386</c:v>
                      </c:pt>
                      <c:pt idx="11">
                        <c:v>394</c:v>
                      </c:pt>
                      <c:pt idx="12">
                        <c:v>402</c:v>
                      </c:pt>
                      <c:pt idx="13">
                        <c:v>410</c:v>
                      </c:pt>
                      <c:pt idx="14">
                        <c:v>418</c:v>
                      </c:pt>
                      <c:pt idx="15">
                        <c:v>426</c:v>
                      </c:pt>
                      <c:pt idx="16">
                        <c:v>434</c:v>
                      </c:pt>
                      <c:pt idx="17">
                        <c:v>442</c:v>
                      </c:pt>
                      <c:pt idx="18">
                        <c:v>450</c:v>
                      </c:pt>
                      <c:pt idx="19">
                        <c:v>458</c:v>
                      </c:pt>
                      <c:pt idx="20">
                        <c:v>466</c:v>
                      </c:pt>
                      <c:pt idx="21">
                        <c:v>474</c:v>
                      </c:pt>
                      <c:pt idx="22">
                        <c:v>482</c:v>
                      </c:pt>
                      <c:pt idx="23">
                        <c:v>490</c:v>
                      </c:pt>
                      <c:pt idx="24">
                        <c:v>498</c:v>
                      </c:pt>
                      <c:pt idx="25">
                        <c:v>506</c:v>
                      </c:pt>
                      <c:pt idx="26">
                        <c:v>514</c:v>
                      </c:pt>
                      <c:pt idx="27">
                        <c:v>522</c:v>
                      </c:pt>
                      <c:pt idx="28">
                        <c:v>530</c:v>
                      </c:pt>
                      <c:pt idx="29">
                        <c:v>538</c:v>
                      </c:pt>
                      <c:pt idx="30">
                        <c:v>546</c:v>
                      </c:pt>
                      <c:pt idx="31">
                        <c:v>554</c:v>
                      </c:pt>
                      <c:pt idx="32">
                        <c:v>562</c:v>
                      </c:pt>
                      <c:pt idx="33">
                        <c:v>570</c:v>
                      </c:pt>
                      <c:pt idx="34">
                        <c:v>578</c:v>
                      </c:pt>
                      <c:pt idx="35">
                        <c:v>586</c:v>
                      </c:pt>
                      <c:pt idx="36">
                        <c:v>594</c:v>
                      </c:pt>
                      <c:pt idx="37">
                        <c:v>602</c:v>
                      </c:pt>
                      <c:pt idx="38">
                        <c:v>610</c:v>
                      </c:pt>
                      <c:pt idx="39">
                        <c:v>618</c:v>
                      </c:pt>
                      <c:pt idx="40">
                        <c:v>626</c:v>
                      </c:pt>
                      <c:pt idx="41">
                        <c:v>634</c:v>
                      </c:pt>
                      <c:pt idx="42">
                        <c:v>642</c:v>
                      </c:pt>
                      <c:pt idx="43">
                        <c:v>650</c:v>
                      </c:pt>
                      <c:pt idx="44">
                        <c:v>658</c:v>
                      </c:pt>
                      <c:pt idx="45">
                        <c:v>666</c:v>
                      </c:pt>
                      <c:pt idx="46">
                        <c:v>674</c:v>
                      </c:pt>
                      <c:pt idx="47">
                        <c:v>682</c:v>
                      </c:pt>
                      <c:pt idx="48">
                        <c:v>690</c:v>
                      </c:pt>
                      <c:pt idx="49">
                        <c:v>698</c:v>
                      </c:pt>
                      <c:pt idx="50">
                        <c:v>706</c:v>
                      </c:pt>
                      <c:pt idx="51">
                        <c:v>714</c:v>
                      </c:pt>
                      <c:pt idx="52">
                        <c:v>722</c:v>
                      </c:pt>
                      <c:pt idx="53">
                        <c:v>730</c:v>
                      </c:pt>
                      <c:pt idx="54">
                        <c:v>738</c:v>
                      </c:pt>
                      <c:pt idx="55">
                        <c:v>746</c:v>
                      </c:pt>
                      <c:pt idx="56">
                        <c:v>754</c:v>
                      </c:pt>
                      <c:pt idx="57">
                        <c:v>762</c:v>
                      </c:pt>
                      <c:pt idx="58">
                        <c:v>770</c:v>
                      </c:pt>
                      <c:pt idx="59">
                        <c:v>778</c:v>
                      </c:pt>
                      <c:pt idx="60">
                        <c:v>786</c:v>
                      </c:pt>
                      <c:pt idx="61">
                        <c:v>794</c:v>
                      </c:pt>
                      <c:pt idx="62">
                        <c:v>802</c:v>
                      </c:pt>
                      <c:pt idx="63">
                        <c:v>810</c:v>
                      </c:pt>
                      <c:pt idx="64">
                        <c:v>818</c:v>
                      </c:pt>
                      <c:pt idx="65">
                        <c:v>826</c:v>
                      </c:pt>
                      <c:pt idx="66">
                        <c:v>834</c:v>
                      </c:pt>
                      <c:pt idx="67">
                        <c:v>842</c:v>
                      </c:pt>
                      <c:pt idx="68">
                        <c:v>850</c:v>
                      </c:pt>
                      <c:pt idx="69">
                        <c:v>858</c:v>
                      </c:pt>
                      <c:pt idx="70">
                        <c:v>866</c:v>
                      </c:pt>
                      <c:pt idx="71">
                        <c:v>874</c:v>
                      </c:pt>
                      <c:pt idx="72">
                        <c:v>882</c:v>
                      </c:pt>
                      <c:pt idx="73">
                        <c:v>890</c:v>
                      </c:pt>
                      <c:pt idx="74">
                        <c:v>898</c:v>
                      </c:pt>
                      <c:pt idx="75">
                        <c:v>906</c:v>
                      </c:pt>
                      <c:pt idx="76">
                        <c:v>914</c:v>
                      </c:pt>
                      <c:pt idx="77">
                        <c:v>922</c:v>
                      </c:pt>
                      <c:pt idx="78">
                        <c:v>930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EVALUATION!$B$137:$CP$137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-59.399279279279277</c:v>
                      </c:pt>
                      <c:pt idx="1">
                        <c:v>-58.495975975975981</c:v>
                      </c:pt>
                      <c:pt idx="2">
                        <c:v>-57.592672672672677</c:v>
                      </c:pt>
                      <c:pt idx="3">
                        <c:v>-56.689369369369373</c:v>
                      </c:pt>
                      <c:pt idx="4" formatCode="General">
                        <c:v>-56.091856287425152</c:v>
                      </c:pt>
                      <c:pt idx="5" formatCode="General">
                        <c:v>-55.564910179640719</c:v>
                      </c:pt>
                      <c:pt idx="6" formatCode="General">
                        <c:v>-55.037964071856287</c:v>
                      </c:pt>
                      <c:pt idx="7" formatCode="General">
                        <c:v>-54.511017964071854</c:v>
                      </c:pt>
                      <c:pt idx="8" formatCode="General">
                        <c:v>-54.110197604790422</c:v>
                      </c:pt>
                      <c:pt idx="9" formatCode="General">
                        <c:v>-53.781095808383235</c:v>
                      </c:pt>
                      <c:pt idx="10" formatCode="General">
                        <c:v>-53.451994011976048</c:v>
                      </c:pt>
                      <c:pt idx="11" formatCode="General">
                        <c:v>-53.122892215568861</c:v>
                      </c:pt>
                      <c:pt idx="12" formatCode="General">
                        <c:v>-52.840317365269463</c:v>
                      </c:pt>
                      <c:pt idx="13" formatCode="General">
                        <c:v>-52.611814371257488</c:v>
                      </c:pt>
                      <c:pt idx="14" formatCode="General">
                        <c:v>-52.383311377245512</c:v>
                      </c:pt>
                      <c:pt idx="15" formatCode="General">
                        <c:v>-52.154808383233537</c:v>
                      </c:pt>
                      <c:pt idx="16" formatCode="General">
                        <c:v>-51.959014970059883</c:v>
                      </c:pt>
                      <c:pt idx="17" formatCode="General">
                        <c:v>-51.84428443113773</c:v>
                      </c:pt>
                      <c:pt idx="18" formatCode="General">
                        <c:v>-51.72955389221557</c:v>
                      </c:pt>
                      <c:pt idx="19" formatCode="General">
                        <c:v>-51.61482335329341</c:v>
                      </c:pt>
                      <c:pt idx="20" formatCode="General">
                        <c:v>-51.519547904191612</c:v>
                      </c:pt>
                      <c:pt idx="21" formatCode="General">
                        <c:v>-51.577751497005984</c:v>
                      </c:pt>
                      <c:pt idx="22" formatCode="General">
                        <c:v>-51.635955089820357</c:v>
                      </c:pt>
                      <c:pt idx="23" formatCode="General">
                        <c:v>-51.694158682634729</c:v>
                      </c:pt>
                      <c:pt idx="24" formatCode="General">
                        <c:v>-51.752362275449102</c:v>
                      </c:pt>
                      <c:pt idx="25" formatCode="General">
                        <c:v>-52.016585585585588</c:v>
                      </c:pt>
                      <c:pt idx="26" formatCode="General">
                        <c:v>-52.29454354354354</c:v>
                      </c:pt>
                      <c:pt idx="27" formatCode="General">
                        <c:v>-52.572501501501499</c:v>
                      </c:pt>
                      <c:pt idx="28" formatCode="General">
                        <c:v>-52.850459459459458</c:v>
                      </c:pt>
                      <c:pt idx="29" formatCode="General">
                        <c:v>-53.09677245508982</c:v>
                      </c:pt>
                      <c:pt idx="30" formatCode="General">
                        <c:v>-53.333898203592817</c:v>
                      </c:pt>
                      <c:pt idx="31" formatCode="General">
                        <c:v>-53.571023952095814</c:v>
                      </c:pt>
                      <c:pt idx="32" formatCode="General">
                        <c:v>-53.808149700598804</c:v>
                      </c:pt>
                      <c:pt idx="33" formatCode="General">
                        <c:v>-54.055479041916172</c:v>
                      </c:pt>
                      <c:pt idx="34" formatCode="General">
                        <c:v>-54.309610778443115</c:v>
                      </c:pt>
                      <c:pt idx="35" formatCode="General">
                        <c:v>-54.563742514970059</c:v>
                      </c:pt>
                      <c:pt idx="36" formatCode="General">
                        <c:v>-54.817874251497003</c:v>
                      </c:pt>
                      <c:pt idx="37" formatCode="General">
                        <c:v>-55.069562874251496</c:v>
                      </c:pt>
                      <c:pt idx="38" formatCode="General">
                        <c:v>-55.317946107784429</c:v>
                      </c:pt>
                      <c:pt idx="39" formatCode="General">
                        <c:v>-55.56632934131737</c:v>
                      </c:pt>
                      <c:pt idx="40" formatCode="General">
                        <c:v>-55.814712574850304</c:v>
                      </c:pt>
                      <c:pt idx="41" formatCode="General">
                        <c:v>-56.063335329341321</c:v>
                      </c:pt>
                      <c:pt idx="42" formatCode="General">
                        <c:v>-56.312676646706592</c:v>
                      </c:pt>
                      <c:pt idx="43" formatCode="General">
                        <c:v>-56.562017964071856</c:v>
                      </c:pt>
                      <c:pt idx="44" formatCode="General">
                        <c:v>-56.81135928143712</c:v>
                      </c:pt>
                      <c:pt idx="45" formatCode="General">
                        <c:v>-57.060700598802391</c:v>
                      </c:pt>
                      <c:pt idx="46" formatCode="General">
                        <c:v>-57.310041916167663</c:v>
                      </c:pt>
                      <c:pt idx="47" formatCode="General">
                        <c:v>-57.559383233532934</c:v>
                      </c:pt>
                      <c:pt idx="48" formatCode="General">
                        <c:v>-57.808724550898205</c:v>
                      </c:pt>
                      <c:pt idx="49" formatCode="General">
                        <c:v>-58.058065868263469</c:v>
                      </c:pt>
                      <c:pt idx="50" formatCode="General">
                        <c:v>-58.295494382022468</c:v>
                      </c:pt>
                      <c:pt idx="51" formatCode="General">
                        <c:v>-58.531599250936331</c:v>
                      </c:pt>
                      <c:pt idx="52" formatCode="General">
                        <c:v>-58.767704119850187</c:v>
                      </c:pt>
                      <c:pt idx="53" formatCode="General">
                        <c:v>-59.003808988764042</c:v>
                      </c:pt>
                      <c:pt idx="54" formatCode="General">
                        <c:v>-59.239913857677905</c:v>
                      </c:pt>
                      <c:pt idx="55" formatCode="General">
                        <c:v>-59.476018726591761</c:v>
                      </c:pt>
                      <c:pt idx="56" formatCode="General">
                        <c:v>-59.712123595505616</c:v>
                      </c:pt>
                      <c:pt idx="57" formatCode="General">
                        <c:v>-59.948228464419479</c:v>
                      </c:pt>
                      <c:pt idx="58" formatCode="General">
                        <c:v>-60.184333333333335</c:v>
                      </c:pt>
                      <c:pt idx="59" formatCode="General">
                        <c:v>-60.42043820224719</c:v>
                      </c:pt>
                      <c:pt idx="60" formatCode="General">
                        <c:v>-60.656543071161053</c:v>
                      </c:pt>
                      <c:pt idx="61" formatCode="General">
                        <c:v>-60.892647940074909</c:v>
                      </c:pt>
                      <c:pt idx="62" formatCode="General">
                        <c:v>-61.128752808988764</c:v>
                      </c:pt>
                      <c:pt idx="63" formatCode="General">
                        <c:v>-61.364857677902627</c:v>
                      </c:pt>
                      <c:pt idx="64" formatCode="General">
                        <c:v>-61.600962546816483</c:v>
                      </c:pt>
                      <c:pt idx="65" formatCode="General">
                        <c:v>-61.837067415730338</c:v>
                      </c:pt>
                      <c:pt idx="66" formatCode="General">
                        <c:v>-62.070650936329592</c:v>
                      </c:pt>
                      <c:pt idx="67" formatCode="General">
                        <c:v>-62.294890636704125</c:v>
                      </c:pt>
                      <c:pt idx="68" formatCode="General">
                        <c:v>-62.519130337078657</c:v>
                      </c:pt>
                      <c:pt idx="69" formatCode="General">
                        <c:v>-62.74337003745319</c:v>
                      </c:pt>
                      <c:pt idx="70" formatCode="General">
                        <c:v>-62.967609737827722</c:v>
                      </c:pt>
                      <c:pt idx="71" formatCode="General">
                        <c:v>-63.191849438202254</c:v>
                      </c:pt>
                      <c:pt idx="72" formatCode="General">
                        <c:v>-63.41608913857678</c:v>
                      </c:pt>
                      <c:pt idx="73" formatCode="General">
                        <c:v>-63.640328838951312</c:v>
                      </c:pt>
                      <c:pt idx="74" formatCode="General">
                        <c:v>-63.864568539325845</c:v>
                      </c:pt>
                      <c:pt idx="75" formatCode="General">
                        <c:v>-64.088808239700384</c:v>
                      </c:pt>
                      <c:pt idx="76" formatCode="General">
                        <c:v>-64.31304794007491</c:v>
                      </c:pt>
                      <c:pt idx="77" formatCode="General">
                        <c:v>-64.537287640449435</c:v>
                      </c:pt>
                      <c:pt idx="78" formatCode="General">
                        <c:v>-64.761527340823974</c:v>
                      </c:pt>
                      <c:pt idx="79" formatCode="General">
                        <c:v>-64.9857670411985</c:v>
                      </c:pt>
                      <c:pt idx="80" formatCode="General">
                        <c:v>-65.210006741573039</c:v>
                      </c:pt>
                      <c:pt idx="81" formatCode="General">
                        <c:v>-65.434246441947565</c:v>
                      </c:pt>
                      <c:pt idx="82" formatCode="General">
                        <c:v>-65.658486142322104</c:v>
                      </c:pt>
                      <c:pt idx="83" formatCode="General">
                        <c:v>-65.876716216216224</c:v>
                      </c:pt>
                      <c:pt idx="84" formatCode="General">
                        <c:v>-66.089509009009006</c:v>
                      </c:pt>
                      <c:pt idx="85" formatCode="General">
                        <c:v>-66.302301801801804</c:v>
                      </c:pt>
                      <c:pt idx="86" formatCode="General">
                        <c:v>-66.515094594594601</c:v>
                      </c:pt>
                      <c:pt idx="87" formatCode="General">
                        <c:v>-44.975564356435648</c:v>
                      </c:pt>
                      <c:pt idx="88" formatCode="General">
                        <c:v>-45.122099009900992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A-35EF-46D6-A94F-2517E60135C4}"/>
                  </c:ext>
                </c:extLst>
              </c15:ser>
            </c15:filteredScatterSeries>
            <c15:filteredScatterSeries>
              <c15:ser>
                <c:idx val="35"/>
                <c:order val="37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306</c:v>
                      </c:pt>
                      <c:pt idx="1">
                        <c:v>314</c:v>
                      </c:pt>
                      <c:pt idx="2">
                        <c:v>322</c:v>
                      </c:pt>
                      <c:pt idx="3">
                        <c:v>330</c:v>
                      </c:pt>
                      <c:pt idx="4">
                        <c:v>338</c:v>
                      </c:pt>
                      <c:pt idx="5">
                        <c:v>346</c:v>
                      </c:pt>
                      <c:pt idx="6">
                        <c:v>354</c:v>
                      </c:pt>
                      <c:pt idx="7">
                        <c:v>362</c:v>
                      </c:pt>
                      <c:pt idx="8">
                        <c:v>370</c:v>
                      </c:pt>
                      <c:pt idx="9">
                        <c:v>378</c:v>
                      </c:pt>
                      <c:pt idx="10">
                        <c:v>386</c:v>
                      </c:pt>
                      <c:pt idx="11">
                        <c:v>394</c:v>
                      </c:pt>
                      <c:pt idx="12">
                        <c:v>402</c:v>
                      </c:pt>
                      <c:pt idx="13">
                        <c:v>410</c:v>
                      </c:pt>
                      <c:pt idx="14">
                        <c:v>418</c:v>
                      </c:pt>
                      <c:pt idx="15">
                        <c:v>426</c:v>
                      </c:pt>
                      <c:pt idx="16">
                        <c:v>434</c:v>
                      </c:pt>
                      <c:pt idx="17">
                        <c:v>442</c:v>
                      </c:pt>
                      <c:pt idx="18">
                        <c:v>450</c:v>
                      </c:pt>
                      <c:pt idx="19">
                        <c:v>458</c:v>
                      </c:pt>
                      <c:pt idx="20">
                        <c:v>466</c:v>
                      </c:pt>
                      <c:pt idx="21">
                        <c:v>474</c:v>
                      </c:pt>
                      <c:pt idx="22">
                        <c:v>482</c:v>
                      </c:pt>
                      <c:pt idx="23">
                        <c:v>490</c:v>
                      </c:pt>
                      <c:pt idx="24">
                        <c:v>498</c:v>
                      </c:pt>
                      <c:pt idx="25">
                        <c:v>506</c:v>
                      </c:pt>
                      <c:pt idx="26">
                        <c:v>514</c:v>
                      </c:pt>
                      <c:pt idx="27">
                        <c:v>522</c:v>
                      </c:pt>
                      <c:pt idx="28">
                        <c:v>530</c:v>
                      </c:pt>
                      <c:pt idx="29">
                        <c:v>538</c:v>
                      </c:pt>
                      <c:pt idx="30">
                        <c:v>546</c:v>
                      </c:pt>
                      <c:pt idx="31">
                        <c:v>554</c:v>
                      </c:pt>
                      <c:pt idx="32">
                        <c:v>562</c:v>
                      </c:pt>
                      <c:pt idx="33">
                        <c:v>570</c:v>
                      </c:pt>
                      <c:pt idx="34">
                        <c:v>578</c:v>
                      </c:pt>
                      <c:pt idx="35">
                        <c:v>586</c:v>
                      </c:pt>
                      <c:pt idx="36">
                        <c:v>594</c:v>
                      </c:pt>
                      <c:pt idx="37">
                        <c:v>602</c:v>
                      </c:pt>
                      <c:pt idx="38">
                        <c:v>610</c:v>
                      </c:pt>
                      <c:pt idx="39">
                        <c:v>618</c:v>
                      </c:pt>
                      <c:pt idx="40">
                        <c:v>626</c:v>
                      </c:pt>
                      <c:pt idx="41">
                        <c:v>634</c:v>
                      </c:pt>
                      <c:pt idx="42">
                        <c:v>642</c:v>
                      </c:pt>
                      <c:pt idx="43">
                        <c:v>650</c:v>
                      </c:pt>
                      <c:pt idx="44">
                        <c:v>658</c:v>
                      </c:pt>
                      <c:pt idx="45">
                        <c:v>666</c:v>
                      </c:pt>
                      <c:pt idx="46">
                        <c:v>674</c:v>
                      </c:pt>
                      <c:pt idx="47">
                        <c:v>682</c:v>
                      </c:pt>
                      <c:pt idx="48">
                        <c:v>690</c:v>
                      </c:pt>
                      <c:pt idx="49">
                        <c:v>698</c:v>
                      </c:pt>
                      <c:pt idx="50">
                        <c:v>706</c:v>
                      </c:pt>
                      <c:pt idx="51">
                        <c:v>714</c:v>
                      </c:pt>
                      <c:pt idx="52">
                        <c:v>722</c:v>
                      </c:pt>
                      <c:pt idx="53">
                        <c:v>730</c:v>
                      </c:pt>
                      <c:pt idx="54">
                        <c:v>738</c:v>
                      </c:pt>
                      <c:pt idx="55">
                        <c:v>746</c:v>
                      </c:pt>
                      <c:pt idx="56">
                        <c:v>754</c:v>
                      </c:pt>
                      <c:pt idx="57">
                        <c:v>762</c:v>
                      </c:pt>
                      <c:pt idx="58">
                        <c:v>770</c:v>
                      </c:pt>
                      <c:pt idx="59">
                        <c:v>778</c:v>
                      </c:pt>
                      <c:pt idx="60">
                        <c:v>786</c:v>
                      </c:pt>
                      <c:pt idx="61">
                        <c:v>794</c:v>
                      </c:pt>
                      <c:pt idx="62">
                        <c:v>802</c:v>
                      </c:pt>
                      <c:pt idx="63">
                        <c:v>810</c:v>
                      </c:pt>
                      <c:pt idx="64">
                        <c:v>818</c:v>
                      </c:pt>
                      <c:pt idx="65">
                        <c:v>826</c:v>
                      </c:pt>
                      <c:pt idx="66">
                        <c:v>834</c:v>
                      </c:pt>
                      <c:pt idx="67">
                        <c:v>842</c:v>
                      </c:pt>
                      <c:pt idx="68">
                        <c:v>850</c:v>
                      </c:pt>
                      <c:pt idx="69">
                        <c:v>858</c:v>
                      </c:pt>
                      <c:pt idx="70">
                        <c:v>866</c:v>
                      </c:pt>
                      <c:pt idx="71">
                        <c:v>874</c:v>
                      </c:pt>
                      <c:pt idx="72">
                        <c:v>882</c:v>
                      </c:pt>
                      <c:pt idx="73">
                        <c:v>890</c:v>
                      </c:pt>
                      <c:pt idx="74">
                        <c:v>898</c:v>
                      </c:pt>
                      <c:pt idx="75">
                        <c:v>906</c:v>
                      </c:pt>
                      <c:pt idx="76">
                        <c:v>914</c:v>
                      </c:pt>
                      <c:pt idx="77">
                        <c:v>922</c:v>
                      </c:pt>
                      <c:pt idx="78">
                        <c:v>930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EVALUATION!$B$138:$CP$138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-37.456036036036032</c:v>
                      </c:pt>
                      <c:pt idx="1">
                        <c:v>-36.754534534534535</c:v>
                      </c:pt>
                      <c:pt idx="2">
                        <c:v>-36.053033033033032</c:v>
                      </c:pt>
                      <c:pt idx="3">
                        <c:v>-35.351531531531528</c:v>
                      </c:pt>
                      <c:pt idx="4" formatCode="General">
                        <c:v>-34.77434131736527</c:v>
                      </c:pt>
                      <c:pt idx="5" formatCode="General">
                        <c:v>-34.225838323353294</c:v>
                      </c:pt>
                      <c:pt idx="6" formatCode="General">
                        <c:v>-33.677335329341318</c:v>
                      </c:pt>
                      <c:pt idx="7" formatCode="General">
                        <c:v>-33.128832335329342</c:v>
                      </c:pt>
                      <c:pt idx="8" formatCode="General">
                        <c:v>-32.657592814371256</c:v>
                      </c:pt>
                      <c:pt idx="9" formatCode="General">
                        <c:v>-32.230287425149697</c:v>
                      </c:pt>
                      <c:pt idx="10" formatCode="General">
                        <c:v>-31.802982035928146</c:v>
                      </c:pt>
                      <c:pt idx="11" formatCode="General">
                        <c:v>-31.375676646706587</c:v>
                      </c:pt>
                      <c:pt idx="12" formatCode="General">
                        <c:v>-30.997113772455091</c:v>
                      </c:pt>
                      <c:pt idx="13" formatCode="General">
                        <c:v>-30.675197604790419</c:v>
                      </c:pt>
                      <c:pt idx="14" formatCode="General">
                        <c:v>-30.353281437125748</c:v>
                      </c:pt>
                      <c:pt idx="15" formatCode="General">
                        <c:v>-30.031365269461077</c:v>
                      </c:pt>
                      <c:pt idx="16" formatCode="General">
                        <c:v>-29.749044910179641</c:v>
                      </c:pt>
                      <c:pt idx="17" formatCode="General">
                        <c:v>-29.564853293413172</c:v>
                      </c:pt>
                      <c:pt idx="18" formatCode="General">
                        <c:v>-29.380661676646707</c:v>
                      </c:pt>
                      <c:pt idx="19" formatCode="General">
                        <c:v>-29.196470059880241</c:v>
                      </c:pt>
                      <c:pt idx="20" formatCode="General">
                        <c:v>-29.031194610778446</c:v>
                      </c:pt>
                      <c:pt idx="21" formatCode="General">
                        <c:v>-29.015146706586826</c:v>
                      </c:pt>
                      <c:pt idx="22" formatCode="General">
                        <c:v>-28.99909880239521</c:v>
                      </c:pt>
                      <c:pt idx="23" formatCode="General">
                        <c:v>-28.983050898203594</c:v>
                      </c:pt>
                      <c:pt idx="24" formatCode="General">
                        <c:v>-28.967002994011978</c:v>
                      </c:pt>
                      <c:pt idx="25" formatCode="General">
                        <c:v>-29.170279279279281</c:v>
                      </c:pt>
                      <c:pt idx="26" formatCode="General">
                        <c:v>-29.388177177177177</c:v>
                      </c:pt>
                      <c:pt idx="27" formatCode="General">
                        <c:v>-29.606075075075076</c:v>
                      </c:pt>
                      <c:pt idx="28" formatCode="General">
                        <c:v>-29.823972972972971</c:v>
                      </c:pt>
                      <c:pt idx="29" formatCode="General">
                        <c:v>-29.965814371257483</c:v>
                      </c:pt>
                      <c:pt idx="30" formatCode="General">
                        <c:v>-30.085574850299402</c:v>
                      </c:pt>
                      <c:pt idx="31" formatCode="General">
                        <c:v>-30.205335329341317</c:v>
                      </c:pt>
                      <c:pt idx="32" formatCode="General">
                        <c:v>-30.325095808383235</c:v>
                      </c:pt>
                      <c:pt idx="33" formatCode="General">
                        <c:v>-30.453622754491018</c:v>
                      </c:pt>
                      <c:pt idx="34" formatCode="General">
                        <c:v>-30.587994011976047</c:v>
                      </c:pt>
                      <c:pt idx="35" formatCode="General">
                        <c:v>-30.722365269461079</c:v>
                      </c:pt>
                      <c:pt idx="36" formatCode="General">
                        <c:v>-30.856736526946108</c:v>
                      </c:pt>
                      <c:pt idx="37" formatCode="General">
                        <c:v>-30.990700598802395</c:v>
                      </c:pt>
                      <c:pt idx="38" formatCode="General">
                        <c:v>-31.12411377245509</c:v>
                      </c:pt>
                      <c:pt idx="39" formatCode="General">
                        <c:v>-31.257526946107784</c:v>
                      </c:pt>
                      <c:pt idx="40" formatCode="General">
                        <c:v>-31.390940119760479</c:v>
                      </c:pt>
                      <c:pt idx="41" formatCode="General">
                        <c:v>-31.524592814371257</c:v>
                      </c:pt>
                      <c:pt idx="42" formatCode="General">
                        <c:v>-31.658964071856285</c:v>
                      </c:pt>
                      <c:pt idx="43" formatCode="General">
                        <c:v>-31.793335329341318</c:v>
                      </c:pt>
                      <c:pt idx="44" formatCode="General">
                        <c:v>-31.927706586826346</c:v>
                      </c:pt>
                      <c:pt idx="45" formatCode="General">
                        <c:v>-32.062077844311375</c:v>
                      </c:pt>
                      <c:pt idx="46" formatCode="General">
                        <c:v>-32.196449101796411</c:v>
                      </c:pt>
                      <c:pt idx="47" formatCode="General">
                        <c:v>-32.330820359281439</c:v>
                      </c:pt>
                      <c:pt idx="48" formatCode="General">
                        <c:v>-32.465191616766468</c:v>
                      </c:pt>
                      <c:pt idx="49" formatCode="General">
                        <c:v>-32.599562874251497</c:v>
                      </c:pt>
                      <c:pt idx="50" formatCode="General">
                        <c:v>-32.727876404494381</c:v>
                      </c:pt>
                      <c:pt idx="51" formatCode="General">
                        <c:v>-32.855516853932585</c:v>
                      </c:pt>
                      <c:pt idx="52" formatCode="General">
                        <c:v>-32.983157303370788</c:v>
                      </c:pt>
                      <c:pt idx="53" formatCode="General">
                        <c:v>-33.110797752808992</c:v>
                      </c:pt>
                      <c:pt idx="54" formatCode="General">
                        <c:v>-33.238438202247195</c:v>
                      </c:pt>
                      <c:pt idx="55" formatCode="General">
                        <c:v>-33.366078651685392</c:v>
                      </c:pt>
                      <c:pt idx="56" formatCode="General">
                        <c:v>-33.493719101123595</c:v>
                      </c:pt>
                      <c:pt idx="57" formatCode="General">
                        <c:v>-33.621359550561799</c:v>
                      </c:pt>
                      <c:pt idx="58" formatCode="General">
                        <c:v>-33.749000000000002</c:v>
                      </c:pt>
                      <c:pt idx="59" formatCode="General">
                        <c:v>-33.876640449438206</c:v>
                      </c:pt>
                      <c:pt idx="60" formatCode="General">
                        <c:v>-34.004280898876409</c:v>
                      </c:pt>
                      <c:pt idx="61" formatCode="General">
                        <c:v>-34.131921348314606</c:v>
                      </c:pt>
                      <c:pt idx="62" formatCode="General">
                        <c:v>-34.259561797752809</c:v>
                      </c:pt>
                      <c:pt idx="63" formatCode="General">
                        <c:v>-34.387202247191013</c:v>
                      </c:pt>
                      <c:pt idx="64" formatCode="General">
                        <c:v>-34.514842696629216</c:v>
                      </c:pt>
                      <c:pt idx="65" formatCode="General">
                        <c:v>-34.64248314606742</c:v>
                      </c:pt>
                      <c:pt idx="66" formatCode="General">
                        <c:v>-34.768748314606746</c:v>
                      </c:pt>
                      <c:pt idx="67" formatCode="General">
                        <c:v>-34.88991685393259</c:v>
                      </c:pt>
                      <c:pt idx="68" formatCode="General">
                        <c:v>-35.011085393258426</c:v>
                      </c:pt>
                      <c:pt idx="69" formatCode="General">
                        <c:v>-35.13225393258427</c:v>
                      </c:pt>
                      <c:pt idx="70" formatCode="General">
                        <c:v>-35.253422471910113</c:v>
                      </c:pt>
                      <c:pt idx="71" formatCode="General">
                        <c:v>-35.374591011235957</c:v>
                      </c:pt>
                      <c:pt idx="72" formatCode="General">
                        <c:v>-35.4957595505618</c:v>
                      </c:pt>
                      <c:pt idx="73" formatCode="General">
                        <c:v>-35.616928089887644</c:v>
                      </c:pt>
                      <c:pt idx="74" formatCode="General">
                        <c:v>-35.738096629213487</c:v>
                      </c:pt>
                      <c:pt idx="75" formatCode="General">
                        <c:v>-35.859265168539331</c:v>
                      </c:pt>
                      <c:pt idx="76" formatCode="General">
                        <c:v>-35.980433707865167</c:v>
                      </c:pt>
                      <c:pt idx="77" formatCode="General">
                        <c:v>-36.101602247191011</c:v>
                      </c:pt>
                      <c:pt idx="78" formatCode="General">
                        <c:v>-36.222770786516854</c:v>
                      </c:pt>
                      <c:pt idx="79" formatCode="General">
                        <c:v>-36.343939325842697</c:v>
                      </c:pt>
                      <c:pt idx="80" formatCode="General">
                        <c:v>-36.465107865168541</c:v>
                      </c:pt>
                      <c:pt idx="81" formatCode="General">
                        <c:v>-36.586276404494384</c:v>
                      </c:pt>
                      <c:pt idx="82" formatCode="General">
                        <c:v>-36.707444943820228</c:v>
                      </c:pt>
                      <c:pt idx="83" formatCode="General">
                        <c:v>-36.825319819819818</c:v>
                      </c:pt>
                      <c:pt idx="84" formatCode="General">
                        <c:v>-36.940214714714713</c:v>
                      </c:pt>
                      <c:pt idx="85" formatCode="General">
                        <c:v>-37.055109609609609</c:v>
                      </c:pt>
                      <c:pt idx="86" formatCode="General">
                        <c:v>-37.170004504504504</c:v>
                      </c:pt>
                      <c:pt idx="87" formatCode="General">
                        <c:v>-8.1209504950495059</c:v>
                      </c:pt>
                      <c:pt idx="88" formatCode="General">
                        <c:v>-8.1466930693069308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B-35EF-46D6-A94F-2517E60135C4}"/>
                  </c:ext>
                </c:extLst>
              </c15:ser>
            </c15:filteredScatterSeries>
            <c15:filteredScatterSeries>
              <c15:ser>
                <c:idx val="36"/>
                <c:order val="38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306</c:v>
                      </c:pt>
                      <c:pt idx="1">
                        <c:v>314</c:v>
                      </c:pt>
                      <c:pt idx="2">
                        <c:v>322</c:v>
                      </c:pt>
                      <c:pt idx="3">
                        <c:v>330</c:v>
                      </c:pt>
                      <c:pt idx="4">
                        <c:v>338</c:v>
                      </c:pt>
                      <c:pt idx="5">
                        <c:v>346</c:v>
                      </c:pt>
                      <c:pt idx="6">
                        <c:v>354</c:v>
                      </c:pt>
                      <c:pt idx="7">
                        <c:v>362</c:v>
                      </c:pt>
                      <c:pt idx="8">
                        <c:v>370</c:v>
                      </c:pt>
                      <c:pt idx="9">
                        <c:v>378</c:v>
                      </c:pt>
                      <c:pt idx="10">
                        <c:v>386</c:v>
                      </c:pt>
                      <c:pt idx="11">
                        <c:v>394</c:v>
                      </c:pt>
                      <c:pt idx="12">
                        <c:v>402</c:v>
                      </c:pt>
                      <c:pt idx="13">
                        <c:v>410</c:v>
                      </c:pt>
                      <c:pt idx="14">
                        <c:v>418</c:v>
                      </c:pt>
                      <c:pt idx="15">
                        <c:v>426</c:v>
                      </c:pt>
                      <c:pt idx="16">
                        <c:v>434</c:v>
                      </c:pt>
                      <c:pt idx="17">
                        <c:v>442</c:v>
                      </c:pt>
                      <c:pt idx="18">
                        <c:v>450</c:v>
                      </c:pt>
                      <c:pt idx="19">
                        <c:v>458</c:v>
                      </c:pt>
                      <c:pt idx="20">
                        <c:v>466</c:v>
                      </c:pt>
                      <c:pt idx="21">
                        <c:v>474</c:v>
                      </c:pt>
                      <c:pt idx="22">
                        <c:v>482</c:v>
                      </c:pt>
                      <c:pt idx="23">
                        <c:v>490</c:v>
                      </c:pt>
                      <c:pt idx="24">
                        <c:v>498</c:v>
                      </c:pt>
                      <c:pt idx="25">
                        <c:v>506</c:v>
                      </c:pt>
                      <c:pt idx="26">
                        <c:v>514</c:v>
                      </c:pt>
                      <c:pt idx="27">
                        <c:v>522</c:v>
                      </c:pt>
                      <c:pt idx="28">
                        <c:v>530</c:v>
                      </c:pt>
                      <c:pt idx="29">
                        <c:v>538</c:v>
                      </c:pt>
                      <c:pt idx="30">
                        <c:v>546</c:v>
                      </c:pt>
                      <c:pt idx="31">
                        <c:v>554</c:v>
                      </c:pt>
                      <c:pt idx="32">
                        <c:v>562</c:v>
                      </c:pt>
                      <c:pt idx="33">
                        <c:v>570</c:v>
                      </c:pt>
                      <c:pt idx="34">
                        <c:v>578</c:v>
                      </c:pt>
                      <c:pt idx="35">
                        <c:v>586</c:v>
                      </c:pt>
                      <c:pt idx="36">
                        <c:v>594</c:v>
                      </c:pt>
                      <c:pt idx="37">
                        <c:v>602</c:v>
                      </c:pt>
                      <c:pt idx="38">
                        <c:v>610</c:v>
                      </c:pt>
                      <c:pt idx="39">
                        <c:v>618</c:v>
                      </c:pt>
                      <c:pt idx="40">
                        <c:v>626</c:v>
                      </c:pt>
                      <c:pt idx="41">
                        <c:v>634</c:v>
                      </c:pt>
                      <c:pt idx="42">
                        <c:v>642</c:v>
                      </c:pt>
                      <c:pt idx="43">
                        <c:v>650</c:v>
                      </c:pt>
                      <c:pt idx="44">
                        <c:v>658</c:v>
                      </c:pt>
                      <c:pt idx="45">
                        <c:v>666</c:v>
                      </c:pt>
                      <c:pt idx="46">
                        <c:v>674</c:v>
                      </c:pt>
                      <c:pt idx="47">
                        <c:v>682</c:v>
                      </c:pt>
                      <c:pt idx="48">
                        <c:v>690</c:v>
                      </c:pt>
                      <c:pt idx="49">
                        <c:v>698</c:v>
                      </c:pt>
                      <c:pt idx="50">
                        <c:v>706</c:v>
                      </c:pt>
                      <c:pt idx="51">
                        <c:v>714</c:v>
                      </c:pt>
                      <c:pt idx="52">
                        <c:v>722</c:v>
                      </c:pt>
                      <c:pt idx="53">
                        <c:v>730</c:v>
                      </c:pt>
                      <c:pt idx="54">
                        <c:v>738</c:v>
                      </c:pt>
                      <c:pt idx="55">
                        <c:v>746</c:v>
                      </c:pt>
                      <c:pt idx="56">
                        <c:v>754</c:v>
                      </c:pt>
                      <c:pt idx="57">
                        <c:v>762</c:v>
                      </c:pt>
                      <c:pt idx="58">
                        <c:v>770</c:v>
                      </c:pt>
                      <c:pt idx="59">
                        <c:v>778</c:v>
                      </c:pt>
                      <c:pt idx="60">
                        <c:v>786</c:v>
                      </c:pt>
                      <c:pt idx="61">
                        <c:v>794</c:v>
                      </c:pt>
                      <c:pt idx="62">
                        <c:v>802</c:v>
                      </c:pt>
                      <c:pt idx="63">
                        <c:v>810</c:v>
                      </c:pt>
                      <c:pt idx="64">
                        <c:v>818</c:v>
                      </c:pt>
                      <c:pt idx="65">
                        <c:v>826</c:v>
                      </c:pt>
                      <c:pt idx="66">
                        <c:v>834</c:v>
                      </c:pt>
                      <c:pt idx="67">
                        <c:v>842</c:v>
                      </c:pt>
                      <c:pt idx="68">
                        <c:v>850</c:v>
                      </c:pt>
                      <c:pt idx="69">
                        <c:v>858</c:v>
                      </c:pt>
                      <c:pt idx="70">
                        <c:v>866</c:v>
                      </c:pt>
                      <c:pt idx="71">
                        <c:v>874</c:v>
                      </c:pt>
                      <c:pt idx="72">
                        <c:v>882</c:v>
                      </c:pt>
                      <c:pt idx="73">
                        <c:v>890</c:v>
                      </c:pt>
                      <c:pt idx="74">
                        <c:v>898</c:v>
                      </c:pt>
                      <c:pt idx="75">
                        <c:v>906</c:v>
                      </c:pt>
                      <c:pt idx="76">
                        <c:v>914</c:v>
                      </c:pt>
                      <c:pt idx="77">
                        <c:v>922</c:v>
                      </c:pt>
                      <c:pt idx="78">
                        <c:v>930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EVALUATION!$B$139:$CP$139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-184.14450450450451</c:v>
                      </c:pt>
                      <c:pt idx="1">
                        <c:v>-180.19015015015015</c:v>
                      </c:pt>
                      <c:pt idx="2">
                        <c:v>-176.23579579579581</c:v>
                      </c:pt>
                      <c:pt idx="3">
                        <c:v>-172.28144144144147</c:v>
                      </c:pt>
                      <c:pt idx="4" formatCode="General">
                        <c:v>-168.94194610778445</c:v>
                      </c:pt>
                      <c:pt idx="5" formatCode="General">
                        <c:v>-165.74434131736527</c:v>
                      </c:pt>
                      <c:pt idx="6" formatCode="General">
                        <c:v>-162.54673652694612</c:v>
                      </c:pt>
                      <c:pt idx="7" formatCode="General">
                        <c:v>-159.34913173652694</c:v>
                      </c:pt>
                      <c:pt idx="8" formatCode="General">
                        <c:v>-156.51188622754489</c:v>
                      </c:pt>
                      <c:pt idx="9" formatCode="General">
                        <c:v>-153.87955089820358</c:v>
                      </c:pt>
                      <c:pt idx="10" formatCode="General">
                        <c:v>-151.24721556886226</c:v>
                      </c:pt>
                      <c:pt idx="11" formatCode="General">
                        <c:v>-148.61488023952094</c:v>
                      </c:pt>
                      <c:pt idx="12" formatCode="General">
                        <c:v>-146.17973053892214</c:v>
                      </c:pt>
                      <c:pt idx="13" formatCode="General">
                        <c:v>-143.97374251497007</c:v>
                      </c:pt>
                      <c:pt idx="14" formatCode="General">
                        <c:v>-141.76775449101797</c:v>
                      </c:pt>
                      <c:pt idx="15" formatCode="General">
                        <c:v>-139.56176646706587</c:v>
                      </c:pt>
                      <c:pt idx="16" formatCode="General">
                        <c:v>-137.45494011976049</c:v>
                      </c:pt>
                      <c:pt idx="17" formatCode="General">
                        <c:v>-135.59386227544911</c:v>
                      </c:pt>
                      <c:pt idx="18" formatCode="General">
                        <c:v>-133.73278443113773</c:v>
                      </c:pt>
                      <c:pt idx="19" formatCode="General">
                        <c:v>-131.87170658682635</c:v>
                      </c:pt>
                      <c:pt idx="20" formatCode="General">
                        <c:v>-130.04404191616766</c:v>
                      </c:pt>
                      <c:pt idx="21" formatCode="General">
                        <c:v>-128.47997005988023</c:v>
                      </c:pt>
                      <c:pt idx="22" formatCode="General">
                        <c:v>-126.91589820359282</c:v>
                      </c:pt>
                      <c:pt idx="23" formatCode="General">
                        <c:v>-125.35182634730539</c:v>
                      </c:pt>
                      <c:pt idx="24" formatCode="General">
                        <c:v>-123.78775449101796</c:v>
                      </c:pt>
                      <c:pt idx="25" formatCode="General">
                        <c:v>-123.46702702702703</c:v>
                      </c:pt>
                      <c:pt idx="26" formatCode="General">
                        <c:v>-123.22918918918919</c:v>
                      </c:pt>
                      <c:pt idx="27" formatCode="General">
                        <c:v>-122.99135135135135</c:v>
                      </c:pt>
                      <c:pt idx="28" formatCode="General">
                        <c:v>-122.75351351351351</c:v>
                      </c:pt>
                      <c:pt idx="29" formatCode="General">
                        <c:v>-123.46293413173653</c:v>
                      </c:pt>
                      <c:pt idx="30" formatCode="General">
                        <c:v>-124.44736526946109</c:v>
                      </c:pt>
                      <c:pt idx="31" formatCode="General">
                        <c:v>-125.43179640718563</c:v>
                      </c:pt>
                      <c:pt idx="32" formatCode="General">
                        <c:v>-126.41622754491017</c:v>
                      </c:pt>
                      <c:pt idx="33" formatCode="General">
                        <c:v>-127.39922155688622</c:v>
                      </c:pt>
                      <c:pt idx="34" formatCode="General">
                        <c:v>-128.38125748502995</c:v>
                      </c:pt>
                      <c:pt idx="35" formatCode="General">
                        <c:v>-129.36329341317364</c:v>
                      </c:pt>
                      <c:pt idx="36" formatCode="General">
                        <c:v>-130.34532934131735</c:v>
                      </c:pt>
                      <c:pt idx="37" formatCode="General">
                        <c:v>-131.31718562874252</c:v>
                      </c:pt>
                      <c:pt idx="38" formatCode="General">
                        <c:v>-132.27526946107784</c:v>
                      </c:pt>
                      <c:pt idx="39" formatCode="General">
                        <c:v>-133.23335329341316</c:v>
                      </c:pt>
                      <c:pt idx="40" formatCode="General">
                        <c:v>-134.19143712574851</c:v>
                      </c:pt>
                      <c:pt idx="41" formatCode="General">
                        <c:v>-135.14592814371258</c:v>
                      </c:pt>
                      <c:pt idx="42" formatCode="General">
                        <c:v>-136.08964071856286</c:v>
                      </c:pt>
                      <c:pt idx="43" formatCode="General">
                        <c:v>-137.03335329341317</c:v>
                      </c:pt>
                      <c:pt idx="44" formatCode="General">
                        <c:v>-137.97706586826348</c:v>
                      </c:pt>
                      <c:pt idx="45" formatCode="General">
                        <c:v>-138.91970059880239</c:v>
                      </c:pt>
                      <c:pt idx="46" formatCode="General">
                        <c:v>-139.84904191616766</c:v>
                      </c:pt>
                      <c:pt idx="47" formatCode="General">
                        <c:v>-140.77838323353294</c:v>
                      </c:pt>
                      <c:pt idx="48" formatCode="General">
                        <c:v>-141.70772455089821</c:v>
                      </c:pt>
                      <c:pt idx="49" formatCode="General">
                        <c:v>-142.63706586826348</c:v>
                      </c:pt>
                      <c:pt idx="50" formatCode="General">
                        <c:v>-143.50932584269663</c:v>
                      </c:pt>
                      <c:pt idx="51" formatCode="General">
                        <c:v>-144.37524344569289</c:v>
                      </c:pt>
                      <c:pt idx="52" formatCode="General">
                        <c:v>-145.24116104868915</c:v>
                      </c:pt>
                      <c:pt idx="53" formatCode="General">
                        <c:v>-146.10707865168538</c:v>
                      </c:pt>
                      <c:pt idx="54" formatCode="General">
                        <c:v>-146.97299625468165</c:v>
                      </c:pt>
                      <c:pt idx="55" formatCode="General">
                        <c:v>-147.83891385767791</c:v>
                      </c:pt>
                      <c:pt idx="56" formatCode="General">
                        <c:v>-148.70483146067417</c:v>
                      </c:pt>
                      <c:pt idx="57" formatCode="General">
                        <c:v>-149.57074906367041</c:v>
                      </c:pt>
                      <c:pt idx="58" formatCode="General">
                        <c:v>-150.43666666666667</c:v>
                      </c:pt>
                      <c:pt idx="59" formatCode="General">
                        <c:v>-151.30258426966293</c:v>
                      </c:pt>
                      <c:pt idx="60" formatCode="General">
                        <c:v>-152.16850187265919</c:v>
                      </c:pt>
                      <c:pt idx="61" formatCode="General">
                        <c:v>-153.03441947565543</c:v>
                      </c:pt>
                      <c:pt idx="62" formatCode="General">
                        <c:v>-153.90033707865169</c:v>
                      </c:pt>
                      <c:pt idx="63" formatCode="General">
                        <c:v>-154.76625468164795</c:v>
                      </c:pt>
                      <c:pt idx="64" formatCode="General">
                        <c:v>-155.63217228464421</c:v>
                      </c:pt>
                      <c:pt idx="65" formatCode="General">
                        <c:v>-156.49808988764045</c:v>
                      </c:pt>
                      <c:pt idx="66" formatCode="General">
                        <c:v>-157.34146816479401</c:v>
                      </c:pt>
                      <c:pt idx="67" formatCode="General">
                        <c:v>-158.10131835205993</c:v>
                      </c:pt>
                      <c:pt idx="68" formatCode="General">
                        <c:v>-158.86116853932586</c:v>
                      </c:pt>
                      <c:pt idx="69" formatCode="General">
                        <c:v>-159.62101872659179</c:v>
                      </c:pt>
                      <c:pt idx="70" formatCode="General">
                        <c:v>-160.38086891385768</c:v>
                      </c:pt>
                      <c:pt idx="71" formatCode="General">
                        <c:v>-161.14071910112361</c:v>
                      </c:pt>
                      <c:pt idx="72" formatCode="General">
                        <c:v>-161.90056928838953</c:v>
                      </c:pt>
                      <c:pt idx="73" formatCode="General">
                        <c:v>-162.66041947565543</c:v>
                      </c:pt>
                      <c:pt idx="74" formatCode="General">
                        <c:v>-163.42026966292136</c:v>
                      </c:pt>
                      <c:pt idx="75" formatCode="General">
                        <c:v>-164.18011985018728</c:v>
                      </c:pt>
                      <c:pt idx="76" formatCode="General">
                        <c:v>-164.93997003745321</c:v>
                      </c:pt>
                      <c:pt idx="77" formatCode="General">
                        <c:v>-165.6998202247191</c:v>
                      </c:pt>
                      <c:pt idx="78" formatCode="General">
                        <c:v>-166.45967041198503</c:v>
                      </c:pt>
                      <c:pt idx="79" formatCode="General">
                        <c:v>-167.21952059925096</c:v>
                      </c:pt>
                      <c:pt idx="80" formatCode="General">
                        <c:v>-167.97937078651688</c:v>
                      </c:pt>
                      <c:pt idx="81" formatCode="General">
                        <c:v>-168.73922097378278</c:v>
                      </c:pt>
                      <c:pt idx="82" formatCode="General">
                        <c:v>-169.4990711610487</c:v>
                      </c:pt>
                      <c:pt idx="83" formatCode="General">
                        <c:v>-170.1970720720721</c:v>
                      </c:pt>
                      <c:pt idx="84" formatCode="General">
                        <c:v>-170.83911411411412</c:v>
                      </c:pt>
                      <c:pt idx="85" formatCode="General">
                        <c:v>-171.48115615615617</c:v>
                      </c:pt>
                      <c:pt idx="86" formatCode="General">
                        <c:v>-172.12319819819822</c:v>
                      </c:pt>
                      <c:pt idx="87" formatCode="General">
                        <c:v>-19.85920792079208</c:v>
                      </c:pt>
                      <c:pt idx="88" formatCode="General">
                        <c:v>-19.871089108910891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C-35EF-46D6-A94F-2517E60135C4}"/>
                  </c:ext>
                </c:extLst>
              </c15:ser>
            </c15:filteredScatterSeries>
            <c15:filteredScatterSeries>
              <c15:ser>
                <c:idx val="37"/>
                <c:order val="39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306</c:v>
                      </c:pt>
                      <c:pt idx="1">
                        <c:v>314</c:v>
                      </c:pt>
                      <c:pt idx="2">
                        <c:v>322</c:v>
                      </c:pt>
                      <c:pt idx="3">
                        <c:v>330</c:v>
                      </c:pt>
                      <c:pt idx="4">
                        <c:v>338</c:v>
                      </c:pt>
                      <c:pt idx="5">
                        <c:v>346</c:v>
                      </c:pt>
                      <c:pt idx="6">
                        <c:v>354</c:v>
                      </c:pt>
                      <c:pt idx="7">
                        <c:v>362</c:v>
                      </c:pt>
                      <c:pt idx="8">
                        <c:v>370</c:v>
                      </c:pt>
                      <c:pt idx="9">
                        <c:v>378</c:v>
                      </c:pt>
                      <c:pt idx="10">
                        <c:v>386</c:v>
                      </c:pt>
                      <c:pt idx="11">
                        <c:v>394</c:v>
                      </c:pt>
                      <c:pt idx="12">
                        <c:v>402</c:v>
                      </c:pt>
                      <c:pt idx="13">
                        <c:v>410</c:v>
                      </c:pt>
                      <c:pt idx="14">
                        <c:v>418</c:v>
                      </c:pt>
                      <c:pt idx="15">
                        <c:v>426</c:v>
                      </c:pt>
                      <c:pt idx="16">
                        <c:v>434</c:v>
                      </c:pt>
                      <c:pt idx="17">
                        <c:v>442</c:v>
                      </c:pt>
                      <c:pt idx="18">
                        <c:v>450</c:v>
                      </c:pt>
                      <c:pt idx="19">
                        <c:v>458</c:v>
                      </c:pt>
                      <c:pt idx="20">
                        <c:v>466</c:v>
                      </c:pt>
                      <c:pt idx="21">
                        <c:v>474</c:v>
                      </c:pt>
                      <c:pt idx="22">
                        <c:v>482</c:v>
                      </c:pt>
                      <c:pt idx="23">
                        <c:v>490</c:v>
                      </c:pt>
                      <c:pt idx="24">
                        <c:v>498</c:v>
                      </c:pt>
                      <c:pt idx="25">
                        <c:v>506</c:v>
                      </c:pt>
                      <c:pt idx="26">
                        <c:v>514</c:v>
                      </c:pt>
                      <c:pt idx="27">
                        <c:v>522</c:v>
                      </c:pt>
                      <c:pt idx="28">
                        <c:v>530</c:v>
                      </c:pt>
                      <c:pt idx="29">
                        <c:v>538</c:v>
                      </c:pt>
                      <c:pt idx="30">
                        <c:v>546</c:v>
                      </c:pt>
                      <c:pt idx="31">
                        <c:v>554</c:v>
                      </c:pt>
                      <c:pt idx="32">
                        <c:v>562</c:v>
                      </c:pt>
                      <c:pt idx="33">
                        <c:v>570</c:v>
                      </c:pt>
                      <c:pt idx="34">
                        <c:v>578</c:v>
                      </c:pt>
                      <c:pt idx="35">
                        <c:v>586</c:v>
                      </c:pt>
                      <c:pt idx="36">
                        <c:v>594</c:v>
                      </c:pt>
                      <c:pt idx="37">
                        <c:v>602</c:v>
                      </c:pt>
                      <c:pt idx="38">
                        <c:v>610</c:v>
                      </c:pt>
                      <c:pt idx="39">
                        <c:v>618</c:v>
                      </c:pt>
                      <c:pt idx="40">
                        <c:v>626</c:v>
                      </c:pt>
                      <c:pt idx="41">
                        <c:v>634</c:v>
                      </c:pt>
                      <c:pt idx="42">
                        <c:v>642</c:v>
                      </c:pt>
                      <c:pt idx="43">
                        <c:v>650</c:v>
                      </c:pt>
                      <c:pt idx="44">
                        <c:v>658</c:v>
                      </c:pt>
                      <c:pt idx="45">
                        <c:v>666</c:v>
                      </c:pt>
                      <c:pt idx="46">
                        <c:v>674</c:v>
                      </c:pt>
                      <c:pt idx="47">
                        <c:v>682</c:v>
                      </c:pt>
                      <c:pt idx="48">
                        <c:v>690</c:v>
                      </c:pt>
                      <c:pt idx="49">
                        <c:v>698</c:v>
                      </c:pt>
                      <c:pt idx="50">
                        <c:v>706</c:v>
                      </c:pt>
                      <c:pt idx="51">
                        <c:v>714</c:v>
                      </c:pt>
                      <c:pt idx="52">
                        <c:v>722</c:v>
                      </c:pt>
                      <c:pt idx="53">
                        <c:v>730</c:v>
                      </c:pt>
                      <c:pt idx="54">
                        <c:v>738</c:v>
                      </c:pt>
                      <c:pt idx="55">
                        <c:v>746</c:v>
                      </c:pt>
                      <c:pt idx="56">
                        <c:v>754</c:v>
                      </c:pt>
                      <c:pt idx="57">
                        <c:v>762</c:v>
                      </c:pt>
                      <c:pt idx="58">
                        <c:v>770</c:v>
                      </c:pt>
                      <c:pt idx="59">
                        <c:v>778</c:v>
                      </c:pt>
                      <c:pt idx="60">
                        <c:v>786</c:v>
                      </c:pt>
                      <c:pt idx="61">
                        <c:v>794</c:v>
                      </c:pt>
                      <c:pt idx="62">
                        <c:v>802</c:v>
                      </c:pt>
                      <c:pt idx="63">
                        <c:v>810</c:v>
                      </c:pt>
                      <c:pt idx="64">
                        <c:v>818</c:v>
                      </c:pt>
                      <c:pt idx="65">
                        <c:v>826</c:v>
                      </c:pt>
                      <c:pt idx="66">
                        <c:v>834</c:v>
                      </c:pt>
                      <c:pt idx="67">
                        <c:v>842</c:v>
                      </c:pt>
                      <c:pt idx="68">
                        <c:v>850</c:v>
                      </c:pt>
                      <c:pt idx="69">
                        <c:v>858</c:v>
                      </c:pt>
                      <c:pt idx="70">
                        <c:v>866</c:v>
                      </c:pt>
                      <c:pt idx="71">
                        <c:v>874</c:v>
                      </c:pt>
                      <c:pt idx="72">
                        <c:v>882</c:v>
                      </c:pt>
                      <c:pt idx="73">
                        <c:v>890</c:v>
                      </c:pt>
                      <c:pt idx="74">
                        <c:v>898</c:v>
                      </c:pt>
                      <c:pt idx="75">
                        <c:v>906</c:v>
                      </c:pt>
                      <c:pt idx="76">
                        <c:v>914</c:v>
                      </c:pt>
                      <c:pt idx="77">
                        <c:v>922</c:v>
                      </c:pt>
                      <c:pt idx="78">
                        <c:v>930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EVALUATION!$B$140:$CP$140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-15.512792792792792</c:v>
                      </c:pt>
                      <c:pt idx="1">
                        <c:v>-15.013093093093092</c:v>
                      </c:pt>
                      <c:pt idx="2">
                        <c:v>-14.513393393393393</c:v>
                      </c:pt>
                      <c:pt idx="3">
                        <c:v>-14.013693693693693</c:v>
                      </c:pt>
                      <c:pt idx="4" formatCode="General">
                        <c:v>-13.456826347305389</c:v>
                      </c:pt>
                      <c:pt idx="5" formatCode="General">
                        <c:v>-12.886766467065867</c:v>
                      </c:pt>
                      <c:pt idx="6" formatCode="General">
                        <c:v>-12.316706586826346</c:v>
                      </c:pt>
                      <c:pt idx="7" formatCode="General">
                        <c:v>-11.746646706586823</c:v>
                      </c:pt>
                      <c:pt idx="8" formatCode="General">
                        <c:v>-11.204988023952094</c:v>
                      </c:pt>
                      <c:pt idx="9" formatCode="General">
                        <c:v>-10.679479041916167</c:v>
                      </c:pt>
                      <c:pt idx="10" formatCode="General">
                        <c:v>-10.153970059880239</c:v>
                      </c:pt>
                      <c:pt idx="11" formatCode="General">
                        <c:v>-9.628461077844312</c:v>
                      </c:pt>
                      <c:pt idx="12" formatCode="General">
                        <c:v>-9.1539101796407198</c:v>
                      </c:pt>
                      <c:pt idx="13" formatCode="General">
                        <c:v>-8.7385808383233528</c:v>
                      </c:pt>
                      <c:pt idx="14" formatCode="General">
                        <c:v>-8.3232514970059874</c:v>
                      </c:pt>
                      <c:pt idx="15" formatCode="General">
                        <c:v>-7.9079221556886221</c:v>
                      </c:pt>
                      <c:pt idx="16" formatCode="General">
                        <c:v>-7.5390748502994009</c:v>
                      </c:pt>
                      <c:pt idx="17" formatCode="General">
                        <c:v>-7.2854221556886225</c:v>
                      </c:pt>
                      <c:pt idx="18" formatCode="General">
                        <c:v>-7.031769461077845</c:v>
                      </c:pt>
                      <c:pt idx="19" formatCode="General">
                        <c:v>-6.7781167664670665</c:v>
                      </c:pt>
                      <c:pt idx="20" formatCode="General">
                        <c:v>-6.5428413173652693</c:v>
                      </c:pt>
                      <c:pt idx="21" formatCode="General">
                        <c:v>-6.4525419161676645</c:v>
                      </c:pt>
                      <c:pt idx="22" formatCode="General">
                        <c:v>-6.3622425149700597</c:v>
                      </c:pt>
                      <c:pt idx="23" formatCode="General">
                        <c:v>-6.2719431137724548</c:v>
                      </c:pt>
                      <c:pt idx="24" formatCode="General">
                        <c:v>-6.18164371257485</c:v>
                      </c:pt>
                      <c:pt idx="25" formatCode="General">
                        <c:v>-6.3239729729729737</c:v>
                      </c:pt>
                      <c:pt idx="26" formatCode="General">
                        <c:v>-6.4818108108108117</c:v>
                      </c:pt>
                      <c:pt idx="27" formatCode="General">
                        <c:v>-6.6396486486486497</c:v>
                      </c:pt>
                      <c:pt idx="28" formatCode="General">
                        <c:v>-6.7974864864864877</c:v>
                      </c:pt>
                      <c:pt idx="29" formatCode="General">
                        <c:v>-6.8348562874251497</c:v>
                      </c:pt>
                      <c:pt idx="30" formatCode="General">
                        <c:v>-6.8372514970059886</c:v>
                      </c:pt>
                      <c:pt idx="31" formatCode="General">
                        <c:v>-6.8396467065868265</c:v>
                      </c:pt>
                      <c:pt idx="32" formatCode="General">
                        <c:v>-6.8420419161676644</c:v>
                      </c:pt>
                      <c:pt idx="33" formatCode="General">
                        <c:v>-6.8517664670658682</c:v>
                      </c:pt>
                      <c:pt idx="34" formatCode="General">
                        <c:v>-6.866377245508982</c:v>
                      </c:pt>
                      <c:pt idx="35" formatCode="General">
                        <c:v>-6.8809880239520957</c:v>
                      </c:pt>
                      <c:pt idx="36" formatCode="General">
                        <c:v>-6.8955988023952095</c:v>
                      </c:pt>
                      <c:pt idx="37" formatCode="General">
                        <c:v>-6.911838323353293</c:v>
                      </c:pt>
                      <c:pt idx="38" formatCode="General">
                        <c:v>-6.930281437125748</c:v>
                      </c:pt>
                      <c:pt idx="39" formatCode="General">
                        <c:v>-6.9487245508982038</c:v>
                      </c:pt>
                      <c:pt idx="40" formatCode="General">
                        <c:v>-6.9671676646706588</c:v>
                      </c:pt>
                      <c:pt idx="41" formatCode="General">
                        <c:v>-6.9858502994011973</c:v>
                      </c:pt>
                      <c:pt idx="42" formatCode="General">
                        <c:v>-7.0052514970059878</c:v>
                      </c:pt>
                      <c:pt idx="43" formatCode="General">
                        <c:v>-7.0246526946107783</c:v>
                      </c:pt>
                      <c:pt idx="44" formatCode="General">
                        <c:v>-7.0440538922155689</c:v>
                      </c:pt>
                      <c:pt idx="45" formatCode="General">
                        <c:v>-7.0634550898203594</c:v>
                      </c:pt>
                      <c:pt idx="46" formatCode="General">
                        <c:v>-7.0828562874251499</c:v>
                      </c:pt>
                      <c:pt idx="47" formatCode="General">
                        <c:v>-7.1022574850299405</c:v>
                      </c:pt>
                      <c:pt idx="48" formatCode="General">
                        <c:v>-7.1216586826347301</c:v>
                      </c:pt>
                      <c:pt idx="49" formatCode="General">
                        <c:v>-7.1410598802395207</c:v>
                      </c:pt>
                      <c:pt idx="50" formatCode="General">
                        <c:v>-7.1602584269662923</c:v>
                      </c:pt>
                      <c:pt idx="51" formatCode="General">
                        <c:v>-7.1794344569288393</c:v>
                      </c:pt>
                      <c:pt idx="52" formatCode="General">
                        <c:v>-7.1986104868913854</c:v>
                      </c:pt>
                      <c:pt idx="53" formatCode="General">
                        <c:v>-7.2177865168539324</c:v>
                      </c:pt>
                      <c:pt idx="54" formatCode="General">
                        <c:v>-7.2369625468164793</c:v>
                      </c:pt>
                      <c:pt idx="55" formatCode="General">
                        <c:v>-7.2561385767790263</c:v>
                      </c:pt>
                      <c:pt idx="56" formatCode="General">
                        <c:v>-7.2753146067415733</c:v>
                      </c:pt>
                      <c:pt idx="57" formatCode="General">
                        <c:v>-7.2944906367041202</c:v>
                      </c:pt>
                      <c:pt idx="58" formatCode="General">
                        <c:v>-7.3136666666666663</c:v>
                      </c:pt>
                      <c:pt idx="59" formatCode="General">
                        <c:v>-7.3328426966292133</c:v>
                      </c:pt>
                      <c:pt idx="60" formatCode="General">
                        <c:v>-7.3520187265917603</c:v>
                      </c:pt>
                      <c:pt idx="61" formatCode="General">
                        <c:v>-7.3711947565543072</c:v>
                      </c:pt>
                      <c:pt idx="62" formatCode="General">
                        <c:v>-7.3903707865168542</c:v>
                      </c:pt>
                      <c:pt idx="63" formatCode="General">
                        <c:v>-7.4095468164794012</c:v>
                      </c:pt>
                      <c:pt idx="64" formatCode="General">
                        <c:v>-7.4287228464419481</c:v>
                      </c:pt>
                      <c:pt idx="65" formatCode="General">
                        <c:v>-7.4478988764044942</c:v>
                      </c:pt>
                      <c:pt idx="66" formatCode="General">
                        <c:v>-7.4668456928838953</c:v>
                      </c:pt>
                      <c:pt idx="67" formatCode="General">
                        <c:v>-7.484943071161049</c:v>
                      </c:pt>
                      <c:pt idx="68" formatCode="General">
                        <c:v>-7.5030404494382026</c:v>
                      </c:pt>
                      <c:pt idx="69" formatCode="General">
                        <c:v>-7.5211378277153562</c:v>
                      </c:pt>
                      <c:pt idx="70" formatCode="General">
                        <c:v>-7.5392352059925098</c:v>
                      </c:pt>
                      <c:pt idx="71" formatCode="General">
                        <c:v>-7.5573325842696626</c:v>
                      </c:pt>
                      <c:pt idx="72" formatCode="General">
                        <c:v>-7.5754299625468162</c:v>
                      </c:pt>
                      <c:pt idx="73" formatCode="General">
                        <c:v>-7.5935273408239699</c:v>
                      </c:pt>
                      <c:pt idx="74" formatCode="General">
                        <c:v>-7.6116247191011235</c:v>
                      </c:pt>
                      <c:pt idx="75" formatCode="General">
                        <c:v>-7.6297220973782771</c:v>
                      </c:pt>
                      <c:pt idx="76" formatCode="General">
                        <c:v>-7.6478194756554307</c:v>
                      </c:pt>
                      <c:pt idx="77" formatCode="General">
                        <c:v>-7.6659168539325844</c:v>
                      </c:pt>
                      <c:pt idx="78" formatCode="General">
                        <c:v>-7.684014232209738</c:v>
                      </c:pt>
                      <c:pt idx="79" formatCode="General">
                        <c:v>-7.7021116104868916</c:v>
                      </c:pt>
                      <c:pt idx="80" formatCode="General">
                        <c:v>-7.7202089887640444</c:v>
                      </c:pt>
                      <c:pt idx="81" formatCode="General">
                        <c:v>-7.738306367041198</c:v>
                      </c:pt>
                      <c:pt idx="82" formatCode="General">
                        <c:v>-7.7564037453183516</c:v>
                      </c:pt>
                      <c:pt idx="83" formatCode="General">
                        <c:v>-7.7739234234234234</c:v>
                      </c:pt>
                      <c:pt idx="84" formatCode="General">
                        <c:v>-7.7909204204204201</c:v>
                      </c:pt>
                      <c:pt idx="85" formatCode="General">
                        <c:v>-7.8079174174174168</c:v>
                      </c:pt>
                      <c:pt idx="86" formatCode="General">
                        <c:v>-7.8249144144144145</c:v>
                      </c:pt>
                      <c:pt idx="87" formatCode="General">
                        <c:v>-64.814138613861388</c:v>
                      </c:pt>
                      <c:pt idx="88" formatCode="General">
                        <c:v>-65.022059405940595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D-35EF-46D6-A94F-2517E60135C4}"/>
                  </c:ext>
                </c:extLst>
              </c15:ser>
            </c15:filteredScatterSeries>
            <c15:filteredScatterSeries>
              <c15:ser>
                <c:idx val="40"/>
                <c:order val="41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306</c:v>
                      </c:pt>
                      <c:pt idx="1">
                        <c:v>314</c:v>
                      </c:pt>
                      <c:pt idx="2">
                        <c:v>322</c:v>
                      </c:pt>
                      <c:pt idx="3">
                        <c:v>330</c:v>
                      </c:pt>
                      <c:pt idx="4">
                        <c:v>338</c:v>
                      </c:pt>
                      <c:pt idx="5">
                        <c:v>346</c:v>
                      </c:pt>
                      <c:pt idx="6">
                        <c:v>354</c:v>
                      </c:pt>
                      <c:pt idx="7">
                        <c:v>362</c:v>
                      </c:pt>
                      <c:pt idx="8">
                        <c:v>370</c:v>
                      </c:pt>
                      <c:pt idx="9">
                        <c:v>378</c:v>
                      </c:pt>
                      <c:pt idx="10">
                        <c:v>386</c:v>
                      </c:pt>
                      <c:pt idx="11">
                        <c:v>394</c:v>
                      </c:pt>
                      <c:pt idx="12">
                        <c:v>402</c:v>
                      </c:pt>
                      <c:pt idx="13">
                        <c:v>410</c:v>
                      </c:pt>
                      <c:pt idx="14">
                        <c:v>418</c:v>
                      </c:pt>
                      <c:pt idx="15">
                        <c:v>426</c:v>
                      </c:pt>
                      <c:pt idx="16">
                        <c:v>434</c:v>
                      </c:pt>
                      <c:pt idx="17">
                        <c:v>442</c:v>
                      </c:pt>
                      <c:pt idx="18">
                        <c:v>450</c:v>
                      </c:pt>
                      <c:pt idx="19">
                        <c:v>458</c:v>
                      </c:pt>
                      <c:pt idx="20">
                        <c:v>466</c:v>
                      </c:pt>
                      <c:pt idx="21">
                        <c:v>474</c:v>
                      </c:pt>
                      <c:pt idx="22">
                        <c:v>482</c:v>
                      </c:pt>
                      <c:pt idx="23">
                        <c:v>490</c:v>
                      </c:pt>
                      <c:pt idx="24">
                        <c:v>498</c:v>
                      </c:pt>
                      <c:pt idx="25">
                        <c:v>506</c:v>
                      </c:pt>
                      <c:pt idx="26">
                        <c:v>514</c:v>
                      </c:pt>
                      <c:pt idx="27">
                        <c:v>522</c:v>
                      </c:pt>
                      <c:pt idx="28">
                        <c:v>530</c:v>
                      </c:pt>
                      <c:pt idx="29">
                        <c:v>538</c:v>
                      </c:pt>
                      <c:pt idx="30">
                        <c:v>546</c:v>
                      </c:pt>
                      <c:pt idx="31">
                        <c:v>554</c:v>
                      </c:pt>
                      <c:pt idx="32">
                        <c:v>562</c:v>
                      </c:pt>
                      <c:pt idx="33">
                        <c:v>570</c:v>
                      </c:pt>
                      <c:pt idx="34">
                        <c:v>578</c:v>
                      </c:pt>
                      <c:pt idx="35">
                        <c:v>586</c:v>
                      </c:pt>
                      <c:pt idx="36">
                        <c:v>594</c:v>
                      </c:pt>
                      <c:pt idx="37">
                        <c:v>602</c:v>
                      </c:pt>
                      <c:pt idx="38">
                        <c:v>610</c:v>
                      </c:pt>
                      <c:pt idx="39">
                        <c:v>618</c:v>
                      </c:pt>
                      <c:pt idx="40">
                        <c:v>626</c:v>
                      </c:pt>
                      <c:pt idx="41">
                        <c:v>634</c:v>
                      </c:pt>
                      <c:pt idx="42">
                        <c:v>642</c:v>
                      </c:pt>
                      <c:pt idx="43">
                        <c:v>650</c:v>
                      </c:pt>
                      <c:pt idx="44">
                        <c:v>658</c:v>
                      </c:pt>
                      <c:pt idx="45">
                        <c:v>666</c:v>
                      </c:pt>
                      <c:pt idx="46">
                        <c:v>674</c:v>
                      </c:pt>
                      <c:pt idx="47">
                        <c:v>682</c:v>
                      </c:pt>
                      <c:pt idx="48">
                        <c:v>690</c:v>
                      </c:pt>
                      <c:pt idx="49">
                        <c:v>698</c:v>
                      </c:pt>
                      <c:pt idx="50">
                        <c:v>706</c:v>
                      </c:pt>
                      <c:pt idx="51">
                        <c:v>714</c:v>
                      </c:pt>
                      <c:pt idx="52">
                        <c:v>722</c:v>
                      </c:pt>
                      <c:pt idx="53">
                        <c:v>730</c:v>
                      </c:pt>
                      <c:pt idx="54">
                        <c:v>738</c:v>
                      </c:pt>
                      <c:pt idx="55">
                        <c:v>746</c:v>
                      </c:pt>
                      <c:pt idx="56">
                        <c:v>754</c:v>
                      </c:pt>
                      <c:pt idx="57">
                        <c:v>762</c:v>
                      </c:pt>
                      <c:pt idx="58">
                        <c:v>770</c:v>
                      </c:pt>
                      <c:pt idx="59">
                        <c:v>778</c:v>
                      </c:pt>
                      <c:pt idx="60">
                        <c:v>786</c:v>
                      </c:pt>
                      <c:pt idx="61">
                        <c:v>794</c:v>
                      </c:pt>
                      <c:pt idx="62">
                        <c:v>802</c:v>
                      </c:pt>
                      <c:pt idx="63">
                        <c:v>810</c:v>
                      </c:pt>
                      <c:pt idx="64">
                        <c:v>818</c:v>
                      </c:pt>
                      <c:pt idx="65">
                        <c:v>826</c:v>
                      </c:pt>
                      <c:pt idx="66">
                        <c:v>834</c:v>
                      </c:pt>
                      <c:pt idx="67">
                        <c:v>842</c:v>
                      </c:pt>
                      <c:pt idx="68">
                        <c:v>850</c:v>
                      </c:pt>
                      <c:pt idx="69">
                        <c:v>858</c:v>
                      </c:pt>
                      <c:pt idx="70">
                        <c:v>866</c:v>
                      </c:pt>
                      <c:pt idx="71">
                        <c:v>874</c:v>
                      </c:pt>
                      <c:pt idx="72">
                        <c:v>882</c:v>
                      </c:pt>
                      <c:pt idx="73">
                        <c:v>890</c:v>
                      </c:pt>
                      <c:pt idx="74">
                        <c:v>898</c:v>
                      </c:pt>
                      <c:pt idx="75">
                        <c:v>906</c:v>
                      </c:pt>
                      <c:pt idx="76">
                        <c:v>914</c:v>
                      </c:pt>
                      <c:pt idx="77">
                        <c:v>922</c:v>
                      </c:pt>
                      <c:pt idx="78">
                        <c:v>930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EVALUATION!$B$142:$CP$142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-21.943243243243245</c:v>
                      </c:pt>
                      <c:pt idx="1">
                        <c:v>-21.741441441441442</c:v>
                      </c:pt>
                      <c:pt idx="2">
                        <c:v>-21.539639639639642</c:v>
                      </c:pt>
                      <c:pt idx="3">
                        <c:v>-21.337837837837839</c:v>
                      </c:pt>
                      <c:pt idx="4" formatCode="General">
                        <c:v>-21.317514970059882</c:v>
                      </c:pt>
                      <c:pt idx="5" formatCode="General">
                        <c:v>-21.339071856287426</c:v>
                      </c:pt>
                      <c:pt idx="6" formatCode="General">
                        <c:v>-21.360628742514972</c:v>
                      </c:pt>
                      <c:pt idx="7" formatCode="General">
                        <c:v>-21.382185628742516</c:v>
                      </c:pt>
                      <c:pt idx="8" formatCode="General">
                        <c:v>-21.452604790419162</c:v>
                      </c:pt>
                      <c:pt idx="9" formatCode="General">
                        <c:v>-21.550808383233534</c:v>
                      </c:pt>
                      <c:pt idx="10" formatCode="General">
                        <c:v>-21.649011976047905</c:v>
                      </c:pt>
                      <c:pt idx="11" formatCode="General">
                        <c:v>-21.747215568862277</c:v>
                      </c:pt>
                      <c:pt idx="12" formatCode="General">
                        <c:v>-21.843203592814373</c:v>
                      </c:pt>
                      <c:pt idx="13" formatCode="General">
                        <c:v>-21.936616766467068</c:v>
                      </c:pt>
                      <c:pt idx="14" formatCode="General">
                        <c:v>-22.030029940119761</c:v>
                      </c:pt>
                      <c:pt idx="15" formatCode="General">
                        <c:v>-22.123443113772456</c:v>
                      </c:pt>
                      <c:pt idx="16" formatCode="General">
                        <c:v>-22.209970059880241</c:v>
                      </c:pt>
                      <c:pt idx="17" formatCode="General">
                        <c:v>-22.279431137724551</c:v>
                      </c:pt>
                      <c:pt idx="18" formatCode="General">
                        <c:v>-22.348892215568863</c:v>
                      </c:pt>
                      <c:pt idx="19" formatCode="General">
                        <c:v>-22.418353293413173</c:v>
                      </c:pt>
                      <c:pt idx="20" formatCode="General">
                        <c:v>-22.488353293413173</c:v>
                      </c:pt>
                      <c:pt idx="21" formatCode="General">
                        <c:v>-22.562604790419162</c:v>
                      </c:pt>
                      <c:pt idx="22" formatCode="General">
                        <c:v>-22.63685628742515</c:v>
                      </c:pt>
                      <c:pt idx="23" formatCode="General">
                        <c:v>-22.711107784431139</c:v>
                      </c:pt>
                      <c:pt idx="24" formatCode="General">
                        <c:v>-22.785359281437124</c:v>
                      </c:pt>
                      <c:pt idx="25" formatCode="General">
                        <c:v>-22.846306306306307</c:v>
                      </c:pt>
                      <c:pt idx="26" formatCode="General">
                        <c:v>-22.906366366366367</c:v>
                      </c:pt>
                      <c:pt idx="27" formatCode="General">
                        <c:v>-22.966426426426427</c:v>
                      </c:pt>
                      <c:pt idx="28" formatCode="General">
                        <c:v>-23.026486486486487</c:v>
                      </c:pt>
                      <c:pt idx="29" formatCode="General">
                        <c:v>-23.130958083832336</c:v>
                      </c:pt>
                      <c:pt idx="30" formatCode="General">
                        <c:v>-23.248323353293415</c:v>
                      </c:pt>
                      <c:pt idx="31" formatCode="General">
                        <c:v>-23.36568862275449</c:v>
                      </c:pt>
                      <c:pt idx="32" formatCode="General">
                        <c:v>-23.483053892215569</c:v>
                      </c:pt>
                      <c:pt idx="33" formatCode="General">
                        <c:v>-23.60185628742515</c:v>
                      </c:pt>
                      <c:pt idx="34" formatCode="General">
                        <c:v>-23.721616766467065</c:v>
                      </c:pt>
                      <c:pt idx="35" formatCode="General">
                        <c:v>-23.841377245508983</c:v>
                      </c:pt>
                      <c:pt idx="36" formatCode="General">
                        <c:v>-23.961137724550898</c:v>
                      </c:pt>
                      <c:pt idx="37" formatCode="General">
                        <c:v>-24.078862275449104</c:v>
                      </c:pt>
                      <c:pt idx="38" formatCode="General">
                        <c:v>-24.193832335329343</c:v>
                      </c:pt>
                      <c:pt idx="39" formatCode="General">
                        <c:v>-24.308802395209582</c:v>
                      </c:pt>
                      <c:pt idx="40" formatCode="General">
                        <c:v>-24.423772455089821</c:v>
                      </c:pt>
                      <c:pt idx="41" formatCode="General">
                        <c:v>-24.53874251497006</c:v>
                      </c:pt>
                      <c:pt idx="42" formatCode="General">
                        <c:v>-24.653712574850299</c:v>
                      </c:pt>
                      <c:pt idx="43" formatCode="General">
                        <c:v>-24.768682634730538</c:v>
                      </c:pt>
                      <c:pt idx="44" formatCode="General">
                        <c:v>-24.883652694610777</c:v>
                      </c:pt>
                      <c:pt idx="45" formatCode="General">
                        <c:v>-24.998622754491016</c:v>
                      </c:pt>
                      <c:pt idx="46" formatCode="General">
                        <c:v>-25.113592814371255</c:v>
                      </c:pt>
                      <c:pt idx="47" formatCode="General">
                        <c:v>-25.228562874251494</c:v>
                      </c:pt>
                      <c:pt idx="48" formatCode="General">
                        <c:v>-25.343532934131737</c:v>
                      </c:pt>
                      <c:pt idx="49" formatCode="General">
                        <c:v>-25.458502994011976</c:v>
                      </c:pt>
                      <c:pt idx="50" formatCode="General">
                        <c:v>-25.567617977528091</c:v>
                      </c:pt>
                      <c:pt idx="51" formatCode="General">
                        <c:v>-25.676082397003746</c:v>
                      </c:pt>
                      <c:pt idx="52" formatCode="General">
                        <c:v>-25.784546816479402</c:v>
                      </c:pt>
                      <c:pt idx="53" formatCode="General">
                        <c:v>-25.893011235955058</c:v>
                      </c:pt>
                      <c:pt idx="54" formatCode="General">
                        <c:v>-26.001475655430713</c:v>
                      </c:pt>
                      <c:pt idx="55" formatCode="General">
                        <c:v>-26.109940074906369</c:v>
                      </c:pt>
                      <c:pt idx="56" formatCode="General">
                        <c:v>-26.218404494382021</c:v>
                      </c:pt>
                      <c:pt idx="57" formatCode="General">
                        <c:v>-26.326868913857677</c:v>
                      </c:pt>
                      <c:pt idx="58" formatCode="General">
                        <c:v>-26.435333333333332</c:v>
                      </c:pt>
                      <c:pt idx="59" formatCode="General">
                        <c:v>-26.543797752808988</c:v>
                      </c:pt>
                      <c:pt idx="60" formatCode="General">
                        <c:v>-26.652262172284644</c:v>
                      </c:pt>
                      <c:pt idx="61" formatCode="General">
                        <c:v>-26.760726591760299</c:v>
                      </c:pt>
                      <c:pt idx="62" formatCode="General">
                        <c:v>-26.869191011235955</c:v>
                      </c:pt>
                      <c:pt idx="63" formatCode="General">
                        <c:v>-26.977655430711611</c:v>
                      </c:pt>
                      <c:pt idx="64" formatCode="General">
                        <c:v>-27.086119850187266</c:v>
                      </c:pt>
                      <c:pt idx="65" formatCode="General">
                        <c:v>-27.194584269662922</c:v>
                      </c:pt>
                      <c:pt idx="66" formatCode="General">
                        <c:v>-27.301902621722849</c:v>
                      </c:pt>
                      <c:pt idx="67" formatCode="General">
                        <c:v>-27.404973782771538</c:v>
                      </c:pt>
                      <c:pt idx="68" formatCode="General">
                        <c:v>-27.508044943820227</c:v>
                      </c:pt>
                      <c:pt idx="69" formatCode="General">
                        <c:v>-27.611116104868916</c:v>
                      </c:pt>
                      <c:pt idx="70" formatCode="General">
                        <c:v>-27.714187265917605</c:v>
                      </c:pt>
                      <c:pt idx="71" formatCode="General">
                        <c:v>-27.817258426966294</c:v>
                      </c:pt>
                      <c:pt idx="72" formatCode="General">
                        <c:v>-27.920329588014983</c:v>
                      </c:pt>
                      <c:pt idx="73" formatCode="General">
                        <c:v>-28.023400749063672</c:v>
                      </c:pt>
                      <c:pt idx="74" formatCode="General">
                        <c:v>-28.126471910112361</c:v>
                      </c:pt>
                      <c:pt idx="75" formatCode="General">
                        <c:v>-28.22954307116105</c:v>
                      </c:pt>
                      <c:pt idx="76" formatCode="General">
                        <c:v>-28.332614232209739</c:v>
                      </c:pt>
                      <c:pt idx="77" formatCode="General">
                        <c:v>-28.435685393258428</c:v>
                      </c:pt>
                      <c:pt idx="78" formatCode="General">
                        <c:v>-28.538756554307117</c:v>
                      </c:pt>
                      <c:pt idx="79" formatCode="General">
                        <c:v>-28.641827715355806</c:v>
                      </c:pt>
                      <c:pt idx="80" formatCode="General">
                        <c:v>-28.744898876404495</c:v>
                      </c:pt>
                      <c:pt idx="81" formatCode="General">
                        <c:v>-28.847970037453184</c:v>
                      </c:pt>
                      <c:pt idx="82" formatCode="General">
                        <c:v>-28.951041198501873</c:v>
                      </c:pt>
                      <c:pt idx="83" formatCode="General">
                        <c:v>-29.051396396396395</c:v>
                      </c:pt>
                      <c:pt idx="84" formatCode="General">
                        <c:v>-29.149294294294293</c:v>
                      </c:pt>
                      <c:pt idx="85" formatCode="General">
                        <c:v>-29.247192192192191</c:v>
                      </c:pt>
                      <c:pt idx="86" formatCode="General">
                        <c:v>-29.345090090090089</c:v>
                      </c:pt>
                      <c:pt idx="87" formatCode="General">
                        <c:v>-102.44289108910891</c:v>
                      </c:pt>
                      <c:pt idx="88" formatCode="General">
                        <c:v>-102.77952475247524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E-35EF-46D6-A94F-2517E60135C4}"/>
                  </c:ext>
                </c:extLst>
              </c15:ser>
            </c15:filteredScatterSeries>
            <c15:filteredScatterSeries>
              <c15:ser>
                <c:idx val="41"/>
                <c:order val="42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306</c:v>
                      </c:pt>
                      <c:pt idx="1">
                        <c:v>314</c:v>
                      </c:pt>
                      <c:pt idx="2">
                        <c:v>322</c:v>
                      </c:pt>
                      <c:pt idx="3">
                        <c:v>330</c:v>
                      </c:pt>
                      <c:pt idx="4">
                        <c:v>338</c:v>
                      </c:pt>
                      <c:pt idx="5">
                        <c:v>346</c:v>
                      </c:pt>
                      <c:pt idx="6">
                        <c:v>354</c:v>
                      </c:pt>
                      <c:pt idx="7">
                        <c:v>362</c:v>
                      </c:pt>
                      <c:pt idx="8">
                        <c:v>370</c:v>
                      </c:pt>
                      <c:pt idx="9">
                        <c:v>378</c:v>
                      </c:pt>
                      <c:pt idx="10">
                        <c:v>386</c:v>
                      </c:pt>
                      <c:pt idx="11">
                        <c:v>394</c:v>
                      </c:pt>
                      <c:pt idx="12">
                        <c:v>402</c:v>
                      </c:pt>
                      <c:pt idx="13">
                        <c:v>410</c:v>
                      </c:pt>
                      <c:pt idx="14">
                        <c:v>418</c:v>
                      </c:pt>
                      <c:pt idx="15">
                        <c:v>426</c:v>
                      </c:pt>
                      <c:pt idx="16">
                        <c:v>434</c:v>
                      </c:pt>
                      <c:pt idx="17">
                        <c:v>442</c:v>
                      </c:pt>
                      <c:pt idx="18">
                        <c:v>450</c:v>
                      </c:pt>
                      <c:pt idx="19">
                        <c:v>458</c:v>
                      </c:pt>
                      <c:pt idx="20">
                        <c:v>466</c:v>
                      </c:pt>
                      <c:pt idx="21">
                        <c:v>474</c:v>
                      </c:pt>
                      <c:pt idx="22">
                        <c:v>482</c:v>
                      </c:pt>
                      <c:pt idx="23">
                        <c:v>490</c:v>
                      </c:pt>
                      <c:pt idx="24">
                        <c:v>498</c:v>
                      </c:pt>
                      <c:pt idx="25">
                        <c:v>506</c:v>
                      </c:pt>
                      <c:pt idx="26">
                        <c:v>514</c:v>
                      </c:pt>
                      <c:pt idx="27">
                        <c:v>522</c:v>
                      </c:pt>
                      <c:pt idx="28">
                        <c:v>530</c:v>
                      </c:pt>
                      <c:pt idx="29">
                        <c:v>538</c:v>
                      </c:pt>
                      <c:pt idx="30">
                        <c:v>546</c:v>
                      </c:pt>
                      <c:pt idx="31">
                        <c:v>554</c:v>
                      </c:pt>
                      <c:pt idx="32">
                        <c:v>562</c:v>
                      </c:pt>
                      <c:pt idx="33">
                        <c:v>570</c:v>
                      </c:pt>
                      <c:pt idx="34">
                        <c:v>578</c:v>
                      </c:pt>
                      <c:pt idx="35">
                        <c:v>586</c:v>
                      </c:pt>
                      <c:pt idx="36">
                        <c:v>594</c:v>
                      </c:pt>
                      <c:pt idx="37">
                        <c:v>602</c:v>
                      </c:pt>
                      <c:pt idx="38">
                        <c:v>610</c:v>
                      </c:pt>
                      <c:pt idx="39">
                        <c:v>618</c:v>
                      </c:pt>
                      <c:pt idx="40">
                        <c:v>626</c:v>
                      </c:pt>
                      <c:pt idx="41">
                        <c:v>634</c:v>
                      </c:pt>
                      <c:pt idx="42">
                        <c:v>642</c:v>
                      </c:pt>
                      <c:pt idx="43">
                        <c:v>650</c:v>
                      </c:pt>
                      <c:pt idx="44">
                        <c:v>658</c:v>
                      </c:pt>
                      <c:pt idx="45">
                        <c:v>666</c:v>
                      </c:pt>
                      <c:pt idx="46">
                        <c:v>674</c:v>
                      </c:pt>
                      <c:pt idx="47">
                        <c:v>682</c:v>
                      </c:pt>
                      <c:pt idx="48">
                        <c:v>690</c:v>
                      </c:pt>
                      <c:pt idx="49">
                        <c:v>698</c:v>
                      </c:pt>
                      <c:pt idx="50">
                        <c:v>706</c:v>
                      </c:pt>
                      <c:pt idx="51">
                        <c:v>714</c:v>
                      </c:pt>
                      <c:pt idx="52">
                        <c:v>722</c:v>
                      </c:pt>
                      <c:pt idx="53">
                        <c:v>730</c:v>
                      </c:pt>
                      <c:pt idx="54">
                        <c:v>738</c:v>
                      </c:pt>
                      <c:pt idx="55">
                        <c:v>746</c:v>
                      </c:pt>
                      <c:pt idx="56">
                        <c:v>754</c:v>
                      </c:pt>
                      <c:pt idx="57">
                        <c:v>762</c:v>
                      </c:pt>
                      <c:pt idx="58">
                        <c:v>770</c:v>
                      </c:pt>
                      <c:pt idx="59">
                        <c:v>778</c:v>
                      </c:pt>
                      <c:pt idx="60">
                        <c:v>786</c:v>
                      </c:pt>
                      <c:pt idx="61">
                        <c:v>794</c:v>
                      </c:pt>
                      <c:pt idx="62">
                        <c:v>802</c:v>
                      </c:pt>
                      <c:pt idx="63">
                        <c:v>810</c:v>
                      </c:pt>
                      <c:pt idx="64">
                        <c:v>818</c:v>
                      </c:pt>
                      <c:pt idx="65">
                        <c:v>826</c:v>
                      </c:pt>
                      <c:pt idx="66">
                        <c:v>834</c:v>
                      </c:pt>
                      <c:pt idx="67">
                        <c:v>842</c:v>
                      </c:pt>
                      <c:pt idx="68">
                        <c:v>850</c:v>
                      </c:pt>
                      <c:pt idx="69">
                        <c:v>858</c:v>
                      </c:pt>
                      <c:pt idx="70">
                        <c:v>866</c:v>
                      </c:pt>
                      <c:pt idx="71">
                        <c:v>874</c:v>
                      </c:pt>
                      <c:pt idx="72">
                        <c:v>882</c:v>
                      </c:pt>
                      <c:pt idx="73">
                        <c:v>890</c:v>
                      </c:pt>
                      <c:pt idx="74">
                        <c:v>898</c:v>
                      </c:pt>
                      <c:pt idx="75">
                        <c:v>906</c:v>
                      </c:pt>
                      <c:pt idx="76">
                        <c:v>914</c:v>
                      </c:pt>
                      <c:pt idx="77">
                        <c:v>922</c:v>
                      </c:pt>
                      <c:pt idx="78">
                        <c:v>930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EVALUATION!$B$143:$CP$143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-21.943243243243245</c:v>
                      </c:pt>
                      <c:pt idx="1">
                        <c:v>-21.741441441441442</c:v>
                      </c:pt>
                      <c:pt idx="2">
                        <c:v>-21.539639639639642</c:v>
                      </c:pt>
                      <c:pt idx="3">
                        <c:v>-21.337837837837839</c:v>
                      </c:pt>
                      <c:pt idx="4" formatCode="General">
                        <c:v>-21.317514970059882</c:v>
                      </c:pt>
                      <c:pt idx="5" formatCode="General">
                        <c:v>-21.339071856287426</c:v>
                      </c:pt>
                      <c:pt idx="6" formatCode="General">
                        <c:v>-21.360628742514972</c:v>
                      </c:pt>
                      <c:pt idx="7" formatCode="General">
                        <c:v>-21.382185628742516</c:v>
                      </c:pt>
                      <c:pt idx="8" formatCode="General">
                        <c:v>-21.452604790419162</c:v>
                      </c:pt>
                      <c:pt idx="9" formatCode="General">
                        <c:v>-21.550808383233534</c:v>
                      </c:pt>
                      <c:pt idx="10" formatCode="General">
                        <c:v>-21.649011976047905</c:v>
                      </c:pt>
                      <c:pt idx="11" formatCode="General">
                        <c:v>-21.747215568862277</c:v>
                      </c:pt>
                      <c:pt idx="12" formatCode="General">
                        <c:v>-21.843203592814373</c:v>
                      </c:pt>
                      <c:pt idx="13" formatCode="General">
                        <c:v>-21.936616766467068</c:v>
                      </c:pt>
                      <c:pt idx="14" formatCode="General">
                        <c:v>-22.030029940119761</c:v>
                      </c:pt>
                      <c:pt idx="15" formatCode="General">
                        <c:v>-22.123443113772456</c:v>
                      </c:pt>
                      <c:pt idx="16" formatCode="General">
                        <c:v>-22.209970059880241</c:v>
                      </c:pt>
                      <c:pt idx="17" formatCode="General">
                        <c:v>-22.279431137724551</c:v>
                      </c:pt>
                      <c:pt idx="18" formatCode="General">
                        <c:v>-22.348892215568863</c:v>
                      </c:pt>
                      <c:pt idx="19" formatCode="General">
                        <c:v>-22.418353293413173</c:v>
                      </c:pt>
                      <c:pt idx="20" formatCode="General">
                        <c:v>-22.488353293413173</c:v>
                      </c:pt>
                      <c:pt idx="21" formatCode="General">
                        <c:v>-22.562604790419162</c:v>
                      </c:pt>
                      <c:pt idx="22" formatCode="General">
                        <c:v>-22.63685628742515</c:v>
                      </c:pt>
                      <c:pt idx="23" formatCode="General">
                        <c:v>-22.711107784431139</c:v>
                      </c:pt>
                      <c:pt idx="24" formatCode="General">
                        <c:v>-22.785359281437124</c:v>
                      </c:pt>
                      <c:pt idx="25" formatCode="General">
                        <c:v>-22.846306306306307</c:v>
                      </c:pt>
                      <c:pt idx="26" formatCode="General">
                        <c:v>-22.906366366366367</c:v>
                      </c:pt>
                      <c:pt idx="27" formatCode="General">
                        <c:v>-22.966426426426427</c:v>
                      </c:pt>
                      <c:pt idx="28" formatCode="General">
                        <c:v>-23.026486486486487</c:v>
                      </c:pt>
                      <c:pt idx="29" formatCode="General">
                        <c:v>-23.130958083832336</c:v>
                      </c:pt>
                      <c:pt idx="30" formatCode="General">
                        <c:v>-23.248323353293415</c:v>
                      </c:pt>
                      <c:pt idx="31" formatCode="General">
                        <c:v>-23.36568862275449</c:v>
                      </c:pt>
                      <c:pt idx="32" formatCode="General">
                        <c:v>-23.483053892215569</c:v>
                      </c:pt>
                      <c:pt idx="33" formatCode="General">
                        <c:v>-23.60185628742515</c:v>
                      </c:pt>
                      <c:pt idx="34" formatCode="General">
                        <c:v>-23.721616766467065</c:v>
                      </c:pt>
                      <c:pt idx="35" formatCode="General">
                        <c:v>-23.841377245508983</c:v>
                      </c:pt>
                      <c:pt idx="36" formatCode="General">
                        <c:v>-23.961137724550898</c:v>
                      </c:pt>
                      <c:pt idx="37" formatCode="General">
                        <c:v>-24.078862275449104</c:v>
                      </c:pt>
                      <c:pt idx="38" formatCode="General">
                        <c:v>-24.193832335329343</c:v>
                      </c:pt>
                      <c:pt idx="39" formatCode="General">
                        <c:v>-24.308802395209582</c:v>
                      </c:pt>
                      <c:pt idx="40" formatCode="General">
                        <c:v>-24.423772455089821</c:v>
                      </c:pt>
                      <c:pt idx="41" formatCode="General">
                        <c:v>-24.53874251497006</c:v>
                      </c:pt>
                      <c:pt idx="42" formatCode="General">
                        <c:v>-24.653712574850299</c:v>
                      </c:pt>
                      <c:pt idx="43" formatCode="General">
                        <c:v>-24.768682634730538</c:v>
                      </c:pt>
                      <c:pt idx="44" formatCode="General">
                        <c:v>-24.883652694610777</c:v>
                      </c:pt>
                      <c:pt idx="45" formatCode="General">
                        <c:v>-24.998622754491016</c:v>
                      </c:pt>
                      <c:pt idx="46" formatCode="General">
                        <c:v>-25.113592814371255</c:v>
                      </c:pt>
                      <c:pt idx="47" formatCode="General">
                        <c:v>-25.228562874251494</c:v>
                      </c:pt>
                      <c:pt idx="48" formatCode="General">
                        <c:v>-25.343532934131737</c:v>
                      </c:pt>
                      <c:pt idx="49" formatCode="General">
                        <c:v>-25.458502994011976</c:v>
                      </c:pt>
                      <c:pt idx="50" formatCode="General">
                        <c:v>-25.567617977528091</c:v>
                      </c:pt>
                      <c:pt idx="51" formatCode="General">
                        <c:v>-25.676082397003746</c:v>
                      </c:pt>
                      <c:pt idx="52" formatCode="General">
                        <c:v>-25.784546816479402</c:v>
                      </c:pt>
                      <c:pt idx="53" formatCode="General">
                        <c:v>-25.893011235955058</c:v>
                      </c:pt>
                      <c:pt idx="54" formatCode="General">
                        <c:v>-26.001475655430713</c:v>
                      </c:pt>
                      <c:pt idx="55" formatCode="General">
                        <c:v>-26.109940074906369</c:v>
                      </c:pt>
                      <c:pt idx="56" formatCode="General">
                        <c:v>-26.218404494382021</c:v>
                      </c:pt>
                      <c:pt idx="57" formatCode="General">
                        <c:v>-26.326868913857677</c:v>
                      </c:pt>
                      <c:pt idx="58" formatCode="General">
                        <c:v>-26.435333333333332</c:v>
                      </c:pt>
                      <c:pt idx="59" formatCode="General">
                        <c:v>-26.543797752808988</c:v>
                      </c:pt>
                      <c:pt idx="60" formatCode="General">
                        <c:v>-26.652262172284644</c:v>
                      </c:pt>
                      <c:pt idx="61" formatCode="General">
                        <c:v>-26.760726591760299</c:v>
                      </c:pt>
                      <c:pt idx="62" formatCode="General">
                        <c:v>-26.869191011235955</c:v>
                      </c:pt>
                      <c:pt idx="63" formatCode="General">
                        <c:v>-26.977655430711611</c:v>
                      </c:pt>
                      <c:pt idx="64" formatCode="General">
                        <c:v>-27.086119850187266</c:v>
                      </c:pt>
                      <c:pt idx="65" formatCode="General">
                        <c:v>-27.194584269662922</c:v>
                      </c:pt>
                      <c:pt idx="66" formatCode="General">
                        <c:v>-27.301902621722849</c:v>
                      </c:pt>
                      <c:pt idx="67" formatCode="General">
                        <c:v>-27.404973782771538</c:v>
                      </c:pt>
                      <c:pt idx="68" formatCode="General">
                        <c:v>-27.508044943820227</c:v>
                      </c:pt>
                      <c:pt idx="69" formatCode="General">
                        <c:v>-27.611116104868916</c:v>
                      </c:pt>
                      <c:pt idx="70" formatCode="General">
                        <c:v>-27.714187265917605</c:v>
                      </c:pt>
                      <c:pt idx="71" formatCode="General">
                        <c:v>-27.817258426966294</c:v>
                      </c:pt>
                      <c:pt idx="72" formatCode="General">
                        <c:v>-27.920329588014983</c:v>
                      </c:pt>
                      <c:pt idx="73" formatCode="General">
                        <c:v>-28.023400749063672</c:v>
                      </c:pt>
                      <c:pt idx="74" formatCode="General">
                        <c:v>-28.126471910112361</c:v>
                      </c:pt>
                      <c:pt idx="75" formatCode="General">
                        <c:v>-28.22954307116105</c:v>
                      </c:pt>
                      <c:pt idx="76" formatCode="General">
                        <c:v>-28.332614232209739</c:v>
                      </c:pt>
                      <c:pt idx="77" formatCode="General">
                        <c:v>-28.435685393258428</c:v>
                      </c:pt>
                      <c:pt idx="78" formatCode="General">
                        <c:v>-28.538756554307117</c:v>
                      </c:pt>
                      <c:pt idx="79" formatCode="General">
                        <c:v>-28.641827715355806</c:v>
                      </c:pt>
                      <c:pt idx="80" formatCode="General">
                        <c:v>-28.744898876404495</c:v>
                      </c:pt>
                      <c:pt idx="81" formatCode="General">
                        <c:v>-28.847970037453184</c:v>
                      </c:pt>
                      <c:pt idx="82" formatCode="General">
                        <c:v>-28.951041198501873</c:v>
                      </c:pt>
                      <c:pt idx="83" formatCode="General">
                        <c:v>-29.051396396396395</c:v>
                      </c:pt>
                      <c:pt idx="84" formatCode="General">
                        <c:v>-29.149294294294293</c:v>
                      </c:pt>
                      <c:pt idx="85" formatCode="General">
                        <c:v>-29.247192192192191</c:v>
                      </c:pt>
                      <c:pt idx="86" formatCode="General">
                        <c:v>-29.345090090090089</c:v>
                      </c:pt>
                      <c:pt idx="87" formatCode="General">
                        <c:v>-44.975564356435648</c:v>
                      </c:pt>
                      <c:pt idx="88" formatCode="General">
                        <c:v>-45.122099009900992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F-35EF-46D6-A94F-2517E60135C4}"/>
                  </c:ext>
                </c:extLst>
              </c15:ser>
            </c15:filteredScatterSeries>
            <c15:filteredScatterSeries>
              <c15:ser>
                <c:idx val="42"/>
                <c:order val="43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306</c:v>
                      </c:pt>
                      <c:pt idx="1">
                        <c:v>314</c:v>
                      </c:pt>
                      <c:pt idx="2">
                        <c:v>322</c:v>
                      </c:pt>
                      <c:pt idx="3">
                        <c:v>330</c:v>
                      </c:pt>
                      <c:pt idx="4">
                        <c:v>338</c:v>
                      </c:pt>
                      <c:pt idx="5">
                        <c:v>346</c:v>
                      </c:pt>
                      <c:pt idx="6">
                        <c:v>354</c:v>
                      </c:pt>
                      <c:pt idx="7">
                        <c:v>362</c:v>
                      </c:pt>
                      <c:pt idx="8">
                        <c:v>370</c:v>
                      </c:pt>
                      <c:pt idx="9">
                        <c:v>378</c:v>
                      </c:pt>
                      <c:pt idx="10">
                        <c:v>386</c:v>
                      </c:pt>
                      <c:pt idx="11">
                        <c:v>394</c:v>
                      </c:pt>
                      <c:pt idx="12">
                        <c:v>402</c:v>
                      </c:pt>
                      <c:pt idx="13">
                        <c:v>410</c:v>
                      </c:pt>
                      <c:pt idx="14">
                        <c:v>418</c:v>
                      </c:pt>
                      <c:pt idx="15">
                        <c:v>426</c:v>
                      </c:pt>
                      <c:pt idx="16">
                        <c:v>434</c:v>
                      </c:pt>
                      <c:pt idx="17">
                        <c:v>442</c:v>
                      </c:pt>
                      <c:pt idx="18">
                        <c:v>450</c:v>
                      </c:pt>
                      <c:pt idx="19">
                        <c:v>458</c:v>
                      </c:pt>
                      <c:pt idx="20">
                        <c:v>466</c:v>
                      </c:pt>
                      <c:pt idx="21">
                        <c:v>474</c:v>
                      </c:pt>
                      <c:pt idx="22">
                        <c:v>482</c:v>
                      </c:pt>
                      <c:pt idx="23">
                        <c:v>490</c:v>
                      </c:pt>
                      <c:pt idx="24">
                        <c:v>498</c:v>
                      </c:pt>
                      <c:pt idx="25">
                        <c:v>506</c:v>
                      </c:pt>
                      <c:pt idx="26">
                        <c:v>514</c:v>
                      </c:pt>
                      <c:pt idx="27">
                        <c:v>522</c:v>
                      </c:pt>
                      <c:pt idx="28">
                        <c:v>530</c:v>
                      </c:pt>
                      <c:pt idx="29">
                        <c:v>538</c:v>
                      </c:pt>
                      <c:pt idx="30">
                        <c:v>546</c:v>
                      </c:pt>
                      <c:pt idx="31">
                        <c:v>554</c:v>
                      </c:pt>
                      <c:pt idx="32">
                        <c:v>562</c:v>
                      </c:pt>
                      <c:pt idx="33">
                        <c:v>570</c:v>
                      </c:pt>
                      <c:pt idx="34">
                        <c:v>578</c:v>
                      </c:pt>
                      <c:pt idx="35">
                        <c:v>586</c:v>
                      </c:pt>
                      <c:pt idx="36">
                        <c:v>594</c:v>
                      </c:pt>
                      <c:pt idx="37">
                        <c:v>602</c:v>
                      </c:pt>
                      <c:pt idx="38">
                        <c:v>610</c:v>
                      </c:pt>
                      <c:pt idx="39">
                        <c:v>618</c:v>
                      </c:pt>
                      <c:pt idx="40">
                        <c:v>626</c:v>
                      </c:pt>
                      <c:pt idx="41">
                        <c:v>634</c:v>
                      </c:pt>
                      <c:pt idx="42">
                        <c:v>642</c:v>
                      </c:pt>
                      <c:pt idx="43">
                        <c:v>650</c:v>
                      </c:pt>
                      <c:pt idx="44">
                        <c:v>658</c:v>
                      </c:pt>
                      <c:pt idx="45">
                        <c:v>666</c:v>
                      </c:pt>
                      <c:pt idx="46">
                        <c:v>674</c:v>
                      </c:pt>
                      <c:pt idx="47">
                        <c:v>682</c:v>
                      </c:pt>
                      <c:pt idx="48">
                        <c:v>690</c:v>
                      </c:pt>
                      <c:pt idx="49">
                        <c:v>698</c:v>
                      </c:pt>
                      <c:pt idx="50">
                        <c:v>706</c:v>
                      </c:pt>
                      <c:pt idx="51">
                        <c:v>714</c:v>
                      </c:pt>
                      <c:pt idx="52">
                        <c:v>722</c:v>
                      </c:pt>
                      <c:pt idx="53">
                        <c:v>730</c:v>
                      </c:pt>
                      <c:pt idx="54">
                        <c:v>738</c:v>
                      </c:pt>
                      <c:pt idx="55">
                        <c:v>746</c:v>
                      </c:pt>
                      <c:pt idx="56">
                        <c:v>754</c:v>
                      </c:pt>
                      <c:pt idx="57">
                        <c:v>762</c:v>
                      </c:pt>
                      <c:pt idx="58">
                        <c:v>770</c:v>
                      </c:pt>
                      <c:pt idx="59">
                        <c:v>778</c:v>
                      </c:pt>
                      <c:pt idx="60">
                        <c:v>786</c:v>
                      </c:pt>
                      <c:pt idx="61">
                        <c:v>794</c:v>
                      </c:pt>
                      <c:pt idx="62">
                        <c:v>802</c:v>
                      </c:pt>
                      <c:pt idx="63">
                        <c:v>810</c:v>
                      </c:pt>
                      <c:pt idx="64">
                        <c:v>818</c:v>
                      </c:pt>
                      <c:pt idx="65">
                        <c:v>826</c:v>
                      </c:pt>
                      <c:pt idx="66">
                        <c:v>834</c:v>
                      </c:pt>
                      <c:pt idx="67">
                        <c:v>842</c:v>
                      </c:pt>
                      <c:pt idx="68">
                        <c:v>850</c:v>
                      </c:pt>
                      <c:pt idx="69">
                        <c:v>858</c:v>
                      </c:pt>
                      <c:pt idx="70">
                        <c:v>866</c:v>
                      </c:pt>
                      <c:pt idx="71">
                        <c:v>874</c:v>
                      </c:pt>
                      <c:pt idx="72">
                        <c:v>882</c:v>
                      </c:pt>
                      <c:pt idx="73">
                        <c:v>890</c:v>
                      </c:pt>
                      <c:pt idx="74">
                        <c:v>898</c:v>
                      </c:pt>
                      <c:pt idx="75">
                        <c:v>906</c:v>
                      </c:pt>
                      <c:pt idx="76">
                        <c:v>914</c:v>
                      </c:pt>
                      <c:pt idx="77">
                        <c:v>922</c:v>
                      </c:pt>
                      <c:pt idx="78">
                        <c:v>930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EVALUATION!$B$144:$CP$144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-21.943243243243245</c:v>
                      </c:pt>
                      <c:pt idx="1">
                        <c:v>-21.741441441441442</c:v>
                      </c:pt>
                      <c:pt idx="2">
                        <c:v>-21.539639639639642</c:v>
                      </c:pt>
                      <c:pt idx="3">
                        <c:v>-21.337837837837839</c:v>
                      </c:pt>
                      <c:pt idx="4" formatCode="General">
                        <c:v>-21.317514970059882</c:v>
                      </c:pt>
                      <c:pt idx="5" formatCode="General">
                        <c:v>-21.339071856287426</c:v>
                      </c:pt>
                      <c:pt idx="6" formatCode="General">
                        <c:v>-21.360628742514972</c:v>
                      </c:pt>
                      <c:pt idx="7" formatCode="General">
                        <c:v>-21.382185628742516</c:v>
                      </c:pt>
                      <c:pt idx="8" formatCode="General">
                        <c:v>-21.452604790419162</c:v>
                      </c:pt>
                      <c:pt idx="9" formatCode="General">
                        <c:v>-21.550808383233534</c:v>
                      </c:pt>
                      <c:pt idx="10" formatCode="General">
                        <c:v>-21.649011976047905</c:v>
                      </c:pt>
                      <c:pt idx="11" formatCode="General">
                        <c:v>-21.747215568862277</c:v>
                      </c:pt>
                      <c:pt idx="12" formatCode="General">
                        <c:v>-21.843203592814373</c:v>
                      </c:pt>
                      <c:pt idx="13" formatCode="General">
                        <c:v>-21.936616766467068</c:v>
                      </c:pt>
                      <c:pt idx="14" formatCode="General">
                        <c:v>-22.030029940119761</c:v>
                      </c:pt>
                      <c:pt idx="15" formatCode="General">
                        <c:v>-22.123443113772456</c:v>
                      </c:pt>
                      <c:pt idx="16" formatCode="General">
                        <c:v>-22.209970059880241</c:v>
                      </c:pt>
                      <c:pt idx="17" formatCode="General">
                        <c:v>-22.279431137724551</c:v>
                      </c:pt>
                      <c:pt idx="18" formatCode="General">
                        <c:v>-22.348892215568863</c:v>
                      </c:pt>
                      <c:pt idx="19" formatCode="General">
                        <c:v>-22.418353293413173</c:v>
                      </c:pt>
                      <c:pt idx="20" formatCode="General">
                        <c:v>-22.488353293413173</c:v>
                      </c:pt>
                      <c:pt idx="21" formatCode="General">
                        <c:v>-22.562604790419162</c:v>
                      </c:pt>
                      <c:pt idx="22" formatCode="General">
                        <c:v>-22.63685628742515</c:v>
                      </c:pt>
                      <c:pt idx="23" formatCode="General">
                        <c:v>-22.711107784431139</c:v>
                      </c:pt>
                      <c:pt idx="24" formatCode="General">
                        <c:v>-22.785359281437124</c:v>
                      </c:pt>
                      <c:pt idx="25" formatCode="General">
                        <c:v>-22.846306306306307</c:v>
                      </c:pt>
                      <c:pt idx="26" formatCode="General">
                        <c:v>-22.906366366366367</c:v>
                      </c:pt>
                      <c:pt idx="27" formatCode="General">
                        <c:v>-22.966426426426427</c:v>
                      </c:pt>
                      <c:pt idx="28" formatCode="General">
                        <c:v>-23.026486486486487</c:v>
                      </c:pt>
                      <c:pt idx="29" formatCode="General">
                        <c:v>-23.130958083832336</c:v>
                      </c:pt>
                      <c:pt idx="30" formatCode="General">
                        <c:v>-23.248323353293415</c:v>
                      </c:pt>
                      <c:pt idx="31" formatCode="General">
                        <c:v>-23.36568862275449</c:v>
                      </c:pt>
                      <c:pt idx="32" formatCode="General">
                        <c:v>-23.483053892215569</c:v>
                      </c:pt>
                      <c:pt idx="33" formatCode="General">
                        <c:v>-23.60185628742515</c:v>
                      </c:pt>
                      <c:pt idx="34" formatCode="General">
                        <c:v>-23.721616766467065</c:v>
                      </c:pt>
                      <c:pt idx="35" formatCode="General">
                        <c:v>-23.841377245508983</c:v>
                      </c:pt>
                      <c:pt idx="36" formatCode="General">
                        <c:v>-23.961137724550898</c:v>
                      </c:pt>
                      <c:pt idx="37" formatCode="General">
                        <c:v>-24.078862275449104</c:v>
                      </c:pt>
                      <c:pt idx="38" formatCode="General">
                        <c:v>-24.193832335329343</c:v>
                      </c:pt>
                      <c:pt idx="39" formatCode="General">
                        <c:v>-24.308802395209582</c:v>
                      </c:pt>
                      <c:pt idx="40" formatCode="General">
                        <c:v>-24.423772455089821</c:v>
                      </c:pt>
                      <c:pt idx="41" formatCode="General">
                        <c:v>-24.53874251497006</c:v>
                      </c:pt>
                      <c:pt idx="42" formatCode="General">
                        <c:v>-24.653712574850299</c:v>
                      </c:pt>
                      <c:pt idx="43" formatCode="General">
                        <c:v>-24.768682634730538</c:v>
                      </c:pt>
                      <c:pt idx="44" formatCode="General">
                        <c:v>-24.883652694610777</c:v>
                      </c:pt>
                      <c:pt idx="45" formatCode="General">
                        <c:v>-24.998622754491016</c:v>
                      </c:pt>
                      <c:pt idx="46" formatCode="General">
                        <c:v>-25.113592814371255</c:v>
                      </c:pt>
                      <c:pt idx="47" formatCode="General">
                        <c:v>-25.228562874251494</c:v>
                      </c:pt>
                      <c:pt idx="48" formatCode="General">
                        <c:v>-25.343532934131737</c:v>
                      </c:pt>
                      <c:pt idx="49" formatCode="General">
                        <c:v>-25.458502994011976</c:v>
                      </c:pt>
                      <c:pt idx="50" formatCode="General">
                        <c:v>-25.567617977528091</c:v>
                      </c:pt>
                      <c:pt idx="51" formatCode="General">
                        <c:v>-25.676082397003746</c:v>
                      </c:pt>
                      <c:pt idx="52" formatCode="General">
                        <c:v>-25.784546816479402</c:v>
                      </c:pt>
                      <c:pt idx="53" formatCode="General">
                        <c:v>-25.893011235955058</c:v>
                      </c:pt>
                      <c:pt idx="54" formatCode="General">
                        <c:v>-26.001475655430713</c:v>
                      </c:pt>
                      <c:pt idx="55" formatCode="General">
                        <c:v>-26.109940074906369</c:v>
                      </c:pt>
                      <c:pt idx="56" formatCode="General">
                        <c:v>-26.218404494382021</c:v>
                      </c:pt>
                      <c:pt idx="57" formatCode="General">
                        <c:v>-26.326868913857677</c:v>
                      </c:pt>
                      <c:pt idx="58" formatCode="General">
                        <c:v>-26.435333333333332</c:v>
                      </c:pt>
                      <c:pt idx="59" formatCode="General">
                        <c:v>-26.543797752808988</c:v>
                      </c:pt>
                      <c:pt idx="60" formatCode="General">
                        <c:v>-26.652262172284644</c:v>
                      </c:pt>
                      <c:pt idx="61" formatCode="General">
                        <c:v>-26.760726591760299</c:v>
                      </c:pt>
                      <c:pt idx="62" formatCode="General">
                        <c:v>-26.869191011235955</c:v>
                      </c:pt>
                      <c:pt idx="63" formatCode="General">
                        <c:v>-26.977655430711611</c:v>
                      </c:pt>
                      <c:pt idx="64" formatCode="General">
                        <c:v>-27.086119850187266</c:v>
                      </c:pt>
                      <c:pt idx="65" formatCode="General">
                        <c:v>-27.194584269662922</c:v>
                      </c:pt>
                      <c:pt idx="66" formatCode="General">
                        <c:v>-27.301902621722849</c:v>
                      </c:pt>
                      <c:pt idx="67" formatCode="General">
                        <c:v>-27.404973782771538</c:v>
                      </c:pt>
                      <c:pt idx="68" formatCode="General">
                        <c:v>-27.508044943820227</c:v>
                      </c:pt>
                      <c:pt idx="69" formatCode="General">
                        <c:v>-27.611116104868916</c:v>
                      </c:pt>
                      <c:pt idx="70" formatCode="General">
                        <c:v>-27.714187265917605</c:v>
                      </c:pt>
                      <c:pt idx="71" formatCode="General">
                        <c:v>-27.817258426966294</c:v>
                      </c:pt>
                      <c:pt idx="72" formatCode="General">
                        <c:v>-27.920329588014983</c:v>
                      </c:pt>
                      <c:pt idx="73" formatCode="General">
                        <c:v>-28.023400749063672</c:v>
                      </c:pt>
                      <c:pt idx="74" formatCode="General">
                        <c:v>-28.126471910112361</c:v>
                      </c:pt>
                      <c:pt idx="75" formatCode="General">
                        <c:v>-28.22954307116105</c:v>
                      </c:pt>
                      <c:pt idx="76" formatCode="General">
                        <c:v>-28.332614232209739</c:v>
                      </c:pt>
                      <c:pt idx="77" formatCode="General">
                        <c:v>-28.435685393258428</c:v>
                      </c:pt>
                      <c:pt idx="78" formatCode="General">
                        <c:v>-28.538756554307117</c:v>
                      </c:pt>
                      <c:pt idx="79" formatCode="General">
                        <c:v>-28.641827715355806</c:v>
                      </c:pt>
                      <c:pt idx="80" formatCode="General">
                        <c:v>-28.744898876404495</c:v>
                      </c:pt>
                      <c:pt idx="81" formatCode="General">
                        <c:v>-28.847970037453184</c:v>
                      </c:pt>
                      <c:pt idx="82" formatCode="General">
                        <c:v>-28.951041198501873</c:v>
                      </c:pt>
                      <c:pt idx="83" formatCode="General">
                        <c:v>-29.051396396396395</c:v>
                      </c:pt>
                      <c:pt idx="84" formatCode="General">
                        <c:v>-29.149294294294293</c:v>
                      </c:pt>
                      <c:pt idx="85" formatCode="General">
                        <c:v>-29.247192192192191</c:v>
                      </c:pt>
                      <c:pt idx="86" formatCode="General">
                        <c:v>-29.345090090090089</c:v>
                      </c:pt>
                      <c:pt idx="87" formatCode="General">
                        <c:v>-7.3468118811881187</c:v>
                      </c:pt>
                      <c:pt idx="88" formatCode="General">
                        <c:v>-7.3646336633663365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0-35EF-46D6-A94F-2517E60135C4}"/>
                  </c:ext>
                </c:extLst>
              </c15:ser>
            </c15:filteredScatterSeries>
            <c15:filteredScatterSeries>
              <c15:ser>
                <c:idx val="43"/>
                <c:order val="44"/>
                <c:spPr>
                  <a:ln>
                    <a:prstDash val="sysDash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306</c:v>
                      </c:pt>
                      <c:pt idx="1">
                        <c:v>314</c:v>
                      </c:pt>
                      <c:pt idx="2">
                        <c:v>322</c:v>
                      </c:pt>
                      <c:pt idx="3">
                        <c:v>330</c:v>
                      </c:pt>
                      <c:pt idx="4">
                        <c:v>338</c:v>
                      </c:pt>
                      <c:pt idx="5">
                        <c:v>346</c:v>
                      </c:pt>
                      <c:pt idx="6">
                        <c:v>354</c:v>
                      </c:pt>
                      <c:pt idx="7">
                        <c:v>362</c:v>
                      </c:pt>
                      <c:pt idx="8">
                        <c:v>370</c:v>
                      </c:pt>
                      <c:pt idx="9">
                        <c:v>378</c:v>
                      </c:pt>
                      <c:pt idx="10">
                        <c:v>386</c:v>
                      </c:pt>
                      <c:pt idx="11">
                        <c:v>394</c:v>
                      </c:pt>
                      <c:pt idx="12">
                        <c:v>402</c:v>
                      </c:pt>
                      <c:pt idx="13">
                        <c:v>410</c:v>
                      </c:pt>
                      <c:pt idx="14">
                        <c:v>418</c:v>
                      </c:pt>
                      <c:pt idx="15">
                        <c:v>426</c:v>
                      </c:pt>
                      <c:pt idx="16">
                        <c:v>434</c:v>
                      </c:pt>
                      <c:pt idx="17">
                        <c:v>442</c:v>
                      </c:pt>
                      <c:pt idx="18">
                        <c:v>450</c:v>
                      </c:pt>
                      <c:pt idx="19">
                        <c:v>458</c:v>
                      </c:pt>
                      <c:pt idx="20">
                        <c:v>466</c:v>
                      </c:pt>
                      <c:pt idx="21">
                        <c:v>474</c:v>
                      </c:pt>
                      <c:pt idx="22">
                        <c:v>482</c:v>
                      </c:pt>
                      <c:pt idx="23">
                        <c:v>490</c:v>
                      </c:pt>
                      <c:pt idx="24">
                        <c:v>498</c:v>
                      </c:pt>
                      <c:pt idx="25">
                        <c:v>506</c:v>
                      </c:pt>
                      <c:pt idx="26">
                        <c:v>514</c:v>
                      </c:pt>
                      <c:pt idx="27">
                        <c:v>522</c:v>
                      </c:pt>
                      <c:pt idx="28">
                        <c:v>530</c:v>
                      </c:pt>
                      <c:pt idx="29">
                        <c:v>538</c:v>
                      </c:pt>
                      <c:pt idx="30">
                        <c:v>546</c:v>
                      </c:pt>
                      <c:pt idx="31">
                        <c:v>554</c:v>
                      </c:pt>
                      <c:pt idx="32">
                        <c:v>562</c:v>
                      </c:pt>
                      <c:pt idx="33">
                        <c:v>570</c:v>
                      </c:pt>
                      <c:pt idx="34">
                        <c:v>578</c:v>
                      </c:pt>
                      <c:pt idx="35">
                        <c:v>586</c:v>
                      </c:pt>
                      <c:pt idx="36">
                        <c:v>594</c:v>
                      </c:pt>
                      <c:pt idx="37">
                        <c:v>602</c:v>
                      </c:pt>
                      <c:pt idx="38">
                        <c:v>610</c:v>
                      </c:pt>
                      <c:pt idx="39">
                        <c:v>618</c:v>
                      </c:pt>
                      <c:pt idx="40">
                        <c:v>626</c:v>
                      </c:pt>
                      <c:pt idx="41">
                        <c:v>634</c:v>
                      </c:pt>
                      <c:pt idx="42">
                        <c:v>642</c:v>
                      </c:pt>
                      <c:pt idx="43">
                        <c:v>650</c:v>
                      </c:pt>
                      <c:pt idx="44">
                        <c:v>658</c:v>
                      </c:pt>
                      <c:pt idx="45">
                        <c:v>666</c:v>
                      </c:pt>
                      <c:pt idx="46">
                        <c:v>674</c:v>
                      </c:pt>
                      <c:pt idx="47">
                        <c:v>682</c:v>
                      </c:pt>
                      <c:pt idx="48">
                        <c:v>690</c:v>
                      </c:pt>
                      <c:pt idx="49">
                        <c:v>698</c:v>
                      </c:pt>
                      <c:pt idx="50">
                        <c:v>706</c:v>
                      </c:pt>
                      <c:pt idx="51">
                        <c:v>714</c:v>
                      </c:pt>
                      <c:pt idx="52">
                        <c:v>722</c:v>
                      </c:pt>
                      <c:pt idx="53">
                        <c:v>730</c:v>
                      </c:pt>
                      <c:pt idx="54">
                        <c:v>738</c:v>
                      </c:pt>
                      <c:pt idx="55">
                        <c:v>746</c:v>
                      </c:pt>
                      <c:pt idx="56">
                        <c:v>754</c:v>
                      </c:pt>
                      <c:pt idx="57">
                        <c:v>762</c:v>
                      </c:pt>
                      <c:pt idx="58">
                        <c:v>770</c:v>
                      </c:pt>
                      <c:pt idx="59">
                        <c:v>778</c:v>
                      </c:pt>
                      <c:pt idx="60">
                        <c:v>786</c:v>
                      </c:pt>
                      <c:pt idx="61">
                        <c:v>794</c:v>
                      </c:pt>
                      <c:pt idx="62">
                        <c:v>802</c:v>
                      </c:pt>
                      <c:pt idx="63">
                        <c:v>810</c:v>
                      </c:pt>
                      <c:pt idx="64">
                        <c:v>818</c:v>
                      </c:pt>
                      <c:pt idx="65">
                        <c:v>826</c:v>
                      </c:pt>
                      <c:pt idx="66">
                        <c:v>834</c:v>
                      </c:pt>
                      <c:pt idx="67">
                        <c:v>842</c:v>
                      </c:pt>
                      <c:pt idx="68">
                        <c:v>850</c:v>
                      </c:pt>
                      <c:pt idx="69">
                        <c:v>858</c:v>
                      </c:pt>
                      <c:pt idx="70">
                        <c:v>866</c:v>
                      </c:pt>
                      <c:pt idx="71">
                        <c:v>874</c:v>
                      </c:pt>
                      <c:pt idx="72">
                        <c:v>882</c:v>
                      </c:pt>
                      <c:pt idx="73">
                        <c:v>890</c:v>
                      </c:pt>
                      <c:pt idx="74">
                        <c:v>898</c:v>
                      </c:pt>
                      <c:pt idx="75">
                        <c:v>906</c:v>
                      </c:pt>
                      <c:pt idx="76">
                        <c:v>914</c:v>
                      </c:pt>
                      <c:pt idx="77">
                        <c:v>922</c:v>
                      </c:pt>
                      <c:pt idx="78">
                        <c:v>930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EVALUATION!$B$145:$CP$145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-21.943243243243245</c:v>
                      </c:pt>
                      <c:pt idx="1">
                        <c:v>-21.741441441441442</c:v>
                      </c:pt>
                      <c:pt idx="2">
                        <c:v>-21.539639639639642</c:v>
                      </c:pt>
                      <c:pt idx="3">
                        <c:v>-21.337837837837839</c:v>
                      </c:pt>
                      <c:pt idx="4" formatCode="General">
                        <c:v>-21.317514970059882</c:v>
                      </c:pt>
                      <c:pt idx="5" formatCode="General">
                        <c:v>-21.339071856287426</c:v>
                      </c:pt>
                      <c:pt idx="6" formatCode="General">
                        <c:v>-21.360628742514972</c:v>
                      </c:pt>
                      <c:pt idx="7" formatCode="General">
                        <c:v>-21.382185628742516</c:v>
                      </c:pt>
                      <c:pt idx="8" formatCode="General">
                        <c:v>-21.452604790419162</c:v>
                      </c:pt>
                      <c:pt idx="9" formatCode="General">
                        <c:v>-21.550808383233534</c:v>
                      </c:pt>
                      <c:pt idx="10" formatCode="General">
                        <c:v>-21.649011976047905</c:v>
                      </c:pt>
                      <c:pt idx="11" formatCode="General">
                        <c:v>-21.747215568862277</c:v>
                      </c:pt>
                      <c:pt idx="12" formatCode="General">
                        <c:v>-21.843203592814373</c:v>
                      </c:pt>
                      <c:pt idx="13" formatCode="General">
                        <c:v>-21.936616766467068</c:v>
                      </c:pt>
                      <c:pt idx="14" formatCode="General">
                        <c:v>-22.030029940119761</c:v>
                      </c:pt>
                      <c:pt idx="15" formatCode="General">
                        <c:v>-22.123443113772456</c:v>
                      </c:pt>
                      <c:pt idx="16" formatCode="General">
                        <c:v>-22.209970059880241</c:v>
                      </c:pt>
                      <c:pt idx="17" formatCode="General">
                        <c:v>-22.279431137724551</c:v>
                      </c:pt>
                      <c:pt idx="18" formatCode="General">
                        <c:v>-22.348892215568863</c:v>
                      </c:pt>
                      <c:pt idx="19" formatCode="General">
                        <c:v>-22.418353293413173</c:v>
                      </c:pt>
                      <c:pt idx="20" formatCode="General">
                        <c:v>-22.488353293413173</c:v>
                      </c:pt>
                      <c:pt idx="21" formatCode="General">
                        <c:v>-22.562604790419162</c:v>
                      </c:pt>
                      <c:pt idx="22" formatCode="General">
                        <c:v>-22.63685628742515</c:v>
                      </c:pt>
                      <c:pt idx="23" formatCode="General">
                        <c:v>-22.711107784431139</c:v>
                      </c:pt>
                      <c:pt idx="24" formatCode="General">
                        <c:v>-22.785359281437124</c:v>
                      </c:pt>
                      <c:pt idx="25" formatCode="General">
                        <c:v>-22.846306306306307</c:v>
                      </c:pt>
                      <c:pt idx="26" formatCode="General">
                        <c:v>-22.906366366366367</c:v>
                      </c:pt>
                      <c:pt idx="27" formatCode="General">
                        <c:v>-22.966426426426427</c:v>
                      </c:pt>
                      <c:pt idx="28" formatCode="General">
                        <c:v>-23.026486486486487</c:v>
                      </c:pt>
                      <c:pt idx="29" formatCode="General">
                        <c:v>-23.130958083832336</c:v>
                      </c:pt>
                      <c:pt idx="30" formatCode="General">
                        <c:v>-23.248323353293415</c:v>
                      </c:pt>
                      <c:pt idx="31" formatCode="General">
                        <c:v>-23.36568862275449</c:v>
                      </c:pt>
                      <c:pt idx="32" formatCode="General">
                        <c:v>-23.483053892215569</c:v>
                      </c:pt>
                      <c:pt idx="33" formatCode="General">
                        <c:v>-23.60185628742515</c:v>
                      </c:pt>
                      <c:pt idx="34" formatCode="General">
                        <c:v>-23.721616766467065</c:v>
                      </c:pt>
                      <c:pt idx="35" formatCode="General">
                        <c:v>-23.841377245508983</c:v>
                      </c:pt>
                      <c:pt idx="36" formatCode="General">
                        <c:v>-23.961137724550898</c:v>
                      </c:pt>
                      <c:pt idx="37" formatCode="General">
                        <c:v>-24.078862275449104</c:v>
                      </c:pt>
                      <c:pt idx="38" formatCode="General">
                        <c:v>-24.193832335329343</c:v>
                      </c:pt>
                      <c:pt idx="39" formatCode="General">
                        <c:v>-24.308802395209582</c:v>
                      </c:pt>
                      <c:pt idx="40" formatCode="General">
                        <c:v>-24.423772455089821</c:v>
                      </c:pt>
                      <c:pt idx="41" formatCode="General">
                        <c:v>-24.53874251497006</c:v>
                      </c:pt>
                      <c:pt idx="42" formatCode="General">
                        <c:v>-24.653712574850299</c:v>
                      </c:pt>
                      <c:pt idx="43" formatCode="General">
                        <c:v>-24.768682634730538</c:v>
                      </c:pt>
                      <c:pt idx="44" formatCode="General">
                        <c:v>-24.883652694610777</c:v>
                      </c:pt>
                      <c:pt idx="45" formatCode="General">
                        <c:v>-24.998622754491016</c:v>
                      </c:pt>
                      <c:pt idx="46" formatCode="General">
                        <c:v>-25.113592814371255</c:v>
                      </c:pt>
                      <c:pt idx="47" formatCode="General">
                        <c:v>-25.228562874251494</c:v>
                      </c:pt>
                      <c:pt idx="48" formatCode="General">
                        <c:v>-25.343532934131737</c:v>
                      </c:pt>
                      <c:pt idx="49" formatCode="General">
                        <c:v>-25.458502994011976</c:v>
                      </c:pt>
                      <c:pt idx="50" formatCode="General">
                        <c:v>-25.567617977528091</c:v>
                      </c:pt>
                      <c:pt idx="51" formatCode="General">
                        <c:v>-25.676082397003746</c:v>
                      </c:pt>
                      <c:pt idx="52" formatCode="General">
                        <c:v>-25.784546816479402</c:v>
                      </c:pt>
                      <c:pt idx="53" formatCode="General">
                        <c:v>-25.893011235955058</c:v>
                      </c:pt>
                      <c:pt idx="54" formatCode="General">
                        <c:v>-26.001475655430713</c:v>
                      </c:pt>
                      <c:pt idx="55" formatCode="General">
                        <c:v>-26.109940074906369</c:v>
                      </c:pt>
                      <c:pt idx="56" formatCode="General">
                        <c:v>-26.218404494382021</c:v>
                      </c:pt>
                      <c:pt idx="57" formatCode="General">
                        <c:v>-26.326868913857677</c:v>
                      </c:pt>
                      <c:pt idx="58" formatCode="General">
                        <c:v>-26.435333333333332</c:v>
                      </c:pt>
                      <c:pt idx="59" formatCode="General">
                        <c:v>-26.543797752808988</c:v>
                      </c:pt>
                      <c:pt idx="60" formatCode="General">
                        <c:v>-26.652262172284644</c:v>
                      </c:pt>
                      <c:pt idx="61" formatCode="General">
                        <c:v>-26.760726591760299</c:v>
                      </c:pt>
                      <c:pt idx="62" formatCode="General">
                        <c:v>-26.869191011235955</c:v>
                      </c:pt>
                      <c:pt idx="63" formatCode="General">
                        <c:v>-26.977655430711611</c:v>
                      </c:pt>
                      <c:pt idx="64" formatCode="General">
                        <c:v>-27.086119850187266</c:v>
                      </c:pt>
                      <c:pt idx="65" formatCode="General">
                        <c:v>-27.194584269662922</c:v>
                      </c:pt>
                      <c:pt idx="66" formatCode="General">
                        <c:v>-27.301902621722849</c:v>
                      </c:pt>
                      <c:pt idx="67" formatCode="General">
                        <c:v>-27.404973782771538</c:v>
                      </c:pt>
                      <c:pt idx="68" formatCode="General">
                        <c:v>-27.508044943820227</c:v>
                      </c:pt>
                      <c:pt idx="69" formatCode="General">
                        <c:v>-27.611116104868916</c:v>
                      </c:pt>
                      <c:pt idx="70" formatCode="General">
                        <c:v>-27.714187265917605</c:v>
                      </c:pt>
                      <c:pt idx="71" formatCode="General">
                        <c:v>-27.817258426966294</c:v>
                      </c:pt>
                      <c:pt idx="72" formatCode="General">
                        <c:v>-27.920329588014983</c:v>
                      </c:pt>
                      <c:pt idx="73" formatCode="General">
                        <c:v>-28.023400749063672</c:v>
                      </c:pt>
                      <c:pt idx="74" formatCode="General">
                        <c:v>-28.126471910112361</c:v>
                      </c:pt>
                      <c:pt idx="75" formatCode="General">
                        <c:v>-28.22954307116105</c:v>
                      </c:pt>
                      <c:pt idx="76" formatCode="General">
                        <c:v>-28.332614232209739</c:v>
                      </c:pt>
                      <c:pt idx="77" formatCode="General">
                        <c:v>-28.435685393258428</c:v>
                      </c:pt>
                      <c:pt idx="78" formatCode="General">
                        <c:v>-28.538756554307117</c:v>
                      </c:pt>
                      <c:pt idx="79" formatCode="General">
                        <c:v>-28.641827715355806</c:v>
                      </c:pt>
                      <c:pt idx="80" formatCode="General">
                        <c:v>-28.744898876404495</c:v>
                      </c:pt>
                      <c:pt idx="81" formatCode="General">
                        <c:v>-28.847970037453184</c:v>
                      </c:pt>
                      <c:pt idx="82" formatCode="General">
                        <c:v>-28.951041198501873</c:v>
                      </c:pt>
                      <c:pt idx="83" formatCode="General">
                        <c:v>-29.051396396396395</c:v>
                      </c:pt>
                      <c:pt idx="84" formatCode="General">
                        <c:v>-29.149294294294293</c:v>
                      </c:pt>
                      <c:pt idx="85" formatCode="General">
                        <c:v>-29.247192192192191</c:v>
                      </c:pt>
                      <c:pt idx="86" formatCode="General">
                        <c:v>-29.345090090090089</c:v>
                      </c:pt>
                      <c:pt idx="87" formatCode="General">
                        <c:v>-8.1209504950495059</c:v>
                      </c:pt>
                      <c:pt idx="88" formatCode="General">
                        <c:v>-8.1466930693069308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1-35EF-46D6-A94F-2517E60135C4}"/>
                  </c:ext>
                </c:extLst>
              </c15:ser>
            </c15:filteredScatterSeries>
            <c15:filteredScatterSeries>
              <c15:ser>
                <c:idx val="44"/>
                <c:order val="45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306</c:v>
                      </c:pt>
                      <c:pt idx="1">
                        <c:v>314</c:v>
                      </c:pt>
                      <c:pt idx="2">
                        <c:v>322</c:v>
                      </c:pt>
                      <c:pt idx="3">
                        <c:v>330</c:v>
                      </c:pt>
                      <c:pt idx="4">
                        <c:v>338</c:v>
                      </c:pt>
                      <c:pt idx="5">
                        <c:v>346</c:v>
                      </c:pt>
                      <c:pt idx="6">
                        <c:v>354</c:v>
                      </c:pt>
                      <c:pt idx="7">
                        <c:v>362</c:v>
                      </c:pt>
                      <c:pt idx="8">
                        <c:v>370</c:v>
                      </c:pt>
                      <c:pt idx="9">
                        <c:v>378</c:v>
                      </c:pt>
                      <c:pt idx="10">
                        <c:v>386</c:v>
                      </c:pt>
                      <c:pt idx="11">
                        <c:v>394</c:v>
                      </c:pt>
                      <c:pt idx="12">
                        <c:v>402</c:v>
                      </c:pt>
                      <c:pt idx="13">
                        <c:v>410</c:v>
                      </c:pt>
                      <c:pt idx="14">
                        <c:v>418</c:v>
                      </c:pt>
                      <c:pt idx="15">
                        <c:v>426</c:v>
                      </c:pt>
                      <c:pt idx="16">
                        <c:v>434</c:v>
                      </c:pt>
                      <c:pt idx="17">
                        <c:v>442</c:v>
                      </c:pt>
                      <c:pt idx="18">
                        <c:v>450</c:v>
                      </c:pt>
                      <c:pt idx="19">
                        <c:v>458</c:v>
                      </c:pt>
                      <c:pt idx="20">
                        <c:v>466</c:v>
                      </c:pt>
                      <c:pt idx="21">
                        <c:v>474</c:v>
                      </c:pt>
                      <c:pt idx="22">
                        <c:v>482</c:v>
                      </c:pt>
                      <c:pt idx="23">
                        <c:v>490</c:v>
                      </c:pt>
                      <c:pt idx="24">
                        <c:v>498</c:v>
                      </c:pt>
                      <c:pt idx="25">
                        <c:v>506</c:v>
                      </c:pt>
                      <c:pt idx="26">
                        <c:v>514</c:v>
                      </c:pt>
                      <c:pt idx="27">
                        <c:v>522</c:v>
                      </c:pt>
                      <c:pt idx="28">
                        <c:v>530</c:v>
                      </c:pt>
                      <c:pt idx="29">
                        <c:v>538</c:v>
                      </c:pt>
                      <c:pt idx="30">
                        <c:v>546</c:v>
                      </c:pt>
                      <c:pt idx="31">
                        <c:v>554</c:v>
                      </c:pt>
                      <c:pt idx="32">
                        <c:v>562</c:v>
                      </c:pt>
                      <c:pt idx="33">
                        <c:v>570</c:v>
                      </c:pt>
                      <c:pt idx="34">
                        <c:v>578</c:v>
                      </c:pt>
                      <c:pt idx="35">
                        <c:v>586</c:v>
                      </c:pt>
                      <c:pt idx="36">
                        <c:v>594</c:v>
                      </c:pt>
                      <c:pt idx="37">
                        <c:v>602</c:v>
                      </c:pt>
                      <c:pt idx="38">
                        <c:v>610</c:v>
                      </c:pt>
                      <c:pt idx="39">
                        <c:v>618</c:v>
                      </c:pt>
                      <c:pt idx="40">
                        <c:v>626</c:v>
                      </c:pt>
                      <c:pt idx="41">
                        <c:v>634</c:v>
                      </c:pt>
                      <c:pt idx="42">
                        <c:v>642</c:v>
                      </c:pt>
                      <c:pt idx="43">
                        <c:v>650</c:v>
                      </c:pt>
                      <c:pt idx="44">
                        <c:v>658</c:v>
                      </c:pt>
                      <c:pt idx="45">
                        <c:v>666</c:v>
                      </c:pt>
                      <c:pt idx="46">
                        <c:v>674</c:v>
                      </c:pt>
                      <c:pt idx="47">
                        <c:v>682</c:v>
                      </c:pt>
                      <c:pt idx="48">
                        <c:v>690</c:v>
                      </c:pt>
                      <c:pt idx="49">
                        <c:v>698</c:v>
                      </c:pt>
                      <c:pt idx="50">
                        <c:v>706</c:v>
                      </c:pt>
                      <c:pt idx="51">
                        <c:v>714</c:v>
                      </c:pt>
                      <c:pt idx="52">
                        <c:v>722</c:v>
                      </c:pt>
                      <c:pt idx="53">
                        <c:v>730</c:v>
                      </c:pt>
                      <c:pt idx="54">
                        <c:v>738</c:v>
                      </c:pt>
                      <c:pt idx="55">
                        <c:v>746</c:v>
                      </c:pt>
                      <c:pt idx="56">
                        <c:v>754</c:v>
                      </c:pt>
                      <c:pt idx="57">
                        <c:v>762</c:v>
                      </c:pt>
                      <c:pt idx="58">
                        <c:v>770</c:v>
                      </c:pt>
                      <c:pt idx="59">
                        <c:v>778</c:v>
                      </c:pt>
                      <c:pt idx="60">
                        <c:v>786</c:v>
                      </c:pt>
                      <c:pt idx="61">
                        <c:v>794</c:v>
                      </c:pt>
                      <c:pt idx="62">
                        <c:v>802</c:v>
                      </c:pt>
                      <c:pt idx="63">
                        <c:v>810</c:v>
                      </c:pt>
                      <c:pt idx="64">
                        <c:v>818</c:v>
                      </c:pt>
                      <c:pt idx="65">
                        <c:v>826</c:v>
                      </c:pt>
                      <c:pt idx="66">
                        <c:v>834</c:v>
                      </c:pt>
                      <c:pt idx="67">
                        <c:v>842</c:v>
                      </c:pt>
                      <c:pt idx="68">
                        <c:v>850</c:v>
                      </c:pt>
                      <c:pt idx="69">
                        <c:v>858</c:v>
                      </c:pt>
                      <c:pt idx="70">
                        <c:v>866</c:v>
                      </c:pt>
                      <c:pt idx="71">
                        <c:v>874</c:v>
                      </c:pt>
                      <c:pt idx="72">
                        <c:v>882</c:v>
                      </c:pt>
                      <c:pt idx="73">
                        <c:v>890</c:v>
                      </c:pt>
                      <c:pt idx="74">
                        <c:v>898</c:v>
                      </c:pt>
                      <c:pt idx="75">
                        <c:v>906</c:v>
                      </c:pt>
                      <c:pt idx="76">
                        <c:v>914</c:v>
                      </c:pt>
                      <c:pt idx="77">
                        <c:v>922</c:v>
                      </c:pt>
                      <c:pt idx="78">
                        <c:v>930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EVALUATION!$B$146:$CP$146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-15.512792792792792</c:v>
                      </c:pt>
                      <c:pt idx="1">
                        <c:v>-15.013093093093092</c:v>
                      </c:pt>
                      <c:pt idx="2">
                        <c:v>-14.513393393393393</c:v>
                      </c:pt>
                      <c:pt idx="3">
                        <c:v>-14.013693693693693</c:v>
                      </c:pt>
                      <c:pt idx="4" formatCode="General">
                        <c:v>-13.456826347305389</c:v>
                      </c:pt>
                      <c:pt idx="5" formatCode="General">
                        <c:v>-12.886766467065867</c:v>
                      </c:pt>
                      <c:pt idx="6" formatCode="General">
                        <c:v>-12.316706586826346</c:v>
                      </c:pt>
                      <c:pt idx="7" formatCode="General">
                        <c:v>-11.746646706586823</c:v>
                      </c:pt>
                      <c:pt idx="8" formatCode="General">
                        <c:v>-11.204988023952094</c:v>
                      </c:pt>
                      <c:pt idx="9" formatCode="General">
                        <c:v>-10.679479041916167</c:v>
                      </c:pt>
                      <c:pt idx="10" formatCode="General">
                        <c:v>-10.153970059880239</c:v>
                      </c:pt>
                      <c:pt idx="11" formatCode="General">
                        <c:v>-9.628461077844312</c:v>
                      </c:pt>
                      <c:pt idx="12" formatCode="General">
                        <c:v>-9.1539101796407198</c:v>
                      </c:pt>
                      <c:pt idx="13" formatCode="General">
                        <c:v>-8.7385808383233528</c:v>
                      </c:pt>
                      <c:pt idx="14" formatCode="General">
                        <c:v>-8.3232514970059874</c:v>
                      </c:pt>
                      <c:pt idx="15" formatCode="General">
                        <c:v>-7.9079221556886221</c:v>
                      </c:pt>
                      <c:pt idx="16" formatCode="General">
                        <c:v>-7.5390748502994009</c:v>
                      </c:pt>
                      <c:pt idx="17" formatCode="General">
                        <c:v>-7.2854221556886225</c:v>
                      </c:pt>
                      <c:pt idx="18" formatCode="General">
                        <c:v>-7.031769461077845</c:v>
                      </c:pt>
                      <c:pt idx="19" formatCode="General">
                        <c:v>-6.7781167664670665</c:v>
                      </c:pt>
                      <c:pt idx="20" formatCode="General">
                        <c:v>-6.5428413173652693</c:v>
                      </c:pt>
                      <c:pt idx="21" formatCode="General">
                        <c:v>-6.4525419161676645</c:v>
                      </c:pt>
                      <c:pt idx="22" formatCode="General">
                        <c:v>-6.3622425149700597</c:v>
                      </c:pt>
                      <c:pt idx="23" formatCode="General">
                        <c:v>-6.2719431137724548</c:v>
                      </c:pt>
                      <c:pt idx="24" formatCode="General">
                        <c:v>-6.18164371257485</c:v>
                      </c:pt>
                      <c:pt idx="25" formatCode="General">
                        <c:v>-6.3239729729729737</c:v>
                      </c:pt>
                      <c:pt idx="26" formatCode="General">
                        <c:v>-6.4818108108108117</c:v>
                      </c:pt>
                      <c:pt idx="27" formatCode="General">
                        <c:v>-6.6396486486486497</c:v>
                      </c:pt>
                      <c:pt idx="28" formatCode="General">
                        <c:v>-6.7974864864864877</c:v>
                      </c:pt>
                      <c:pt idx="29" formatCode="General">
                        <c:v>-6.8348562874251497</c:v>
                      </c:pt>
                      <c:pt idx="30" formatCode="General">
                        <c:v>-6.8372514970059886</c:v>
                      </c:pt>
                      <c:pt idx="31" formatCode="General">
                        <c:v>-6.8396467065868265</c:v>
                      </c:pt>
                      <c:pt idx="32" formatCode="General">
                        <c:v>-6.8420419161676644</c:v>
                      </c:pt>
                      <c:pt idx="33" formatCode="General">
                        <c:v>-6.8517664670658682</c:v>
                      </c:pt>
                      <c:pt idx="34" formatCode="General">
                        <c:v>-6.866377245508982</c:v>
                      </c:pt>
                      <c:pt idx="35" formatCode="General">
                        <c:v>-6.8809880239520957</c:v>
                      </c:pt>
                      <c:pt idx="36" formatCode="General">
                        <c:v>-6.8955988023952095</c:v>
                      </c:pt>
                      <c:pt idx="37" formatCode="General">
                        <c:v>-6.911838323353293</c:v>
                      </c:pt>
                      <c:pt idx="38" formatCode="General">
                        <c:v>-6.930281437125748</c:v>
                      </c:pt>
                      <c:pt idx="39" formatCode="General">
                        <c:v>-6.9487245508982038</c:v>
                      </c:pt>
                      <c:pt idx="40" formatCode="General">
                        <c:v>-6.9671676646706588</c:v>
                      </c:pt>
                      <c:pt idx="41" formatCode="General">
                        <c:v>-6.9858502994011973</c:v>
                      </c:pt>
                      <c:pt idx="42" formatCode="General">
                        <c:v>-7.0052514970059878</c:v>
                      </c:pt>
                      <c:pt idx="43" formatCode="General">
                        <c:v>-7.0246526946107783</c:v>
                      </c:pt>
                      <c:pt idx="44" formatCode="General">
                        <c:v>-7.0440538922155689</c:v>
                      </c:pt>
                      <c:pt idx="45" formatCode="General">
                        <c:v>-7.0634550898203594</c:v>
                      </c:pt>
                      <c:pt idx="46" formatCode="General">
                        <c:v>-7.0828562874251499</c:v>
                      </c:pt>
                      <c:pt idx="47" formatCode="General">
                        <c:v>-7.1022574850299405</c:v>
                      </c:pt>
                      <c:pt idx="48" formatCode="General">
                        <c:v>-7.1216586826347301</c:v>
                      </c:pt>
                      <c:pt idx="49" formatCode="General">
                        <c:v>-7.1410598802395207</c:v>
                      </c:pt>
                      <c:pt idx="50" formatCode="General">
                        <c:v>-7.1602584269662923</c:v>
                      </c:pt>
                      <c:pt idx="51" formatCode="General">
                        <c:v>-7.1794344569288393</c:v>
                      </c:pt>
                      <c:pt idx="52" formatCode="General">
                        <c:v>-7.1986104868913854</c:v>
                      </c:pt>
                      <c:pt idx="53" formatCode="General">
                        <c:v>-7.2177865168539324</c:v>
                      </c:pt>
                      <c:pt idx="54" formatCode="General">
                        <c:v>-7.2369625468164793</c:v>
                      </c:pt>
                      <c:pt idx="55" formatCode="General">
                        <c:v>-7.2561385767790263</c:v>
                      </c:pt>
                      <c:pt idx="56" formatCode="General">
                        <c:v>-7.2753146067415733</c:v>
                      </c:pt>
                      <c:pt idx="57" formatCode="General">
                        <c:v>-7.2944906367041202</c:v>
                      </c:pt>
                      <c:pt idx="58" formatCode="General">
                        <c:v>-7.3136666666666663</c:v>
                      </c:pt>
                      <c:pt idx="59" formatCode="General">
                        <c:v>-7.3328426966292133</c:v>
                      </c:pt>
                      <c:pt idx="60" formatCode="General">
                        <c:v>-7.3520187265917603</c:v>
                      </c:pt>
                      <c:pt idx="61" formatCode="General">
                        <c:v>-7.3711947565543072</c:v>
                      </c:pt>
                      <c:pt idx="62" formatCode="General">
                        <c:v>-7.3903707865168542</c:v>
                      </c:pt>
                      <c:pt idx="63" formatCode="General">
                        <c:v>-7.4095468164794012</c:v>
                      </c:pt>
                      <c:pt idx="64" formatCode="General">
                        <c:v>-7.4287228464419481</c:v>
                      </c:pt>
                      <c:pt idx="65" formatCode="General">
                        <c:v>-7.4478988764044942</c:v>
                      </c:pt>
                      <c:pt idx="66" formatCode="General">
                        <c:v>-7.4668456928838953</c:v>
                      </c:pt>
                      <c:pt idx="67" formatCode="General">
                        <c:v>-7.484943071161049</c:v>
                      </c:pt>
                      <c:pt idx="68" formatCode="General">
                        <c:v>-7.5030404494382026</c:v>
                      </c:pt>
                      <c:pt idx="69" formatCode="General">
                        <c:v>-7.5211378277153562</c:v>
                      </c:pt>
                      <c:pt idx="70" formatCode="General">
                        <c:v>-7.5392352059925098</c:v>
                      </c:pt>
                      <c:pt idx="71" formatCode="General">
                        <c:v>-7.5573325842696626</c:v>
                      </c:pt>
                      <c:pt idx="72" formatCode="General">
                        <c:v>-7.5754299625468162</c:v>
                      </c:pt>
                      <c:pt idx="73" formatCode="General">
                        <c:v>-7.5935273408239699</c:v>
                      </c:pt>
                      <c:pt idx="74" formatCode="General">
                        <c:v>-7.6116247191011235</c:v>
                      </c:pt>
                      <c:pt idx="75" formatCode="General">
                        <c:v>-7.6297220973782771</c:v>
                      </c:pt>
                      <c:pt idx="76" formatCode="General">
                        <c:v>-7.6478194756554307</c:v>
                      </c:pt>
                      <c:pt idx="77" formatCode="General">
                        <c:v>-7.6659168539325844</c:v>
                      </c:pt>
                      <c:pt idx="78" formatCode="General">
                        <c:v>-7.684014232209738</c:v>
                      </c:pt>
                      <c:pt idx="79" formatCode="General">
                        <c:v>-7.7021116104868916</c:v>
                      </c:pt>
                      <c:pt idx="80" formatCode="General">
                        <c:v>-7.7202089887640444</c:v>
                      </c:pt>
                      <c:pt idx="81" formatCode="General">
                        <c:v>-7.738306367041198</c:v>
                      </c:pt>
                      <c:pt idx="82" formatCode="General">
                        <c:v>-7.7564037453183516</c:v>
                      </c:pt>
                      <c:pt idx="83" formatCode="General">
                        <c:v>-7.7739234234234234</c:v>
                      </c:pt>
                      <c:pt idx="84" formatCode="General">
                        <c:v>-7.7909204204204201</c:v>
                      </c:pt>
                      <c:pt idx="85" formatCode="General">
                        <c:v>-7.8079174174174168</c:v>
                      </c:pt>
                      <c:pt idx="86" formatCode="General">
                        <c:v>-7.8249144144144145</c:v>
                      </c:pt>
                      <c:pt idx="87" formatCode="General">
                        <c:v>-28.733663366336632</c:v>
                      </c:pt>
                      <c:pt idx="88" formatCode="General">
                        <c:v>-28.828712871287127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2-35EF-46D6-A94F-2517E60135C4}"/>
                  </c:ext>
                </c:extLst>
              </c15:ser>
            </c15:filteredScatterSeries>
            <c15:filteredScatterSeries>
              <c15:ser>
                <c:idx val="45"/>
                <c:order val="46"/>
                <c:spPr>
                  <a:ln>
                    <a:solidFill>
                      <a:srgbClr val="00B050"/>
                    </a:solidFill>
                    <a:prstDash val="sysDash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306</c:v>
                      </c:pt>
                      <c:pt idx="1">
                        <c:v>314</c:v>
                      </c:pt>
                      <c:pt idx="2">
                        <c:v>322</c:v>
                      </c:pt>
                      <c:pt idx="3">
                        <c:v>330</c:v>
                      </c:pt>
                      <c:pt idx="4">
                        <c:v>338</c:v>
                      </c:pt>
                      <c:pt idx="5">
                        <c:v>346</c:v>
                      </c:pt>
                      <c:pt idx="6">
                        <c:v>354</c:v>
                      </c:pt>
                      <c:pt idx="7">
                        <c:v>362</c:v>
                      </c:pt>
                      <c:pt idx="8">
                        <c:v>370</c:v>
                      </c:pt>
                      <c:pt idx="9">
                        <c:v>378</c:v>
                      </c:pt>
                      <c:pt idx="10">
                        <c:v>386</c:v>
                      </c:pt>
                      <c:pt idx="11">
                        <c:v>394</c:v>
                      </c:pt>
                      <c:pt idx="12">
                        <c:v>402</c:v>
                      </c:pt>
                      <c:pt idx="13">
                        <c:v>410</c:v>
                      </c:pt>
                      <c:pt idx="14">
                        <c:v>418</c:v>
                      </c:pt>
                      <c:pt idx="15">
                        <c:v>426</c:v>
                      </c:pt>
                      <c:pt idx="16">
                        <c:v>434</c:v>
                      </c:pt>
                      <c:pt idx="17">
                        <c:v>442</c:v>
                      </c:pt>
                      <c:pt idx="18">
                        <c:v>450</c:v>
                      </c:pt>
                      <c:pt idx="19">
                        <c:v>458</c:v>
                      </c:pt>
                      <c:pt idx="20">
                        <c:v>466</c:v>
                      </c:pt>
                      <c:pt idx="21">
                        <c:v>474</c:v>
                      </c:pt>
                      <c:pt idx="22">
                        <c:v>482</c:v>
                      </c:pt>
                      <c:pt idx="23">
                        <c:v>490</c:v>
                      </c:pt>
                      <c:pt idx="24">
                        <c:v>498</c:v>
                      </c:pt>
                      <c:pt idx="25">
                        <c:v>506</c:v>
                      </c:pt>
                      <c:pt idx="26">
                        <c:v>514</c:v>
                      </c:pt>
                      <c:pt idx="27">
                        <c:v>522</c:v>
                      </c:pt>
                      <c:pt idx="28">
                        <c:v>530</c:v>
                      </c:pt>
                      <c:pt idx="29">
                        <c:v>538</c:v>
                      </c:pt>
                      <c:pt idx="30">
                        <c:v>546</c:v>
                      </c:pt>
                      <c:pt idx="31">
                        <c:v>554</c:v>
                      </c:pt>
                      <c:pt idx="32">
                        <c:v>562</c:v>
                      </c:pt>
                      <c:pt idx="33">
                        <c:v>570</c:v>
                      </c:pt>
                      <c:pt idx="34">
                        <c:v>578</c:v>
                      </c:pt>
                      <c:pt idx="35">
                        <c:v>586</c:v>
                      </c:pt>
                      <c:pt idx="36">
                        <c:v>594</c:v>
                      </c:pt>
                      <c:pt idx="37">
                        <c:v>602</c:v>
                      </c:pt>
                      <c:pt idx="38">
                        <c:v>610</c:v>
                      </c:pt>
                      <c:pt idx="39">
                        <c:v>618</c:v>
                      </c:pt>
                      <c:pt idx="40">
                        <c:v>626</c:v>
                      </c:pt>
                      <c:pt idx="41">
                        <c:v>634</c:v>
                      </c:pt>
                      <c:pt idx="42">
                        <c:v>642</c:v>
                      </c:pt>
                      <c:pt idx="43">
                        <c:v>650</c:v>
                      </c:pt>
                      <c:pt idx="44">
                        <c:v>658</c:v>
                      </c:pt>
                      <c:pt idx="45">
                        <c:v>666</c:v>
                      </c:pt>
                      <c:pt idx="46">
                        <c:v>674</c:v>
                      </c:pt>
                      <c:pt idx="47">
                        <c:v>682</c:v>
                      </c:pt>
                      <c:pt idx="48">
                        <c:v>690</c:v>
                      </c:pt>
                      <c:pt idx="49">
                        <c:v>698</c:v>
                      </c:pt>
                      <c:pt idx="50">
                        <c:v>706</c:v>
                      </c:pt>
                      <c:pt idx="51">
                        <c:v>714</c:v>
                      </c:pt>
                      <c:pt idx="52">
                        <c:v>722</c:v>
                      </c:pt>
                      <c:pt idx="53">
                        <c:v>730</c:v>
                      </c:pt>
                      <c:pt idx="54">
                        <c:v>738</c:v>
                      </c:pt>
                      <c:pt idx="55">
                        <c:v>746</c:v>
                      </c:pt>
                      <c:pt idx="56">
                        <c:v>754</c:v>
                      </c:pt>
                      <c:pt idx="57">
                        <c:v>762</c:v>
                      </c:pt>
                      <c:pt idx="58">
                        <c:v>770</c:v>
                      </c:pt>
                      <c:pt idx="59">
                        <c:v>778</c:v>
                      </c:pt>
                      <c:pt idx="60">
                        <c:v>786</c:v>
                      </c:pt>
                      <c:pt idx="61">
                        <c:v>794</c:v>
                      </c:pt>
                      <c:pt idx="62">
                        <c:v>802</c:v>
                      </c:pt>
                      <c:pt idx="63">
                        <c:v>810</c:v>
                      </c:pt>
                      <c:pt idx="64">
                        <c:v>818</c:v>
                      </c:pt>
                      <c:pt idx="65">
                        <c:v>826</c:v>
                      </c:pt>
                      <c:pt idx="66">
                        <c:v>834</c:v>
                      </c:pt>
                      <c:pt idx="67">
                        <c:v>842</c:v>
                      </c:pt>
                      <c:pt idx="68">
                        <c:v>850</c:v>
                      </c:pt>
                      <c:pt idx="69">
                        <c:v>858</c:v>
                      </c:pt>
                      <c:pt idx="70">
                        <c:v>866</c:v>
                      </c:pt>
                      <c:pt idx="71">
                        <c:v>874</c:v>
                      </c:pt>
                      <c:pt idx="72">
                        <c:v>882</c:v>
                      </c:pt>
                      <c:pt idx="73">
                        <c:v>890</c:v>
                      </c:pt>
                      <c:pt idx="74">
                        <c:v>898</c:v>
                      </c:pt>
                      <c:pt idx="75">
                        <c:v>906</c:v>
                      </c:pt>
                      <c:pt idx="76">
                        <c:v>914</c:v>
                      </c:pt>
                      <c:pt idx="77">
                        <c:v>922</c:v>
                      </c:pt>
                      <c:pt idx="78">
                        <c:v>930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EVALUATION!$B$147:$CP$147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-18.877657657657657</c:v>
                      </c:pt>
                      <c:pt idx="1">
                        <c:v>-18.875255255255254</c:v>
                      </c:pt>
                      <c:pt idx="2">
                        <c:v>-18.872852852852855</c:v>
                      </c:pt>
                      <c:pt idx="3">
                        <c:v>-18.870450450450452</c:v>
                      </c:pt>
                      <c:pt idx="4" formatCode="General">
                        <c:v>-18.875838323353292</c:v>
                      </c:pt>
                      <c:pt idx="5" formatCode="General">
                        <c:v>-18.883023952095808</c:v>
                      </c:pt>
                      <c:pt idx="6" formatCode="General">
                        <c:v>-18.890209580838324</c:v>
                      </c:pt>
                      <c:pt idx="7" formatCode="General">
                        <c:v>-18.897395209580836</c:v>
                      </c:pt>
                      <c:pt idx="8" formatCode="General">
                        <c:v>-18.906107784431136</c:v>
                      </c:pt>
                      <c:pt idx="9" formatCode="General">
                        <c:v>-18.915688622754491</c:v>
                      </c:pt>
                      <c:pt idx="10" formatCode="General">
                        <c:v>-18.925269461077846</c:v>
                      </c:pt>
                      <c:pt idx="11" formatCode="General">
                        <c:v>-18.934850299401198</c:v>
                      </c:pt>
                      <c:pt idx="12" formatCode="General">
                        <c:v>-18.945538922155688</c:v>
                      </c:pt>
                      <c:pt idx="13" formatCode="General">
                        <c:v>-18.957514970059879</c:v>
                      </c:pt>
                      <c:pt idx="14" formatCode="General">
                        <c:v>-18.969491017964071</c:v>
                      </c:pt>
                      <c:pt idx="15" formatCode="General">
                        <c:v>-18.981467065868262</c:v>
                      </c:pt>
                      <c:pt idx="16" formatCode="General">
                        <c:v>-18.993443113772454</c:v>
                      </c:pt>
                      <c:pt idx="17" formatCode="General">
                        <c:v>-19.005419161676645</c:v>
                      </c:pt>
                      <c:pt idx="18" formatCode="General">
                        <c:v>-19.017395209580837</c:v>
                      </c:pt>
                      <c:pt idx="19" formatCode="General">
                        <c:v>-19.029371257485028</c:v>
                      </c:pt>
                      <c:pt idx="20" formatCode="General">
                        <c:v>-19.040808383233532</c:v>
                      </c:pt>
                      <c:pt idx="21" formatCode="General">
                        <c:v>-19.047994011976048</c:v>
                      </c:pt>
                      <c:pt idx="22" formatCode="General">
                        <c:v>-19.055179640718563</c:v>
                      </c:pt>
                      <c:pt idx="23" formatCode="General">
                        <c:v>-19.062365269461079</c:v>
                      </c:pt>
                      <c:pt idx="24" formatCode="General">
                        <c:v>-19.069550898203595</c:v>
                      </c:pt>
                      <c:pt idx="25" formatCode="General">
                        <c:v>-19.045225225225227</c:v>
                      </c:pt>
                      <c:pt idx="26" formatCode="General">
                        <c:v>-19.018798798798798</c:v>
                      </c:pt>
                      <c:pt idx="27" formatCode="General">
                        <c:v>-18.992372372372373</c:v>
                      </c:pt>
                      <c:pt idx="28" formatCode="General">
                        <c:v>-18.965945945945947</c:v>
                      </c:pt>
                      <c:pt idx="29" formatCode="General">
                        <c:v>-18.972994011976049</c:v>
                      </c:pt>
                      <c:pt idx="30" formatCode="General">
                        <c:v>-18.989760479041916</c:v>
                      </c:pt>
                      <c:pt idx="31" formatCode="General">
                        <c:v>-19.006526946107787</c:v>
                      </c:pt>
                      <c:pt idx="32" formatCode="General">
                        <c:v>-19.023293413173654</c:v>
                      </c:pt>
                      <c:pt idx="33" formatCode="General">
                        <c:v>-19.040059880239522</c:v>
                      </c:pt>
                      <c:pt idx="34" formatCode="General">
                        <c:v>-19.056826347305389</c:v>
                      </c:pt>
                      <c:pt idx="35" formatCode="General">
                        <c:v>-19.07359281437126</c:v>
                      </c:pt>
                      <c:pt idx="36" formatCode="General">
                        <c:v>-19.090359281437127</c:v>
                      </c:pt>
                      <c:pt idx="37" formatCode="General">
                        <c:v>-19.107125748502995</c:v>
                      </c:pt>
                      <c:pt idx="38" formatCode="General">
                        <c:v>-19.123892215568866</c:v>
                      </c:pt>
                      <c:pt idx="39" formatCode="General">
                        <c:v>-19.140658682634733</c:v>
                      </c:pt>
                      <c:pt idx="40" formatCode="General">
                        <c:v>-19.1574251497006</c:v>
                      </c:pt>
                      <c:pt idx="41" formatCode="General">
                        <c:v>-19.174191616766468</c:v>
                      </c:pt>
                      <c:pt idx="42" formatCode="General">
                        <c:v>-19.190958083832335</c:v>
                      </c:pt>
                      <c:pt idx="43" formatCode="General">
                        <c:v>-19.207724550898202</c:v>
                      </c:pt>
                      <c:pt idx="44" formatCode="General">
                        <c:v>-19.22449101796407</c:v>
                      </c:pt>
                      <c:pt idx="45" formatCode="General">
                        <c:v>-19.241257485029937</c:v>
                      </c:pt>
                      <c:pt idx="46" formatCode="General">
                        <c:v>-19.258023952095808</c:v>
                      </c:pt>
                      <c:pt idx="47" formatCode="General">
                        <c:v>-19.274790419161675</c:v>
                      </c:pt>
                      <c:pt idx="48" formatCode="General">
                        <c:v>-19.291556886227543</c:v>
                      </c:pt>
                      <c:pt idx="49" formatCode="General">
                        <c:v>-19.30832335329341</c:v>
                      </c:pt>
                      <c:pt idx="50" formatCode="General">
                        <c:v>-19.324022471910112</c:v>
                      </c:pt>
                      <c:pt idx="51" formatCode="General">
                        <c:v>-19.33960299625468</c:v>
                      </c:pt>
                      <c:pt idx="52" formatCode="General">
                        <c:v>-19.355183520599251</c:v>
                      </c:pt>
                      <c:pt idx="53" formatCode="General">
                        <c:v>-19.370764044943819</c:v>
                      </c:pt>
                      <c:pt idx="54" formatCode="General">
                        <c:v>-19.38634456928839</c:v>
                      </c:pt>
                      <c:pt idx="55" formatCode="General">
                        <c:v>-19.401925093632958</c:v>
                      </c:pt>
                      <c:pt idx="56" formatCode="General">
                        <c:v>-19.417505617977529</c:v>
                      </c:pt>
                      <c:pt idx="57" formatCode="General">
                        <c:v>-19.433086142322097</c:v>
                      </c:pt>
                      <c:pt idx="58" formatCode="General">
                        <c:v>-19.448666666666668</c:v>
                      </c:pt>
                      <c:pt idx="59" formatCode="General">
                        <c:v>-19.464247191011236</c:v>
                      </c:pt>
                      <c:pt idx="60" formatCode="General">
                        <c:v>-19.479827715355807</c:v>
                      </c:pt>
                      <c:pt idx="61" formatCode="General">
                        <c:v>-19.495408239700375</c:v>
                      </c:pt>
                      <c:pt idx="62" formatCode="General">
                        <c:v>-19.510988764044942</c:v>
                      </c:pt>
                      <c:pt idx="63" formatCode="General">
                        <c:v>-19.526569288389513</c:v>
                      </c:pt>
                      <c:pt idx="64" formatCode="General">
                        <c:v>-19.542149812734081</c:v>
                      </c:pt>
                      <c:pt idx="65" formatCode="General">
                        <c:v>-19.557730337078652</c:v>
                      </c:pt>
                      <c:pt idx="66" formatCode="General">
                        <c:v>-19.573183520599251</c:v>
                      </c:pt>
                      <c:pt idx="67" formatCode="General">
                        <c:v>-19.58816479400749</c:v>
                      </c:pt>
                      <c:pt idx="68" formatCode="General">
                        <c:v>-19.603146067415732</c:v>
                      </c:pt>
                      <c:pt idx="69" formatCode="General">
                        <c:v>-19.618127340823971</c:v>
                      </c:pt>
                      <c:pt idx="70" formatCode="General">
                        <c:v>-19.63310861423221</c:v>
                      </c:pt>
                      <c:pt idx="71" formatCode="General">
                        <c:v>-19.648089887640449</c:v>
                      </c:pt>
                      <c:pt idx="72" formatCode="General">
                        <c:v>-19.663071161048691</c:v>
                      </c:pt>
                      <c:pt idx="73" formatCode="General">
                        <c:v>-19.67805243445693</c:v>
                      </c:pt>
                      <c:pt idx="74" formatCode="General">
                        <c:v>-19.693033707865169</c:v>
                      </c:pt>
                      <c:pt idx="75" formatCode="General">
                        <c:v>-19.708014981273408</c:v>
                      </c:pt>
                      <c:pt idx="76" formatCode="General">
                        <c:v>-19.722996254681647</c:v>
                      </c:pt>
                      <c:pt idx="77" formatCode="General">
                        <c:v>-19.737977528089889</c:v>
                      </c:pt>
                      <c:pt idx="78" formatCode="General">
                        <c:v>-19.752958801498128</c:v>
                      </c:pt>
                      <c:pt idx="79" formatCode="General">
                        <c:v>-19.767940074906367</c:v>
                      </c:pt>
                      <c:pt idx="80" formatCode="General">
                        <c:v>-19.782921348314606</c:v>
                      </c:pt>
                      <c:pt idx="81" formatCode="General">
                        <c:v>-19.797902621722848</c:v>
                      </c:pt>
                      <c:pt idx="82" formatCode="General">
                        <c:v>-19.812883895131087</c:v>
                      </c:pt>
                      <c:pt idx="83" formatCode="General">
                        <c:v>-19.827252252252254</c:v>
                      </c:pt>
                      <c:pt idx="84" formatCode="General">
                        <c:v>-19.841066066066066</c:v>
                      </c:pt>
                      <c:pt idx="85" formatCode="General">
                        <c:v>-19.854879879879881</c:v>
                      </c:pt>
                      <c:pt idx="86" formatCode="General">
                        <c:v>-19.868693693693693</c:v>
                      </c:pt>
                      <c:pt idx="87" formatCode="General">
                        <c:v>-28.733663366336632</c:v>
                      </c:pt>
                      <c:pt idx="88" formatCode="General">
                        <c:v>-28.828712871287127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3-35EF-46D6-A94F-2517E60135C4}"/>
                  </c:ext>
                </c:extLst>
              </c15:ser>
            </c15:filteredScatterSeries>
            <c15:filteredScatterSeries>
              <c15:ser>
                <c:idx val="46"/>
                <c:order val="47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306</c:v>
                      </c:pt>
                      <c:pt idx="1">
                        <c:v>314</c:v>
                      </c:pt>
                      <c:pt idx="2">
                        <c:v>322</c:v>
                      </c:pt>
                      <c:pt idx="3">
                        <c:v>330</c:v>
                      </c:pt>
                      <c:pt idx="4">
                        <c:v>338</c:v>
                      </c:pt>
                      <c:pt idx="5">
                        <c:v>346</c:v>
                      </c:pt>
                      <c:pt idx="6">
                        <c:v>354</c:v>
                      </c:pt>
                      <c:pt idx="7">
                        <c:v>362</c:v>
                      </c:pt>
                      <c:pt idx="8">
                        <c:v>370</c:v>
                      </c:pt>
                      <c:pt idx="9">
                        <c:v>378</c:v>
                      </c:pt>
                      <c:pt idx="10">
                        <c:v>386</c:v>
                      </c:pt>
                      <c:pt idx="11">
                        <c:v>394</c:v>
                      </c:pt>
                      <c:pt idx="12">
                        <c:v>402</c:v>
                      </c:pt>
                      <c:pt idx="13">
                        <c:v>410</c:v>
                      </c:pt>
                      <c:pt idx="14">
                        <c:v>418</c:v>
                      </c:pt>
                      <c:pt idx="15">
                        <c:v>426</c:v>
                      </c:pt>
                      <c:pt idx="16">
                        <c:v>434</c:v>
                      </c:pt>
                      <c:pt idx="17">
                        <c:v>442</c:v>
                      </c:pt>
                      <c:pt idx="18">
                        <c:v>450</c:v>
                      </c:pt>
                      <c:pt idx="19">
                        <c:v>458</c:v>
                      </c:pt>
                      <c:pt idx="20">
                        <c:v>466</c:v>
                      </c:pt>
                      <c:pt idx="21">
                        <c:v>474</c:v>
                      </c:pt>
                      <c:pt idx="22">
                        <c:v>482</c:v>
                      </c:pt>
                      <c:pt idx="23">
                        <c:v>490</c:v>
                      </c:pt>
                      <c:pt idx="24">
                        <c:v>498</c:v>
                      </c:pt>
                      <c:pt idx="25">
                        <c:v>506</c:v>
                      </c:pt>
                      <c:pt idx="26">
                        <c:v>514</c:v>
                      </c:pt>
                      <c:pt idx="27">
                        <c:v>522</c:v>
                      </c:pt>
                      <c:pt idx="28">
                        <c:v>530</c:v>
                      </c:pt>
                      <c:pt idx="29">
                        <c:v>538</c:v>
                      </c:pt>
                      <c:pt idx="30">
                        <c:v>546</c:v>
                      </c:pt>
                      <c:pt idx="31">
                        <c:v>554</c:v>
                      </c:pt>
                      <c:pt idx="32">
                        <c:v>562</c:v>
                      </c:pt>
                      <c:pt idx="33">
                        <c:v>570</c:v>
                      </c:pt>
                      <c:pt idx="34">
                        <c:v>578</c:v>
                      </c:pt>
                      <c:pt idx="35">
                        <c:v>586</c:v>
                      </c:pt>
                      <c:pt idx="36">
                        <c:v>594</c:v>
                      </c:pt>
                      <c:pt idx="37">
                        <c:v>602</c:v>
                      </c:pt>
                      <c:pt idx="38">
                        <c:v>610</c:v>
                      </c:pt>
                      <c:pt idx="39">
                        <c:v>618</c:v>
                      </c:pt>
                      <c:pt idx="40">
                        <c:v>626</c:v>
                      </c:pt>
                      <c:pt idx="41">
                        <c:v>634</c:v>
                      </c:pt>
                      <c:pt idx="42">
                        <c:v>642</c:v>
                      </c:pt>
                      <c:pt idx="43">
                        <c:v>650</c:v>
                      </c:pt>
                      <c:pt idx="44">
                        <c:v>658</c:v>
                      </c:pt>
                      <c:pt idx="45">
                        <c:v>666</c:v>
                      </c:pt>
                      <c:pt idx="46">
                        <c:v>674</c:v>
                      </c:pt>
                      <c:pt idx="47">
                        <c:v>682</c:v>
                      </c:pt>
                      <c:pt idx="48">
                        <c:v>690</c:v>
                      </c:pt>
                      <c:pt idx="49">
                        <c:v>698</c:v>
                      </c:pt>
                      <c:pt idx="50">
                        <c:v>706</c:v>
                      </c:pt>
                      <c:pt idx="51">
                        <c:v>714</c:v>
                      </c:pt>
                      <c:pt idx="52">
                        <c:v>722</c:v>
                      </c:pt>
                      <c:pt idx="53">
                        <c:v>730</c:v>
                      </c:pt>
                      <c:pt idx="54">
                        <c:v>738</c:v>
                      </c:pt>
                      <c:pt idx="55">
                        <c:v>746</c:v>
                      </c:pt>
                      <c:pt idx="56">
                        <c:v>754</c:v>
                      </c:pt>
                      <c:pt idx="57">
                        <c:v>762</c:v>
                      </c:pt>
                      <c:pt idx="58">
                        <c:v>770</c:v>
                      </c:pt>
                      <c:pt idx="59">
                        <c:v>778</c:v>
                      </c:pt>
                      <c:pt idx="60">
                        <c:v>786</c:v>
                      </c:pt>
                      <c:pt idx="61">
                        <c:v>794</c:v>
                      </c:pt>
                      <c:pt idx="62">
                        <c:v>802</c:v>
                      </c:pt>
                      <c:pt idx="63">
                        <c:v>810</c:v>
                      </c:pt>
                      <c:pt idx="64">
                        <c:v>818</c:v>
                      </c:pt>
                      <c:pt idx="65">
                        <c:v>826</c:v>
                      </c:pt>
                      <c:pt idx="66">
                        <c:v>834</c:v>
                      </c:pt>
                      <c:pt idx="67">
                        <c:v>842</c:v>
                      </c:pt>
                      <c:pt idx="68">
                        <c:v>850</c:v>
                      </c:pt>
                      <c:pt idx="69">
                        <c:v>858</c:v>
                      </c:pt>
                      <c:pt idx="70">
                        <c:v>866</c:v>
                      </c:pt>
                      <c:pt idx="71">
                        <c:v>874</c:v>
                      </c:pt>
                      <c:pt idx="72">
                        <c:v>882</c:v>
                      </c:pt>
                      <c:pt idx="73">
                        <c:v>890</c:v>
                      </c:pt>
                      <c:pt idx="74">
                        <c:v>898</c:v>
                      </c:pt>
                      <c:pt idx="75">
                        <c:v>906</c:v>
                      </c:pt>
                      <c:pt idx="76">
                        <c:v>914</c:v>
                      </c:pt>
                      <c:pt idx="77">
                        <c:v>922</c:v>
                      </c:pt>
                      <c:pt idx="78">
                        <c:v>930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EVALUATION!$B$148:$CP$148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-59.157387387387388</c:v>
                      </c:pt>
                      <c:pt idx="1">
                        <c:v>-57.482912912912909</c:v>
                      </c:pt>
                      <c:pt idx="2">
                        <c:v>-55.808438438438436</c:v>
                      </c:pt>
                      <c:pt idx="3">
                        <c:v>-54.133963963963964</c:v>
                      </c:pt>
                      <c:pt idx="4" formatCode="General">
                        <c:v>-52.494700598802396</c:v>
                      </c:pt>
                      <c:pt idx="5" formatCode="General">
                        <c:v>-50.863562874251492</c:v>
                      </c:pt>
                      <c:pt idx="6" formatCode="General">
                        <c:v>-49.232425149700596</c:v>
                      </c:pt>
                      <c:pt idx="7" formatCode="General">
                        <c:v>-47.601287425149692</c:v>
                      </c:pt>
                      <c:pt idx="8" formatCode="General">
                        <c:v>-46.077035928143708</c:v>
                      </c:pt>
                      <c:pt idx="9" formatCode="General">
                        <c:v>-44.613562874251492</c:v>
                      </c:pt>
                      <c:pt idx="10" formatCode="General">
                        <c:v>-43.150089820359277</c:v>
                      </c:pt>
                      <c:pt idx="11" formatCode="General">
                        <c:v>-41.686616766467068</c:v>
                      </c:pt>
                      <c:pt idx="12" formatCode="General">
                        <c:v>-40.325059880239522</c:v>
                      </c:pt>
                      <c:pt idx="13" formatCode="General">
                        <c:v>-39.081946107784432</c:v>
                      </c:pt>
                      <c:pt idx="14" formatCode="General">
                        <c:v>-37.838832335329343</c:v>
                      </c:pt>
                      <c:pt idx="15" formatCode="General">
                        <c:v>-36.595718562874254</c:v>
                      </c:pt>
                      <c:pt idx="16" formatCode="General">
                        <c:v>-35.412514970059881</c:v>
                      </c:pt>
                      <c:pt idx="17" formatCode="General">
                        <c:v>-34.377784431137727</c:v>
                      </c:pt>
                      <c:pt idx="18" formatCode="General">
                        <c:v>-33.343053892215572</c:v>
                      </c:pt>
                      <c:pt idx="19" formatCode="General">
                        <c:v>-32.308323353293417</c:v>
                      </c:pt>
                      <c:pt idx="20" formatCode="General">
                        <c:v>-31.289491017964075</c:v>
                      </c:pt>
                      <c:pt idx="21" formatCode="General">
                        <c:v>-30.396077844311378</c:v>
                      </c:pt>
                      <c:pt idx="22" formatCode="General">
                        <c:v>-29.502664670658685</c:v>
                      </c:pt>
                      <c:pt idx="23" formatCode="General">
                        <c:v>-28.609251497005989</c:v>
                      </c:pt>
                      <c:pt idx="24" formatCode="General">
                        <c:v>-27.715838323353292</c:v>
                      </c:pt>
                      <c:pt idx="25" formatCode="General">
                        <c:v>-27.464054054054053</c:v>
                      </c:pt>
                      <c:pt idx="26" formatCode="General">
                        <c:v>-27.255045045045044</c:v>
                      </c:pt>
                      <c:pt idx="27" formatCode="General">
                        <c:v>-27.046036036036035</c:v>
                      </c:pt>
                      <c:pt idx="28" formatCode="General">
                        <c:v>-26.837027027027027</c:v>
                      </c:pt>
                      <c:pt idx="29" formatCode="General">
                        <c:v>-27.03502994011976</c:v>
                      </c:pt>
                      <c:pt idx="30" formatCode="General">
                        <c:v>-27.351197604790418</c:v>
                      </c:pt>
                      <c:pt idx="31" formatCode="General">
                        <c:v>-27.667365269461076</c:v>
                      </c:pt>
                      <c:pt idx="32" formatCode="General">
                        <c:v>-27.983532934131734</c:v>
                      </c:pt>
                      <c:pt idx="33" formatCode="General">
                        <c:v>-28.296826347305387</c:v>
                      </c:pt>
                      <c:pt idx="34" formatCode="General">
                        <c:v>-28.60820359281437</c:v>
                      </c:pt>
                      <c:pt idx="35" formatCode="General">
                        <c:v>-28.919580838323352</c:v>
                      </c:pt>
                      <c:pt idx="36" formatCode="General">
                        <c:v>-29.230958083832334</c:v>
                      </c:pt>
                      <c:pt idx="37" formatCode="General">
                        <c:v>-29.540299401197604</c:v>
                      </c:pt>
                      <c:pt idx="38" formatCode="General">
                        <c:v>-29.84688622754491</c:v>
                      </c:pt>
                      <c:pt idx="39" formatCode="General">
                        <c:v>-30.153473053892217</c:v>
                      </c:pt>
                      <c:pt idx="40" formatCode="General">
                        <c:v>-30.460059880239523</c:v>
                      </c:pt>
                      <c:pt idx="41" formatCode="General">
                        <c:v>-30.7648502994012</c:v>
                      </c:pt>
                      <c:pt idx="42" formatCode="General">
                        <c:v>-31.064251497005991</c:v>
                      </c:pt>
                      <c:pt idx="43" formatCode="General">
                        <c:v>-31.363652694610781</c:v>
                      </c:pt>
                      <c:pt idx="44" formatCode="General">
                        <c:v>-31.663053892215572</c:v>
                      </c:pt>
                      <c:pt idx="45" formatCode="General">
                        <c:v>-31.961916167664672</c:v>
                      </c:pt>
                      <c:pt idx="46" formatCode="General">
                        <c:v>-32.254131736526951</c:v>
                      </c:pt>
                      <c:pt idx="47" formatCode="General">
                        <c:v>-32.546347305389219</c:v>
                      </c:pt>
                      <c:pt idx="48" formatCode="General">
                        <c:v>-32.838562874251494</c:v>
                      </c:pt>
                      <c:pt idx="49" formatCode="General">
                        <c:v>-33.130778443113769</c:v>
                      </c:pt>
                      <c:pt idx="50" formatCode="General">
                        <c:v>-33.403235955056175</c:v>
                      </c:pt>
                      <c:pt idx="51" formatCode="General">
                        <c:v>-33.673498127340821</c:v>
                      </c:pt>
                      <c:pt idx="52" formatCode="General">
                        <c:v>-33.943760299625467</c:v>
                      </c:pt>
                      <c:pt idx="53" formatCode="General">
                        <c:v>-34.214022471910113</c:v>
                      </c:pt>
                      <c:pt idx="54" formatCode="General">
                        <c:v>-34.484284644194759</c:v>
                      </c:pt>
                      <c:pt idx="55" formatCode="General">
                        <c:v>-34.754546816479397</c:v>
                      </c:pt>
                      <c:pt idx="56" formatCode="General">
                        <c:v>-35.024808988764043</c:v>
                      </c:pt>
                      <c:pt idx="57" formatCode="General">
                        <c:v>-35.295071161048689</c:v>
                      </c:pt>
                      <c:pt idx="58" formatCode="General">
                        <c:v>-35.565333333333335</c:v>
                      </c:pt>
                      <c:pt idx="59" formatCode="General">
                        <c:v>-35.835595505617981</c:v>
                      </c:pt>
                      <c:pt idx="60" formatCode="General">
                        <c:v>-36.10585767790262</c:v>
                      </c:pt>
                      <c:pt idx="61" formatCode="General">
                        <c:v>-36.376119850187266</c:v>
                      </c:pt>
                      <c:pt idx="62" formatCode="General">
                        <c:v>-36.646382022471911</c:v>
                      </c:pt>
                      <c:pt idx="63" formatCode="General">
                        <c:v>-36.916644194756557</c:v>
                      </c:pt>
                      <c:pt idx="64" formatCode="General">
                        <c:v>-37.186906367041203</c:v>
                      </c:pt>
                      <c:pt idx="65" formatCode="General">
                        <c:v>-37.457168539325849</c:v>
                      </c:pt>
                      <c:pt idx="66" formatCode="General">
                        <c:v>-37.717880149812736</c:v>
                      </c:pt>
                      <c:pt idx="67" formatCode="General">
                        <c:v>-37.943198501872665</c:v>
                      </c:pt>
                      <c:pt idx="68" formatCode="General">
                        <c:v>-38.168516853932587</c:v>
                      </c:pt>
                      <c:pt idx="69" formatCode="General">
                        <c:v>-38.393835205992509</c:v>
                      </c:pt>
                      <c:pt idx="70" formatCode="General">
                        <c:v>-38.619153558052439</c:v>
                      </c:pt>
                      <c:pt idx="71" formatCode="General">
                        <c:v>-38.844471910112361</c:v>
                      </c:pt>
                      <c:pt idx="72" formatCode="General">
                        <c:v>-39.06979026217229</c:v>
                      </c:pt>
                      <c:pt idx="73" formatCode="General">
                        <c:v>-39.295108614232213</c:v>
                      </c:pt>
                      <c:pt idx="74" formatCode="General">
                        <c:v>-39.520426966292135</c:v>
                      </c:pt>
                      <c:pt idx="75" formatCode="General">
                        <c:v>-39.745745318352064</c:v>
                      </c:pt>
                      <c:pt idx="76" formatCode="General">
                        <c:v>-39.971063670411986</c:v>
                      </c:pt>
                      <c:pt idx="77" formatCode="General">
                        <c:v>-40.196382022471909</c:v>
                      </c:pt>
                      <c:pt idx="78" formatCode="General">
                        <c:v>-40.421700374531838</c:v>
                      </c:pt>
                      <c:pt idx="79" formatCode="General">
                        <c:v>-40.64701872659176</c:v>
                      </c:pt>
                      <c:pt idx="80" formatCode="General">
                        <c:v>-40.87233707865169</c:v>
                      </c:pt>
                      <c:pt idx="81" formatCode="General">
                        <c:v>-41.097655430711612</c:v>
                      </c:pt>
                      <c:pt idx="82" formatCode="General">
                        <c:v>-41.322973782771534</c:v>
                      </c:pt>
                      <c:pt idx="83" formatCode="General">
                        <c:v>-41.521441441441439</c:v>
                      </c:pt>
                      <c:pt idx="84" formatCode="General">
                        <c:v>-41.695615615615615</c:v>
                      </c:pt>
                      <c:pt idx="85" formatCode="General">
                        <c:v>-41.869789789789792</c:v>
                      </c:pt>
                      <c:pt idx="86" formatCode="General">
                        <c:v>-42.043963963963961</c:v>
                      </c:pt>
                      <c:pt idx="87" formatCode="General">
                        <c:v>-28.733663366336632</c:v>
                      </c:pt>
                      <c:pt idx="88" formatCode="General">
                        <c:v>-28.828712871287127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4-35EF-46D6-A94F-2517E60135C4}"/>
                  </c:ext>
                </c:extLst>
              </c15:ser>
            </c15:filteredScatterSeries>
            <c15:filteredScatterSeries>
              <c15:ser>
                <c:idx val="47"/>
                <c:order val="48"/>
                <c:spPr>
                  <a:ln>
                    <a:solidFill>
                      <a:srgbClr val="00B050"/>
                    </a:solidFill>
                    <a:prstDash val="dash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306</c:v>
                      </c:pt>
                      <c:pt idx="1">
                        <c:v>314</c:v>
                      </c:pt>
                      <c:pt idx="2">
                        <c:v>322</c:v>
                      </c:pt>
                      <c:pt idx="3">
                        <c:v>330</c:v>
                      </c:pt>
                      <c:pt idx="4">
                        <c:v>338</c:v>
                      </c:pt>
                      <c:pt idx="5">
                        <c:v>346</c:v>
                      </c:pt>
                      <c:pt idx="6">
                        <c:v>354</c:v>
                      </c:pt>
                      <c:pt idx="7">
                        <c:v>362</c:v>
                      </c:pt>
                      <c:pt idx="8">
                        <c:v>370</c:v>
                      </c:pt>
                      <c:pt idx="9">
                        <c:v>378</c:v>
                      </c:pt>
                      <c:pt idx="10">
                        <c:v>386</c:v>
                      </c:pt>
                      <c:pt idx="11">
                        <c:v>394</c:v>
                      </c:pt>
                      <c:pt idx="12">
                        <c:v>402</c:v>
                      </c:pt>
                      <c:pt idx="13">
                        <c:v>410</c:v>
                      </c:pt>
                      <c:pt idx="14">
                        <c:v>418</c:v>
                      </c:pt>
                      <c:pt idx="15">
                        <c:v>426</c:v>
                      </c:pt>
                      <c:pt idx="16">
                        <c:v>434</c:v>
                      </c:pt>
                      <c:pt idx="17">
                        <c:v>442</c:v>
                      </c:pt>
                      <c:pt idx="18">
                        <c:v>450</c:v>
                      </c:pt>
                      <c:pt idx="19">
                        <c:v>458</c:v>
                      </c:pt>
                      <c:pt idx="20">
                        <c:v>466</c:v>
                      </c:pt>
                      <c:pt idx="21">
                        <c:v>474</c:v>
                      </c:pt>
                      <c:pt idx="22">
                        <c:v>482</c:v>
                      </c:pt>
                      <c:pt idx="23">
                        <c:v>490</c:v>
                      </c:pt>
                      <c:pt idx="24">
                        <c:v>498</c:v>
                      </c:pt>
                      <c:pt idx="25">
                        <c:v>506</c:v>
                      </c:pt>
                      <c:pt idx="26">
                        <c:v>514</c:v>
                      </c:pt>
                      <c:pt idx="27">
                        <c:v>522</c:v>
                      </c:pt>
                      <c:pt idx="28">
                        <c:v>530</c:v>
                      </c:pt>
                      <c:pt idx="29">
                        <c:v>538</c:v>
                      </c:pt>
                      <c:pt idx="30">
                        <c:v>546</c:v>
                      </c:pt>
                      <c:pt idx="31">
                        <c:v>554</c:v>
                      </c:pt>
                      <c:pt idx="32">
                        <c:v>562</c:v>
                      </c:pt>
                      <c:pt idx="33">
                        <c:v>570</c:v>
                      </c:pt>
                      <c:pt idx="34">
                        <c:v>578</c:v>
                      </c:pt>
                      <c:pt idx="35">
                        <c:v>586</c:v>
                      </c:pt>
                      <c:pt idx="36">
                        <c:v>594</c:v>
                      </c:pt>
                      <c:pt idx="37">
                        <c:v>602</c:v>
                      </c:pt>
                      <c:pt idx="38">
                        <c:v>610</c:v>
                      </c:pt>
                      <c:pt idx="39">
                        <c:v>618</c:v>
                      </c:pt>
                      <c:pt idx="40">
                        <c:v>626</c:v>
                      </c:pt>
                      <c:pt idx="41">
                        <c:v>634</c:v>
                      </c:pt>
                      <c:pt idx="42">
                        <c:v>642</c:v>
                      </c:pt>
                      <c:pt idx="43">
                        <c:v>650</c:v>
                      </c:pt>
                      <c:pt idx="44">
                        <c:v>658</c:v>
                      </c:pt>
                      <c:pt idx="45">
                        <c:v>666</c:v>
                      </c:pt>
                      <c:pt idx="46">
                        <c:v>674</c:v>
                      </c:pt>
                      <c:pt idx="47">
                        <c:v>682</c:v>
                      </c:pt>
                      <c:pt idx="48">
                        <c:v>690</c:v>
                      </c:pt>
                      <c:pt idx="49">
                        <c:v>698</c:v>
                      </c:pt>
                      <c:pt idx="50">
                        <c:v>706</c:v>
                      </c:pt>
                      <c:pt idx="51">
                        <c:v>714</c:v>
                      </c:pt>
                      <c:pt idx="52">
                        <c:v>722</c:v>
                      </c:pt>
                      <c:pt idx="53">
                        <c:v>730</c:v>
                      </c:pt>
                      <c:pt idx="54">
                        <c:v>738</c:v>
                      </c:pt>
                      <c:pt idx="55">
                        <c:v>746</c:v>
                      </c:pt>
                      <c:pt idx="56">
                        <c:v>754</c:v>
                      </c:pt>
                      <c:pt idx="57">
                        <c:v>762</c:v>
                      </c:pt>
                      <c:pt idx="58">
                        <c:v>770</c:v>
                      </c:pt>
                      <c:pt idx="59">
                        <c:v>778</c:v>
                      </c:pt>
                      <c:pt idx="60">
                        <c:v>786</c:v>
                      </c:pt>
                      <c:pt idx="61">
                        <c:v>794</c:v>
                      </c:pt>
                      <c:pt idx="62">
                        <c:v>802</c:v>
                      </c:pt>
                      <c:pt idx="63">
                        <c:v>810</c:v>
                      </c:pt>
                      <c:pt idx="64">
                        <c:v>818</c:v>
                      </c:pt>
                      <c:pt idx="65">
                        <c:v>826</c:v>
                      </c:pt>
                      <c:pt idx="66">
                        <c:v>834</c:v>
                      </c:pt>
                      <c:pt idx="67">
                        <c:v>842</c:v>
                      </c:pt>
                      <c:pt idx="68">
                        <c:v>850</c:v>
                      </c:pt>
                      <c:pt idx="69">
                        <c:v>858</c:v>
                      </c:pt>
                      <c:pt idx="70">
                        <c:v>866</c:v>
                      </c:pt>
                      <c:pt idx="71">
                        <c:v>874</c:v>
                      </c:pt>
                      <c:pt idx="72">
                        <c:v>882</c:v>
                      </c:pt>
                      <c:pt idx="73">
                        <c:v>890</c:v>
                      </c:pt>
                      <c:pt idx="74">
                        <c:v>898</c:v>
                      </c:pt>
                      <c:pt idx="75">
                        <c:v>906</c:v>
                      </c:pt>
                      <c:pt idx="76">
                        <c:v>914</c:v>
                      </c:pt>
                      <c:pt idx="77">
                        <c:v>922</c:v>
                      </c:pt>
                      <c:pt idx="78">
                        <c:v>930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EVALUATION!$B$149:$CP$149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-15.512792792792792</c:v>
                      </c:pt>
                      <c:pt idx="1">
                        <c:v>-15.013093093093092</c:v>
                      </c:pt>
                      <c:pt idx="2">
                        <c:v>-14.513393393393393</c:v>
                      </c:pt>
                      <c:pt idx="3">
                        <c:v>-14.013693693693693</c:v>
                      </c:pt>
                      <c:pt idx="4" formatCode="General">
                        <c:v>-13.456826347305389</c:v>
                      </c:pt>
                      <c:pt idx="5" formatCode="General">
                        <c:v>-12.886766467065867</c:v>
                      </c:pt>
                      <c:pt idx="6" formatCode="General">
                        <c:v>-12.316706586826346</c:v>
                      </c:pt>
                      <c:pt idx="7" formatCode="General">
                        <c:v>-11.746646706586823</c:v>
                      </c:pt>
                      <c:pt idx="8" formatCode="General">
                        <c:v>-11.204988023952094</c:v>
                      </c:pt>
                      <c:pt idx="9" formatCode="General">
                        <c:v>-10.679479041916167</c:v>
                      </c:pt>
                      <c:pt idx="10" formatCode="General">
                        <c:v>-10.153970059880239</c:v>
                      </c:pt>
                      <c:pt idx="11" formatCode="General">
                        <c:v>-9.628461077844312</c:v>
                      </c:pt>
                      <c:pt idx="12" formatCode="General">
                        <c:v>-9.1539101796407198</c:v>
                      </c:pt>
                      <c:pt idx="13" formatCode="General">
                        <c:v>-8.7385808383233528</c:v>
                      </c:pt>
                      <c:pt idx="14" formatCode="General">
                        <c:v>-8.3232514970059874</c:v>
                      </c:pt>
                      <c:pt idx="15" formatCode="General">
                        <c:v>-7.9079221556886221</c:v>
                      </c:pt>
                      <c:pt idx="16" formatCode="General">
                        <c:v>-7.5390748502994009</c:v>
                      </c:pt>
                      <c:pt idx="17" formatCode="General">
                        <c:v>-7.2854221556886225</c:v>
                      </c:pt>
                      <c:pt idx="18" formatCode="General">
                        <c:v>-7.031769461077845</c:v>
                      </c:pt>
                      <c:pt idx="19" formatCode="General">
                        <c:v>-6.7781167664670665</c:v>
                      </c:pt>
                      <c:pt idx="20" formatCode="General">
                        <c:v>-6.5428413173652693</c:v>
                      </c:pt>
                      <c:pt idx="21" formatCode="General">
                        <c:v>-6.4525419161676645</c:v>
                      </c:pt>
                      <c:pt idx="22" formatCode="General">
                        <c:v>-6.3622425149700597</c:v>
                      </c:pt>
                      <c:pt idx="23" formatCode="General">
                        <c:v>-6.2719431137724548</c:v>
                      </c:pt>
                      <c:pt idx="24" formatCode="General">
                        <c:v>-6.18164371257485</c:v>
                      </c:pt>
                      <c:pt idx="25" formatCode="General">
                        <c:v>-6.3239729729729737</c:v>
                      </c:pt>
                      <c:pt idx="26" formatCode="General">
                        <c:v>-6.4818108108108117</c:v>
                      </c:pt>
                      <c:pt idx="27" formatCode="General">
                        <c:v>-6.6396486486486497</c:v>
                      </c:pt>
                      <c:pt idx="28" formatCode="General">
                        <c:v>-6.7974864864864877</c:v>
                      </c:pt>
                      <c:pt idx="29" formatCode="General">
                        <c:v>-6.8348562874251497</c:v>
                      </c:pt>
                      <c:pt idx="30" formatCode="General">
                        <c:v>-6.8372514970059886</c:v>
                      </c:pt>
                      <c:pt idx="31" formatCode="General">
                        <c:v>-6.8396467065868265</c:v>
                      </c:pt>
                      <c:pt idx="32" formatCode="General">
                        <c:v>-6.8420419161676644</c:v>
                      </c:pt>
                      <c:pt idx="33" formatCode="General">
                        <c:v>-6.8517664670658682</c:v>
                      </c:pt>
                      <c:pt idx="34" formatCode="General">
                        <c:v>-6.866377245508982</c:v>
                      </c:pt>
                      <c:pt idx="35" formatCode="General">
                        <c:v>-6.8809880239520957</c:v>
                      </c:pt>
                      <c:pt idx="36" formatCode="General">
                        <c:v>-6.8955988023952095</c:v>
                      </c:pt>
                      <c:pt idx="37" formatCode="General">
                        <c:v>-6.911838323353293</c:v>
                      </c:pt>
                      <c:pt idx="38" formatCode="General">
                        <c:v>-6.930281437125748</c:v>
                      </c:pt>
                      <c:pt idx="39" formatCode="General">
                        <c:v>-6.9487245508982038</c:v>
                      </c:pt>
                      <c:pt idx="40" formatCode="General">
                        <c:v>-6.9671676646706588</c:v>
                      </c:pt>
                      <c:pt idx="41" formatCode="General">
                        <c:v>-6.9858502994011973</c:v>
                      </c:pt>
                      <c:pt idx="42" formatCode="General">
                        <c:v>-7.0052514970059878</c:v>
                      </c:pt>
                      <c:pt idx="43" formatCode="General">
                        <c:v>-7.0246526946107783</c:v>
                      </c:pt>
                      <c:pt idx="44" formatCode="General">
                        <c:v>-7.0440538922155689</c:v>
                      </c:pt>
                      <c:pt idx="45" formatCode="General">
                        <c:v>-7.0634550898203594</c:v>
                      </c:pt>
                      <c:pt idx="46" formatCode="General">
                        <c:v>-7.0828562874251499</c:v>
                      </c:pt>
                      <c:pt idx="47" formatCode="General">
                        <c:v>-7.1022574850299405</c:v>
                      </c:pt>
                      <c:pt idx="48" formatCode="General">
                        <c:v>-7.1216586826347301</c:v>
                      </c:pt>
                      <c:pt idx="49" formatCode="General">
                        <c:v>-7.1410598802395207</c:v>
                      </c:pt>
                      <c:pt idx="50" formatCode="General">
                        <c:v>-7.1602584269662923</c:v>
                      </c:pt>
                      <c:pt idx="51" formatCode="General">
                        <c:v>-7.1794344569288393</c:v>
                      </c:pt>
                      <c:pt idx="52" formatCode="General">
                        <c:v>-7.1986104868913854</c:v>
                      </c:pt>
                      <c:pt idx="53" formatCode="General">
                        <c:v>-7.2177865168539324</c:v>
                      </c:pt>
                      <c:pt idx="54" formatCode="General">
                        <c:v>-7.2369625468164793</c:v>
                      </c:pt>
                      <c:pt idx="55" formatCode="General">
                        <c:v>-7.2561385767790263</c:v>
                      </c:pt>
                      <c:pt idx="56" formatCode="General">
                        <c:v>-7.2753146067415733</c:v>
                      </c:pt>
                      <c:pt idx="57" formatCode="General">
                        <c:v>-7.2944906367041202</c:v>
                      </c:pt>
                      <c:pt idx="58" formatCode="General">
                        <c:v>-7.3136666666666663</c:v>
                      </c:pt>
                      <c:pt idx="59" formatCode="General">
                        <c:v>-7.3328426966292133</c:v>
                      </c:pt>
                      <c:pt idx="60" formatCode="General">
                        <c:v>-7.3520187265917603</c:v>
                      </c:pt>
                      <c:pt idx="61" formatCode="General">
                        <c:v>-7.3711947565543072</c:v>
                      </c:pt>
                      <c:pt idx="62" formatCode="General">
                        <c:v>-7.3903707865168542</c:v>
                      </c:pt>
                      <c:pt idx="63" formatCode="General">
                        <c:v>-7.4095468164794012</c:v>
                      </c:pt>
                      <c:pt idx="64" formatCode="General">
                        <c:v>-7.4287228464419481</c:v>
                      </c:pt>
                      <c:pt idx="65" formatCode="General">
                        <c:v>-7.4478988764044942</c:v>
                      </c:pt>
                      <c:pt idx="66" formatCode="General">
                        <c:v>-7.4668456928838953</c:v>
                      </c:pt>
                      <c:pt idx="67" formatCode="General">
                        <c:v>-7.484943071161049</c:v>
                      </c:pt>
                      <c:pt idx="68" formatCode="General">
                        <c:v>-7.5030404494382026</c:v>
                      </c:pt>
                      <c:pt idx="69" formatCode="General">
                        <c:v>-7.5211378277153562</c:v>
                      </c:pt>
                      <c:pt idx="70" formatCode="General">
                        <c:v>-7.5392352059925098</c:v>
                      </c:pt>
                      <c:pt idx="71" formatCode="General">
                        <c:v>-7.5573325842696626</c:v>
                      </c:pt>
                      <c:pt idx="72" formatCode="General">
                        <c:v>-7.5754299625468162</c:v>
                      </c:pt>
                      <c:pt idx="73" formatCode="General">
                        <c:v>-7.5935273408239699</c:v>
                      </c:pt>
                      <c:pt idx="74" formatCode="General">
                        <c:v>-7.6116247191011235</c:v>
                      </c:pt>
                      <c:pt idx="75" formatCode="General">
                        <c:v>-7.6297220973782771</c:v>
                      </c:pt>
                      <c:pt idx="76" formatCode="General">
                        <c:v>-7.6478194756554307</c:v>
                      </c:pt>
                      <c:pt idx="77" formatCode="General">
                        <c:v>-7.6659168539325844</c:v>
                      </c:pt>
                      <c:pt idx="78" formatCode="General">
                        <c:v>-7.684014232209738</c:v>
                      </c:pt>
                      <c:pt idx="79" formatCode="General">
                        <c:v>-7.7021116104868916</c:v>
                      </c:pt>
                      <c:pt idx="80" formatCode="General">
                        <c:v>-7.7202089887640444</c:v>
                      </c:pt>
                      <c:pt idx="81" formatCode="General">
                        <c:v>-7.738306367041198</c:v>
                      </c:pt>
                      <c:pt idx="82" formatCode="General">
                        <c:v>-7.7564037453183516</c:v>
                      </c:pt>
                      <c:pt idx="83" formatCode="General">
                        <c:v>-7.7739234234234234</c:v>
                      </c:pt>
                      <c:pt idx="84" formatCode="General">
                        <c:v>-7.7909204204204201</c:v>
                      </c:pt>
                      <c:pt idx="85" formatCode="General">
                        <c:v>-7.8079174174174168</c:v>
                      </c:pt>
                      <c:pt idx="86" formatCode="General">
                        <c:v>-7.8249144144144145</c:v>
                      </c:pt>
                      <c:pt idx="87" formatCode="General">
                        <c:v>-28.733663366336632</c:v>
                      </c:pt>
                      <c:pt idx="88" formatCode="General">
                        <c:v>-28.828712871287127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5-35EF-46D6-A94F-2517E60135C4}"/>
                  </c:ext>
                </c:extLst>
              </c15:ser>
            </c15:filteredScatterSeries>
            <c15:filteredScatterSeries>
              <c15:ser>
                <c:idx val="48"/>
                <c:order val="49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306</c:v>
                      </c:pt>
                      <c:pt idx="1">
                        <c:v>314</c:v>
                      </c:pt>
                      <c:pt idx="2">
                        <c:v>322</c:v>
                      </c:pt>
                      <c:pt idx="3">
                        <c:v>330</c:v>
                      </c:pt>
                      <c:pt idx="4">
                        <c:v>338</c:v>
                      </c:pt>
                      <c:pt idx="5">
                        <c:v>346</c:v>
                      </c:pt>
                      <c:pt idx="6">
                        <c:v>354</c:v>
                      </c:pt>
                      <c:pt idx="7">
                        <c:v>362</c:v>
                      </c:pt>
                      <c:pt idx="8">
                        <c:v>370</c:v>
                      </c:pt>
                      <c:pt idx="9">
                        <c:v>378</c:v>
                      </c:pt>
                      <c:pt idx="10">
                        <c:v>386</c:v>
                      </c:pt>
                      <c:pt idx="11">
                        <c:v>394</c:v>
                      </c:pt>
                      <c:pt idx="12">
                        <c:v>402</c:v>
                      </c:pt>
                      <c:pt idx="13">
                        <c:v>410</c:v>
                      </c:pt>
                      <c:pt idx="14">
                        <c:v>418</c:v>
                      </c:pt>
                      <c:pt idx="15">
                        <c:v>426</c:v>
                      </c:pt>
                      <c:pt idx="16">
                        <c:v>434</c:v>
                      </c:pt>
                      <c:pt idx="17">
                        <c:v>442</c:v>
                      </c:pt>
                      <c:pt idx="18">
                        <c:v>450</c:v>
                      </c:pt>
                      <c:pt idx="19">
                        <c:v>458</c:v>
                      </c:pt>
                      <c:pt idx="20">
                        <c:v>466</c:v>
                      </c:pt>
                      <c:pt idx="21">
                        <c:v>474</c:v>
                      </c:pt>
                      <c:pt idx="22">
                        <c:v>482</c:v>
                      </c:pt>
                      <c:pt idx="23">
                        <c:v>490</c:v>
                      </c:pt>
                      <c:pt idx="24">
                        <c:v>498</c:v>
                      </c:pt>
                      <c:pt idx="25">
                        <c:v>506</c:v>
                      </c:pt>
                      <c:pt idx="26">
                        <c:v>514</c:v>
                      </c:pt>
                      <c:pt idx="27">
                        <c:v>522</c:v>
                      </c:pt>
                      <c:pt idx="28">
                        <c:v>530</c:v>
                      </c:pt>
                      <c:pt idx="29">
                        <c:v>538</c:v>
                      </c:pt>
                      <c:pt idx="30">
                        <c:v>546</c:v>
                      </c:pt>
                      <c:pt idx="31">
                        <c:v>554</c:v>
                      </c:pt>
                      <c:pt idx="32">
                        <c:v>562</c:v>
                      </c:pt>
                      <c:pt idx="33">
                        <c:v>570</c:v>
                      </c:pt>
                      <c:pt idx="34">
                        <c:v>578</c:v>
                      </c:pt>
                      <c:pt idx="35">
                        <c:v>586</c:v>
                      </c:pt>
                      <c:pt idx="36">
                        <c:v>594</c:v>
                      </c:pt>
                      <c:pt idx="37">
                        <c:v>602</c:v>
                      </c:pt>
                      <c:pt idx="38">
                        <c:v>610</c:v>
                      </c:pt>
                      <c:pt idx="39">
                        <c:v>618</c:v>
                      </c:pt>
                      <c:pt idx="40">
                        <c:v>626</c:v>
                      </c:pt>
                      <c:pt idx="41">
                        <c:v>634</c:v>
                      </c:pt>
                      <c:pt idx="42">
                        <c:v>642</c:v>
                      </c:pt>
                      <c:pt idx="43">
                        <c:v>650</c:v>
                      </c:pt>
                      <c:pt idx="44">
                        <c:v>658</c:v>
                      </c:pt>
                      <c:pt idx="45">
                        <c:v>666</c:v>
                      </c:pt>
                      <c:pt idx="46">
                        <c:v>674</c:v>
                      </c:pt>
                      <c:pt idx="47">
                        <c:v>682</c:v>
                      </c:pt>
                      <c:pt idx="48">
                        <c:v>690</c:v>
                      </c:pt>
                      <c:pt idx="49">
                        <c:v>698</c:v>
                      </c:pt>
                      <c:pt idx="50">
                        <c:v>706</c:v>
                      </c:pt>
                      <c:pt idx="51">
                        <c:v>714</c:v>
                      </c:pt>
                      <c:pt idx="52">
                        <c:v>722</c:v>
                      </c:pt>
                      <c:pt idx="53">
                        <c:v>730</c:v>
                      </c:pt>
                      <c:pt idx="54">
                        <c:v>738</c:v>
                      </c:pt>
                      <c:pt idx="55">
                        <c:v>746</c:v>
                      </c:pt>
                      <c:pt idx="56">
                        <c:v>754</c:v>
                      </c:pt>
                      <c:pt idx="57">
                        <c:v>762</c:v>
                      </c:pt>
                      <c:pt idx="58">
                        <c:v>770</c:v>
                      </c:pt>
                      <c:pt idx="59">
                        <c:v>778</c:v>
                      </c:pt>
                      <c:pt idx="60">
                        <c:v>786</c:v>
                      </c:pt>
                      <c:pt idx="61">
                        <c:v>794</c:v>
                      </c:pt>
                      <c:pt idx="62">
                        <c:v>802</c:v>
                      </c:pt>
                      <c:pt idx="63">
                        <c:v>810</c:v>
                      </c:pt>
                      <c:pt idx="64">
                        <c:v>818</c:v>
                      </c:pt>
                      <c:pt idx="65">
                        <c:v>826</c:v>
                      </c:pt>
                      <c:pt idx="66">
                        <c:v>834</c:v>
                      </c:pt>
                      <c:pt idx="67">
                        <c:v>842</c:v>
                      </c:pt>
                      <c:pt idx="68">
                        <c:v>850</c:v>
                      </c:pt>
                      <c:pt idx="69">
                        <c:v>858</c:v>
                      </c:pt>
                      <c:pt idx="70">
                        <c:v>866</c:v>
                      </c:pt>
                      <c:pt idx="71">
                        <c:v>874</c:v>
                      </c:pt>
                      <c:pt idx="72">
                        <c:v>882</c:v>
                      </c:pt>
                      <c:pt idx="73">
                        <c:v>890</c:v>
                      </c:pt>
                      <c:pt idx="74">
                        <c:v>898</c:v>
                      </c:pt>
                      <c:pt idx="75">
                        <c:v>906</c:v>
                      </c:pt>
                      <c:pt idx="76">
                        <c:v>914</c:v>
                      </c:pt>
                      <c:pt idx="77">
                        <c:v>922</c:v>
                      </c:pt>
                      <c:pt idx="78">
                        <c:v>930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EVALUATION!$B$150:$CP$150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-21.943243243243245</c:v>
                      </c:pt>
                      <c:pt idx="1">
                        <c:v>-21.741441441441442</c:v>
                      </c:pt>
                      <c:pt idx="2">
                        <c:v>-21.539639639639642</c:v>
                      </c:pt>
                      <c:pt idx="3">
                        <c:v>-21.337837837837839</c:v>
                      </c:pt>
                      <c:pt idx="4" formatCode="General">
                        <c:v>-21.317514970059882</c:v>
                      </c:pt>
                      <c:pt idx="5" formatCode="General">
                        <c:v>-21.339071856287426</c:v>
                      </c:pt>
                      <c:pt idx="6" formatCode="General">
                        <c:v>-21.360628742514972</c:v>
                      </c:pt>
                      <c:pt idx="7" formatCode="General">
                        <c:v>-21.382185628742516</c:v>
                      </c:pt>
                      <c:pt idx="8" formatCode="General">
                        <c:v>-21.452604790419162</c:v>
                      </c:pt>
                      <c:pt idx="9" formatCode="General">
                        <c:v>-21.550808383233534</c:v>
                      </c:pt>
                      <c:pt idx="10" formatCode="General">
                        <c:v>-21.649011976047905</c:v>
                      </c:pt>
                      <c:pt idx="11" formatCode="General">
                        <c:v>-21.747215568862277</c:v>
                      </c:pt>
                      <c:pt idx="12" formatCode="General">
                        <c:v>-21.843203592814373</c:v>
                      </c:pt>
                      <c:pt idx="13" formatCode="General">
                        <c:v>-21.936616766467068</c:v>
                      </c:pt>
                      <c:pt idx="14" formatCode="General">
                        <c:v>-22.030029940119761</c:v>
                      </c:pt>
                      <c:pt idx="15" formatCode="General">
                        <c:v>-22.123443113772456</c:v>
                      </c:pt>
                      <c:pt idx="16" formatCode="General">
                        <c:v>-22.209970059880241</c:v>
                      </c:pt>
                      <c:pt idx="17" formatCode="General">
                        <c:v>-22.279431137724551</c:v>
                      </c:pt>
                      <c:pt idx="18" formatCode="General">
                        <c:v>-22.348892215568863</c:v>
                      </c:pt>
                      <c:pt idx="19" formatCode="General">
                        <c:v>-22.418353293413173</c:v>
                      </c:pt>
                      <c:pt idx="20" formatCode="General">
                        <c:v>-22.488353293413173</c:v>
                      </c:pt>
                      <c:pt idx="21" formatCode="General">
                        <c:v>-22.562604790419162</c:v>
                      </c:pt>
                      <c:pt idx="22" formatCode="General">
                        <c:v>-22.63685628742515</c:v>
                      </c:pt>
                      <c:pt idx="23" formatCode="General">
                        <c:v>-22.711107784431139</c:v>
                      </c:pt>
                      <c:pt idx="24" formatCode="General">
                        <c:v>-22.785359281437124</c:v>
                      </c:pt>
                      <c:pt idx="25" formatCode="General">
                        <c:v>-22.846306306306307</c:v>
                      </c:pt>
                      <c:pt idx="26" formatCode="General">
                        <c:v>-22.906366366366367</c:v>
                      </c:pt>
                      <c:pt idx="27" formatCode="General">
                        <c:v>-22.966426426426427</c:v>
                      </c:pt>
                      <c:pt idx="28" formatCode="General">
                        <c:v>-23.026486486486487</c:v>
                      </c:pt>
                      <c:pt idx="29" formatCode="General">
                        <c:v>-23.130958083832336</c:v>
                      </c:pt>
                      <c:pt idx="30" formatCode="General">
                        <c:v>-23.248323353293415</c:v>
                      </c:pt>
                      <c:pt idx="31" formatCode="General">
                        <c:v>-23.36568862275449</c:v>
                      </c:pt>
                      <c:pt idx="32" formatCode="General">
                        <c:v>-23.483053892215569</c:v>
                      </c:pt>
                      <c:pt idx="33" formatCode="General">
                        <c:v>-23.60185628742515</c:v>
                      </c:pt>
                      <c:pt idx="34" formatCode="General">
                        <c:v>-23.721616766467065</c:v>
                      </c:pt>
                      <c:pt idx="35" formatCode="General">
                        <c:v>-23.841377245508983</c:v>
                      </c:pt>
                      <c:pt idx="36" formatCode="General">
                        <c:v>-23.961137724550898</c:v>
                      </c:pt>
                      <c:pt idx="37" formatCode="General">
                        <c:v>-24.078862275449104</c:v>
                      </c:pt>
                      <c:pt idx="38" formatCode="General">
                        <c:v>-24.193832335329343</c:v>
                      </c:pt>
                      <c:pt idx="39" formatCode="General">
                        <c:v>-24.308802395209582</c:v>
                      </c:pt>
                      <c:pt idx="40" formatCode="General">
                        <c:v>-24.423772455089821</c:v>
                      </c:pt>
                      <c:pt idx="41" formatCode="General">
                        <c:v>-24.53874251497006</c:v>
                      </c:pt>
                      <c:pt idx="42" formatCode="General">
                        <c:v>-24.653712574850299</c:v>
                      </c:pt>
                      <c:pt idx="43" formatCode="General">
                        <c:v>-24.768682634730538</c:v>
                      </c:pt>
                      <c:pt idx="44" formatCode="General">
                        <c:v>-24.883652694610777</c:v>
                      </c:pt>
                      <c:pt idx="45" formatCode="General">
                        <c:v>-24.998622754491016</c:v>
                      </c:pt>
                      <c:pt idx="46" formatCode="General">
                        <c:v>-25.113592814371255</c:v>
                      </c:pt>
                      <c:pt idx="47" formatCode="General">
                        <c:v>-25.228562874251494</c:v>
                      </c:pt>
                      <c:pt idx="48" formatCode="General">
                        <c:v>-25.343532934131737</c:v>
                      </c:pt>
                      <c:pt idx="49" formatCode="General">
                        <c:v>-25.458502994011976</c:v>
                      </c:pt>
                      <c:pt idx="50" formatCode="General">
                        <c:v>-25.567617977528091</c:v>
                      </c:pt>
                      <c:pt idx="51" formatCode="General">
                        <c:v>-25.676082397003746</c:v>
                      </c:pt>
                      <c:pt idx="52" formatCode="General">
                        <c:v>-25.784546816479402</c:v>
                      </c:pt>
                      <c:pt idx="53" formatCode="General">
                        <c:v>-25.893011235955058</c:v>
                      </c:pt>
                      <c:pt idx="54" formatCode="General">
                        <c:v>-26.001475655430713</c:v>
                      </c:pt>
                      <c:pt idx="55" formatCode="General">
                        <c:v>-26.109940074906369</c:v>
                      </c:pt>
                      <c:pt idx="56" formatCode="General">
                        <c:v>-26.218404494382021</c:v>
                      </c:pt>
                      <c:pt idx="57" formatCode="General">
                        <c:v>-26.326868913857677</c:v>
                      </c:pt>
                      <c:pt idx="58" formatCode="General">
                        <c:v>-26.435333333333332</c:v>
                      </c:pt>
                      <c:pt idx="59" formatCode="General">
                        <c:v>-26.543797752808988</c:v>
                      </c:pt>
                      <c:pt idx="60" formatCode="General">
                        <c:v>-26.652262172284644</c:v>
                      </c:pt>
                      <c:pt idx="61" formatCode="General">
                        <c:v>-26.760726591760299</c:v>
                      </c:pt>
                      <c:pt idx="62" formatCode="General">
                        <c:v>-26.869191011235955</c:v>
                      </c:pt>
                      <c:pt idx="63" formatCode="General">
                        <c:v>-26.977655430711611</c:v>
                      </c:pt>
                      <c:pt idx="64" formatCode="General">
                        <c:v>-27.086119850187266</c:v>
                      </c:pt>
                      <c:pt idx="65" formatCode="General">
                        <c:v>-27.194584269662922</c:v>
                      </c:pt>
                      <c:pt idx="66" formatCode="General">
                        <c:v>-27.301902621722849</c:v>
                      </c:pt>
                      <c:pt idx="67" formatCode="General">
                        <c:v>-27.404973782771538</c:v>
                      </c:pt>
                      <c:pt idx="68" formatCode="General">
                        <c:v>-27.508044943820227</c:v>
                      </c:pt>
                      <c:pt idx="69" formatCode="General">
                        <c:v>-27.611116104868916</c:v>
                      </c:pt>
                      <c:pt idx="70" formatCode="General">
                        <c:v>-27.714187265917605</c:v>
                      </c:pt>
                      <c:pt idx="71" formatCode="General">
                        <c:v>-27.817258426966294</c:v>
                      </c:pt>
                      <c:pt idx="72" formatCode="General">
                        <c:v>-27.920329588014983</c:v>
                      </c:pt>
                      <c:pt idx="73" formatCode="General">
                        <c:v>-28.023400749063672</c:v>
                      </c:pt>
                      <c:pt idx="74" formatCode="General">
                        <c:v>-28.126471910112361</c:v>
                      </c:pt>
                      <c:pt idx="75" formatCode="General">
                        <c:v>-28.22954307116105</c:v>
                      </c:pt>
                      <c:pt idx="76" formatCode="General">
                        <c:v>-28.332614232209739</c:v>
                      </c:pt>
                      <c:pt idx="77" formatCode="General">
                        <c:v>-28.435685393258428</c:v>
                      </c:pt>
                      <c:pt idx="78" formatCode="General">
                        <c:v>-28.538756554307117</c:v>
                      </c:pt>
                      <c:pt idx="79" formatCode="General">
                        <c:v>-28.641827715355806</c:v>
                      </c:pt>
                      <c:pt idx="80" formatCode="General">
                        <c:v>-28.744898876404495</c:v>
                      </c:pt>
                      <c:pt idx="81" formatCode="General">
                        <c:v>-28.847970037453184</c:v>
                      </c:pt>
                      <c:pt idx="82" formatCode="General">
                        <c:v>-28.951041198501873</c:v>
                      </c:pt>
                      <c:pt idx="83" formatCode="General">
                        <c:v>-29.051396396396395</c:v>
                      </c:pt>
                      <c:pt idx="84" formatCode="General">
                        <c:v>-29.149294294294293</c:v>
                      </c:pt>
                      <c:pt idx="85" formatCode="General">
                        <c:v>-29.247192192192191</c:v>
                      </c:pt>
                      <c:pt idx="86" formatCode="General">
                        <c:v>-29.345090090090089</c:v>
                      </c:pt>
                      <c:pt idx="87" formatCode="General">
                        <c:v>-7.3468118811881187</c:v>
                      </c:pt>
                      <c:pt idx="88" formatCode="General">
                        <c:v>-7.3646336633663365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6-35EF-46D6-A94F-2517E60135C4}"/>
                  </c:ext>
                </c:extLst>
              </c15:ser>
            </c15:filteredScatterSeries>
            <c15:filteredScatterSeries>
              <c15:ser>
                <c:idx val="49"/>
                <c:order val="50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306</c:v>
                      </c:pt>
                      <c:pt idx="1">
                        <c:v>314</c:v>
                      </c:pt>
                      <c:pt idx="2">
                        <c:v>322</c:v>
                      </c:pt>
                      <c:pt idx="3">
                        <c:v>330</c:v>
                      </c:pt>
                      <c:pt idx="4">
                        <c:v>338</c:v>
                      </c:pt>
                      <c:pt idx="5">
                        <c:v>346</c:v>
                      </c:pt>
                      <c:pt idx="6">
                        <c:v>354</c:v>
                      </c:pt>
                      <c:pt idx="7">
                        <c:v>362</c:v>
                      </c:pt>
                      <c:pt idx="8">
                        <c:v>370</c:v>
                      </c:pt>
                      <c:pt idx="9">
                        <c:v>378</c:v>
                      </c:pt>
                      <c:pt idx="10">
                        <c:v>386</c:v>
                      </c:pt>
                      <c:pt idx="11">
                        <c:v>394</c:v>
                      </c:pt>
                      <c:pt idx="12">
                        <c:v>402</c:v>
                      </c:pt>
                      <c:pt idx="13">
                        <c:v>410</c:v>
                      </c:pt>
                      <c:pt idx="14">
                        <c:v>418</c:v>
                      </c:pt>
                      <c:pt idx="15">
                        <c:v>426</c:v>
                      </c:pt>
                      <c:pt idx="16">
                        <c:v>434</c:v>
                      </c:pt>
                      <c:pt idx="17">
                        <c:v>442</c:v>
                      </c:pt>
                      <c:pt idx="18">
                        <c:v>450</c:v>
                      </c:pt>
                      <c:pt idx="19">
                        <c:v>458</c:v>
                      </c:pt>
                      <c:pt idx="20">
                        <c:v>466</c:v>
                      </c:pt>
                      <c:pt idx="21">
                        <c:v>474</c:v>
                      </c:pt>
                      <c:pt idx="22">
                        <c:v>482</c:v>
                      </c:pt>
                      <c:pt idx="23">
                        <c:v>490</c:v>
                      </c:pt>
                      <c:pt idx="24">
                        <c:v>498</c:v>
                      </c:pt>
                      <c:pt idx="25">
                        <c:v>506</c:v>
                      </c:pt>
                      <c:pt idx="26">
                        <c:v>514</c:v>
                      </c:pt>
                      <c:pt idx="27">
                        <c:v>522</c:v>
                      </c:pt>
                      <c:pt idx="28">
                        <c:v>530</c:v>
                      </c:pt>
                      <c:pt idx="29">
                        <c:v>538</c:v>
                      </c:pt>
                      <c:pt idx="30">
                        <c:v>546</c:v>
                      </c:pt>
                      <c:pt idx="31">
                        <c:v>554</c:v>
                      </c:pt>
                      <c:pt idx="32">
                        <c:v>562</c:v>
                      </c:pt>
                      <c:pt idx="33">
                        <c:v>570</c:v>
                      </c:pt>
                      <c:pt idx="34">
                        <c:v>578</c:v>
                      </c:pt>
                      <c:pt idx="35">
                        <c:v>586</c:v>
                      </c:pt>
                      <c:pt idx="36">
                        <c:v>594</c:v>
                      </c:pt>
                      <c:pt idx="37">
                        <c:v>602</c:v>
                      </c:pt>
                      <c:pt idx="38">
                        <c:v>610</c:v>
                      </c:pt>
                      <c:pt idx="39">
                        <c:v>618</c:v>
                      </c:pt>
                      <c:pt idx="40">
                        <c:v>626</c:v>
                      </c:pt>
                      <c:pt idx="41">
                        <c:v>634</c:v>
                      </c:pt>
                      <c:pt idx="42">
                        <c:v>642</c:v>
                      </c:pt>
                      <c:pt idx="43">
                        <c:v>650</c:v>
                      </c:pt>
                      <c:pt idx="44">
                        <c:v>658</c:v>
                      </c:pt>
                      <c:pt idx="45">
                        <c:v>666</c:v>
                      </c:pt>
                      <c:pt idx="46">
                        <c:v>674</c:v>
                      </c:pt>
                      <c:pt idx="47">
                        <c:v>682</c:v>
                      </c:pt>
                      <c:pt idx="48">
                        <c:v>690</c:v>
                      </c:pt>
                      <c:pt idx="49">
                        <c:v>698</c:v>
                      </c:pt>
                      <c:pt idx="50">
                        <c:v>706</c:v>
                      </c:pt>
                      <c:pt idx="51">
                        <c:v>714</c:v>
                      </c:pt>
                      <c:pt idx="52">
                        <c:v>722</c:v>
                      </c:pt>
                      <c:pt idx="53">
                        <c:v>730</c:v>
                      </c:pt>
                      <c:pt idx="54">
                        <c:v>738</c:v>
                      </c:pt>
                      <c:pt idx="55">
                        <c:v>746</c:v>
                      </c:pt>
                      <c:pt idx="56">
                        <c:v>754</c:v>
                      </c:pt>
                      <c:pt idx="57">
                        <c:v>762</c:v>
                      </c:pt>
                      <c:pt idx="58">
                        <c:v>770</c:v>
                      </c:pt>
                      <c:pt idx="59">
                        <c:v>778</c:v>
                      </c:pt>
                      <c:pt idx="60">
                        <c:v>786</c:v>
                      </c:pt>
                      <c:pt idx="61">
                        <c:v>794</c:v>
                      </c:pt>
                      <c:pt idx="62">
                        <c:v>802</c:v>
                      </c:pt>
                      <c:pt idx="63">
                        <c:v>810</c:v>
                      </c:pt>
                      <c:pt idx="64">
                        <c:v>818</c:v>
                      </c:pt>
                      <c:pt idx="65">
                        <c:v>826</c:v>
                      </c:pt>
                      <c:pt idx="66">
                        <c:v>834</c:v>
                      </c:pt>
                      <c:pt idx="67">
                        <c:v>842</c:v>
                      </c:pt>
                      <c:pt idx="68">
                        <c:v>850</c:v>
                      </c:pt>
                      <c:pt idx="69">
                        <c:v>858</c:v>
                      </c:pt>
                      <c:pt idx="70">
                        <c:v>866</c:v>
                      </c:pt>
                      <c:pt idx="71">
                        <c:v>874</c:v>
                      </c:pt>
                      <c:pt idx="72">
                        <c:v>882</c:v>
                      </c:pt>
                      <c:pt idx="73">
                        <c:v>890</c:v>
                      </c:pt>
                      <c:pt idx="74">
                        <c:v>898</c:v>
                      </c:pt>
                      <c:pt idx="75">
                        <c:v>906</c:v>
                      </c:pt>
                      <c:pt idx="76">
                        <c:v>914</c:v>
                      </c:pt>
                      <c:pt idx="77">
                        <c:v>922</c:v>
                      </c:pt>
                      <c:pt idx="78">
                        <c:v>930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EVALUATION!$B$151:$CP$151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7-35EF-46D6-A94F-2517E60135C4}"/>
                  </c:ext>
                </c:extLst>
              </c15:ser>
            </c15:filteredScatterSeries>
            <c15:filteredScatterSeries>
              <c15:ser>
                <c:idx val="50"/>
                <c:order val="51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306</c:v>
                      </c:pt>
                      <c:pt idx="1">
                        <c:v>314</c:v>
                      </c:pt>
                      <c:pt idx="2">
                        <c:v>322</c:v>
                      </c:pt>
                      <c:pt idx="3">
                        <c:v>330</c:v>
                      </c:pt>
                      <c:pt idx="4">
                        <c:v>338</c:v>
                      </c:pt>
                      <c:pt idx="5">
                        <c:v>346</c:v>
                      </c:pt>
                      <c:pt idx="6">
                        <c:v>354</c:v>
                      </c:pt>
                      <c:pt idx="7">
                        <c:v>362</c:v>
                      </c:pt>
                      <c:pt idx="8">
                        <c:v>370</c:v>
                      </c:pt>
                      <c:pt idx="9">
                        <c:v>378</c:v>
                      </c:pt>
                      <c:pt idx="10">
                        <c:v>386</c:v>
                      </c:pt>
                      <c:pt idx="11">
                        <c:v>394</c:v>
                      </c:pt>
                      <c:pt idx="12">
                        <c:v>402</c:v>
                      </c:pt>
                      <c:pt idx="13">
                        <c:v>410</c:v>
                      </c:pt>
                      <c:pt idx="14">
                        <c:v>418</c:v>
                      </c:pt>
                      <c:pt idx="15">
                        <c:v>426</c:v>
                      </c:pt>
                      <c:pt idx="16">
                        <c:v>434</c:v>
                      </c:pt>
                      <c:pt idx="17">
                        <c:v>442</c:v>
                      </c:pt>
                      <c:pt idx="18">
                        <c:v>450</c:v>
                      </c:pt>
                      <c:pt idx="19">
                        <c:v>458</c:v>
                      </c:pt>
                      <c:pt idx="20">
                        <c:v>466</c:v>
                      </c:pt>
                      <c:pt idx="21">
                        <c:v>474</c:v>
                      </c:pt>
                      <c:pt idx="22">
                        <c:v>482</c:v>
                      </c:pt>
                      <c:pt idx="23">
                        <c:v>490</c:v>
                      </c:pt>
                      <c:pt idx="24">
                        <c:v>498</c:v>
                      </c:pt>
                      <c:pt idx="25">
                        <c:v>506</c:v>
                      </c:pt>
                      <c:pt idx="26">
                        <c:v>514</c:v>
                      </c:pt>
                      <c:pt idx="27">
                        <c:v>522</c:v>
                      </c:pt>
                      <c:pt idx="28">
                        <c:v>530</c:v>
                      </c:pt>
                      <c:pt idx="29">
                        <c:v>538</c:v>
                      </c:pt>
                      <c:pt idx="30">
                        <c:v>546</c:v>
                      </c:pt>
                      <c:pt idx="31">
                        <c:v>554</c:v>
                      </c:pt>
                      <c:pt idx="32">
                        <c:v>562</c:v>
                      </c:pt>
                      <c:pt idx="33">
                        <c:v>570</c:v>
                      </c:pt>
                      <c:pt idx="34">
                        <c:v>578</c:v>
                      </c:pt>
                      <c:pt idx="35">
                        <c:v>586</c:v>
                      </c:pt>
                      <c:pt idx="36">
                        <c:v>594</c:v>
                      </c:pt>
                      <c:pt idx="37">
                        <c:v>602</c:v>
                      </c:pt>
                      <c:pt idx="38">
                        <c:v>610</c:v>
                      </c:pt>
                      <c:pt idx="39">
                        <c:v>618</c:v>
                      </c:pt>
                      <c:pt idx="40">
                        <c:v>626</c:v>
                      </c:pt>
                      <c:pt idx="41">
                        <c:v>634</c:v>
                      </c:pt>
                      <c:pt idx="42">
                        <c:v>642</c:v>
                      </c:pt>
                      <c:pt idx="43">
                        <c:v>650</c:v>
                      </c:pt>
                      <c:pt idx="44">
                        <c:v>658</c:v>
                      </c:pt>
                      <c:pt idx="45">
                        <c:v>666</c:v>
                      </c:pt>
                      <c:pt idx="46">
                        <c:v>674</c:v>
                      </c:pt>
                      <c:pt idx="47">
                        <c:v>682</c:v>
                      </c:pt>
                      <c:pt idx="48">
                        <c:v>690</c:v>
                      </c:pt>
                      <c:pt idx="49">
                        <c:v>698</c:v>
                      </c:pt>
                      <c:pt idx="50">
                        <c:v>706</c:v>
                      </c:pt>
                      <c:pt idx="51">
                        <c:v>714</c:v>
                      </c:pt>
                      <c:pt idx="52">
                        <c:v>722</c:v>
                      </c:pt>
                      <c:pt idx="53">
                        <c:v>730</c:v>
                      </c:pt>
                      <c:pt idx="54">
                        <c:v>738</c:v>
                      </c:pt>
                      <c:pt idx="55">
                        <c:v>746</c:v>
                      </c:pt>
                      <c:pt idx="56">
                        <c:v>754</c:v>
                      </c:pt>
                      <c:pt idx="57">
                        <c:v>762</c:v>
                      </c:pt>
                      <c:pt idx="58">
                        <c:v>770</c:v>
                      </c:pt>
                      <c:pt idx="59">
                        <c:v>778</c:v>
                      </c:pt>
                      <c:pt idx="60">
                        <c:v>786</c:v>
                      </c:pt>
                      <c:pt idx="61">
                        <c:v>794</c:v>
                      </c:pt>
                      <c:pt idx="62">
                        <c:v>802</c:v>
                      </c:pt>
                      <c:pt idx="63">
                        <c:v>810</c:v>
                      </c:pt>
                      <c:pt idx="64">
                        <c:v>818</c:v>
                      </c:pt>
                      <c:pt idx="65">
                        <c:v>826</c:v>
                      </c:pt>
                      <c:pt idx="66">
                        <c:v>834</c:v>
                      </c:pt>
                      <c:pt idx="67">
                        <c:v>842</c:v>
                      </c:pt>
                      <c:pt idx="68">
                        <c:v>850</c:v>
                      </c:pt>
                      <c:pt idx="69">
                        <c:v>858</c:v>
                      </c:pt>
                      <c:pt idx="70">
                        <c:v>866</c:v>
                      </c:pt>
                      <c:pt idx="71">
                        <c:v>874</c:v>
                      </c:pt>
                      <c:pt idx="72">
                        <c:v>882</c:v>
                      </c:pt>
                      <c:pt idx="73">
                        <c:v>890</c:v>
                      </c:pt>
                      <c:pt idx="74">
                        <c:v>898</c:v>
                      </c:pt>
                      <c:pt idx="75">
                        <c:v>906</c:v>
                      </c:pt>
                      <c:pt idx="76">
                        <c:v>914</c:v>
                      </c:pt>
                      <c:pt idx="77">
                        <c:v>922</c:v>
                      </c:pt>
                      <c:pt idx="78">
                        <c:v>930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EVALUATION!$B$152:$CP$152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8-35EF-46D6-A94F-2517E60135C4}"/>
                  </c:ext>
                </c:extLst>
              </c15:ser>
            </c15:filteredScatterSeries>
            <c15:filteredScatterSeries>
              <c15:ser>
                <c:idx val="51"/>
                <c:order val="52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306</c:v>
                      </c:pt>
                      <c:pt idx="1">
                        <c:v>314</c:v>
                      </c:pt>
                      <c:pt idx="2">
                        <c:v>322</c:v>
                      </c:pt>
                      <c:pt idx="3">
                        <c:v>330</c:v>
                      </c:pt>
                      <c:pt idx="4">
                        <c:v>338</c:v>
                      </c:pt>
                      <c:pt idx="5">
                        <c:v>346</c:v>
                      </c:pt>
                      <c:pt idx="6">
                        <c:v>354</c:v>
                      </c:pt>
                      <c:pt idx="7">
                        <c:v>362</c:v>
                      </c:pt>
                      <c:pt idx="8">
                        <c:v>370</c:v>
                      </c:pt>
                      <c:pt idx="9">
                        <c:v>378</c:v>
                      </c:pt>
                      <c:pt idx="10">
                        <c:v>386</c:v>
                      </c:pt>
                      <c:pt idx="11">
                        <c:v>394</c:v>
                      </c:pt>
                      <c:pt idx="12">
                        <c:v>402</c:v>
                      </c:pt>
                      <c:pt idx="13">
                        <c:v>410</c:v>
                      </c:pt>
                      <c:pt idx="14">
                        <c:v>418</c:v>
                      </c:pt>
                      <c:pt idx="15">
                        <c:v>426</c:v>
                      </c:pt>
                      <c:pt idx="16">
                        <c:v>434</c:v>
                      </c:pt>
                      <c:pt idx="17">
                        <c:v>442</c:v>
                      </c:pt>
                      <c:pt idx="18">
                        <c:v>450</c:v>
                      </c:pt>
                      <c:pt idx="19">
                        <c:v>458</c:v>
                      </c:pt>
                      <c:pt idx="20">
                        <c:v>466</c:v>
                      </c:pt>
                      <c:pt idx="21">
                        <c:v>474</c:v>
                      </c:pt>
                      <c:pt idx="22">
                        <c:v>482</c:v>
                      </c:pt>
                      <c:pt idx="23">
                        <c:v>490</c:v>
                      </c:pt>
                      <c:pt idx="24">
                        <c:v>498</c:v>
                      </c:pt>
                      <c:pt idx="25">
                        <c:v>506</c:v>
                      </c:pt>
                      <c:pt idx="26">
                        <c:v>514</c:v>
                      </c:pt>
                      <c:pt idx="27">
                        <c:v>522</c:v>
                      </c:pt>
                      <c:pt idx="28">
                        <c:v>530</c:v>
                      </c:pt>
                      <c:pt idx="29">
                        <c:v>538</c:v>
                      </c:pt>
                      <c:pt idx="30">
                        <c:v>546</c:v>
                      </c:pt>
                      <c:pt idx="31">
                        <c:v>554</c:v>
                      </c:pt>
                      <c:pt idx="32">
                        <c:v>562</c:v>
                      </c:pt>
                      <c:pt idx="33">
                        <c:v>570</c:v>
                      </c:pt>
                      <c:pt idx="34">
                        <c:v>578</c:v>
                      </c:pt>
                      <c:pt idx="35">
                        <c:v>586</c:v>
                      </c:pt>
                      <c:pt idx="36">
                        <c:v>594</c:v>
                      </c:pt>
                      <c:pt idx="37">
                        <c:v>602</c:v>
                      </c:pt>
                      <c:pt idx="38">
                        <c:v>610</c:v>
                      </c:pt>
                      <c:pt idx="39">
                        <c:v>618</c:v>
                      </c:pt>
                      <c:pt idx="40">
                        <c:v>626</c:v>
                      </c:pt>
                      <c:pt idx="41">
                        <c:v>634</c:v>
                      </c:pt>
                      <c:pt idx="42">
                        <c:v>642</c:v>
                      </c:pt>
                      <c:pt idx="43">
                        <c:v>650</c:v>
                      </c:pt>
                      <c:pt idx="44">
                        <c:v>658</c:v>
                      </c:pt>
                      <c:pt idx="45">
                        <c:v>666</c:v>
                      </c:pt>
                      <c:pt idx="46">
                        <c:v>674</c:v>
                      </c:pt>
                      <c:pt idx="47">
                        <c:v>682</c:v>
                      </c:pt>
                      <c:pt idx="48">
                        <c:v>690</c:v>
                      </c:pt>
                      <c:pt idx="49">
                        <c:v>698</c:v>
                      </c:pt>
                      <c:pt idx="50">
                        <c:v>706</c:v>
                      </c:pt>
                      <c:pt idx="51">
                        <c:v>714</c:v>
                      </c:pt>
                      <c:pt idx="52">
                        <c:v>722</c:v>
                      </c:pt>
                      <c:pt idx="53">
                        <c:v>730</c:v>
                      </c:pt>
                      <c:pt idx="54">
                        <c:v>738</c:v>
                      </c:pt>
                      <c:pt idx="55">
                        <c:v>746</c:v>
                      </c:pt>
                      <c:pt idx="56">
                        <c:v>754</c:v>
                      </c:pt>
                      <c:pt idx="57">
                        <c:v>762</c:v>
                      </c:pt>
                      <c:pt idx="58">
                        <c:v>770</c:v>
                      </c:pt>
                      <c:pt idx="59">
                        <c:v>778</c:v>
                      </c:pt>
                      <c:pt idx="60">
                        <c:v>786</c:v>
                      </c:pt>
                      <c:pt idx="61">
                        <c:v>794</c:v>
                      </c:pt>
                      <c:pt idx="62">
                        <c:v>802</c:v>
                      </c:pt>
                      <c:pt idx="63">
                        <c:v>810</c:v>
                      </c:pt>
                      <c:pt idx="64">
                        <c:v>818</c:v>
                      </c:pt>
                      <c:pt idx="65">
                        <c:v>826</c:v>
                      </c:pt>
                      <c:pt idx="66">
                        <c:v>834</c:v>
                      </c:pt>
                      <c:pt idx="67">
                        <c:v>842</c:v>
                      </c:pt>
                      <c:pt idx="68">
                        <c:v>850</c:v>
                      </c:pt>
                      <c:pt idx="69">
                        <c:v>858</c:v>
                      </c:pt>
                      <c:pt idx="70">
                        <c:v>866</c:v>
                      </c:pt>
                      <c:pt idx="71">
                        <c:v>874</c:v>
                      </c:pt>
                      <c:pt idx="72">
                        <c:v>882</c:v>
                      </c:pt>
                      <c:pt idx="73">
                        <c:v>890</c:v>
                      </c:pt>
                      <c:pt idx="74">
                        <c:v>898</c:v>
                      </c:pt>
                      <c:pt idx="75">
                        <c:v>906</c:v>
                      </c:pt>
                      <c:pt idx="76">
                        <c:v>914</c:v>
                      </c:pt>
                      <c:pt idx="77">
                        <c:v>922</c:v>
                      </c:pt>
                      <c:pt idx="78">
                        <c:v>930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EVALUATION!$B$153:$CP$153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9-35EF-46D6-A94F-2517E60135C4}"/>
                  </c:ext>
                </c:extLst>
              </c15:ser>
            </c15:filteredScatterSeries>
            <c15:filteredScatterSeries>
              <c15:ser>
                <c:idx val="52"/>
                <c:order val="53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306</c:v>
                      </c:pt>
                      <c:pt idx="1">
                        <c:v>314</c:v>
                      </c:pt>
                      <c:pt idx="2">
                        <c:v>322</c:v>
                      </c:pt>
                      <c:pt idx="3">
                        <c:v>330</c:v>
                      </c:pt>
                      <c:pt idx="4">
                        <c:v>338</c:v>
                      </c:pt>
                      <c:pt idx="5">
                        <c:v>346</c:v>
                      </c:pt>
                      <c:pt idx="6">
                        <c:v>354</c:v>
                      </c:pt>
                      <c:pt idx="7">
                        <c:v>362</c:v>
                      </c:pt>
                      <c:pt idx="8">
                        <c:v>370</c:v>
                      </c:pt>
                      <c:pt idx="9">
                        <c:v>378</c:v>
                      </c:pt>
                      <c:pt idx="10">
                        <c:v>386</c:v>
                      </c:pt>
                      <c:pt idx="11">
                        <c:v>394</c:v>
                      </c:pt>
                      <c:pt idx="12">
                        <c:v>402</c:v>
                      </c:pt>
                      <c:pt idx="13">
                        <c:v>410</c:v>
                      </c:pt>
                      <c:pt idx="14">
                        <c:v>418</c:v>
                      </c:pt>
                      <c:pt idx="15">
                        <c:v>426</c:v>
                      </c:pt>
                      <c:pt idx="16">
                        <c:v>434</c:v>
                      </c:pt>
                      <c:pt idx="17">
                        <c:v>442</c:v>
                      </c:pt>
                      <c:pt idx="18">
                        <c:v>450</c:v>
                      </c:pt>
                      <c:pt idx="19">
                        <c:v>458</c:v>
                      </c:pt>
                      <c:pt idx="20">
                        <c:v>466</c:v>
                      </c:pt>
                      <c:pt idx="21">
                        <c:v>474</c:v>
                      </c:pt>
                      <c:pt idx="22">
                        <c:v>482</c:v>
                      </c:pt>
                      <c:pt idx="23">
                        <c:v>490</c:v>
                      </c:pt>
                      <c:pt idx="24">
                        <c:v>498</c:v>
                      </c:pt>
                      <c:pt idx="25">
                        <c:v>506</c:v>
                      </c:pt>
                      <c:pt idx="26">
                        <c:v>514</c:v>
                      </c:pt>
                      <c:pt idx="27">
                        <c:v>522</c:v>
                      </c:pt>
                      <c:pt idx="28">
                        <c:v>530</c:v>
                      </c:pt>
                      <c:pt idx="29">
                        <c:v>538</c:v>
                      </c:pt>
                      <c:pt idx="30">
                        <c:v>546</c:v>
                      </c:pt>
                      <c:pt idx="31">
                        <c:v>554</c:v>
                      </c:pt>
                      <c:pt idx="32">
                        <c:v>562</c:v>
                      </c:pt>
                      <c:pt idx="33">
                        <c:v>570</c:v>
                      </c:pt>
                      <c:pt idx="34">
                        <c:v>578</c:v>
                      </c:pt>
                      <c:pt idx="35">
                        <c:v>586</c:v>
                      </c:pt>
                      <c:pt idx="36">
                        <c:v>594</c:v>
                      </c:pt>
                      <c:pt idx="37">
                        <c:v>602</c:v>
                      </c:pt>
                      <c:pt idx="38">
                        <c:v>610</c:v>
                      </c:pt>
                      <c:pt idx="39">
                        <c:v>618</c:v>
                      </c:pt>
                      <c:pt idx="40">
                        <c:v>626</c:v>
                      </c:pt>
                      <c:pt idx="41">
                        <c:v>634</c:v>
                      </c:pt>
                      <c:pt idx="42">
                        <c:v>642</c:v>
                      </c:pt>
                      <c:pt idx="43">
                        <c:v>650</c:v>
                      </c:pt>
                      <c:pt idx="44">
                        <c:v>658</c:v>
                      </c:pt>
                      <c:pt idx="45">
                        <c:v>666</c:v>
                      </c:pt>
                      <c:pt idx="46">
                        <c:v>674</c:v>
                      </c:pt>
                      <c:pt idx="47">
                        <c:v>682</c:v>
                      </c:pt>
                      <c:pt idx="48">
                        <c:v>690</c:v>
                      </c:pt>
                      <c:pt idx="49">
                        <c:v>698</c:v>
                      </c:pt>
                      <c:pt idx="50">
                        <c:v>706</c:v>
                      </c:pt>
                      <c:pt idx="51">
                        <c:v>714</c:v>
                      </c:pt>
                      <c:pt idx="52">
                        <c:v>722</c:v>
                      </c:pt>
                      <c:pt idx="53">
                        <c:v>730</c:v>
                      </c:pt>
                      <c:pt idx="54">
                        <c:v>738</c:v>
                      </c:pt>
                      <c:pt idx="55">
                        <c:v>746</c:v>
                      </c:pt>
                      <c:pt idx="56">
                        <c:v>754</c:v>
                      </c:pt>
                      <c:pt idx="57">
                        <c:v>762</c:v>
                      </c:pt>
                      <c:pt idx="58">
                        <c:v>770</c:v>
                      </c:pt>
                      <c:pt idx="59">
                        <c:v>778</c:v>
                      </c:pt>
                      <c:pt idx="60">
                        <c:v>786</c:v>
                      </c:pt>
                      <c:pt idx="61">
                        <c:v>794</c:v>
                      </c:pt>
                      <c:pt idx="62">
                        <c:v>802</c:v>
                      </c:pt>
                      <c:pt idx="63">
                        <c:v>810</c:v>
                      </c:pt>
                      <c:pt idx="64">
                        <c:v>818</c:v>
                      </c:pt>
                      <c:pt idx="65">
                        <c:v>826</c:v>
                      </c:pt>
                      <c:pt idx="66">
                        <c:v>834</c:v>
                      </c:pt>
                      <c:pt idx="67">
                        <c:v>842</c:v>
                      </c:pt>
                      <c:pt idx="68">
                        <c:v>850</c:v>
                      </c:pt>
                      <c:pt idx="69">
                        <c:v>858</c:v>
                      </c:pt>
                      <c:pt idx="70">
                        <c:v>866</c:v>
                      </c:pt>
                      <c:pt idx="71">
                        <c:v>874</c:v>
                      </c:pt>
                      <c:pt idx="72">
                        <c:v>882</c:v>
                      </c:pt>
                      <c:pt idx="73">
                        <c:v>890</c:v>
                      </c:pt>
                      <c:pt idx="74">
                        <c:v>898</c:v>
                      </c:pt>
                      <c:pt idx="75">
                        <c:v>906</c:v>
                      </c:pt>
                      <c:pt idx="76">
                        <c:v>914</c:v>
                      </c:pt>
                      <c:pt idx="77">
                        <c:v>922</c:v>
                      </c:pt>
                      <c:pt idx="78">
                        <c:v>930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EVALUATION!$B$154:$CP$154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A-35EF-46D6-A94F-2517E60135C4}"/>
                  </c:ext>
                </c:extLst>
              </c15:ser>
            </c15:filteredScatterSeries>
          </c:ext>
        </c:extLst>
      </c:scatterChart>
      <c:valAx>
        <c:axId val="938785983"/>
        <c:scaling>
          <c:orientation val="minMax"/>
          <c:max val="1000"/>
          <c:min val="3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38775583"/>
        <c:crosses val="autoZero"/>
        <c:crossBetween val="midCat"/>
        <c:majorUnit val="100"/>
      </c:valAx>
      <c:valAx>
        <c:axId val="938775583"/>
        <c:scaling>
          <c:orientation val="minMax"/>
          <c:max val="-20"/>
          <c:min val="-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38785983"/>
        <c:crosses val="autoZero"/>
        <c:crossBetween val="midCat"/>
      </c:valAx>
    </c:plotArea>
    <c:plotVisOnly val="0"/>
    <c:dispBlanksAs val="gap"/>
    <c:showDLblsOverMax val="0"/>
    <c:extLst/>
  </c:chart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1" i="1" u="none" strike="noStrike" kern="1200" spc="0" baseline="0">
                <a:solidFill>
                  <a:srgbClr val="FF0000"/>
                </a:solidFill>
                <a:latin typeface="+mn-lt"/>
                <a:ea typeface="+mn-ea"/>
                <a:cs typeface="+mn-cs"/>
              </a:defRPr>
            </a:pPr>
            <a:r>
              <a:rPr lang="en-US" sz="2000" b="1" i="1">
                <a:solidFill>
                  <a:srgbClr val="FF0000"/>
                </a:solidFill>
              </a:rPr>
              <a:t>Se</a:t>
            </a:r>
          </a:p>
        </c:rich>
      </c:tx>
      <c:layout>
        <c:manualLayout>
          <c:xMode val="edge"/>
          <c:yMode val="edge"/>
          <c:x val="0.45923209945810856"/>
          <c:y val="0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3565836995543892"/>
          <c:y val="0.10656915812117258"/>
          <c:w val="0.79872285919300678"/>
          <c:h val="0.79349420735008158"/>
        </c:manualLayout>
      </c:layout>
      <c:scatterChart>
        <c:scatterStyle val="smoothMarker"/>
        <c:varyColors val="0"/>
        <c:ser>
          <c:idx val="3"/>
          <c:order val="5"/>
          <c:spPr>
            <a:ln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EVALUATION!$B$100:$CP$100</c:f>
              <c:numCache>
                <c:formatCode>0</c:formatCode>
                <c:ptCount val="93"/>
                <c:pt idx="0">
                  <c:v>306</c:v>
                </c:pt>
                <c:pt idx="1">
                  <c:v>314</c:v>
                </c:pt>
                <c:pt idx="2">
                  <c:v>322</c:v>
                </c:pt>
                <c:pt idx="3">
                  <c:v>330</c:v>
                </c:pt>
                <c:pt idx="4">
                  <c:v>338</c:v>
                </c:pt>
                <c:pt idx="5">
                  <c:v>346</c:v>
                </c:pt>
                <c:pt idx="6">
                  <c:v>354</c:v>
                </c:pt>
                <c:pt idx="7">
                  <c:v>362</c:v>
                </c:pt>
                <c:pt idx="8">
                  <c:v>370</c:v>
                </c:pt>
                <c:pt idx="9">
                  <c:v>378</c:v>
                </c:pt>
                <c:pt idx="10">
                  <c:v>386</c:v>
                </c:pt>
                <c:pt idx="11">
                  <c:v>394</c:v>
                </c:pt>
                <c:pt idx="12">
                  <c:v>402</c:v>
                </c:pt>
                <c:pt idx="13">
                  <c:v>410</c:v>
                </c:pt>
                <c:pt idx="14">
                  <c:v>418</c:v>
                </c:pt>
                <c:pt idx="15">
                  <c:v>426</c:v>
                </c:pt>
                <c:pt idx="16">
                  <c:v>434</c:v>
                </c:pt>
                <c:pt idx="17">
                  <c:v>442</c:v>
                </c:pt>
                <c:pt idx="18">
                  <c:v>450</c:v>
                </c:pt>
                <c:pt idx="19">
                  <c:v>458</c:v>
                </c:pt>
                <c:pt idx="20">
                  <c:v>466</c:v>
                </c:pt>
                <c:pt idx="21">
                  <c:v>474</c:v>
                </c:pt>
                <c:pt idx="22">
                  <c:v>482</c:v>
                </c:pt>
                <c:pt idx="23">
                  <c:v>490</c:v>
                </c:pt>
                <c:pt idx="24">
                  <c:v>498</c:v>
                </c:pt>
                <c:pt idx="25">
                  <c:v>506</c:v>
                </c:pt>
                <c:pt idx="26">
                  <c:v>514</c:v>
                </c:pt>
                <c:pt idx="27">
                  <c:v>522</c:v>
                </c:pt>
                <c:pt idx="28">
                  <c:v>530</c:v>
                </c:pt>
                <c:pt idx="29">
                  <c:v>538</c:v>
                </c:pt>
                <c:pt idx="30">
                  <c:v>546</c:v>
                </c:pt>
                <c:pt idx="31">
                  <c:v>554</c:v>
                </c:pt>
                <c:pt idx="32">
                  <c:v>562</c:v>
                </c:pt>
                <c:pt idx="33">
                  <c:v>570</c:v>
                </c:pt>
                <c:pt idx="34">
                  <c:v>578</c:v>
                </c:pt>
                <c:pt idx="35">
                  <c:v>586</c:v>
                </c:pt>
                <c:pt idx="36">
                  <c:v>594</c:v>
                </c:pt>
                <c:pt idx="37">
                  <c:v>602</c:v>
                </c:pt>
                <c:pt idx="38">
                  <c:v>610</c:v>
                </c:pt>
                <c:pt idx="39">
                  <c:v>618</c:v>
                </c:pt>
                <c:pt idx="40">
                  <c:v>626</c:v>
                </c:pt>
                <c:pt idx="41">
                  <c:v>634</c:v>
                </c:pt>
                <c:pt idx="42">
                  <c:v>642</c:v>
                </c:pt>
                <c:pt idx="43">
                  <c:v>650</c:v>
                </c:pt>
                <c:pt idx="44">
                  <c:v>658</c:v>
                </c:pt>
                <c:pt idx="45">
                  <c:v>666</c:v>
                </c:pt>
                <c:pt idx="46">
                  <c:v>674</c:v>
                </c:pt>
                <c:pt idx="47">
                  <c:v>682</c:v>
                </c:pt>
                <c:pt idx="48">
                  <c:v>690</c:v>
                </c:pt>
                <c:pt idx="49">
                  <c:v>698</c:v>
                </c:pt>
                <c:pt idx="50">
                  <c:v>706</c:v>
                </c:pt>
                <c:pt idx="51">
                  <c:v>714</c:v>
                </c:pt>
                <c:pt idx="52">
                  <c:v>722</c:v>
                </c:pt>
                <c:pt idx="53">
                  <c:v>730</c:v>
                </c:pt>
                <c:pt idx="54">
                  <c:v>738</c:v>
                </c:pt>
                <c:pt idx="55">
                  <c:v>746</c:v>
                </c:pt>
                <c:pt idx="56">
                  <c:v>754</c:v>
                </c:pt>
                <c:pt idx="57">
                  <c:v>762</c:v>
                </c:pt>
                <c:pt idx="58">
                  <c:v>770</c:v>
                </c:pt>
                <c:pt idx="59">
                  <c:v>778</c:v>
                </c:pt>
                <c:pt idx="60">
                  <c:v>786</c:v>
                </c:pt>
                <c:pt idx="61">
                  <c:v>794</c:v>
                </c:pt>
                <c:pt idx="62">
                  <c:v>802</c:v>
                </c:pt>
                <c:pt idx="63">
                  <c:v>810</c:v>
                </c:pt>
                <c:pt idx="64">
                  <c:v>818</c:v>
                </c:pt>
                <c:pt idx="65">
                  <c:v>826</c:v>
                </c:pt>
                <c:pt idx="66">
                  <c:v>834</c:v>
                </c:pt>
                <c:pt idx="67">
                  <c:v>842</c:v>
                </c:pt>
                <c:pt idx="68">
                  <c:v>850</c:v>
                </c:pt>
                <c:pt idx="69">
                  <c:v>858</c:v>
                </c:pt>
                <c:pt idx="70">
                  <c:v>866</c:v>
                </c:pt>
                <c:pt idx="71">
                  <c:v>874</c:v>
                </c:pt>
                <c:pt idx="72">
                  <c:v>882</c:v>
                </c:pt>
                <c:pt idx="73">
                  <c:v>890</c:v>
                </c:pt>
                <c:pt idx="74">
                  <c:v>898</c:v>
                </c:pt>
                <c:pt idx="75">
                  <c:v>906</c:v>
                </c:pt>
                <c:pt idx="76">
                  <c:v>914</c:v>
                </c:pt>
                <c:pt idx="77">
                  <c:v>922</c:v>
                </c:pt>
                <c:pt idx="78">
                  <c:v>930</c:v>
                </c:pt>
                <c:pt idx="79">
                  <c:v>938</c:v>
                </c:pt>
                <c:pt idx="80">
                  <c:v>946</c:v>
                </c:pt>
                <c:pt idx="81">
                  <c:v>954</c:v>
                </c:pt>
                <c:pt idx="82">
                  <c:v>962</c:v>
                </c:pt>
                <c:pt idx="83">
                  <c:v>970</c:v>
                </c:pt>
                <c:pt idx="84">
                  <c:v>978</c:v>
                </c:pt>
                <c:pt idx="85">
                  <c:v>986</c:v>
                </c:pt>
                <c:pt idx="86">
                  <c:v>994</c:v>
                </c:pt>
              </c:numCache>
            </c:numRef>
          </c:xVal>
          <c:yVal>
            <c:numRef>
              <c:f>EVALUATION!$B$106:$CP$106</c:f>
              <c:numCache>
                <c:formatCode>0</c:formatCode>
                <c:ptCount val="93"/>
                <c:pt idx="0">
                  <c:v>-21.473063063063062</c:v>
                </c:pt>
                <c:pt idx="1">
                  <c:v>-21.045435435435436</c:v>
                </c:pt>
                <c:pt idx="2">
                  <c:v>-20.617807807807807</c:v>
                </c:pt>
                <c:pt idx="3">
                  <c:v>-20.190180180180178</c:v>
                </c:pt>
                <c:pt idx="4" formatCode="General">
                  <c:v>-20.082754491017962</c:v>
                </c:pt>
                <c:pt idx="5" formatCode="General">
                  <c:v>-20.049221556886227</c:v>
                </c:pt>
                <c:pt idx="6" formatCode="General">
                  <c:v>-20.015688622754489</c:v>
                </c:pt>
                <c:pt idx="7" formatCode="General">
                  <c:v>-19.982155688622754</c:v>
                </c:pt>
                <c:pt idx="8" formatCode="General">
                  <c:v>-20.046347305389222</c:v>
                </c:pt>
                <c:pt idx="9" formatCode="General">
                  <c:v>-20.166107784431137</c:v>
                </c:pt>
                <c:pt idx="10" formatCode="General">
                  <c:v>-20.285868263473052</c:v>
                </c:pt>
                <c:pt idx="11" formatCode="General">
                  <c:v>-20.40562874251497</c:v>
                </c:pt>
                <c:pt idx="12" formatCode="General">
                  <c:v>-20.526497005988023</c:v>
                </c:pt>
                <c:pt idx="13" formatCode="General">
                  <c:v>-20.648652694610778</c:v>
                </c:pt>
                <c:pt idx="14" formatCode="General">
                  <c:v>-20.770808383233533</c:v>
                </c:pt>
                <c:pt idx="15" formatCode="General">
                  <c:v>-20.892964071856287</c:v>
                </c:pt>
                <c:pt idx="16" formatCode="General">
                  <c:v>-21.015119760479042</c:v>
                </c:pt>
                <c:pt idx="17" formatCode="General">
                  <c:v>-21.137275449101796</c:v>
                </c:pt>
                <c:pt idx="18" formatCode="General">
                  <c:v>-21.259431137724551</c:v>
                </c:pt>
                <c:pt idx="19" formatCode="General">
                  <c:v>-21.381586826347306</c:v>
                </c:pt>
                <c:pt idx="20" formatCode="General">
                  <c:v>-21.504011976047902</c:v>
                </c:pt>
                <c:pt idx="21" formatCode="General">
                  <c:v>-21.628562874251497</c:v>
                </c:pt>
                <c:pt idx="22" formatCode="General">
                  <c:v>-21.753113772455091</c:v>
                </c:pt>
                <c:pt idx="23" formatCode="General">
                  <c:v>-21.877664670658682</c:v>
                </c:pt>
                <c:pt idx="24" formatCode="General">
                  <c:v>-22.002215568862276</c:v>
                </c:pt>
                <c:pt idx="25" formatCode="General">
                  <c:v>-22.122612612612613</c:v>
                </c:pt>
                <c:pt idx="26" formatCode="General">
                  <c:v>-22.242732732732733</c:v>
                </c:pt>
                <c:pt idx="27" formatCode="General">
                  <c:v>-22.362852852852853</c:v>
                </c:pt>
                <c:pt idx="28" formatCode="General">
                  <c:v>-22.482972972972973</c:v>
                </c:pt>
                <c:pt idx="29" formatCode="General">
                  <c:v>-22.604670658682636</c:v>
                </c:pt>
                <c:pt idx="30" formatCode="General">
                  <c:v>-22.726826347305391</c:v>
                </c:pt>
                <c:pt idx="31" formatCode="General">
                  <c:v>-22.848982035928145</c:v>
                </c:pt>
                <c:pt idx="32" formatCode="General">
                  <c:v>-22.971137724550896</c:v>
                </c:pt>
                <c:pt idx="33" formatCode="General">
                  <c:v>-23.089700598802395</c:v>
                </c:pt>
                <c:pt idx="34" formatCode="General">
                  <c:v>-23.205868263473054</c:v>
                </c:pt>
                <c:pt idx="35" formatCode="General">
                  <c:v>-23.322035928143713</c:v>
                </c:pt>
                <c:pt idx="36" formatCode="General">
                  <c:v>-23.438203592814371</c:v>
                </c:pt>
                <c:pt idx="37" formatCode="General">
                  <c:v>-23.55437125748503</c:v>
                </c:pt>
                <c:pt idx="38" formatCode="General">
                  <c:v>-23.670538922155689</c:v>
                </c:pt>
                <c:pt idx="39" formatCode="General">
                  <c:v>-23.786706586826348</c:v>
                </c:pt>
                <c:pt idx="40" formatCode="General">
                  <c:v>-23.902874251497007</c:v>
                </c:pt>
                <c:pt idx="41" formatCode="General">
                  <c:v>-24.019041916167666</c:v>
                </c:pt>
                <c:pt idx="42" formatCode="General">
                  <c:v>-24.135209580838325</c:v>
                </c:pt>
                <c:pt idx="43" formatCode="General">
                  <c:v>-24.251377245508984</c:v>
                </c:pt>
                <c:pt idx="44" formatCode="General">
                  <c:v>-24.367544910179642</c:v>
                </c:pt>
                <c:pt idx="45" formatCode="General">
                  <c:v>-24.483712574850301</c:v>
                </c:pt>
                <c:pt idx="46" formatCode="General">
                  <c:v>-24.59988023952096</c:v>
                </c:pt>
                <c:pt idx="47" formatCode="General">
                  <c:v>-24.716047904191619</c:v>
                </c:pt>
                <c:pt idx="48" formatCode="General">
                  <c:v>-24.832215568862278</c:v>
                </c:pt>
                <c:pt idx="49" formatCode="General">
                  <c:v>-24.948383233532937</c:v>
                </c:pt>
                <c:pt idx="50" formatCode="General">
                  <c:v>-25.057617977528093</c:v>
                </c:pt>
                <c:pt idx="51" formatCode="General">
                  <c:v>-25.166082397003748</c:v>
                </c:pt>
                <c:pt idx="52" formatCode="General">
                  <c:v>-25.2745468164794</c:v>
                </c:pt>
                <c:pt idx="53" formatCode="General">
                  <c:v>-25.383011235955056</c:v>
                </c:pt>
                <c:pt idx="54" formatCode="General">
                  <c:v>-25.491475655430712</c:v>
                </c:pt>
                <c:pt idx="55" formatCode="General">
                  <c:v>-25.599940074906367</c:v>
                </c:pt>
                <c:pt idx="56" formatCode="General">
                  <c:v>-25.708404494382023</c:v>
                </c:pt>
                <c:pt idx="57" formatCode="General">
                  <c:v>-25.816868913857679</c:v>
                </c:pt>
                <c:pt idx="58" formatCode="General">
                  <c:v>-25.925333333333334</c:v>
                </c:pt>
                <c:pt idx="59" formatCode="General">
                  <c:v>-26.03379775280899</c:v>
                </c:pt>
                <c:pt idx="60" formatCode="General">
                  <c:v>-26.142262172284646</c:v>
                </c:pt>
                <c:pt idx="61" formatCode="General">
                  <c:v>-26.250726591760301</c:v>
                </c:pt>
                <c:pt idx="62" formatCode="General">
                  <c:v>-26.359191011235957</c:v>
                </c:pt>
                <c:pt idx="63" formatCode="General">
                  <c:v>-26.467655430711609</c:v>
                </c:pt>
                <c:pt idx="64" formatCode="General">
                  <c:v>-26.576119850187265</c:v>
                </c:pt>
                <c:pt idx="65" formatCode="General">
                  <c:v>-26.684584269662921</c:v>
                </c:pt>
                <c:pt idx="66" formatCode="General">
                  <c:v>-26.791902621722848</c:v>
                </c:pt>
                <c:pt idx="67" formatCode="General">
                  <c:v>-26.894973782771537</c:v>
                </c:pt>
                <c:pt idx="68" formatCode="General">
                  <c:v>-26.998044943820226</c:v>
                </c:pt>
                <c:pt idx="69" formatCode="General">
                  <c:v>-27.101116104868915</c:v>
                </c:pt>
                <c:pt idx="70" formatCode="General">
                  <c:v>-27.204187265917604</c:v>
                </c:pt>
                <c:pt idx="71" formatCode="General">
                  <c:v>-27.307258426966293</c:v>
                </c:pt>
                <c:pt idx="72" formatCode="General">
                  <c:v>-27.410329588014982</c:v>
                </c:pt>
                <c:pt idx="73" formatCode="General">
                  <c:v>-27.513400749063671</c:v>
                </c:pt>
                <c:pt idx="74" formatCode="General">
                  <c:v>-27.616471910112359</c:v>
                </c:pt>
                <c:pt idx="75" formatCode="General">
                  <c:v>-27.719543071161048</c:v>
                </c:pt>
                <c:pt idx="76" formatCode="General">
                  <c:v>-27.822614232209737</c:v>
                </c:pt>
                <c:pt idx="77" formatCode="General">
                  <c:v>-27.925685393258426</c:v>
                </c:pt>
                <c:pt idx="78" formatCode="General">
                  <c:v>-28.028756554307115</c:v>
                </c:pt>
                <c:pt idx="79" formatCode="General">
                  <c:v>-28.131827715355804</c:v>
                </c:pt>
                <c:pt idx="80" formatCode="General">
                  <c:v>-28.234898876404493</c:v>
                </c:pt>
                <c:pt idx="81" formatCode="General">
                  <c:v>-28.337970037453182</c:v>
                </c:pt>
                <c:pt idx="82" formatCode="General">
                  <c:v>-28.441041198501871</c:v>
                </c:pt>
                <c:pt idx="83" formatCode="General">
                  <c:v>-28.541556886227543</c:v>
                </c:pt>
                <c:pt idx="84" formatCode="General">
                  <c:v>-28.639760479041914</c:v>
                </c:pt>
                <c:pt idx="85" formatCode="General">
                  <c:v>-28.737964071856286</c:v>
                </c:pt>
                <c:pt idx="86" formatCode="General">
                  <c:v>-28.836167664670658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22F-4A2F-976F-7C3C2CD148C5}"/>
            </c:ext>
          </c:extLst>
        </c:ser>
        <c:ser>
          <c:idx val="40"/>
          <c:order val="41"/>
          <c:spPr>
            <a:ln>
              <a:solidFill>
                <a:srgbClr val="FF0000"/>
              </a:solidFill>
              <a:prstDash val="sysDash"/>
            </a:ln>
          </c:spPr>
          <c:marker>
            <c:symbol val="none"/>
          </c:marker>
          <c:xVal>
            <c:numRef>
              <c:f>EVALUATION!$B$100:$CP$100</c:f>
              <c:numCache>
                <c:formatCode>0</c:formatCode>
                <c:ptCount val="93"/>
                <c:pt idx="0">
                  <c:v>306</c:v>
                </c:pt>
                <c:pt idx="1">
                  <c:v>314</c:v>
                </c:pt>
                <c:pt idx="2">
                  <c:v>322</c:v>
                </c:pt>
                <c:pt idx="3">
                  <c:v>330</c:v>
                </c:pt>
                <c:pt idx="4">
                  <c:v>338</c:v>
                </c:pt>
                <c:pt idx="5">
                  <c:v>346</c:v>
                </c:pt>
                <c:pt idx="6">
                  <c:v>354</c:v>
                </c:pt>
                <c:pt idx="7">
                  <c:v>362</c:v>
                </c:pt>
                <c:pt idx="8">
                  <c:v>370</c:v>
                </c:pt>
                <c:pt idx="9">
                  <c:v>378</c:v>
                </c:pt>
                <c:pt idx="10">
                  <c:v>386</c:v>
                </c:pt>
                <c:pt idx="11">
                  <c:v>394</c:v>
                </c:pt>
                <c:pt idx="12">
                  <c:v>402</c:v>
                </c:pt>
                <c:pt idx="13">
                  <c:v>410</c:v>
                </c:pt>
                <c:pt idx="14">
                  <c:v>418</c:v>
                </c:pt>
                <c:pt idx="15">
                  <c:v>426</c:v>
                </c:pt>
                <c:pt idx="16">
                  <c:v>434</c:v>
                </c:pt>
                <c:pt idx="17">
                  <c:v>442</c:v>
                </c:pt>
                <c:pt idx="18">
                  <c:v>450</c:v>
                </c:pt>
                <c:pt idx="19">
                  <c:v>458</c:v>
                </c:pt>
                <c:pt idx="20">
                  <c:v>466</c:v>
                </c:pt>
                <c:pt idx="21">
                  <c:v>474</c:v>
                </c:pt>
                <c:pt idx="22">
                  <c:v>482</c:v>
                </c:pt>
                <c:pt idx="23">
                  <c:v>490</c:v>
                </c:pt>
                <c:pt idx="24">
                  <c:v>498</c:v>
                </c:pt>
                <c:pt idx="25">
                  <c:v>506</c:v>
                </c:pt>
                <c:pt idx="26">
                  <c:v>514</c:v>
                </c:pt>
                <c:pt idx="27">
                  <c:v>522</c:v>
                </c:pt>
                <c:pt idx="28">
                  <c:v>530</c:v>
                </c:pt>
                <c:pt idx="29">
                  <c:v>538</c:v>
                </c:pt>
                <c:pt idx="30">
                  <c:v>546</c:v>
                </c:pt>
                <c:pt idx="31">
                  <c:v>554</c:v>
                </c:pt>
                <c:pt idx="32">
                  <c:v>562</c:v>
                </c:pt>
                <c:pt idx="33">
                  <c:v>570</c:v>
                </c:pt>
                <c:pt idx="34">
                  <c:v>578</c:v>
                </c:pt>
                <c:pt idx="35">
                  <c:v>586</c:v>
                </c:pt>
                <c:pt idx="36">
                  <c:v>594</c:v>
                </c:pt>
                <c:pt idx="37">
                  <c:v>602</c:v>
                </c:pt>
                <c:pt idx="38">
                  <c:v>610</c:v>
                </c:pt>
                <c:pt idx="39">
                  <c:v>618</c:v>
                </c:pt>
                <c:pt idx="40">
                  <c:v>626</c:v>
                </c:pt>
                <c:pt idx="41">
                  <c:v>634</c:v>
                </c:pt>
                <c:pt idx="42">
                  <c:v>642</c:v>
                </c:pt>
                <c:pt idx="43">
                  <c:v>650</c:v>
                </c:pt>
                <c:pt idx="44">
                  <c:v>658</c:v>
                </c:pt>
                <c:pt idx="45">
                  <c:v>666</c:v>
                </c:pt>
                <c:pt idx="46">
                  <c:v>674</c:v>
                </c:pt>
                <c:pt idx="47">
                  <c:v>682</c:v>
                </c:pt>
                <c:pt idx="48">
                  <c:v>690</c:v>
                </c:pt>
                <c:pt idx="49">
                  <c:v>698</c:v>
                </c:pt>
                <c:pt idx="50">
                  <c:v>706</c:v>
                </c:pt>
                <c:pt idx="51">
                  <c:v>714</c:v>
                </c:pt>
                <c:pt idx="52">
                  <c:v>722</c:v>
                </c:pt>
                <c:pt idx="53">
                  <c:v>730</c:v>
                </c:pt>
                <c:pt idx="54">
                  <c:v>738</c:v>
                </c:pt>
                <c:pt idx="55">
                  <c:v>746</c:v>
                </c:pt>
                <c:pt idx="56">
                  <c:v>754</c:v>
                </c:pt>
                <c:pt idx="57">
                  <c:v>762</c:v>
                </c:pt>
                <c:pt idx="58">
                  <c:v>770</c:v>
                </c:pt>
                <c:pt idx="59">
                  <c:v>778</c:v>
                </c:pt>
                <c:pt idx="60">
                  <c:v>786</c:v>
                </c:pt>
                <c:pt idx="61">
                  <c:v>794</c:v>
                </c:pt>
                <c:pt idx="62">
                  <c:v>802</c:v>
                </c:pt>
                <c:pt idx="63">
                  <c:v>810</c:v>
                </c:pt>
                <c:pt idx="64">
                  <c:v>818</c:v>
                </c:pt>
                <c:pt idx="65">
                  <c:v>826</c:v>
                </c:pt>
                <c:pt idx="66">
                  <c:v>834</c:v>
                </c:pt>
                <c:pt idx="67">
                  <c:v>842</c:v>
                </c:pt>
                <c:pt idx="68">
                  <c:v>850</c:v>
                </c:pt>
                <c:pt idx="69">
                  <c:v>858</c:v>
                </c:pt>
                <c:pt idx="70">
                  <c:v>866</c:v>
                </c:pt>
                <c:pt idx="71">
                  <c:v>874</c:v>
                </c:pt>
                <c:pt idx="72">
                  <c:v>882</c:v>
                </c:pt>
                <c:pt idx="73">
                  <c:v>890</c:v>
                </c:pt>
                <c:pt idx="74">
                  <c:v>898</c:v>
                </c:pt>
                <c:pt idx="75">
                  <c:v>906</c:v>
                </c:pt>
                <c:pt idx="76">
                  <c:v>914</c:v>
                </c:pt>
                <c:pt idx="77">
                  <c:v>922</c:v>
                </c:pt>
                <c:pt idx="78">
                  <c:v>930</c:v>
                </c:pt>
                <c:pt idx="79">
                  <c:v>938</c:v>
                </c:pt>
                <c:pt idx="80">
                  <c:v>946</c:v>
                </c:pt>
                <c:pt idx="81">
                  <c:v>954</c:v>
                </c:pt>
                <c:pt idx="82">
                  <c:v>962</c:v>
                </c:pt>
                <c:pt idx="83">
                  <c:v>970</c:v>
                </c:pt>
                <c:pt idx="84">
                  <c:v>978</c:v>
                </c:pt>
                <c:pt idx="85">
                  <c:v>986</c:v>
                </c:pt>
                <c:pt idx="86">
                  <c:v>994</c:v>
                </c:pt>
              </c:numCache>
            </c:numRef>
          </c:xVal>
          <c:yVal>
            <c:numRef>
              <c:f>EVALUATION!$B$142:$CP$142</c:f>
              <c:numCache>
                <c:formatCode>0</c:formatCode>
                <c:ptCount val="93"/>
                <c:pt idx="0">
                  <c:v>-21.943243243243245</c:v>
                </c:pt>
                <c:pt idx="1">
                  <c:v>-21.741441441441442</c:v>
                </c:pt>
                <c:pt idx="2">
                  <c:v>-21.539639639639642</c:v>
                </c:pt>
                <c:pt idx="3">
                  <c:v>-21.337837837837839</c:v>
                </c:pt>
                <c:pt idx="4" formatCode="General">
                  <c:v>-21.317514970059882</c:v>
                </c:pt>
                <c:pt idx="5" formatCode="General">
                  <c:v>-21.339071856287426</c:v>
                </c:pt>
                <c:pt idx="6" formatCode="General">
                  <c:v>-21.360628742514972</c:v>
                </c:pt>
                <c:pt idx="7" formatCode="General">
                  <c:v>-21.382185628742516</c:v>
                </c:pt>
                <c:pt idx="8" formatCode="General">
                  <c:v>-21.452604790419162</c:v>
                </c:pt>
                <c:pt idx="9" formatCode="General">
                  <c:v>-21.550808383233534</c:v>
                </c:pt>
                <c:pt idx="10" formatCode="General">
                  <c:v>-21.649011976047905</c:v>
                </c:pt>
                <c:pt idx="11" formatCode="General">
                  <c:v>-21.747215568862277</c:v>
                </c:pt>
                <c:pt idx="12" formatCode="General">
                  <c:v>-21.843203592814373</c:v>
                </c:pt>
                <c:pt idx="13" formatCode="General">
                  <c:v>-21.936616766467068</c:v>
                </c:pt>
                <c:pt idx="14" formatCode="General">
                  <c:v>-22.030029940119761</c:v>
                </c:pt>
                <c:pt idx="15" formatCode="General">
                  <c:v>-22.123443113772456</c:v>
                </c:pt>
                <c:pt idx="16" formatCode="General">
                  <c:v>-22.209970059880241</c:v>
                </c:pt>
                <c:pt idx="17" formatCode="General">
                  <c:v>-22.279431137724551</c:v>
                </c:pt>
                <c:pt idx="18" formatCode="General">
                  <c:v>-22.348892215568863</c:v>
                </c:pt>
                <c:pt idx="19" formatCode="General">
                  <c:v>-22.418353293413173</c:v>
                </c:pt>
                <c:pt idx="20" formatCode="General">
                  <c:v>-22.488353293413173</c:v>
                </c:pt>
                <c:pt idx="21" formatCode="General">
                  <c:v>-22.562604790419162</c:v>
                </c:pt>
                <c:pt idx="22" formatCode="General">
                  <c:v>-22.63685628742515</c:v>
                </c:pt>
                <c:pt idx="23" formatCode="General">
                  <c:v>-22.711107784431139</c:v>
                </c:pt>
                <c:pt idx="24" formatCode="General">
                  <c:v>-22.785359281437124</c:v>
                </c:pt>
                <c:pt idx="25" formatCode="General">
                  <c:v>-22.846306306306307</c:v>
                </c:pt>
                <c:pt idx="26" formatCode="General">
                  <c:v>-22.906366366366367</c:v>
                </c:pt>
                <c:pt idx="27" formatCode="General">
                  <c:v>-22.966426426426427</c:v>
                </c:pt>
                <c:pt idx="28" formatCode="General">
                  <c:v>-23.026486486486487</c:v>
                </c:pt>
                <c:pt idx="29" formatCode="General">
                  <c:v>-23.130958083832336</c:v>
                </c:pt>
                <c:pt idx="30" formatCode="General">
                  <c:v>-23.248323353293415</c:v>
                </c:pt>
                <c:pt idx="31" formatCode="General">
                  <c:v>-23.36568862275449</c:v>
                </c:pt>
                <c:pt idx="32" formatCode="General">
                  <c:v>-23.483053892215569</c:v>
                </c:pt>
                <c:pt idx="33" formatCode="General">
                  <c:v>-23.60185628742515</c:v>
                </c:pt>
                <c:pt idx="34" formatCode="General">
                  <c:v>-23.721616766467065</c:v>
                </c:pt>
                <c:pt idx="35" formatCode="General">
                  <c:v>-23.841377245508983</c:v>
                </c:pt>
                <c:pt idx="36" formatCode="General">
                  <c:v>-23.961137724550898</c:v>
                </c:pt>
                <c:pt idx="37" formatCode="General">
                  <c:v>-24.078862275449104</c:v>
                </c:pt>
                <c:pt idx="38" formatCode="General">
                  <c:v>-24.193832335329343</c:v>
                </c:pt>
                <c:pt idx="39" formatCode="General">
                  <c:v>-24.308802395209582</c:v>
                </c:pt>
                <c:pt idx="40" formatCode="General">
                  <c:v>-24.423772455089821</c:v>
                </c:pt>
                <c:pt idx="41" formatCode="General">
                  <c:v>-24.53874251497006</c:v>
                </c:pt>
                <c:pt idx="42" formatCode="General">
                  <c:v>-24.653712574850299</c:v>
                </c:pt>
                <c:pt idx="43" formatCode="General">
                  <c:v>-24.768682634730538</c:v>
                </c:pt>
                <c:pt idx="44" formatCode="General">
                  <c:v>-24.883652694610777</c:v>
                </c:pt>
                <c:pt idx="45" formatCode="General">
                  <c:v>-24.998622754491016</c:v>
                </c:pt>
                <c:pt idx="46" formatCode="General">
                  <c:v>-25.113592814371255</c:v>
                </c:pt>
                <c:pt idx="47" formatCode="General">
                  <c:v>-25.228562874251494</c:v>
                </c:pt>
                <c:pt idx="48" formatCode="General">
                  <c:v>-25.343532934131737</c:v>
                </c:pt>
                <c:pt idx="49" formatCode="General">
                  <c:v>-25.458502994011976</c:v>
                </c:pt>
                <c:pt idx="50" formatCode="General">
                  <c:v>-25.567617977528091</c:v>
                </c:pt>
                <c:pt idx="51" formatCode="General">
                  <c:v>-25.676082397003746</c:v>
                </c:pt>
                <c:pt idx="52" formatCode="General">
                  <c:v>-25.784546816479402</c:v>
                </c:pt>
                <c:pt idx="53" formatCode="General">
                  <c:v>-25.893011235955058</c:v>
                </c:pt>
                <c:pt idx="54" formatCode="General">
                  <c:v>-26.001475655430713</c:v>
                </c:pt>
                <c:pt idx="55" formatCode="General">
                  <c:v>-26.109940074906369</c:v>
                </c:pt>
                <c:pt idx="56" formatCode="General">
                  <c:v>-26.218404494382021</c:v>
                </c:pt>
                <c:pt idx="57" formatCode="General">
                  <c:v>-26.326868913857677</c:v>
                </c:pt>
                <c:pt idx="58" formatCode="General">
                  <c:v>-26.435333333333332</c:v>
                </c:pt>
                <c:pt idx="59" formatCode="General">
                  <c:v>-26.543797752808988</c:v>
                </c:pt>
                <c:pt idx="60" formatCode="General">
                  <c:v>-26.652262172284644</c:v>
                </c:pt>
                <c:pt idx="61" formatCode="General">
                  <c:v>-26.760726591760299</c:v>
                </c:pt>
                <c:pt idx="62" formatCode="General">
                  <c:v>-26.869191011235955</c:v>
                </c:pt>
                <c:pt idx="63" formatCode="General">
                  <c:v>-26.977655430711611</c:v>
                </c:pt>
                <c:pt idx="64" formatCode="General">
                  <c:v>-27.086119850187266</c:v>
                </c:pt>
                <c:pt idx="65" formatCode="General">
                  <c:v>-27.194584269662922</c:v>
                </c:pt>
                <c:pt idx="66" formatCode="General">
                  <c:v>-27.301902621722849</c:v>
                </c:pt>
                <c:pt idx="67" formatCode="General">
                  <c:v>-27.404973782771538</c:v>
                </c:pt>
                <c:pt idx="68" formatCode="General">
                  <c:v>-27.508044943820227</c:v>
                </c:pt>
                <c:pt idx="69" formatCode="General">
                  <c:v>-27.611116104868916</c:v>
                </c:pt>
                <c:pt idx="70" formatCode="General">
                  <c:v>-27.714187265917605</c:v>
                </c:pt>
                <c:pt idx="71" formatCode="General">
                  <c:v>-27.817258426966294</c:v>
                </c:pt>
                <c:pt idx="72" formatCode="General">
                  <c:v>-27.920329588014983</c:v>
                </c:pt>
                <c:pt idx="73" formatCode="General">
                  <c:v>-28.023400749063672</c:v>
                </c:pt>
                <c:pt idx="74" formatCode="General">
                  <c:v>-28.126471910112361</c:v>
                </c:pt>
                <c:pt idx="75" formatCode="General">
                  <c:v>-28.22954307116105</c:v>
                </c:pt>
                <c:pt idx="76" formatCode="General">
                  <c:v>-28.332614232209739</c:v>
                </c:pt>
                <c:pt idx="77" formatCode="General">
                  <c:v>-28.435685393258428</c:v>
                </c:pt>
                <c:pt idx="78" formatCode="General">
                  <c:v>-28.538756554307117</c:v>
                </c:pt>
                <c:pt idx="79" formatCode="General">
                  <c:v>-28.641827715355806</c:v>
                </c:pt>
                <c:pt idx="80" formatCode="General">
                  <c:v>-28.744898876404495</c:v>
                </c:pt>
                <c:pt idx="81" formatCode="General">
                  <c:v>-28.847970037453184</c:v>
                </c:pt>
                <c:pt idx="82" formatCode="General">
                  <c:v>-28.951041198501873</c:v>
                </c:pt>
                <c:pt idx="83" formatCode="General">
                  <c:v>-29.051396396396395</c:v>
                </c:pt>
                <c:pt idx="84" formatCode="General">
                  <c:v>-29.149294294294293</c:v>
                </c:pt>
                <c:pt idx="85" formatCode="General">
                  <c:v>-29.247192192192191</c:v>
                </c:pt>
                <c:pt idx="86" formatCode="General">
                  <c:v>-29.345090090090089</c:v>
                </c:pt>
                <c:pt idx="87" formatCode="General">
                  <c:v>-102.44289108910891</c:v>
                </c:pt>
                <c:pt idx="88" formatCode="General">
                  <c:v>-102.77952475247524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22F-4A2F-976F-7C3C2CD148C5}"/>
            </c:ext>
          </c:extLst>
        </c:ser>
        <c:ser>
          <c:idx val="53"/>
          <c:order val="54"/>
          <c:tx>
            <c:v>temp</c:v>
          </c:tx>
          <c:marker>
            <c:symbol val="none"/>
          </c:marker>
          <c:dPt>
            <c:idx val="1"/>
            <c:bubble3D val="0"/>
            <c:spPr>
              <a:ln>
                <a:solidFill>
                  <a:schemeClr val="tx1"/>
                </a:solidFill>
              </a:ln>
            </c:spPr>
            <c:extLst>
              <c:ext xmlns:c16="http://schemas.microsoft.com/office/drawing/2014/chart" uri="{C3380CC4-5D6E-409C-BE32-E72D297353CC}">
                <c16:uniqueId val="{00000003-022F-4A2F-976F-7C3C2CD148C5}"/>
              </c:ext>
            </c:extLst>
          </c:dPt>
          <c:xVal>
            <c:numRef>
              <c:f>EVALUATION!$A$98:$A$99</c:f>
              <c:numCache>
                <c:formatCode>General</c:formatCode>
                <c:ptCount val="2"/>
                <c:pt idx="0">
                  <c:v>700</c:v>
                </c:pt>
                <c:pt idx="1">
                  <c:v>700</c:v>
                </c:pt>
              </c:numCache>
            </c:numRef>
          </c:xVal>
          <c:yVal>
            <c:numRef>
              <c:f>EVALUATION!$B$98:$B$99</c:f>
              <c:numCache>
                <c:formatCode>0</c:formatCode>
                <c:ptCount val="2"/>
                <c:pt idx="0">
                  <c:v>-184.14450450450451</c:v>
                </c:pt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022F-4A2F-976F-7C3C2CD148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38785983"/>
        <c:axId val="938775583"/>
        <c:extLst>
          <c:ext xmlns:c15="http://schemas.microsoft.com/office/drawing/2012/chart" uri="{02D57815-91ED-43cb-92C2-25804820EDAC}">
            <c15:filteredScatterSeries>
              <c15:ser>
                <c:idx val="0"/>
                <c:order val="0"/>
                <c:spPr>
                  <a:ln w="19050" cap="rnd">
                    <a:solidFill>
                      <a:srgbClr val="FF0000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306</c:v>
                      </c:pt>
                      <c:pt idx="1">
                        <c:v>314</c:v>
                      </c:pt>
                      <c:pt idx="2">
                        <c:v>322</c:v>
                      </c:pt>
                      <c:pt idx="3">
                        <c:v>330</c:v>
                      </c:pt>
                      <c:pt idx="4">
                        <c:v>338</c:v>
                      </c:pt>
                      <c:pt idx="5">
                        <c:v>346</c:v>
                      </c:pt>
                      <c:pt idx="6">
                        <c:v>354</c:v>
                      </c:pt>
                      <c:pt idx="7">
                        <c:v>362</c:v>
                      </c:pt>
                      <c:pt idx="8">
                        <c:v>370</c:v>
                      </c:pt>
                      <c:pt idx="9">
                        <c:v>378</c:v>
                      </c:pt>
                      <c:pt idx="10">
                        <c:v>386</c:v>
                      </c:pt>
                      <c:pt idx="11">
                        <c:v>394</c:v>
                      </c:pt>
                      <c:pt idx="12">
                        <c:v>402</c:v>
                      </c:pt>
                      <c:pt idx="13">
                        <c:v>410</c:v>
                      </c:pt>
                      <c:pt idx="14">
                        <c:v>418</c:v>
                      </c:pt>
                      <c:pt idx="15">
                        <c:v>426</c:v>
                      </c:pt>
                      <c:pt idx="16">
                        <c:v>434</c:v>
                      </c:pt>
                      <c:pt idx="17">
                        <c:v>442</c:v>
                      </c:pt>
                      <c:pt idx="18">
                        <c:v>450</c:v>
                      </c:pt>
                      <c:pt idx="19">
                        <c:v>458</c:v>
                      </c:pt>
                      <c:pt idx="20">
                        <c:v>466</c:v>
                      </c:pt>
                      <c:pt idx="21">
                        <c:v>474</c:v>
                      </c:pt>
                      <c:pt idx="22">
                        <c:v>482</c:v>
                      </c:pt>
                      <c:pt idx="23">
                        <c:v>490</c:v>
                      </c:pt>
                      <c:pt idx="24">
                        <c:v>498</c:v>
                      </c:pt>
                      <c:pt idx="25">
                        <c:v>506</c:v>
                      </c:pt>
                      <c:pt idx="26">
                        <c:v>514</c:v>
                      </c:pt>
                      <c:pt idx="27">
                        <c:v>522</c:v>
                      </c:pt>
                      <c:pt idx="28">
                        <c:v>530</c:v>
                      </c:pt>
                      <c:pt idx="29">
                        <c:v>538</c:v>
                      </c:pt>
                      <c:pt idx="30">
                        <c:v>546</c:v>
                      </c:pt>
                      <c:pt idx="31">
                        <c:v>554</c:v>
                      </c:pt>
                      <c:pt idx="32">
                        <c:v>562</c:v>
                      </c:pt>
                      <c:pt idx="33">
                        <c:v>570</c:v>
                      </c:pt>
                      <c:pt idx="34">
                        <c:v>578</c:v>
                      </c:pt>
                      <c:pt idx="35">
                        <c:v>586</c:v>
                      </c:pt>
                      <c:pt idx="36">
                        <c:v>594</c:v>
                      </c:pt>
                      <c:pt idx="37">
                        <c:v>602</c:v>
                      </c:pt>
                      <c:pt idx="38">
                        <c:v>610</c:v>
                      </c:pt>
                      <c:pt idx="39">
                        <c:v>618</c:v>
                      </c:pt>
                      <c:pt idx="40">
                        <c:v>626</c:v>
                      </c:pt>
                      <c:pt idx="41">
                        <c:v>634</c:v>
                      </c:pt>
                      <c:pt idx="42">
                        <c:v>642</c:v>
                      </c:pt>
                      <c:pt idx="43">
                        <c:v>650</c:v>
                      </c:pt>
                      <c:pt idx="44">
                        <c:v>658</c:v>
                      </c:pt>
                      <c:pt idx="45">
                        <c:v>666</c:v>
                      </c:pt>
                      <c:pt idx="46">
                        <c:v>674</c:v>
                      </c:pt>
                      <c:pt idx="47">
                        <c:v>682</c:v>
                      </c:pt>
                      <c:pt idx="48">
                        <c:v>690</c:v>
                      </c:pt>
                      <c:pt idx="49">
                        <c:v>698</c:v>
                      </c:pt>
                      <c:pt idx="50">
                        <c:v>706</c:v>
                      </c:pt>
                      <c:pt idx="51">
                        <c:v>714</c:v>
                      </c:pt>
                      <c:pt idx="52">
                        <c:v>722</c:v>
                      </c:pt>
                      <c:pt idx="53">
                        <c:v>730</c:v>
                      </c:pt>
                      <c:pt idx="54">
                        <c:v>738</c:v>
                      </c:pt>
                      <c:pt idx="55">
                        <c:v>746</c:v>
                      </c:pt>
                      <c:pt idx="56">
                        <c:v>754</c:v>
                      </c:pt>
                      <c:pt idx="57">
                        <c:v>762</c:v>
                      </c:pt>
                      <c:pt idx="58">
                        <c:v>770</c:v>
                      </c:pt>
                      <c:pt idx="59">
                        <c:v>778</c:v>
                      </c:pt>
                      <c:pt idx="60">
                        <c:v>786</c:v>
                      </c:pt>
                      <c:pt idx="61">
                        <c:v>794</c:v>
                      </c:pt>
                      <c:pt idx="62">
                        <c:v>802</c:v>
                      </c:pt>
                      <c:pt idx="63">
                        <c:v>810</c:v>
                      </c:pt>
                      <c:pt idx="64">
                        <c:v>818</c:v>
                      </c:pt>
                      <c:pt idx="65">
                        <c:v>826</c:v>
                      </c:pt>
                      <c:pt idx="66">
                        <c:v>834</c:v>
                      </c:pt>
                      <c:pt idx="67">
                        <c:v>842</c:v>
                      </c:pt>
                      <c:pt idx="68">
                        <c:v>850</c:v>
                      </c:pt>
                      <c:pt idx="69">
                        <c:v>858</c:v>
                      </c:pt>
                      <c:pt idx="70">
                        <c:v>866</c:v>
                      </c:pt>
                      <c:pt idx="71">
                        <c:v>874</c:v>
                      </c:pt>
                      <c:pt idx="72">
                        <c:v>882</c:v>
                      </c:pt>
                      <c:pt idx="73">
                        <c:v>890</c:v>
                      </c:pt>
                      <c:pt idx="74">
                        <c:v>898</c:v>
                      </c:pt>
                      <c:pt idx="75">
                        <c:v>906</c:v>
                      </c:pt>
                      <c:pt idx="76">
                        <c:v>914</c:v>
                      </c:pt>
                      <c:pt idx="77">
                        <c:v>922</c:v>
                      </c:pt>
                      <c:pt idx="78">
                        <c:v>930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EVALUATION!$B$101:$CP$101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-15.118108108108107</c:v>
                      </c:pt>
                      <c:pt idx="1">
                        <c:v>-14.88027027027027</c:v>
                      </c:pt>
                      <c:pt idx="2">
                        <c:v>-14.642432432432432</c:v>
                      </c:pt>
                      <c:pt idx="3">
                        <c:v>-14.404594594594593</c:v>
                      </c:pt>
                      <c:pt idx="4" formatCode="General">
                        <c:v>-13.959101796407184</c:v>
                      </c:pt>
                      <c:pt idx="5" formatCode="General">
                        <c:v>-13.46568862275449</c:v>
                      </c:pt>
                      <c:pt idx="6" formatCode="General">
                        <c:v>-12.972275449101796</c:v>
                      </c:pt>
                      <c:pt idx="7" formatCode="General">
                        <c:v>-12.478862275449101</c:v>
                      </c:pt>
                      <c:pt idx="8" formatCode="General">
                        <c:v>-11.950329341317365</c:v>
                      </c:pt>
                      <c:pt idx="9" formatCode="General">
                        <c:v>-11.40182634730539</c:v>
                      </c:pt>
                      <c:pt idx="10" formatCode="General">
                        <c:v>-10.853323353293414</c:v>
                      </c:pt>
                      <c:pt idx="11" formatCode="General">
                        <c:v>-10.304820359281438</c:v>
                      </c:pt>
                      <c:pt idx="12" formatCode="General">
                        <c:v>-9.7896616766467073</c:v>
                      </c:pt>
                      <c:pt idx="13" formatCode="General">
                        <c:v>-9.3132544910179647</c:v>
                      </c:pt>
                      <c:pt idx="14" formatCode="General">
                        <c:v>-8.836847305389222</c:v>
                      </c:pt>
                      <c:pt idx="15" formatCode="General">
                        <c:v>-8.3604401197604794</c:v>
                      </c:pt>
                      <c:pt idx="16" formatCode="General">
                        <c:v>-7.9011107784431145</c:v>
                      </c:pt>
                      <c:pt idx="17" formatCode="General">
                        <c:v>-7.4841047904191624</c:v>
                      </c:pt>
                      <c:pt idx="18" formatCode="General">
                        <c:v>-7.0670988023952104</c:v>
                      </c:pt>
                      <c:pt idx="19" formatCode="General">
                        <c:v>-6.6500928143712592</c:v>
                      </c:pt>
                      <c:pt idx="20" formatCode="General">
                        <c:v>-6.2383952095808395</c:v>
                      </c:pt>
                      <c:pt idx="21" formatCode="General">
                        <c:v>-5.8685748502994022</c:v>
                      </c:pt>
                      <c:pt idx="22" formatCode="General">
                        <c:v>-5.4987544910179649</c:v>
                      </c:pt>
                      <c:pt idx="23" formatCode="General">
                        <c:v>-5.1289341317365267</c:v>
                      </c:pt>
                      <c:pt idx="24" formatCode="General">
                        <c:v>-4.7591137724550894</c:v>
                      </c:pt>
                      <c:pt idx="25" formatCode="General">
                        <c:v>-4.6019909909909904</c:v>
                      </c:pt>
                      <c:pt idx="26" formatCode="General">
                        <c:v>-4.4590480480480474</c:v>
                      </c:pt>
                      <c:pt idx="27" formatCode="General">
                        <c:v>-4.3161051051051045</c:v>
                      </c:pt>
                      <c:pt idx="28" formatCode="General">
                        <c:v>-4.1731621621621615</c:v>
                      </c:pt>
                      <c:pt idx="29" formatCode="General">
                        <c:v>-4.1562215568862273</c:v>
                      </c:pt>
                      <c:pt idx="30" formatCode="General">
                        <c:v>-4.1758622754491022</c:v>
                      </c:pt>
                      <c:pt idx="31" formatCode="General">
                        <c:v>-4.1955029940119761</c:v>
                      </c:pt>
                      <c:pt idx="32" formatCode="General">
                        <c:v>-4.2151437125748501</c:v>
                      </c:pt>
                      <c:pt idx="33" formatCode="General">
                        <c:v>-4.2348562874251492</c:v>
                      </c:pt>
                      <c:pt idx="34" formatCode="General">
                        <c:v>-4.2546167664670653</c:v>
                      </c:pt>
                      <c:pt idx="35" formatCode="General">
                        <c:v>-4.2743772455089815</c:v>
                      </c:pt>
                      <c:pt idx="36" formatCode="General">
                        <c:v>-4.2941377245508976</c:v>
                      </c:pt>
                      <c:pt idx="37" formatCode="General">
                        <c:v>-4.3138982035928146</c:v>
                      </c:pt>
                      <c:pt idx="38" formatCode="General">
                        <c:v>-4.3336586826347308</c:v>
                      </c:pt>
                      <c:pt idx="39" formatCode="General">
                        <c:v>-4.3534191616766469</c:v>
                      </c:pt>
                      <c:pt idx="40" formatCode="General">
                        <c:v>-4.373179640718563</c:v>
                      </c:pt>
                      <c:pt idx="41" formatCode="General">
                        <c:v>-4.3929401197604792</c:v>
                      </c:pt>
                      <c:pt idx="42" formatCode="General">
                        <c:v>-4.4127005988023953</c:v>
                      </c:pt>
                      <c:pt idx="43" formatCode="General">
                        <c:v>-4.4324610778443114</c:v>
                      </c:pt>
                      <c:pt idx="44" formatCode="General">
                        <c:v>-4.4522215568862276</c:v>
                      </c:pt>
                      <c:pt idx="45" formatCode="General">
                        <c:v>-4.4719820359281437</c:v>
                      </c:pt>
                      <c:pt idx="46" formatCode="General">
                        <c:v>-4.4917425149700598</c:v>
                      </c:pt>
                      <c:pt idx="47" formatCode="General">
                        <c:v>-4.511502994011976</c:v>
                      </c:pt>
                      <c:pt idx="48" formatCode="General">
                        <c:v>-4.5312634730538921</c:v>
                      </c:pt>
                      <c:pt idx="49" formatCode="General">
                        <c:v>-4.5510239520958082</c:v>
                      </c:pt>
                      <c:pt idx="50" formatCode="General">
                        <c:v>-4.5702584269662925</c:v>
                      </c:pt>
                      <c:pt idx="51" formatCode="General">
                        <c:v>-4.5894344569288394</c:v>
                      </c:pt>
                      <c:pt idx="52" formatCode="General">
                        <c:v>-4.6086104868913855</c:v>
                      </c:pt>
                      <c:pt idx="53" formatCode="General">
                        <c:v>-4.6277865168539325</c:v>
                      </c:pt>
                      <c:pt idx="54" formatCode="General">
                        <c:v>-4.6469625468164795</c:v>
                      </c:pt>
                      <c:pt idx="55" formatCode="General">
                        <c:v>-4.6661385767790264</c:v>
                      </c:pt>
                      <c:pt idx="56" formatCode="General">
                        <c:v>-4.6853146067415734</c:v>
                      </c:pt>
                      <c:pt idx="57" formatCode="General">
                        <c:v>-4.7044906367041204</c:v>
                      </c:pt>
                      <c:pt idx="58" formatCode="General">
                        <c:v>-4.7236666666666665</c:v>
                      </c:pt>
                      <c:pt idx="59" formatCode="General">
                        <c:v>-4.7428426966292134</c:v>
                      </c:pt>
                      <c:pt idx="60" formatCode="General">
                        <c:v>-4.7620187265917604</c:v>
                      </c:pt>
                      <c:pt idx="61" formatCode="General">
                        <c:v>-4.7811947565543074</c:v>
                      </c:pt>
                      <c:pt idx="62" formatCode="General">
                        <c:v>-4.8003707865168543</c:v>
                      </c:pt>
                      <c:pt idx="63" formatCode="General">
                        <c:v>-4.8195468164794013</c:v>
                      </c:pt>
                      <c:pt idx="64" formatCode="General">
                        <c:v>-4.8387228464419483</c:v>
                      </c:pt>
                      <c:pt idx="65" formatCode="General">
                        <c:v>-4.8578988764044944</c:v>
                      </c:pt>
                      <c:pt idx="66" formatCode="General">
                        <c:v>-4.8768456928838955</c:v>
                      </c:pt>
                      <c:pt idx="67" formatCode="General">
                        <c:v>-4.8949430711610491</c:v>
                      </c:pt>
                      <c:pt idx="68" formatCode="General">
                        <c:v>-4.9130404494382027</c:v>
                      </c:pt>
                      <c:pt idx="69" formatCode="General">
                        <c:v>-4.9311378277153564</c:v>
                      </c:pt>
                      <c:pt idx="70" formatCode="General">
                        <c:v>-4.94923520599251</c:v>
                      </c:pt>
                      <c:pt idx="71" formatCode="General">
                        <c:v>-4.9673325842696627</c:v>
                      </c:pt>
                      <c:pt idx="72" formatCode="General">
                        <c:v>-4.9854299625468164</c:v>
                      </c:pt>
                      <c:pt idx="73" formatCode="General">
                        <c:v>-5.00352734082397</c:v>
                      </c:pt>
                      <c:pt idx="74" formatCode="General">
                        <c:v>-5.0216247191011236</c:v>
                      </c:pt>
                      <c:pt idx="75" formatCode="General">
                        <c:v>-5.0397220973782773</c:v>
                      </c:pt>
                      <c:pt idx="76" formatCode="General">
                        <c:v>-5.0578194756554309</c:v>
                      </c:pt>
                      <c:pt idx="77" formatCode="General">
                        <c:v>-5.0759168539325845</c:v>
                      </c:pt>
                      <c:pt idx="78" formatCode="General">
                        <c:v>-5.0940142322097381</c:v>
                      </c:pt>
                      <c:pt idx="79" formatCode="General">
                        <c:v>-5.1121116104868918</c:v>
                      </c:pt>
                      <c:pt idx="80" formatCode="General">
                        <c:v>-5.1302089887640445</c:v>
                      </c:pt>
                      <c:pt idx="81" formatCode="General">
                        <c:v>-5.1483063670411982</c:v>
                      </c:pt>
                      <c:pt idx="82" formatCode="General">
                        <c:v>-5.1664037453183518</c:v>
                      </c:pt>
                      <c:pt idx="83" formatCode="General">
                        <c:v>-5.1840538922155686</c:v>
                      </c:pt>
                      <c:pt idx="84" formatCode="General">
                        <c:v>-5.2012994011976046</c:v>
                      </c:pt>
                      <c:pt idx="85" formatCode="General">
                        <c:v>-5.2185449101796406</c:v>
                      </c:pt>
                      <c:pt idx="86" formatCode="General">
                        <c:v>-5.2357904191616766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5-022F-4A2F-976F-7C3C2CD148C5}"/>
                  </c:ext>
                </c:extLst>
              </c15:ser>
            </c15:filteredScatterSeries>
            <c15:filteredScatterSeries>
              <c15:ser>
                <c:idx val="39"/>
                <c:order val="1"/>
                <c:spPr>
                  <a:ln w="19050" cap="rnd">
                    <a:solidFill>
                      <a:srgbClr val="FF0000"/>
                    </a:solidFill>
                    <a:prstDash val="sysDash"/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306</c:v>
                      </c:pt>
                      <c:pt idx="1">
                        <c:v>314</c:v>
                      </c:pt>
                      <c:pt idx="2">
                        <c:v>322</c:v>
                      </c:pt>
                      <c:pt idx="3">
                        <c:v>330</c:v>
                      </c:pt>
                      <c:pt idx="4">
                        <c:v>338</c:v>
                      </c:pt>
                      <c:pt idx="5">
                        <c:v>346</c:v>
                      </c:pt>
                      <c:pt idx="6">
                        <c:v>354</c:v>
                      </c:pt>
                      <c:pt idx="7">
                        <c:v>362</c:v>
                      </c:pt>
                      <c:pt idx="8">
                        <c:v>370</c:v>
                      </c:pt>
                      <c:pt idx="9">
                        <c:v>378</c:v>
                      </c:pt>
                      <c:pt idx="10">
                        <c:v>386</c:v>
                      </c:pt>
                      <c:pt idx="11">
                        <c:v>394</c:v>
                      </c:pt>
                      <c:pt idx="12">
                        <c:v>402</c:v>
                      </c:pt>
                      <c:pt idx="13">
                        <c:v>410</c:v>
                      </c:pt>
                      <c:pt idx="14">
                        <c:v>418</c:v>
                      </c:pt>
                      <c:pt idx="15">
                        <c:v>426</c:v>
                      </c:pt>
                      <c:pt idx="16">
                        <c:v>434</c:v>
                      </c:pt>
                      <c:pt idx="17">
                        <c:v>442</c:v>
                      </c:pt>
                      <c:pt idx="18">
                        <c:v>450</c:v>
                      </c:pt>
                      <c:pt idx="19">
                        <c:v>458</c:v>
                      </c:pt>
                      <c:pt idx="20">
                        <c:v>466</c:v>
                      </c:pt>
                      <c:pt idx="21">
                        <c:v>474</c:v>
                      </c:pt>
                      <c:pt idx="22">
                        <c:v>482</c:v>
                      </c:pt>
                      <c:pt idx="23">
                        <c:v>490</c:v>
                      </c:pt>
                      <c:pt idx="24">
                        <c:v>498</c:v>
                      </c:pt>
                      <c:pt idx="25">
                        <c:v>506</c:v>
                      </c:pt>
                      <c:pt idx="26">
                        <c:v>514</c:v>
                      </c:pt>
                      <c:pt idx="27">
                        <c:v>522</c:v>
                      </c:pt>
                      <c:pt idx="28">
                        <c:v>530</c:v>
                      </c:pt>
                      <c:pt idx="29">
                        <c:v>538</c:v>
                      </c:pt>
                      <c:pt idx="30">
                        <c:v>546</c:v>
                      </c:pt>
                      <c:pt idx="31">
                        <c:v>554</c:v>
                      </c:pt>
                      <c:pt idx="32">
                        <c:v>562</c:v>
                      </c:pt>
                      <c:pt idx="33">
                        <c:v>570</c:v>
                      </c:pt>
                      <c:pt idx="34">
                        <c:v>578</c:v>
                      </c:pt>
                      <c:pt idx="35">
                        <c:v>586</c:v>
                      </c:pt>
                      <c:pt idx="36">
                        <c:v>594</c:v>
                      </c:pt>
                      <c:pt idx="37">
                        <c:v>602</c:v>
                      </c:pt>
                      <c:pt idx="38">
                        <c:v>610</c:v>
                      </c:pt>
                      <c:pt idx="39">
                        <c:v>618</c:v>
                      </c:pt>
                      <c:pt idx="40">
                        <c:v>626</c:v>
                      </c:pt>
                      <c:pt idx="41">
                        <c:v>634</c:v>
                      </c:pt>
                      <c:pt idx="42">
                        <c:v>642</c:v>
                      </c:pt>
                      <c:pt idx="43">
                        <c:v>650</c:v>
                      </c:pt>
                      <c:pt idx="44">
                        <c:v>658</c:v>
                      </c:pt>
                      <c:pt idx="45">
                        <c:v>666</c:v>
                      </c:pt>
                      <c:pt idx="46">
                        <c:v>674</c:v>
                      </c:pt>
                      <c:pt idx="47">
                        <c:v>682</c:v>
                      </c:pt>
                      <c:pt idx="48">
                        <c:v>690</c:v>
                      </c:pt>
                      <c:pt idx="49">
                        <c:v>698</c:v>
                      </c:pt>
                      <c:pt idx="50">
                        <c:v>706</c:v>
                      </c:pt>
                      <c:pt idx="51">
                        <c:v>714</c:v>
                      </c:pt>
                      <c:pt idx="52">
                        <c:v>722</c:v>
                      </c:pt>
                      <c:pt idx="53">
                        <c:v>730</c:v>
                      </c:pt>
                      <c:pt idx="54">
                        <c:v>738</c:v>
                      </c:pt>
                      <c:pt idx="55">
                        <c:v>746</c:v>
                      </c:pt>
                      <c:pt idx="56">
                        <c:v>754</c:v>
                      </c:pt>
                      <c:pt idx="57">
                        <c:v>762</c:v>
                      </c:pt>
                      <c:pt idx="58">
                        <c:v>770</c:v>
                      </c:pt>
                      <c:pt idx="59">
                        <c:v>778</c:v>
                      </c:pt>
                      <c:pt idx="60">
                        <c:v>786</c:v>
                      </c:pt>
                      <c:pt idx="61">
                        <c:v>794</c:v>
                      </c:pt>
                      <c:pt idx="62">
                        <c:v>802</c:v>
                      </c:pt>
                      <c:pt idx="63">
                        <c:v>810</c:v>
                      </c:pt>
                      <c:pt idx="64">
                        <c:v>818</c:v>
                      </c:pt>
                      <c:pt idx="65">
                        <c:v>826</c:v>
                      </c:pt>
                      <c:pt idx="66">
                        <c:v>834</c:v>
                      </c:pt>
                      <c:pt idx="67">
                        <c:v>842</c:v>
                      </c:pt>
                      <c:pt idx="68">
                        <c:v>850</c:v>
                      </c:pt>
                      <c:pt idx="69">
                        <c:v>858</c:v>
                      </c:pt>
                      <c:pt idx="70">
                        <c:v>866</c:v>
                      </c:pt>
                      <c:pt idx="71">
                        <c:v>874</c:v>
                      </c:pt>
                      <c:pt idx="72">
                        <c:v>882</c:v>
                      </c:pt>
                      <c:pt idx="73">
                        <c:v>890</c:v>
                      </c:pt>
                      <c:pt idx="74">
                        <c:v>898</c:v>
                      </c:pt>
                      <c:pt idx="75">
                        <c:v>906</c:v>
                      </c:pt>
                      <c:pt idx="76">
                        <c:v>914</c:v>
                      </c:pt>
                      <c:pt idx="77">
                        <c:v>922</c:v>
                      </c:pt>
                      <c:pt idx="78">
                        <c:v>930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EVALUATION!$B$102:$CP$102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-15.118108108108107</c:v>
                      </c:pt>
                      <c:pt idx="1">
                        <c:v>-14.88027027027027</c:v>
                      </c:pt>
                      <c:pt idx="2">
                        <c:v>-14.642432432432432</c:v>
                      </c:pt>
                      <c:pt idx="3">
                        <c:v>-14.404594594594593</c:v>
                      </c:pt>
                      <c:pt idx="4" formatCode="General">
                        <c:v>-13.959101796407184</c:v>
                      </c:pt>
                      <c:pt idx="5" formatCode="General">
                        <c:v>-13.46568862275449</c:v>
                      </c:pt>
                      <c:pt idx="6" formatCode="General">
                        <c:v>-12.972275449101796</c:v>
                      </c:pt>
                      <c:pt idx="7" formatCode="General">
                        <c:v>-12.478862275449101</c:v>
                      </c:pt>
                      <c:pt idx="8" formatCode="General">
                        <c:v>-11.950329341317365</c:v>
                      </c:pt>
                      <c:pt idx="9" formatCode="General">
                        <c:v>-11.40182634730539</c:v>
                      </c:pt>
                      <c:pt idx="10" formatCode="General">
                        <c:v>-10.853323353293414</c:v>
                      </c:pt>
                      <c:pt idx="11" formatCode="General">
                        <c:v>-10.304820359281438</c:v>
                      </c:pt>
                      <c:pt idx="12" formatCode="General">
                        <c:v>-9.7896616766467073</c:v>
                      </c:pt>
                      <c:pt idx="13" formatCode="General">
                        <c:v>-9.3132544910179647</c:v>
                      </c:pt>
                      <c:pt idx="14" formatCode="General">
                        <c:v>-8.836847305389222</c:v>
                      </c:pt>
                      <c:pt idx="15" formatCode="General">
                        <c:v>-8.3604401197604794</c:v>
                      </c:pt>
                      <c:pt idx="16" formatCode="General">
                        <c:v>-7.9011107784431145</c:v>
                      </c:pt>
                      <c:pt idx="17" formatCode="General">
                        <c:v>-7.4841047904191624</c:v>
                      </c:pt>
                      <c:pt idx="18" formatCode="General">
                        <c:v>-7.0670988023952104</c:v>
                      </c:pt>
                      <c:pt idx="19" formatCode="General">
                        <c:v>-6.6500928143712592</c:v>
                      </c:pt>
                      <c:pt idx="20" formatCode="General">
                        <c:v>-6.2383952095808395</c:v>
                      </c:pt>
                      <c:pt idx="21" formatCode="General">
                        <c:v>-5.8685748502994022</c:v>
                      </c:pt>
                      <c:pt idx="22" formatCode="General">
                        <c:v>-5.4987544910179649</c:v>
                      </c:pt>
                      <c:pt idx="23" formatCode="General">
                        <c:v>-5.1289341317365267</c:v>
                      </c:pt>
                      <c:pt idx="24" formatCode="General">
                        <c:v>-4.7591137724550894</c:v>
                      </c:pt>
                      <c:pt idx="25" formatCode="General">
                        <c:v>-4.6019909909909904</c:v>
                      </c:pt>
                      <c:pt idx="26" formatCode="General">
                        <c:v>-4.4590480480480474</c:v>
                      </c:pt>
                      <c:pt idx="27" formatCode="General">
                        <c:v>-4.3161051051051045</c:v>
                      </c:pt>
                      <c:pt idx="28" formatCode="General">
                        <c:v>-4.1731621621621615</c:v>
                      </c:pt>
                      <c:pt idx="29" formatCode="General">
                        <c:v>-4.1562215568862273</c:v>
                      </c:pt>
                      <c:pt idx="30" formatCode="General">
                        <c:v>-4.1758622754491022</c:v>
                      </c:pt>
                      <c:pt idx="31" formatCode="General">
                        <c:v>-4.1955029940119761</c:v>
                      </c:pt>
                      <c:pt idx="32" formatCode="General">
                        <c:v>-4.2151437125748501</c:v>
                      </c:pt>
                      <c:pt idx="33" formatCode="General">
                        <c:v>-4.2348562874251492</c:v>
                      </c:pt>
                      <c:pt idx="34" formatCode="General">
                        <c:v>-4.2546167664670653</c:v>
                      </c:pt>
                      <c:pt idx="35" formatCode="General">
                        <c:v>-4.2743772455089815</c:v>
                      </c:pt>
                      <c:pt idx="36" formatCode="General">
                        <c:v>-4.2941377245508976</c:v>
                      </c:pt>
                      <c:pt idx="37" formatCode="General">
                        <c:v>-4.3138982035928146</c:v>
                      </c:pt>
                      <c:pt idx="38" formatCode="General">
                        <c:v>-4.3336586826347308</c:v>
                      </c:pt>
                      <c:pt idx="39" formatCode="General">
                        <c:v>-4.3534191616766469</c:v>
                      </c:pt>
                      <c:pt idx="40" formatCode="General">
                        <c:v>-4.373179640718563</c:v>
                      </c:pt>
                      <c:pt idx="41" formatCode="General">
                        <c:v>-4.3929401197604792</c:v>
                      </c:pt>
                      <c:pt idx="42" formatCode="General">
                        <c:v>-4.4127005988023953</c:v>
                      </c:pt>
                      <c:pt idx="43" formatCode="General">
                        <c:v>-4.4324610778443114</c:v>
                      </c:pt>
                      <c:pt idx="44" formatCode="General">
                        <c:v>-4.4522215568862276</c:v>
                      </c:pt>
                      <c:pt idx="45" formatCode="General">
                        <c:v>-4.4719820359281437</c:v>
                      </c:pt>
                      <c:pt idx="46" formatCode="General">
                        <c:v>-4.4917425149700598</c:v>
                      </c:pt>
                      <c:pt idx="47" formatCode="General">
                        <c:v>-4.511502994011976</c:v>
                      </c:pt>
                      <c:pt idx="48" formatCode="General">
                        <c:v>-4.5312634730538921</c:v>
                      </c:pt>
                      <c:pt idx="49" formatCode="General">
                        <c:v>-4.5510239520958082</c:v>
                      </c:pt>
                      <c:pt idx="50" formatCode="General">
                        <c:v>-4.5702584269662925</c:v>
                      </c:pt>
                      <c:pt idx="51" formatCode="General">
                        <c:v>-4.5894344569288394</c:v>
                      </c:pt>
                      <c:pt idx="52" formatCode="General">
                        <c:v>-4.6086104868913855</c:v>
                      </c:pt>
                      <c:pt idx="53" formatCode="General">
                        <c:v>-4.6277865168539325</c:v>
                      </c:pt>
                      <c:pt idx="54" formatCode="General">
                        <c:v>-4.6469625468164795</c:v>
                      </c:pt>
                      <c:pt idx="55" formatCode="General">
                        <c:v>-4.6661385767790264</c:v>
                      </c:pt>
                      <c:pt idx="56" formatCode="General">
                        <c:v>-4.6853146067415734</c:v>
                      </c:pt>
                      <c:pt idx="57" formatCode="General">
                        <c:v>-4.7044906367041204</c:v>
                      </c:pt>
                      <c:pt idx="58" formatCode="General">
                        <c:v>-4.7236666666666665</c:v>
                      </c:pt>
                      <c:pt idx="59" formatCode="General">
                        <c:v>-4.7428426966292134</c:v>
                      </c:pt>
                      <c:pt idx="60" formatCode="General">
                        <c:v>-4.7620187265917604</c:v>
                      </c:pt>
                      <c:pt idx="61" formatCode="General">
                        <c:v>-4.7811947565543074</c:v>
                      </c:pt>
                      <c:pt idx="62" formatCode="General">
                        <c:v>-4.8003707865168543</c:v>
                      </c:pt>
                      <c:pt idx="63" formatCode="General">
                        <c:v>-4.8195468164794013</c:v>
                      </c:pt>
                      <c:pt idx="64" formatCode="General">
                        <c:v>-4.8387228464419483</c:v>
                      </c:pt>
                      <c:pt idx="65" formatCode="General">
                        <c:v>-4.8578988764044944</c:v>
                      </c:pt>
                      <c:pt idx="66" formatCode="General">
                        <c:v>-4.8768456928838955</c:v>
                      </c:pt>
                      <c:pt idx="67" formatCode="General">
                        <c:v>-4.8949430711610491</c:v>
                      </c:pt>
                      <c:pt idx="68" formatCode="General">
                        <c:v>-4.9130404494382027</c:v>
                      </c:pt>
                      <c:pt idx="69" formatCode="General">
                        <c:v>-4.9311378277153564</c:v>
                      </c:pt>
                      <c:pt idx="70" formatCode="General">
                        <c:v>-4.94923520599251</c:v>
                      </c:pt>
                      <c:pt idx="71" formatCode="General">
                        <c:v>-4.9673325842696627</c:v>
                      </c:pt>
                      <c:pt idx="72" formatCode="General">
                        <c:v>-4.9854299625468164</c:v>
                      </c:pt>
                      <c:pt idx="73" formatCode="General">
                        <c:v>-5.00352734082397</c:v>
                      </c:pt>
                      <c:pt idx="74" formatCode="General">
                        <c:v>-5.0216247191011236</c:v>
                      </c:pt>
                      <c:pt idx="75" formatCode="General">
                        <c:v>-5.0397220973782773</c:v>
                      </c:pt>
                      <c:pt idx="76" formatCode="General">
                        <c:v>-5.0578194756554309</c:v>
                      </c:pt>
                      <c:pt idx="77" formatCode="General">
                        <c:v>-5.0759168539325845</c:v>
                      </c:pt>
                      <c:pt idx="78" formatCode="General">
                        <c:v>-5.0940142322097381</c:v>
                      </c:pt>
                      <c:pt idx="79" formatCode="General">
                        <c:v>-5.1121116104868918</c:v>
                      </c:pt>
                      <c:pt idx="80" formatCode="General">
                        <c:v>-5.1302089887640445</c:v>
                      </c:pt>
                      <c:pt idx="81" formatCode="General">
                        <c:v>-5.1483063670411982</c:v>
                      </c:pt>
                      <c:pt idx="82" formatCode="General">
                        <c:v>-5.1664037453183518</c:v>
                      </c:pt>
                      <c:pt idx="83" formatCode="General">
                        <c:v>-5.1840538922155686</c:v>
                      </c:pt>
                      <c:pt idx="84" formatCode="General">
                        <c:v>-5.2012994011976046</c:v>
                      </c:pt>
                      <c:pt idx="85" formatCode="General">
                        <c:v>-5.2185449101796406</c:v>
                      </c:pt>
                      <c:pt idx="86" formatCode="General">
                        <c:v>-5.2357904191616766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6-022F-4A2F-976F-7C3C2CD148C5}"/>
                  </c:ext>
                </c:extLst>
              </c15:ser>
            </c15:filteredScatterSeries>
            <c15:filteredScatterSeries>
              <c15:ser>
                <c:idx val="54"/>
                <c:order val="2"/>
                <c:spPr>
                  <a:ln w="19050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none"/>
                </c:marker>
                <c:dPt>
                  <c:idx val="1"/>
                  <c:bubble3D val="0"/>
                  <c:spPr>
                    <a:ln w="19050" cap="rnd">
                      <a:solidFill>
                        <a:schemeClr val="tx1"/>
                      </a:solidFill>
                      <a:round/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08-022F-4A2F-976F-7C3C2CD148C5}"/>
                    </c:ext>
                  </c:extLst>
                </c:dPt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306</c:v>
                      </c:pt>
                      <c:pt idx="1">
                        <c:v>314</c:v>
                      </c:pt>
                      <c:pt idx="2">
                        <c:v>322</c:v>
                      </c:pt>
                      <c:pt idx="3">
                        <c:v>330</c:v>
                      </c:pt>
                      <c:pt idx="4">
                        <c:v>338</c:v>
                      </c:pt>
                      <c:pt idx="5">
                        <c:v>346</c:v>
                      </c:pt>
                      <c:pt idx="6">
                        <c:v>354</c:v>
                      </c:pt>
                      <c:pt idx="7">
                        <c:v>362</c:v>
                      </c:pt>
                      <c:pt idx="8">
                        <c:v>370</c:v>
                      </c:pt>
                      <c:pt idx="9">
                        <c:v>378</c:v>
                      </c:pt>
                      <c:pt idx="10">
                        <c:v>386</c:v>
                      </c:pt>
                      <c:pt idx="11">
                        <c:v>394</c:v>
                      </c:pt>
                      <c:pt idx="12">
                        <c:v>402</c:v>
                      </c:pt>
                      <c:pt idx="13">
                        <c:v>410</c:v>
                      </c:pt>
                      <c:pt idx="14">
                        <c:v>418</c:v>
                      </c:pt>
                      <c:pt idx="15">
                        <c:v>426</c:v>
                      </c:pt>
                      <c:pt idx="16">
                        <c:v>434</c:v>
                      </c:pt>
                      <c:pt idx="17">
                        <c:v>442</c:v>
                      </c:pt>
                      <c:pt idx="18">
                        <c:v>450</c:v>
                      </c:pt>
                      <c:pt idx="19">
                        <c:v>458</c:v>
                      </c:pt>
                      <c:pt idx="20">
                        <c:v>466</c:v>
                      </c:pt>
                      <c:pt idx="21">
                        <c:v>474</c:v>
                      </c:pt>
                      <c:pt idx="22">
                        <c:v>482</c:v>
                      </c:pt>
                      <c:pt idx="23">
                        <c:v>490</c:v>
                      </c:pt>
                      <c:pt idx="24">
                        <c:v>498</c:v>
                      </c:pt>
                      <c:pt idx="25">
                        <c:v>506</c:v>
                      </c:pt>
                      <c:pt idx="26">
                        <c:v>514</c:v>
                      </c:pt>
                      <c:pt idx="27">
                        <c:v>522</c:v>
                      </c:pt>
                      <c:pt idx="28">
                        <c:v>530</c:v>
                      </c:pt>
                      <c:pt idx="29">
                        <c:v>538</c:v>
                      </c:pt>
                      <c:pt idx="30">
                        <c:v>546</c:v>
                      </c:pt>
                      <c:pt idx="31">
                        <c:v>554</c:v>
                      </c:pt>
                      <c:pt idx="32">
                        <c:v>562</c:v>
                      </c:pt>
                      <c:pt idx="33">
                        <c:v>570</c:v>
                      </c:pt>
                      <c:pt idx="34">
                        <c:v>578</c:v>
                      </c:pt>
                      <c:pt idx="35">
                        <c:v>586</c:v>
                      </c:pt>
                      <c:pt idx="36">
                        <c:v>594</c:v>
                      </c:pt>
                      <c:pt idx="37">
                        <c:v>602</c:v>
                      </c:pt>
                      <c:pt idx="38">
                        <c:v>610</c:v>
                      </c:pt>
                      <c:pt idx="39">
                        <c:v>618</c:v>
                      </c:pt>
                      <c:pt idx="40">
                        <c:v>626</c:v>
                      </c:pt>
                      <c:pt idx="41">
                        <c:v>634</c:v>
                      </c:pt>
                      <c:pt idx="42">
                        <c:v>642</c:v>
                      </c:pt>
                      <c:pt idx="43">
                        <c:v>650</c:v>
                      </c:pt>
                      <c:pt idx="44">
                        <c:v>658</c:v>
                      </c:pt>
                      <c:pt idx="45">
                        <c:v>666</c:v>
                      </c:pt>
                      <c:pt idx="46">
                        <c:v>674</c:v>
                      </c:pt>
                      <c:pt idx="47">
                        <c:v>682</c:v>
                      </c:pt>
                      <c:pt idx="48">
                        <c:v>690</c:v>
                      </c:pt>
                      <c:pt idx="49">
                        <c:v>698</c:v>
                      </c:pt>
                      <c:pt idx="50">
                        <c:v>706</c:v>
                      </c:pt>
                      <c:pt idx="51">
                        <c:v>714</c:v>
                      </c:pt>
                      <c:pt idx="52">
                        <c:v>722</c:v>
                      </c:pt>
                      <c:pt idx="53">
                        <c:v>730</c:v>
                      </c:pt>
                      <c:pt idx="54">
                        <c:v>738</c:v>
                      </c:pt>
                      <c:pt idx="55">
                        <c:v>746</c:v>
                      </c:pt>
                      <c:pt idx="56">
                        <c:v>754</c:v>
                      </c:pt>
                      <c:pt idx="57">
                        <c:v>762</c:v>
                      </c:pt>
                      <c:pt idx="58">
                        <c:v>770</c:v>
                      </c:pt>
                      <c:pt idx="59">
                        <c:v>778</c:v>
                      </c:pt>
                      <c:pt idx="60">
                        <c:v>786</c:v>
                      </c:pt>
                      <c:pt idx="61">
                        <c:v>794</c:v>
                      </c:pt>
                      <c:pt idx="62">
                        <c:v>802</c:v>
                      </c:pt>
                      <c:pt idx="63">
                        <c:v>810</c:v>
                      </c:pt>
                      <c:pt idx="64">
                        <c:v>818</c:v>
                      </c:pt>
                      <c:pt idx="65">
                        <c:v>826</c:v>
                      </c:pt>
                      <c:pt idx="66">
                        <c:v>834</c:v>
                      </c:pt>
                      <c:pt idx="67">
                        <c:v>842</c:v>
                      </c:pt>
                      <c:pt idx="68">
                        <c:v>850</c:v>
                      </c:pt>
                      <c:pt idx="69">
                        <c:v>858</c:v>
                      </c:pt>
                      <c:pt idx="70">
                        <c:v>866</c:v>
                      </c:pt>
                      <c:pt idx="71">
                        <c:v>874</c:v>
                      </c:pt>
                      <c:pt idx="72">
                        <c:v>882</c:v>
                      </c:pt>
                      <c:pt idx="73">
                        <c:v>890</c:v>
                      </c:pt>
                      <c:pt idx="74">
                        <c:v>898</c:v>
                      </c:pt>
                      <c:pt idx="75">
                        <c:v>906</c:v>
                      </c:pt>
                      <c:pt idx="76">
                        <c:v>914</c:v>
                      </c:pt>
                      <c:pt idx="77">
                        <c:v>922</c:v>
                      </c:pt>
                      <c:pt idx="78">
                        <c:v>930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EVALUATION!$B$103:$CP$103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-36.591171171171169</c:v>
                      </c:pt>
                      <c:pt idx="1">
                        <c:v>-35.925705705705703</c:v>
                      </c:pt>
                      <c:pt idx="2">
                        <c:v>-35.260240240240236</c:v>
                      </c:pt>
                      <c:pt idx="3">
                        <c:v>-34.594774774774777</c:v>
                      </c:pt>
                      <c:pt idx="4" formatCode="General">
                        <c:v>-34.041856287425148</c:v>
                      </c:pt>
                      <c:pt idx="5" formatCode="General">
                        <c:v>-33.514910179640715</c:v>
                      </c:pt>
                      <c:pt idx="6" formatCode="General">
                        <c:v>-32.987964071856283</c:v>
                      </c:pt>
                      <c:pt idx="7" formatCode="General">
                        <c:v>-32.46101796407185</c:v>
                      </c:pt>
                      <c:pt idx="8" formatCode="General">
                        <c:v>-31.996676646706582</c:v>
                      </c:pt>
                      <c:pt idx="9" formatCode="General">
                        <c:v>-31.567934131736521</c:v>
                      </c:pt>
                      <c:pt idx="10" formatCode="General">
                        <c:v>-31.139191616766464</c:v>
                      </c:pt>
                      <c:pt idx="11" formatCode="General">
                        <c:v>-30.710449101796403</c:v>
                      </c:pt>
                      <c:pt idx="12" formatCode="General">
                        <c:v>-30.316158682634729</c:v>
                      </c:pt>
                      <c:pt idx="13" formatCode="General">
                        <c:v>-29.961907185628743</c:v>
                      </c:pt>
                      <c:pt idx="14" formatCode="General">
                        <c:v>-29.607655688622753</c:v>
                      </c:pt>
                      <c:pt idx="15" formatCode="General">
                        <c:v>-29.253404191616767</c:v>
                      </c:pt>
                      <c:pt idx="16" formatCode="General">
                        <c:v>-28.916230538922157</c:v>
                      </c:pt>
                      <c:pt idx="17" formatCode="General">
                        <c:v>-28.62138023952096</c:v>
                      </c:pt>
                      <c:pt idx="18" formatCode="General">
                        <c:v>-28.326529940119762</c:v>
                      </c:pt>
                      <c:pt idx="19" formatCode="General">
                        <c:v>-28.031679640718565</c:v>
                      </c:pt>
                      <c:pt idx="20" formatCode="General">
                        <c:v>-27.742407185628743</c:v>
                      </c:pt>
                      <c:pt idx="21" formatCode="General">
                        <c:v>-27.4971377245509</c:v>
                      </c:pt>
                      <c:pt idx="22" formatCode="General">
                        <c:v>-27.251868263473057</c:v>
                      </c:pt>
                      <c:pt idx="23" formatCode="General">
                        <c:v>-27.00659880239521</c:v>
                      </c:pt>
                      <c:pt idx="24" formatCode="General">
                        <c:v>-26.761329341317367</c:v>
                      </c:pt>
                      <c:pt idx="25" formatCode="General">
                        <c:v>-26.724603603603605</c:v>
                      </c:pt>
                      <c:pt idx="26" formatCode="General">
                        <c:v>-26.701780780780783</c:v>
                      </c:pt>
                      <c:pt idx="27" formatCode="General">
                        <c:v>-26.678957957957962</c:v>
                      </c:pt>
                      <c:pt idx="28" formatCode="General">
                        <c:v>-26.656135135135138</c:v>
                      </c:pt>
                      <c:pt idx="29" formatCode="General">
                        <c:v>-26.760892215568866</c:v>
                      </c:pt>
                      <c:pt idx="30" formatCode="General">
                        <c:v>-26.902688622754493</c:v>
                      </c:pt>
                      <c:pt idx="31" formatCode="General">
                        <c:v>-27.04448502994012</c:v>
                      </c:pt>
                      <c:pt idx="32" formatCode="General">
                        <c:v>-27.186281437125746</c:v>
                      </c:pt>
                      <c:pt idx="33" formatCode="General">
                        <c:v>-27.324556886227544</c:v>
                      </c:pt>
                      <c:pt idx="34" formatCode="General">
                        <c:v>-27.460485029940116</c:v>
                      </c:pt>
                      <c:pt idx="35" formatCode="General">
                        <c:v>-27.596413173652692</c:v>
                      </c:pt>
                      <c:pt idx="36" formatCode="General">
                        <c:v>-27.732341317365268</c:v>
                      </c:pt>
                      <c:pt idx="37" formatCode="General">
                        <c:v>-27.868269461077844</c:v>
                      </c:pt>
                      <c:pt idx="38" formatCode="General">
                        <c:v>-28.00419760479042</c:v>
                      </c:pt>
                      <c:pt idx="39" formatCode="General">
                        <c:v>-28.140125748502992</c:v>
                      </c:pt>
                      <c:pt idx="40" formatCode="General">
                        <c:v>-28.276053892215568</c:v>
                      </c:pt>
                      <c:pt idx="41" formatCode="General">
                        <c:v>-28.411982035928144</c:v>
                      </c:pt>
                      <c:pt idx="42" formatCode="General">
                        <c:v>-28.54791017964072</c:v>
                      </c:pt>
                      <c:pt idx="43" formatCode="General">
                        <c:v>-28.683838323353296</c:v>
                      </c:pt>
                      <c:pt idx="44" formatCode="General">
                        <c:v>-28.819766467065868</c:v>
                      </c:pt>
                      <c:pt idx="45" formatCode="General">
                        <c:v>-28.955694610778444</c:v>
                      </c:pt>
                      <c:pt idx="46" formatCode="General">
                        <c:v>-29.09162275449102</c:v>
                      </c:pt>
                      <c:pt idx="47" formatCode="General">
                        <c:v>-29.227550898203596</c:v>
                      </c:pt>
                      <c:pt idx="48" formatCode="General">
                        <c:v>-29.363479041916172</c:v>
                      </c:pt>
                      <c:pt idx="49" formatCode="General">
                        <c:v>-29.499407185628744</c:v>
                      </c:pt>
                      <c:pt idx="50" formatCode="General">
                        <c:v>-29.627876404494383</c:v>
                      </c:pt>
                      <c:pt idx="51" formatCode="General">
                        <c:v>-29.755516853932587</c:v>
                      </c:pt>
                      <c:pt idx="52" formatCode="General">
                        <c:v>-29.88315730337079</c:v>
                      </c:pt>
                      <c:pt idx="53" formatCode="General">
                        <c:v>-30.01079775280899</c:v>
                      </c:pt>
                      <c:pt idx="54" formatCode="General">
                        <c:v>-30.138438202247194</c:v>
                      </c:pt>
                      <c:pt idx="55" formatCode="General">
                        <c:v>-30.266078651685394</c:v>
                      </c:pt>
                      <c:pt idx="56" formatCode="General">
                        <c:v>-30.393719101123597</c:v>
                      </c:pt>
                      <c:pt idx="57" formatCode="General">
                        <c:v>-30.521359550561801</c:v>
                      </c:pt>
                      <c:pt idx="58" formatCode="General">
                        <c:v>-30.649000000000001</c:v>
                      </c:pt>
                      <c:pt idx="59" formatCode="General">
                        <c:v>-30.776640449438204</c:v>
                      </c:pt>
                      <c:pt idx="60" formatCode="General">
                        <c:v>-30.904280898876408</c:v>
                      </c:pt>
                      <c:pt idx="61" formatCode="General">
                        <c:v>-31.031921348314608</c:v>
                      </c:pt>
                      <c:pt idx="62" formatCode="General">
                        <c:v>-31.159561797752811</c:v>
                      </c:pt>
                      <c:pt idx="63" formatCode="General">
                        <c:v>-31.287202247191011</c:v>
                      </c:pt>
                      <c:pt idx="64" formatCode="General">
                        <c:v>-31.414842696629215</c:v>
                      </c:pt>
                      <c:pt idx="65" formatCode="General">
                        <c:v>-31.542483146067418</c:v>
                      </c:pt>
                      <c:pt idx="66" formatCode="General">
                        <c:v>-31.668748314606741</c:v>
                      </c:pt>
                      <c:pt idx="67" formatCode="General">
                        <c:v>-31.789916853932585</c:v>
                      </c:pt>
                      <c:pt idx="68" formatCode="General">
                        <c:v>-31.911085393258428</c:v>
                      </c:pt>
                      <c:pt idx="69" formatCode="General">
                        <c:v>-32.032253932584268</c:v>
                      </c:pt>
                      <c:pt idx="70" formatCode="General">
                        <c:v>-32.153422471910112</c:v>
                      </c:pt>
                      <c:pt idx="71" formatCode="General">
                        <c:v>-32.274591011235955</c:v>
                      </c:pt>
                      <c:pt idx="72" formatCode="General">
                        <c:v>-32.395759550561799</c:v>
                      </c:pt>
                      <c:pt idx="73" formatCode="General">
                        <c:v>-32.516928089887642</c:v>
                      </c:pt>
                      <c:pt idx="74" formatCode="General">
                        <c:v>-32.638096629213486</c:v>
                      </c:pt>
                      <c:pt idx="75" formatCode="General">
                        <c:v>-32.759265168539329</c:v>
                      </c:pt>
                      <c:pt idx="76" formatCode="General">
                        <c:v>-32.880433707865166</c:v>
                      </c:pt>
                      <c:pt idx="77" formatCode="General">
                        <c:v>-33.001602247191009</c:v>
                      </c:pt>
                      <c:pt idx="78" formatCode="General">
                        <c:v>-33.122770786516853</c:v>
                      </c:pt>
                      <c:pt idx="79" formatCode="General">
                        <c:v>-33.243939325842696</c:v>
                      </c:pt>
                      <c:pt idx="80" formatCode="General">
                        <c:v>-33.36510786516854</c:v>
                      </c:pt>
                      <c:pt idx="81" formatCode="General">
                        <c:v>-33.486276404494383</c:v>
                      </c:pt>
                      <c:pt idx="82" formatCode="General">
                        <c:v>-33.607444943820227</c:v>
                      </c:pt>
                      <c:pt idx="83" formatCode="General">
                        <c:v>-33.725610778443112</c:v>
                      </c:pt>
                      <c:pt idx="84" formatCode="General">
                        <c:v>-33.84105988023952</c:v>
                      </c:pt>
                      <c:pt idx="85" formatCode="General">
                        <c:v>-33.956508982035928</c:v>
                      </c:pt>
                      <c:pt idx="86" formatCode="General">
                        <c:v>-34.071958083832335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022F-4A2F-976F-7C3C2CD148C5}"/>
                  </c:ext>
                </c:extLst>
              </c15:ser>
            </c15:filteredScatterSeries>
            <c15:filteredScatterSeries>
              <c15:ser>
                <c:idx val="1"/>
                <c:order val="3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306</c:v>
                      </c:pt>
                      <c:pt idx="1">
                        <c:v>314</c:v>
                      </c:pt>
                      <c:pt idx="2">
                        <c:v>322</c:v>
                      </c:pt>
                      <c:pt idx="3">
                        <c:v>330</c:v>
                      </c:pt>
                      <c:pt idx="4">
                        <c:v>338</c:v>
                      </c:pt>
                      <c:pt idx="5">
                        <c:v>346</c:v>
                      </c:pt>
                      <c:pt idx="6">
                        <c:v>354</c:v>
                      </c:pt>
                      <c:pt idx="7">
                        <c:v>362</c:v>
                      </c:pt>
                      <c:pt idx="8">
                        <c:v>370</c:v>
                      </c:pt>
                      <c:pt idx="9">
                        <c:v>378</c:v>
                      </c:pt>
                      <c:pt idx="10">
                        <c:v>386</c:v>
                      </c:pt>
                      <c:pt idx="11">
                        <c:v>394</c:v>
                      </c:pt>
                      <c:pt idx="12">
                        <c:v>402</c:v>
                      </c:pt>
                      <c:pt idx="13">
                        <c:v>410</c:v>
                      </c:pt>
                      <c:pt idx="14">
                        <c:v>418</c:v>
                      </c:pt>
                      <c:pt idx="15">
                        <c:v>426</c:v>
                      </c:pt>
                      <c:pt idx="16">
                        <c:v>434</c:v>
                      </c:pt>
                      <c:pt idx="17">
                        <c:v>442</c:v>
                      </c:pt>
                      <c:pt idx="18">
                        <c:v>450</c:v>
                      </c:pt>
                      <c:pt idx="19">
                        <c:v>458</c:v>
                      </c:pt>
                      <c:pt idx="20">
                        <c:v>466</c:v>
                      </c:pt>
                      <c:pt idx="21">
                        <c:v>474</c:v>
                      </c:pt>
                      <c:pt idx="22">
                        <c:v>482</c:v>
                      </c:pt>
                      <c:pt idx="23">
                        <c:v>490</c:v>
                      </c:pt>
                      <c:pt idx="24">
                        <c:v>498</c:v>
                      </c:pt>
                      <c:pt idx="25">
                        <c:v>506</c:v>
                      </c:pt>
                      <c:pt idx="26">
                        <c:v>514</c:v>
                      </c:pt>
                      <c:pt idx="27">
                        <c:v>522</c:v>
                      </c:pt>
                      <c:pt idx="28">
                        <c:v>530</c:v>
                      </c:pt>
                      <c:pt idx="29">
                        <c:v>538</c:v>
                      </c:pt>
                      <c:pt idx="30">
                        <c:v>546</c:v>
                      </c:pt>
                      <c:pt idx="31">
                        <c:v>554</c:v>
                      </c:pt>
                      <c:pt idx="32">
                        <c:v>562</c:v>
                      </c:pt>
                      <c:pt idx="33">
                        <c:v>570</c:v>
                      </c:pt>
                      <c:pt idx="34">
                        <c:v>578</c:v>
                      </c:pt>
                      <c:pt idx="35">
                        <c:v>586</c:v>
                      </c:pt>
                      <c:pt idx="36">
                        <c:v>594</c:v>
                      </c:pt>
                      <c:pt idx="37">
                        <c:v>602</c:v>
                      </c:pt>
                      <c:pt idx="38">
                        <c:v>610</c:v>
                      </c:pt>
                      <c:pt idx="39">
                        <c:v>618</c:v>
                      </c:pt>
                      <c:pt idx="40">
                        <c:v>626</c:v>
                      </c:pt>
                      <c:pt idx="41">
                        <c:v>634</c:v>
                      </c:pt>
                      <c:pt idx="42">
                        <c:v>642</c:v>
                      </c:pt>
                      <c:pt idx="43">
                        <c:v>650</c:v>
                      </c:pt>
                      <c:pt idx="44">
                        <c:v>658</c:v>
                      </c:pt>
                      <c:pt idx="45">
                        <c:v>666</c:v>
                      </c:pt>
                      <c:pt idx="46">
                        <c:v>674</c:v>
                      </c:pt>
                      <c:pt idx="47">
                        <c:v>682</c:v>
                      </c:pt>
                      <c:pt idx="48">
                        <c:v>690</c:v>
                      </c:pt>
                      <c:pt idx="49">
                        <c:v>698</c:v>
                      </c:pt>
                      <c:pt idx="50">
                        <c:v>706</c:v>
                      </c:pt>
                      <c:pt idx="51">
                        <c:v>714</c:v>
                      </c:pt>
                      <c:pt idx="52">
                        <c:v>722</c:v>
                      </c:pt>
                      <c:pt idx="53">
                        <c:v>730</c:v>
                      </c:pt>
                      <c:pt idx="54">
                        <c:v>738</c:v>
                      </c:pt>
                      <c:pt idx="55">
                        <c:v>746</c:v>
                      </c:pt>
                      <c:pt idx="56">
                        <c:v>754</c:v>
                      </c:pt>
                      <c:pt idx="57">
                        <c:v>762</c:v>
                      </c:pt>
                      <c:pt idx="58">
                        <c:v>770</c:v>
                      </c:pt>
                      <c:pt idx="59">
                        <c:v>778</c:v>
                      </c:pt>
                      <c:pt idx="60">
                        <c:v>786</c:v>
                      </c:pt>
                      <c:pt idx="61">
                        <c:v>794</c:v>
                      </c:pt>
                      <c:pt idx="62">
                        <c:v>802</c:v>
                      </c:pt>
                      <c:pt idx="63">
                        <c:v>810</c:v>
                      </c:pt>
                      <c:pt idx="64">
                        <c:v>818</c:v>
                      </c:pt>
                      <c:pt idx="65">
                        <c:v>826</c:v>
                      </c:pt>
                      <c:pt idx="66">
                        <c:v>834</c:v>
                      </c:pt>
                      <c:pt idx="67">
                        <c:v>842</c:v>
                      </c:pt>
                      <c:pt idx="68">
                        <c:v>850</c:v>
                      </c:pt>
                      <c:pt idx="69">
                        <c:v>858</c:v>
                      </c:pt>
                      <c:pt idx="70">
                        <c:v>866</c:v>
                      </c:pt>
                      <c:pt idx="71">
                        <c:v>874</c:v>
                      </c:pt>
                      <c:pt idx="72">
                        <c:v>882</c:v>
                      </c:pt>
                      <c:pt idx="73">
                        <c:v>890</c:v>
                      </c:pt>
                      <c:pt idx="74">
                        <c:v>898</c:v>
                      </c:pt>
                      <c:pt idx="75">
                        <c:v>906</c:v>
                      </c:pt>
                      <c:pt idx="76">
                        <c:v>914</c:v>
                      </c:pt>
                      <c:pt idx="77">
                        <c:v>922</c:v>
                      </c:pt>
                      <c:pt idx="78">
                        <c:v>930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EVALUATION!$B$104:$CP$104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-59.678288288288286</c:v>
                      </c:pt>
                      <c:pt idx="1">
                        <c:v>-58.332942942942942</c:v>
                      </c:pt>
                      <c:pt idx="2">
                        <c:v>-56.987597597597599</c:v>
                      </c:pt>
                      <c:pt idx="3">
                        <c:v>-55.642252252252256</c:v>
                      </c:pt>
                      <c:pt idx="4" formatCode="General">
                        <c:v>-54.130868263473054</c:v>
                      </c:pt>
                      <c:pt idx="5" formatCode="General">
                        <c:v>-52.581167664670659</c:v>
                      </c:pt>
                      <c:pt idx="6" formatCode="General">
                        <c:v>-51.031467065868263</c:v>
                      </c:pt>
                      <c:pt idx="7" formatCode="General">
                        <c:v>-49.481766467065867</c:v>
                      </c:pt>
                      <c:pt idx="8" formatCode="General">
                        <c:v>-47.964131736526944</c:v>
                      </c:pt>
                      <c:pt idx="9" formatCode="General">
                        <c:v>-46.464730538922154</c:v>
                      </c:pt>
                      <c:pt idx="10" formatCode="General">
                        <c:v>-44.965329341317364</c:v>
                      </c:pt>
                      <c:pt idx="11" formatCode="General">
                        <c:v>-43.465928143712574</c:v>
                      </c:pt>
                      <c:pt idx="12" formatCode="General">
                        <c:v>-42.064011976047901</c:v>
                      </c:pt>
                      <c:pt idx="13" formatCode="General">
                        <c:v>-40.775389221556885</c:v>
                      </c:pt>
                      <c:pt idx="14" formatCode="General">
                        <c:v>-39.48676646706587</c:v>
                      </c:pt>
                      <c:pt idx="15" formatCode="General">
                        <c:v>-38.198143712574847</c:v>
                      </c:pt>
                      <c:pt idx="16" formatCode="General">
                        <c:v>-36.957724550898206</c:v>
                      </c:pt>
                      <c:pt idx="17" formatCode="General">
                        <c:v>-35.836766467065871</c:v>
                      </c:pt>
                      <c:pt idx="18" formatCode="General">
                        <c:v>-34.715808383233536</c:v>
                      </c:pt>
                      <c:pt idx="19" formatCode="General">
                        <c:v>-33.594850299401202</c:v>
                      </c:pt>
                      <c:pt idx="20" formatCode="General">
                        <c:v>-32.488982035928146</c:v>
                      </c:pt>
                      <c:pt idx="21" formatCode="General">
                        <c:v>-31.502155688622757</c:v>
                      </c:pt>
                      <c:pt idx="22" formatCode="General">
                        <c:v>-30.515329341317369</c:v>
                      </c:pt>
                      <c:pt idx="23" formatCode="General">
                        <c:v>-29.528502994011976</c:v>
                      </c:pt>
                      <c:pt idx="24" formatCode="General">
                        <c:v>-28.541676646706588</c:v>
                      </c:pt>
                      <c:pt idx="25" formatCode="General">
                        <c:v>-27.788558558558559</c:v>
                      </c:pt>
                      <c:pt idx="26" formatCode="General">
                        <c:v>-27.051021021021018</c:v>
                      </c:pt>
                      <c:pt idx="27" formatCode="General">
                        <c:v>-26.313483483483481</c:v>
                      </c:pt>
                      <c:pt idx="28" formatCode="General">
                        <c:v>-25.575945945945943</c:v>
                      </c:pt>
                      <c:pt idx="29" formatCode="General">
                        <c:v>-25.655029940119761</c:v>
                      </c:pt>
                      <c:pt idx="30" formatCode="General">
                        <c:v>-25.971197604790419</c:v>
                      </c:pt>
                      <c:pt idx="31" formatCode="General">
                        <c:v>-26.287365269461077</c:v>
                      </c:pt>
                      <c:pt idx="32" formatCode="General">
                        <c:v>-26.603532934131735</c:v>
                      </c:pt>
                      <c:pt idx="33" formatCode="General">
                        <c:v>-26.911437125748503</c:v>
                      </c:pt>
                      <c:pt idx="34" formatCode="General">
                        <c:v>-27.213832335329339</c:v>
                      </c:pt>
                      <c:pt idx="35" formatCode="General">
                        <c:v>-27.51622754491018</c:v>
                      </c:pt>
                      <c:pt idx="36" formatCode="General">
                        <c:v>-27.818622754491017</c:v>
                      </c:pt>
                      <c:pt idx="37" formatCode="General">
                        <c:v>-28.121017964071857</c:v>
                      </c:pt>
                      <c:pt idx="38" formatCode="General">
                        <c:v>-28.423413173652694</c:v>
                      </c:pt>
                      <c:pt idx="39" formatCode="General">
                        <c:v>-28.725808383233534</c:v>
                      </c:pt>
                      <c:pt idx="40" formatCode="General">
                        <c:v>-29.028203592814371</c:v>
                      </c:pt>
                      <c:pt idx="41" formatCode="General">
                        <c:v>-29.330598802395212</c:v>
                      </c:pt>
                      <c:pt idx="42" formatCode="General">
                        <c:v>-29.632994011976049</c:v>
                      </c:pt>
                      <c:pt idx="43" formatCode="General">
                        <c:v>-29.935389221556889</c:v>
                      </c:pt>
                      <c:pt idx="44" formatCode="General">
                        <c:v>-30.237784431137726</c:v>
                      </c:pt>
                      <c:pt idx="45" formatCode="General">
                        <c:v>-30.540179640718566</c:v>
                      </c:pt>
                      <c:pt idx="46" formatCode="General">
                        <c:v>-30.842574850299403</c:v>
                      </c:pt>
                      <c:pt idx="47" formatCode="General">
                        <c:v>-31.144970059880244</c:v>
                      </c:pt>
                      <c:pt idx="48" formatCode="General">
                        <c:v>-31.447365269461081</c:v>
                      </c:pt>
                      <c:pt idx="49" formatCode="General">
                        <c:v>-31.749760479041917</c:v>
                      </c:pt>
                      <c:pt idx="50" formatCode="General">
                        <c:v>-32.022696629213485</c:v>
                      </c:pt>
                      <c:pt idx="51" formatCode="General">
                        <c:v>-32.292359550561798</c:v>
                      </c:pt>
                      <c:pt idx="52" formatCode="General">
                        <c:v>-32.562022471910112</c:v>
                      </c:pt>
                      <c:pt idx="53" formatCode="General">
                        <c:v>-32.831685393258432</c:v>
                      </c:pt>
                      <c:pt idx="54" formatCode="General">
                        <c:v>-33.101348314606746</c:v>
                      </c:pt>
                      <c:pt idx="55" formatCode="General">
                        <c:v>-33.371011235955059</c:v>
                      </c:pt>
                      <c:pt idx="56" formatCode="General">
                        <c:v>-33.640674157303373</c:v>
                      </c:pt>
                      <c:pt idx="57" formatCode="General">
                        <c:v>-33.910337078651686</c:v>
                      </c:pt>
                      <c:pt idx="58" formatCode="General">
                        <c:v>-34.18</c:v>
                      </c:pt>
                      <c:pt idx="59" formatCode="General">
                        <c:v>-34.44966292134832</c:v>
                      </c:pt>
                      <c:pt idx="60" formatCode="General">
                        <c:v>-34.719325842696634</c:v>
                      </c:pt>
                      <c:pt idx="61" formatCode="General">
                        <c:v>-34.988988764044947</c:v>
                      </c:pt>
                      <c:pt idx="62" formatCode="General">
                        <c:v>-35.258651685393261</c:v>
                      </c:pt>
                      <c:pt idx="63" formatCode="General">
                        <c:v>-35.528314606741574</c:v>
                      </c:pt>
                      <c:pt idx="64" formatCode="General">
                        <c:v>-35.797977528089888</c:v>
                      </c:pt>
                      <c:pt idx="65" formatCode="General">
                        <c:v>-36.067640449438201</c:v>
                      </c:pt>
                      <c:pt idx="66" formatCode="General">
                        <c:v>-36.328007490636708</c:v>
                      </c:pt>
                      <c:pt idx="67" formatCode="General">
                        <c:v>-36.553925093632962</c:v>
                      </c:pt>
                      <c:pt idx="68" formatCode="General">
                        <c:v>-36.779842696629217</c:v>
                      </c:pt>
                      <c:pt idx="69" formatCode="General">
                        <c:v>-37.005760299625472</c:v>
                      </c:pt>
                      <c:pt idx="70" formatCode="General">
                        <c:v>-37.231677902621726</c:v>
                      </c:pt>
                      <c:pt idx="71" formatCode="General">
                        <c:v>-37.457595505617981</c:v>
                      </c:pt>
                      <c:pt idx="72" formatCode="General">
                        <c:v>-37.683513108614235</c:v>
                      </c:pt>
                      <c:pt idx="73" formatCode="General">
                        <c:v>-37.90943071161049</c:v>
                      </c:pt>
                      <c:pt idx="74" formatCode="General">
                        <c:v>-38.135348314606745</c:v>
                      </c:pt>
                      <c:pt idx="75" formatCode="General">
                        <c:v>-38.361265917602999</c:v>
                      </c:pt>
                      <c:pt idx="76" formatCode="General">
                        <c:v>-38.587183520599254</c:v>
                      </c:pt>
                      <c:pt idx="77" formatCode="General">
                        <c:v>-38.813101123595509</c:v>
                      </c:pt>
                      <c:pt idx="78" formatCode="General">
                        <c:v>-39.039018726591763</c:v>
                      </c:pt>
                      <c:pt idx="79" formatCode="General">
                        <c:v>-39.264936329588011</c:v>
                      </c:pt>
                      <c:pt idx="80" formatCode="General">
                        <c:v>-39.490853932584265</c:v>
                      </c:pt>
                      <c:pt idx="81" formatCode="General">
                        <c:v>-39.71677153558052</c:v>
                      </c:pt>
                      <c:pt idx="82" formatCode="General">
                        <c:v>-39.942689138576775</c:v>
                      </c:pt>
                      <c:pt idx="83" formatCode="General">
                        <c:v>-40.151856287425147</c:v>
                      </c:pt>
                      <c:pt idx="84" formatCode="General">
                        <c:v>-40.345868263473051</c:v>
                      </c:pt>
                      <c:pt idx="85" formatCode="General">
                        <c:v>-40.539880239520954</c:v>
                      </c:pt>
                      <c:pt idx="86" formatCode="General">
                        <c:v>-40.733892215568858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A-022F-4A2F-976F-7C3C2CD148C5}"/>
                  </c:ext>
                </c:extLst>
              </c15:ser>
            </c15:filteredScatterSeries>
            <c15:filteredScatterSeries>
              <c15:ser>
                <c:idx val="2"/>
                <c:order val="4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306</c:v>
                      </c:pt>
                      <c:pt idx="1">
                        <c:v>314</c:v>
                      </c:pt>
                      <c:pt idx="2">
                        <c:v>322</c:v>
                      </c:pt>
                      <c:pt idx="3">
                        <c:v>330</c:v>
                      </c:pt>
                      <c:pt idx="4">
                        <c:v>338</c:v>
                      </c:pt>
                      <c:pt idx="5">
                        <c:v>346</c:v>
                      </c:pt>
                      <c:pt idx="6">
                        <c:v>354</c:v>
                      </c:pt>
                      <c:pt idx="7">
                        <c:v>362</c:v>
                      </c:pt>
                      <c:pt idx="8">
                        <c:v>370</c:v>
                      </c:pt>
                      <c:pt idx="9">
                        <c:v>378</c:v>
                      </c:pt>
                      <c:pt idx="10">
                        <c:v>386</c:v>
                      </c:pt>
                      <c:pt idx="11">
                        <c:v>394</c:v>
                      </c:pt>
                      <c:pt idx="12">
                        <c:v>402</c:v>
                      </c:pt>
                      <c:pt idx="13">
                        <c:v>410</c:v>
                      </c:pt>
                      <c:pt idx="14">
                        <c:v>418</c:v>
                      </c:pt>
                      <c:pt idx="15">
                        <c:v>426</c:v>
                      </c:pt>
                      <c:pt idx="16">
                        <c:v>434</c:v>
                      </c:pt>
                      <c:pt idx="17">
                        <c:v>442</c:v>
                      </c:pt>
                      <c:pt idx="18">
                        <c:v>450</c:v>
                      </c:pt>
                      <c:pt idx="19">
                        <c:v>458</c:v>
                      </c:pt>
                      <c:pt idx="20">
                        <c:v>466</c:v>
                      </c:pt>
                      <c:pt idx="21">
                        <c:v>474</c:v>
                      </c:pt>
                      <c:pt idx="22">
                        <c:v>482</c:v>
                      </c:pt>
                      <c:pt idx="23">
                        <c:v>490</c:v>
                      </c:pt>
                      <c:pt idx="24">
                        <c:v>498</c:v>
                      </c:pt>
                      <c:pt idx="25">
                        <c:v>506</c:v>
                      </c:pt>
                      <c:pt idx="26">
                        <c:v>514</c:v>
                      </c:pt>
                      <c:pt idx="27">
                        <c:v>522</c:v>
                      </c:pt>
                      <c:pt idx="28">
                        <c:v>530</c:v>
                      </c:pt>
                      <c:pt idx="29">
                        <c:v>538</c:v>
                      </c:pt>
                      <c:pt idx="30">
                        <c:v>546</c:v>
                      </c:pt>
                      <c:pt idx="31">
                        <c:v>554</c:v>
                      </c:pt>
                      <c:pt idx="32">
                        <c:v>562</c:v>
                      </c:pt>
                      <c:pt idx="33">
                        <c:v>570</c:v>
                      </c:pt>
                      <c:pt idx="34">
                        <c:v>578</c:v>
                      </c:pt>
                      <c:pt idx="35">
                        <c:v>586</c:v>
                      </c:pt>
                      <c:pt idx="36">
                        <c:v>594</c:v>
                      </c:pt>
                      <c:pt idx="37">
                        <c:v>602</c:v>
                      </c:pt>
                      <c:pt idx="38">
                        <c:v>610</c:v>
                      </c:pt>
                      <c:pt idx="39">
                        <c:v>618</c:v>
                      </c:pt>
                      <c:pt idx="40">
                        <c:v>626</c:v>
                      </c:pt>
                      <c:pt idx="41">
                        <c:v>634</c:v>
                      </c:pt>
                      <c:pt idx="42">
                        <c:v>642</c:v>
                      </c:pt>
                      <c:pt idx="43">
                        <c:v>650</c:v>
                      </c:pt>
                      <c:pt idx="44">
                        <c:v>658</c:v>
                      </c:pt>
                      <c:pt idx="45">
                        <c:v>666</c:v>
                      </c:pt>
                      <c:pt idx="46">
                        <c:v>674</c:v>
                      </c:pt>
                      <c:pt idx="47">
                        <c:v>682</c:v>
                      </c:pt>
                      <c:pt idx="48">
                        <c:v>690</c:v>
                      </c:pt>
                      <c:pt idx="49">
                        <c:v>698</c:v>
                      </c:pt>
                      <c:pt idx="50">
                        <c:v>706</c:v>
                      </c:pt>
                      <c:pt idx="51">
                        <c:v>714</c:v>
                      </c:pt>
                      <c:pt idx="52">
                        <c:v>722</c:v>
                      </c:pt>
                      <c:pt idx="53">
                        <c:v>730</c:v>
                      </c:pt>
                      <c:pt idx="54">
                        <c:v>738</c:v>
                      </c:pt>
                      <c:pt idx="55">
                        <c:v>746</c:v>
                      </c:pt>
                      <c:pt idx="56">
                        <c:v>754</c:v>
                      </c:pt>
                      <c:pt idx="57">
                        <c:v>762</c:v>
                      </c:pt>
                      <c:pt idx="58">
                        <c:v>770</c:v>
                      </c:pt>
                      <c:pt idx="59">
                        <c:v>778</c:v>
                      </c:pt>
                      <c:pt idx="60">
                        <c:v>786</c:v>
                      </c:pt>
                      <c:pt idx="61">
                        <c:v>794</c:v>
                      </c:pt>
                      <c:pt idx="62">
                        <c:v>802</c:v>
                      </c:pt>
                      <c:pt idx="63">
                        <c:v>810</c:v>
                      </c:pt>
                      <c:pt idx="64">
                        <c:v>818</c:v>
                      </c:pt>
                      <c:pt idx="65">
                        <c:v>826</c:v>
                      </c:pt>
                      <c:pt idx="66">
                        <c:v>834</c:v>
                      </c:pt>
                      <c:pt idx="67">
                        <c:v>842</c:v>
                      </c:pt>
                      <c:pt idx="68">
                        <c:v>850</c:v>
                      </c:pt>
                      <c:pt idx="69">
                        <c:v>858</c:v>
                      </c:pt>
                      <c:pt idx="70">
                        <c:v>866</c:v>
                      </c:pt>
                      <c:pt idx="71">
                        <c:v>874</c:v>
                      </c:pt>
                      <c:pt idx="72">
                        <c:v>882</c:v>
                      </c:pt>
                      <c:pt idx="73">
                        <c:v>890</c:v>
                      </c:pt>
                      <c:pt idx="74">
                        <c:v>898</c:v>
                      </c:pt>
                      <c:pt idx="75">
                        <c:v>906</c:v>
                      </c:pt>
                      <c:pt idx="76">
                        <c:v>914</c:v>
                      </c:pt>
                      <c:pt idx="77">
                        <c:v>922</c:v>
                      </c:pt>
                      <c:pt idx="78">
                        <c:v>930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EVALUATION!$B$105:$CP$105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-15.118108108108107</c:v>
                      </c:pt>
                      <c:pt idx="1">
                        <c:v>-14.88027027027027</c:v>
                      </c:pt>
                      <c:pt idx="2">
                        <c:v>-14.642432432432432</c:v>
                      </c:pt>
                      <c:pt idx="3">
                        <c:v>-14.404594594594593</c:v>
                      </c:pt>
                      <c:pt idx="4" formatCode="General">
                        <c:v>-13.959101796407184</c:v>
                      </c:pt>
                      <c:pt idx="5" formatCode="General">
                        <c:v>-13.46568862275449</c:v>
                      </c:pt>
                      <c:pt idx="6" formatCode="General">
                        <c:v>-12.972275449101796</c:v>
                      </c:pt>
                      <c:pt idx="7" formatCode="General">
                        <c:v>-12.478862275449101</c:v>
                      </c:pt>
                      <c:pt idx="8" formatCode="General">
                        <c:v>-11.950329341317365</c:v>
                      </c:pt>
                      <c:pt idx="9" formatCode="General">
                        <c:v>-11.40182634730539</c:v>
                      </c:pt>
                      <c:pt idx="10" formatCode="General">
                        <c:v>-10.853323353293414</c:v>
                      </c:pt>
                      <c:pt idx="11" formatCode="General">
                        <c:v>-10.304820359281438</c:v>
                      </c:pt>
                      <c:pt idx="12" formatCode="General">
                        <c:v>-9.7896616766467073</c:v>
                      </c:pt>
                      <c:pt idx="13" formatCode="General">
                        <c:v>-9.3132544910179647</c:v>
                      </c:pt>
                      <c:pt idx="14" formatCode="General">
                        <c:v>-8.836847305389222</c:v>
                      </c:pt>
                      <c:pt idx="15" formatCode="General">
                        <c:v>-8.3604401197604794</c:v>
                      </c:pt>
                      <c:pt idx="16" formatCode="General">
                        <c:v>-7.9011107784431145</c:v>
                      </c:pt>
                      <c:pt idx="17" formatCode="General">
                        <c:v>-7.4841047904191624</c:v>
                      </c:pt>
                      <c:pt idx="18" formatCode="General">
                        <c:v>-7.0670988023952104</c:v>
                      </c:pt>
                      <c:pt idx="19" formatCode="General">
                        <c:v>-6.6500928143712592</c:v>
                      </c:pt>
                      <c:pt idx="20" formatCode="General">
                        <c:v>-6.2383952095808395</c:v>
                      </c:pt>
                      <c:pt idx="21" formatCode="General">
                        <c:v>-5.8685748502994022</c:v>
                      </c:pt>
                      <c:pt idx="22" formatCode="General">
                        <c:v>-5.4987544910179649</c:v>
                      </c:pt>
                      <c:pt idx="23" formatCode="General">
                        <c:v>-5.1289341317365267</c:v>
                      </c:pt>
                      <c:pt idx="24" formatCode="General">
                        <c:v>-4.7591137724550894</c:v>
                      </c:pt>
                      <c:pt idx="25" formatCode="General">
                        <c:v>-4.6019909909909904</c:v>
                      </c:pt>
                      <c:pt idx="26" formatCode="General">
                        <c:v>-4.4590480480480474</c:v>
                      </c:pt>
                      <c:pt idx="27" formatCode="General">
                        <c:v>-4.3161051051051045</c:v>
                      </c:pt>
                      <c:pt idx="28" formatCode="General">
                        <c:v>-4.1731621621621615</c:v>
                      </c:pt>
                      <c:pt idx="29" formatCode="General">
                        <c:v>-4.1562215568862273</c:v>
                      </c:pt>
                      <c:pt idx="30" formatCode="General">
                        <c:v>-4.1758622754491022</c:v>
                      </c:pt>
                      <c:pt idx="31" formatCode="General">
                        <c:v>-4.1955029940119761</c:v>
                      </c:pt>
                      <c:pt idx="32" formatCode="General">
                        <c:v>-4.2151437125748501</c:v>
                      </c:pt>
                      <c:pt idx="33" formatCode="General">
                        <c:v>-4.2348562874251492</c:v>
                      </c:pt>
                      <c:pt idx="34" formatCode="General">
                        <c:v>-4.2546167664670653</c:v>
                      </c:pt>
                      <c:pt idx="35" formatCode="General">
                        <c:v>-4.2743772455089815</c:v>
                      </c:pt>
                      <c:pt idx="36" formatCode="General">
                        <c:v>-4.2941377245508976</c:v>
                      </c:pt>
                      <c:pt idx="37" formatCode="General">
                        <c:v>-4.3138982035928146</c:v>
                      </c:pt>
                      <c:pt idx="38" formatCode="General">
                        <c:v>-4.3336586826347308</c:v>
                      </c:pt>
                      <c:pt idx="39" formatCode="General">
                        <c:v>-4.3534191616766469</c:v>
                      </c:pt>
                      <c:pt idx="40" formatCode="General">
                        <c:v>-4.373179640718563</c:v>
                      </c:pt>
                      <c:pt idx="41" formatCode="General">
                        <c:v>-4.3929401197604792</c:v>
                      </c:pt>
                      <c:pt idx="42" formatCode="General">
                        <c:v>-4.4127005988023953</c:v>
                      </c:pt>
                      <c:pt idx="43" formatCode="General">
                        <c:v>-4.4324610778443114</c:v>
                      </c:pt>
                      <c:pt idx="44" formatCode="General">
                        <c:v>-4.4522215568862276</c:v>
                      </c:pt>
                      <c:pt idx="45" formatCode="General">
                        <c:v>-4.4719820359281437</c:v>
                      </c:pt>
                      <c:pt idx="46" formatCode="General">
                        <c:v>-4.4917425149700598</c:v>
                      </c:pt>
                      <c:pt idx="47" formatCode="General">
                        <c:v>-4.511502994011976</c:v>
                      </c:pt>
                      <c:pt idx="48" formatCode="General">
                        <c:v>-4.5312634730538921</c:v>
                      </c:pt>
                      <c:pt idx="49" formatCode="General">
                        <c:v>-4.5510239520958082</c:v>
                      </c:pt>
                      <c:pt idx="50" formatCode="General">
                        <c:v>-4.5702584269662925</c:v>
                      </c:pt>
                      <c:pt idx="51" formatCode="General">
                        <c:v>-4.5894344569288394</c:v>
                      </c:pt>
                      <c:pt idx="52" formatCode="General">
                        <c:v>-4.6086104868913855</c:v>
                      </c:pt>
                      <c:pt idx="53" formatCode="General">
                        <c:v>-4.6277865168539325</c:v>
                      </c:pt>
                      <c:pt idx="54" formatCode="General">
                        <c:v>-4.6469625468164795</c:v>
                      </c:pt>
                      <c:pt idx="55" formatCode="General">
                        <c:v>-4.6661385767790264</c:v>
                      </c:pt>
                      <c:pt idx="56" formatCode="General">
                        <c:v>-4.6853146067415734</c:v>
                      </c:pt>
                      <c:pt idx="57" formatCode="General">
                        <c:v>-4.7044906367041204</c:v>
                      </c:pt>
                      <c:pt idx="58" formatCode="General">
                        <c:v>-4.7236666666666665</c:v>
                      </c:pt>
                      <c:pt idx="59" formatCode="General">
                        <c:v>-4.7428426966292134</c:v>
                      </c:pt>
                      <c:pt idx="60" formatCode="General">
                        <c:v>-4.7620187265917604</c:v>
                      </c:pt>
                      <c:pt idx="61" formatCode="General">
                        <c:v>-4.7811947565543074</c:v>
                      </c:pt>
                      <c:pt idx="62" formatCode="General">
                        <c:v>-4.8003707865168543</c:v>
                      </c:pt>
                      <c:pt idx="63" formatCode="General">
                        <c:v>-4.8195468164794013</c:v>
                      </c:pt>
                      <c:pt idx="64" formatCode="General">
                        <c:v>-4.8387228464419483</c:v>
                      </c:pt>
                      <c:pt idx="65" formatCode="General">
                        <c:v>-4.8578988764044944</c:v>
                      </c:pt>
                      <c:pt idx="66" formatCode="General">
                        <c:v>-4.8768456928838955</c:v>
                      </c:pt>
                      <c:pt idx="67" formatCode="General">
                        <c:v>-4.8949430711610491</c:v>
                      </c:pt>
                      <c:pt idx="68" formatCode="General">
                        <c:v>-4.9130404494382027</c:v>
                      </c:pt>
                      <c:pt idx="69" formatCode="General">
                        <c:v>-4.9311378277153564</c:v>
                      </c:pt>
                      <c:pt idx="70" formatCode="General">
                        <c:v>-4.94923520599251</c:v>
                      </c:pt>
                      <c:pt idx="71" formatCode="General">
                        <c:v>-4.9673325842696627</c:v>
                      </c:pt>
                      <c:pt idx="72" formatCode="General">
                        <c:v>-4.9854299625468164</c:v>
                      </c:pt>
                      <c:pt idx="73" formatCode="General">
                        <c:v>-5.00352734082397</c:v>
                      </c:pt>
                      <c:pt idx="74" formatCode="General">
                        <c:v>-5.0216247191011236</c:v>
                      </c:pt>
                      <c:pt idx="75" formatCode="General">
                        <c:v>-5.0397220973782773</c:v>
                      </c:pt>
                      <c:pt idx="76" formatCode="General">
                        <c:v>-5.0578194756554309</c:v>
                      </c:pt>
                      <c:pt idx="77" formatCode="General">
                        <c:v>-5.0759168539325845</c:v>
                      </c:pt>
                      <c:pt idx="78" formatCode="General">
                        <c:v>-5.0940142322097381</c:v>
                      </c:pt>
                      <c:pt idx="79" formatCode="General">
                        <c:v>-5.1121116104868918</c:v>
                      </c:pt>
                      <c:pt idx="80" formatCode="General">
                        <c:v>-5.1302089887640445</c:v>
                      </c:pt>
                      <c:pt idx="81" formatCode="General">
                        <c:v>-5.1483063670411982</c:v>
                      </c:pt>
                      <c:pt idx="82" formatCode="General">
                        <c:v>-5.1664037453183518</c:v>
                      </c:pt>
                      <c:pt idx="83" formatCode="General">
                        <c:v>-5.1840538922155686</c:v>
                      </c:pt>
                      <c:pt idx="84" formatCode="General">
                        <c:v>-5.2012994011976046</c:v>
                      </c:pt>
                      <c:pt idx="85" formatCode="General">
                        <c:v>-5.2185449101796406</c:v>
                      </c:pt>
                      <c:pt idx="86" formatCode="General">
                        <c:v>-5.2357904191616766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B-022F-4A2F-976F-7C3C2CD148C5}"/>
                  </c:ext>
                </c:extLst>
              </c15:ser>
            </c15:filteredScatterSeries>
            <c15:filteredScatterSeries>
              <c15:ser>
                <c:idx val="4"/>
                <c:order val="6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306</c:v>
                      </c:pt>
                      <c:pt idx="1">
                        <c:v>314</c:v>
                      </c:pt>
                      <c:pt idx="2">
                        <c:v>322</c:v>
                      </c:pt>
                      <c:pt idx="3">
                        <c:v>330</c:v>
                      </c:pt>
                      <c:pt idx="4">
                        <c:v>338</c:v>
                      </c:pt>
                      <c:pt idx="5">
                        <c:v>346</c:v>
                      </c:pt>
                      <c:pt idx="6">
                        <c:v>354</c:v>
                      </c:pt>
                      <c:pt idx="7">
                        <c:v>362</c:v>
                      </c:pt>
                      <c:pt idx="8">
                        <c:v>370</c:v>
                      </c:pt>
                      <c:pt idx="9">
                        <c:v>378</c:v>
                      </c:pt>
                      <c:pt idx="10">
                        <c:v>386</c:v>
                      </c:pt>
                      <c:pt idx="11">
                        <c:v>394</c:v>
                      </c:pt>
                      <c:pt idx="12">
                        <c:v>402</c:v>
                      </c:pt>
                      <c:pt idx="13">
                        <c:v>410</c:v>
                      </c:pt>
                      <c:pt idx="14">
                        <c:v>418</c:v>
                      </c:pt>
                      <c:pt idx="15">
                        <c:v>426</c:v>
                      </c:pt>
                      <c:pt idx="16">
                        <c:v>434</c:v>
                      </c:pt>
                      <c:pt idx="17">
                        <c:v>442</c:v>
                      </c:pt>
                      <c:pt idx="18">
                        <c:v>450</c:v>
                      </c:pt>
                      <c:pt idx="19">
                        <c:v>458</c:v>
                      </c:pt>
                      <c:pt idx="20">
                        <c:v>466</c:v>
                      </c:pt>
                      <c:pt idx="21">
                        <c:v>474</c:v>
                      </c:pt>
                      <c:pt idx="22">
                        <c:v>482</c:v>
                      </c:pt>
                      <c:pt idx="23">
                        <c:v>490</c:v>
                      </c:pt>
                      <c:pt idx="24">
                        <c:v>498</c:v>
                      </c:pt>
                      <c:pt idx="25">
                        <c:v>506</c:v>
                      </c:pt>
                      <c:pt idx="26">
                        <c:v>514</c:v>
                      </c:pt>
                      <c:pt idx="27">
                        <c:v>522</c:v>
                      </c:pt>
                      <c:pt idx="28">
                        <c:v>530</c:v>
                      </c:pt>
                      <c:pt idx="29">
                        <c:v>538</c:v>
                      </c:pt>
                      <c:pt idx="30">
                        <c:v>546</c:v>
                      </c:pt>
                      <c:pt idx="31">
                        <c:v>554</c:v>
                      </c:pt>
                      <c:pt idx="32">
                        <c:v>562</c:v>
                      </c:pt>
                      <c:pt idx="33">
                        <c:v>570</c:v>
                      </c:pt>
                      <c:pt idx="34">
                        <c:v>578</c:v>
                      </c:pt>
                      <c:pt idx="35">
                        <c:v>586</c:v>
                      </c:pt>
                      <c:pt idx="36">
                        <c:v>594</c:v>
                      </c:pt>
                      <c:pt idx="37">
                        <c:v>602</c:v>
                      </c:pt>
                      <c:pt idx="38">
                        <c:v>610</c:v>
                      </c:pt>
                      <c:pt idx="39">
                        <c:v>618</c:v>
                      </c:pt>
                      <c:pt idx="40">
                        <c:v>626</c:v>
                      </c:pt>
                      <c:pt idx="41">
                        <c:v>634</c:v>
                      </c:pt>
                      <c:pt idx="42">
                        <c:v>642</c:v>
                      </c:pt>
                      <c:pt idx="43">
                        <c:v>650</c:v>
                      </c:pt>
                      <c:pt idx="44">
                        <c:v>658</c:v>
                      </c:pt>
                      <c:pt idx="45">
                        <c:v>666</c:v>
                      </c:pt>
                      <c:pt idx="46">
                        <c:v>674</c:v>
                      </c:pt>
                      <c:pt idx="47">
                        <c:v>682</c:v>
                      </c:pt>
                      <c:pt idx="48">
                        <c:v>690</c:v>
                      </c:pt>
                      <c:pt idx="49">
                        <c:v>698</c:v>
                      </c:pt>
                      <c:pt idx="50">
                        <c:v>706</c:v>
                      </c:pt>
                      <c:pt idx="51">
                        <c:v>714</c:v>
                      </c:pt>
                      <c:pt idx="52">
                        <c:v>722</c:v>
                      </c:pt>
                      <c:pt idx="53">
                        <c:v>730</c:v>
                      </c:pt>
                      <c:pt idx="54">
                        <c:v>738</c:v>
                      </c:pt>
                      <c:pt idx="55">
                        <c:v>746</c:v>
                      </c:pt>
                      <c:pt idx="56">
                        <c:v>754</c:v>
                      </c:pt>
                      <c:pt idx="57">
                        <c:v>762</c:v>
                      </c:pt>
                      <c:pt idx="58">
                        <c:v>770</c:v>
                      </c:pt>
                      <c:pt idx="59">
                        <c:v>778</c:v>
                      </c:pt>
                      <c:pt idx="60">
                        <c:v>786</c:v>
                      </c:pt>
                      <c:pt idx="61">
                        <c:v>794</c:v>
                      </c:pt>
                      <c:pt idx="62">
                        <c:v>802</c:v>
                      </c:pt>
                      <c:pt idx="63">
                        <c:v>810</c:v>
                      </c:pt>
                      <c:pt idx="64">
                        <c:v>818</c:v>
                      </c:pt>
                      <c:pt idx="65">
                        <c:v>826</c:v>
                      </c:pt>
                      <c:pt idx="66">
                        <c:v>834</c:v>
                      </c:pt>
                      <c:pt idx="67">
                        <c:v>842</c:v>
                      </c:pt>
                      <c:pt idx="68">
                        <c:v>850</c:v>
                      </c:pt>
                      <c:pt idx="69">
                        <c:v>858</c:v>
                      </c:pt>
                      <c:pt idx="70">
                        <c:v>866</c:v>
                      </c:pt>
                      <c:pt idx="71">
                        <c:v>874</c:v>
                      </c:pt>
                      <c:pt idx="72">
                        <c:v>882</c:v>
                      </c:pt>
                      <c:pt idx="73">
                        <c:v>890</c:v>
                      </c:pt>
                      <c:pt idx="74">
                        <c:v>898</c:v>
                      </c:pt>
                      <c:pt idx="75">
                        <c:v>906</c:v>
                      </c:pt>
                      <c:pt idx="76">
                        <c:v>914</c:v>
                      </c:pt>
                      <c:pt idx="77">
                        <c:v>922</c:v>
                      </c:pt>
                      <c:pt idx="78">
                        <c:v>930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EVALUATION!$B$107:$CP$107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-58.064234234234235</c:v>
                      </c:pt>
                      <c:pt idx="1">
                        <c:v>-56.971141141141139</c:v>
                      </c:pt>
                      <c:pt idx="2">
                        <c:v>-55.878048048048043</c:v>
                      </c:pt>
                      <c:pt idx="3">
                        <c:v>-54.784954954954955</c:v>
                      </c:pt>
                      <c:pt idx="4" formatCode="General">
                        <c:v>-54.124610778443113</c:v>
                      </c:pt>
                      <c:pt idx="5" formatCode="General">
                        <c:v>-53.564131736526946</c:v>
                      </c:pt>
                      <c:pt idx="6" formatCode="General">
                        <c:v>-53.003652694610771</c:v>
                      </c:pt>
                      <c:pt idx="7" formatCode="General">
                        <c:v>-52.443173652694604</c:v>
                      </c:pt>
                      <c:pt idx="8" formatCode="General">
                        <c:v>-52.043023952095801</c:v>
                      </c:pt>
                      <c:pt idx="9" formatCode="General">
                        <c:v>-51.734041916167662</c:v>
                      </c:pt>
                      <c:pt idx="10" formatCode="General">
                        <c:v>-51.425059880239516</c:v>
                      </c:pt>
                      <c:pt idx="11" formatCode="General">
                        <c:v>-51.11607784431137</c:v>
                      </c:pt>
                      <c:pt idx="12" formatCode="General">
                        <c:v>-50.842655688622749</c:v>
                      </c:pt>
                      <c:pt idx="13" formatCode="General">
                        <c:v>-50.610559880239521</c:v>
                      </c:pt>
                      <c:pt idx="14" formatCode="General">
                        <c:v>-50.378464071856285</c:v>
                      </c:pt>
                      <c:pt idx="15" formatCode="General">
                        <c:v>-50.146368263473057</c:v>
                      </c:pt>
                      <c:pt idx="16" formatCode="General">
                        <c:v>-49.931350299401196</c:v>
                      </c:pt>
                      <c:pt idx="17" formatCode="General">
                        <c:v>-49.758655688622753</c:v>
                      </c:pt>
                      <c:pt idx="18" formatCode="General">
                        <c:v>-49.58596107784431</c:v>
                      </c:pt>
                      <c:pt idx="19" formatCode="General">
                        <c:v>-49.413266467065867</c:v>
                      </c:pt>
                      <c:pt idx="20" formatCode="General">
                        <c:v>-49.246419161676648</c:v>
                      </c:pt>
                      <c:pt idx="21" formatCode="General">
                        <c:v>-49.125700598802396</c:v>
                      </c:pt>
                      <c:pt idx="22" formatCode="General">
                        <c:v>-49.004982035928144</c:v>
                      </c:pt>
                      <c:pt idx="23" formatCode="General">
                        <c:v>-48.884263473053892</c:v>
                      </c:pt>
                      <c:pt idx="24" formatCode="General">
                        <c:v>-48.76354491017964</c:v>
                      </c:pt>
                      <c:pt idx="25" formatCode="General">
                        <c:v>-48.847216216216218</c:v>
                      </c:pt>
                      <c:pt idx="26" formatCode="General">
                        <c:v>-48.944513513513513</c:v>
                      </c:pt>
                      <c:pt idx="27" formatCode="General">
                        <c:v>-49.041810810810816</c:v>
                      </c:pt>
                      <c:pt idx="28" formatCode="General">
                        <c:v>-49.139108108108111</c:v>
                      </c:pt>
                      <c:pt idx="29" formatCode="General">
                        <c:v>-49.365562874251502</c:v>
                      </c:pt>
                      <c:pt idx="30" formatCode="General">
                        <c:v>-49.62951497005988</c:v>
                      </c:pt>
                      <c:pt idx="31" formatCode="General">
                        <c:v>-49.893467065868265</c:v>
                      </c:pt>
                      <c:pt idx="32" formatCode="General">
                        <c:v>-50.157419161676643</c:v>
                      </c:pt>
                      <c:pt idx="33" formatCode="General">
                        <c:v>-50.414257485029935</c:v>
                      </c:pt>
                      <c:pt idx="34" formatCode="General">
                        <c:v>-50.666353293413174</c:v>
                      </c:pt>
                      <c:pt idx="35" formatCode="General">
                        <c:v>-50.918449101796405</c:v>
                      </c:pt>
                      <c:pt idx="36" formatCode="General">
                        <c:v>-51.170544910179636</c:v>
                      </c:pt>
                      <c:pt idx="37" formatCode="General">
                        <c:v>-51.422640718562874</c:v>
                      </c:pt>
                      <c:pt idx="38" formatCode="General">
                        <c:v>-51.674736526946106</c:v>
                      </c:pt>
                      <c:pt idx="39" formatCode="General">
                        <c:v>-51.926832335329337</c:v>
                      </c:pt>
                      <c:pt idx="40" formatCode="General">
                        <c:v>-52.178928143712575</c:v>
                      </c:pt>
                      <c:pt idx="41" formatCode="General">
                        <c:v>-52.431023952095806</c:v>
                      </c:pt>
                      <c:pt idx="42" formatCode="General">
                        <c:v>-52.683119760479038</c:v>
                      </c:pt>
                      <c:pt idx="43" formatCode="General">
                        <c:v>-52.935215568862276</c:v>
                      </c:pt>
                      <c:pt idx="44" formatCode="General">
                        <c:v>-53.187311377245507</c:v>
                      </c:pt>
                      <c:pt idx="45" formatCode="General">
                        <c:v>-53.439407185628738</c:v>
                      </c:pt>
                      <c:pt idx="46" formatCode="General">
                        <c:v>-53.691502994011977</c:v>
                      </c:pt>
                      <c:pt idx="47" formatCode="General">
                        <c:v>-53.943598802395208</c:v>
                      </c:pt>
                      <c:pt idx="48" formatCode="General">
                        <c:v>-54.195694610778446</c:v>
                      </c:pt>
                      <c:pt idx="49" formatCode="General">
                        <c:v>-54.447790419161677</c:v>
                      </c:pt>
                      <c:pt idx="50" formatCode="General">
                        <c:v>-54.685494382022469</c:v>
                      </c:pt>
                      <c:pt idx="51" formatCode="General">
                        <c:v>-54.921599250936332</c:v>
                      </c:pt>
                      <c:pt idx="52" formatCode="General">
                        <c:v>-55.157704119850187</c:v>
                      </c:pt>
                      <c:pt idx="53" formatCode="General">
                        <c:v>-55.393808988764043</c:v>
                      </c:pt>
                      <c:pt idx="54" formatCode="General">
                        <c:v>-55.629913857677906</c:v>
                      </c:pt>
                      <c:pt idx="55" formatCode="General">
                        <c:v>-55.866018726591761</c:v>
                      </c:pt>
                      <c:pt idx="56" formatCode="General">
                        <c:v>-56.102123595505617</c:v>
                      </c:pt>
                      <c:pt idx="57" formatCode="General">
                        <c:v>-56.338228464419473</c:v>
                      </c:pt>
                      <c:pt idx="58" formatCode="General">
                        <c:v>-56.574333333333335</c:v>
                      </c:pt>
                      <c:pt idx="59" formatCode="General">
                        <c:v>-56.810438202247191</c:v>
                      </c:pt>
                      <c:pt idx="60" formatCode="General">
                        <c:v>-57.046543071161047</c:v>
                      </c:pt>
                      <c:pt idx="61" formatCode="General">
                        <c:v>-57.282647940074902</c:v>
                      </c:pt>
                      <c:pt idx="62" formatCode="General">
                        <c:v>-57.518752808988765</c:v>
                      </c:pt>
                      <c:pt idx="63" formatCode="General">
                        <c:v>-57.754857677902621</c:v>
                      </c:pt>
                      <c:pt idx="64" formatCode="General">
                        <c:v>-57.990962546816476</c:v>
                      </c:pt>
                      <c:pt idx="65" formatCode="General">
                        <c:v>-58.227067415730332</c:v>
                      </c:pt>
                      <c:pt idx="66" formatCode="General">
                        <c:v>-58.460650936329586</c:v>
                      </c:pt>
                      <c:pt idx="67" formatCode="General">
                        <c:v>-58.684890636704118</c:v>
                      </c:pt>
                      <c:pt idx="68" formatCode="General">
                        <c:v>-58.909130337078651</c:v>
                      </c:pt>
                      <c:pt idx="69" formatCode="General">
                        <c:v>-59.133370037453183</c:v>
                      </c:pt>
                      <c:pt idx="70" formatCode="General">
                        <c:v>-59.357609737827715</c:v>
                      </c:pt>
                      <c:pt idx="71" formatCode="General">
                        <c:v>-59.581849438202241</c:v>
                      </c:pt>
                      <c:pt idx="72" formatCode="General">
                        <c:v>-59.806089138576773</c:v>
                      </c:pt>
                      <c:pt idx="73" formatCode="General">
                        <c:v>-60.030328838951306</c:v>
                      </c:pt>
                      <c:pt idx="74" formatCode="General">
                        <c:v>-60.254568539325838</c:v>
                      </c:pt>
                      <c:pt idx="75" formatCode="General">
                        <c:v>-60.478808239700371</c:v>
                      </c:pt>
                      <c:pt idx="76" formatCode="General">
                        <c:v>-60.703047940074903</c:v>
                      </c:pt>
                      <c:pt idx="77" formatCode="General">
                        <c:v>-60.927287640449435</c:v>
                      </c:pt>
                      <c:pt idx="78" formatCode="General">
                        <c:v>-61.151527340823968</c:v>
                      </c:pt>
                      <c:pt idx="79" formatCode="General">
                        <c:v>-61.3757670411985</c:v>
                      </c:pt>
                      <c:pt idx="80" formatCode="General">
                        <c:v>-61.600006741573026</c:v>
                      </c:pt>
                      <c:pt idx="81" formatCode="General">
                        <c:v>-61.824246441947558</c:v>
                      </c:pt>
                      <c:pt idx="82" formatCode="General">
                        <c:v>-62.048486142322091</c:v>
                      </c:pt>
                      <c:pt idx="83" formatCode="General">
                        <c:v>-62.267167664670652</c:v>
                      </c:pt>
                      <c:pt idx="84" formatCode="General">
                        <c:v>-62.480820359281431</c:v>
                      </c:pt>
                      <c:pt idx="85" formatCode="General">
                        <c:v>-62.69447305389221</c:v>
                      </c:pt>
                      <c:pt idx="86" formatCode="General">
                        <c:v>-62.908125748502989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C-022F-4A2F-976F-7C3C2CD148C5}"/>
                  </c:ext>
                </c:extLst>
              </c15:ser>
            </c15:filteredScatterSeries>
            <c15:filteredScatterSeries>
              <c15:ser>
                <c:idx val="5"/>
                <c:order val="7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306</c:v>
                      </c:pt>
                      <c:pt idx="1">
                        <c:v>314</c:v>
                      </c:pt>
                      <c:pt idx="2">
                        <c:v>322</c:v>
                      </c:pt>
                      <c:pt idx="3">
                        <c:v>330</c:v>
                      </c:pt>
                      <c:pt idx="4">
                        <c:v>338</c:v>
                      </c:pt>
                      <c:pt idx="5">
                        <c:v>346</c:v>
                      </c:pt>
                      <c:pt idx="6">
                        <c:v>354</c:v>
                      </c:pt>
                      <c:pt idx="7">
                        <c:v>362</c:v>
                      </c:pt>
                      <c:pt idx="8">
                        <c:v>370</c:v>
                      </c:pt>
                      <c:pt idx="9">
                        <c:v>378</c:v>
                      </c:pt>
                      <c:pt idx="10">
                        <c:v>386</c:v>
                      </c:pt>
                      <c:pt idx="11">
                        <c:v>394</c:v>
                      </c:pt>
                      <c:pt idx="12">
                        <c:v>402</c:v>
                      </c:pt>
                      <c:pt idx="13">
                        <c:v>410</c:v>
                      </c:pt>
                      <c:pt idx="14">
                        <c:v>418</c:v>
                      </c:pt>
                      <c:pt idx="15">
                        <c:v>426</c:v>
                      </c:pt>
                      <c:pt idx="16">
                        <c:v>434</c:v>
                      </c:pt>
                      <c:pt idx="17">
                        <c:v>442</c:v>
                      </c:pt>
                      <c:pt idx="18">
                        <c:v>450</c:v>
                      </c:pt>
                      <c:pt idx="19">
                        <c:v>458</c:v>
                      </c:pt>
                      <c:pt idx="20">
                        <c:v>466</c:v>
                      </c:pt>
                      <c:pt idx="21">
                        <c:v>474</c:v>
                      </c:pt>
                      <c:pt idx="22">
                        <c:v>482</c:v>
                      </c:pt>
                      <c:pt idx="23">
                        <c:v>490</c:v>
                      </c:pt>
                      <c:pt idx="24">
                        <c:v>498</c:v>
                      </c:pt>
                      <c:pt idx="25">
                        <c:v>506</c:v>
                      </c:pt>
                      <c:pt idx="26">
                        <c:v>514</c:v>
                      </c:pt>
                      <c:pt idx="27">
                        <c:v>522</c:v>
                      </c:pt>
                      <c:pt idx="28">
                        <c:v>530</c:v>
                      </c:pt>
                      <c:pt idx="29">
                        <c:v>538</c:v>
                      </c:pt>
                      <c:pt idx="30">
                        <c:v>546</c:v>
                      </c:pt>
                      <c:pt idx="31">
                        <c:v>554</c:v>
                      </c:pt>
                      <c:pt idx="32">
                        <c:v>562</c:v>
                      </c:pt>
                      <c:pt idx="33">
                        <c:v>570</c:v>
                      </c:pt>
                      <c:pt idx="34">
                        <c:v>578</c:v>
                      </c:pt>
                      <c:pt idx="35">
                        <c:v>586</c:v>
                      </c:pt>
                      <c:pt idx="36">
                        <c:v>594</c:v>
                      </c:pt>
                      <c:pt idx="37">
                        <c:v>602</c:v>
                      </c:pt>
                      <c:pt idx="38">
                        <c:v>610</c:v>
                      </c:pt>
                      <c:pt idx="39">
                        <c:v>618</c:v>
                      </c:pt>
                      <c:pt idx="40">
                        <c:v>626</c:v>
                      </c:pt>
                      <c:pt idx="41">
                        <c:v>634</c:v>
                      </c:pt>
                      <c:pt idx="42">
                        <c:v>642</c:v>
                      </c:pt>
                      <c:pt idx="43">
                        <c:v>650</c:v>
                      </c:pt>
                      <c:pt idx="44">
                        <c:v>658</c:v>
                      </c:pt>
                      <c:pt idx="45">
                        <c:v>666</c:v>
                      </c:pt>
                      <c:pt idx="46">
                        <c:v>674</c:v>
                      </c:pt>
                      <c:pt idx="47">
                        <c:v>682</c:v>
                      </c:pt>
                      <c:pt idx="48">
                        <c:v>690</c:v>
                      </c:pt>
                      <c:pt idx="49">
                        <c:v>698</c:v>
                      </c:pt>
                      <c:pt idx="50">
                        <c:v>706</c:v>
                      </c:pt>
                      <c:pt idx="51">
                        <c:v>714</c:v>
                      </c:pt>
                      <c:pt idx="52">
                        <c:v>722</c:v>
                      </c:pt>
                      <c:pt idx="53">
                        <c:v>730</c:v>
                      </c:pt>
                      <c:pt idx="54">
                        <c:v>738</c:v>
                      </c:pt>
                      <c:pt idx="55">
                        <c:v>746</c:v>
                      </c:pt>
                      <c:pt idx="56">
                        <c:v>754</c:v>
                      </c:pt>
                      <c:pt idx="57">
                        <c:v>762</c:v>
                      </c:pt>
                      <c:pt idx="58">
                        <c:v>770</c:v>
                      </c:pt>
                      <c:pt idx="59">
                        <c:v>778</c:v>
                      </c:pt>
                      <c:pt idx="60">
                        <c:v>786</c:v>
                      </c:pt>
                      <c:pt idx="61">
                        <c:v>794</c:v>
                      </c:pt>
                      <c:pt idx="62">
                        <c:v>802</c:v>
                      </c:pt>
                      <c:pt idx="63">
                        <c:v>810</c:v>
                      </c:pt>
                      <c:pt idx="64">
                        <c:v>818</c:v>
                      </c:pt>
                      <c:pt idx="65">
                        <c:v>826</c:v>
                      </c:pt>
                      <c:pt idx="66">
                        <c:v>834</c:v>
                      </c:pt>
                      <c:pt idx="67">
                        <c:v>842</c:v>
                      </c:pt>
                      <c:pt idx="68">
                        <c:v>850</c:v>
                      </c:pt>
                      <c:pt idx="69">
                        <c:v>858</c:v>
                      </c:pt>
                      <c:pt idx="70">
                        <c:v>866</c:v>
                      </c:pt>
                      <c:pt idx="71">
                        <c:v>874</c:v>
                      </c:pt>
                      <c:pt idx="72">
                        <c:v>882</c:v>
                      </c:pt>
                      <c:pt idx="73">
                        <c:v>890</c:v>
                      </c:pt>
                      <c:pt idx="74">
                        <c:v>898</c:v>
                      </c:pt>
                      <c:pt idx="75">
                        <c:v>906</c:v>
                      </c:pt>
                      <c:pt idx="76">
                        <c:v>914</c:v>
                      </c:pt>
                      <c:pt idx="77">
                        <c:v>922</c:v>
                      </c:pt>
                      <c:pt idx="78">
                        <c:v>930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EVALUATION!$B$108:$CP$108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-183.77576576576575</c:v>
                      </c:pt>
                      <c:pt idx="1">
                        <c:v>-179.80219219219219</c:v>
                      </c:pt>
                      <c:pt idx="2">
                        <c:v>-175.82861861861863</c:v>
                      </c:pt>
                      <c:pt idx="3">
                        <c:v>-171.85504504504505</c:v>
                      </c:pt>
                      <c:pt idx="4" formatCode="General">
                        <c:v>-168.51000000000002</c:v>
                      </c:pt>
                      <c:pt idx="5" formatCode="General">
                        <c:v>-165.31</c:v>
                      </c:pt>
                      <c:pt idx="6" formatCode="General">
                        <c:v>-162.10999999999999</c:v>
                      </c:pt>
                      <c:pt idx="7" formatCode="General">
                        <c:v>-158.91</c:v>
                      </c:pt>
                      <c:pt idx="8" formatCode="General">
                        <c:v>-156.06730538922156</c:v>
                      </c:pt>
                      <c:pt idx="9" formatCode="General">
                        <c:v>-153.42778443113772</c:v>
                      </c:pt>
                      <c:pt idx="10" formatCode="General">
                        <c:v>-150.78826347305389</c:v>
                      </c:pt>
                      <c:pt idx="11" formatCode="General">
                        <c:v>-148.14874251497005</c:v>
                      </c:pt>
                      <c:pt idx="12" formatCode="General">
                        <c:v>-145.70751497005986</c:v>
                      </c:pt>
                      <c:pt idx="13" formatCode="General">
                        <c:v>-143.49673652694611</c:v>
                      </c:pt>
                      <c:pt idx="14" formatCode="General">
                        <c:v>-141.28595808383233</c:v>
                      </c:pt>
                      <c:pt idx="15" formatCode="General">
                        <c:v>-139.07517964071855</c:v>
                      </c:pt>
                      <c:pt idx="16" formatCode="General">
                        <c:v>-136.96080838323354</c:v>
                      </c:pt>
                      <c:pt idx="17" formatCode="General">
                        <c:v>-135.08535928143712</c:v>
                      </c:pt>
                      <c:pt idx="18" formatCode="General">
                        <c:v>-133.20991017964073</c:v>
                      </c:pt>
                      <c:pt idx="19" formatCode="General">
                        <c:v>-131.33446107784434</c:v>
                      </c:pt>
                      <c:pt idx="20" formatCode="General">
                        <c:v>-129.49</c:v>
                      </c:pt>
                      <c:pt idx="21" formatCode="General">
                        <c:v>-127.89000000000001</c:v>
                      </c:pt>
                      <c:pt idx="22" formatCode="General">
                        <c:v>-126.29000000000002</c:v>
                      </c:pt>
                      <c:pt idx="23" formatCode="General">
                        <c:v>-124.69000000000001</c:v>
                      </c:pt>
                      <c:pt idx="24" formatCode="General">
                        <c:v>-123.09</c:v>
                      </c:pt>
                      <c:pt idx="25" formatCode="General">
                        <c:v>-121.94495495495497</c:v>
                      </c:pt>
                      <c:pt idx="26" formatCode="General">
                        <c:v>-120.83024024024024</c:v>
                      </c:pt>
                      <c:pt idx="27" formatCode="General">
                        <c:v>-119.71552552552552</c:v>
                      </c:pt>
                      <c:pt idx="28" formatCode="General">
                        <c:v>-118.6008108108108</c:v>
                      </c:pt>
                      <c:pt idx="29" formatCode="General">
                        <c:v>-119.12407185628743</c:v>
                      </c:pt>
                      <c:pt idx="30" formatCode="General">
                        <c:v>-120.12287425149701</c:v>
                      </c:pt>
                      <c:pt idx="31" formatCode="General">
                        <c:v>-121.12167664670659</c:v>
                      </c:pt>
                      <c:pt idx="32" formatCode="General">
                        <c:v>-122.12047904191617</c:v>
                      </c:pt>
                      <c:pt idx="33" formatCode="General">
                        <c:v>-123.0919760479042</c:v>
                      </c:pt>
                      <c:pt idx="34" formatCode="General">
                        <c:v>-124.04526946107785</c:v>
                      </c:pt>
                      <c:pt idx="35" formatCode="General">
                        <c:v>-124.9985628742515</c:v>
                      </c:pt>
                      <c:pt idx="36" formatCode="General">
                        <c:v>-125.95185628742516</c:v>
                      </c:pt>
                      <c:pt idx="37" formatCode="General">
                        <c:v>-126.90514970059881</c:v>
                      </c:pt>
                      <c:pt idx="38" formatCode="General">
                        <c:v>-127.85844311377247</c:v>
                      </c:pt>
                      <c:pt idx="39" formatCode="General">
                        <c:v>-128.81173652694611</c:v>
                      </c:pt>
                      <c:pt idx="40" formatCode="General">
                        <c:v>-129.76502994011977</c:v>
                      </c:pt>
                      <c:pt idx="41" formatCode="General">
                        <c:v>-130.71832335329341</c:v>
                      </c:pt>
                      <c:pt idx="42" formatCode="General">
                        <c:v>-131.67161676646708</c:v>
                      </c:pt>
                      <c:pt idx="43" formatCode="General">
                        <c:v>-132.62491017964072</c:v>
                      </c:pt>
                      <c:pt idx="44" formatCode="General">
                        <c:v>-133.57820359281436</c:v>
                      </c:pt>
                      <c:pt idx="45" formatCode="General">
                        <c:v>-134.53149700598803</c:v>
                      </c:pt>
                      <c:pt idx="46" formatCode="General">
                        <c:v>-135.48479041916167</c:v>
                      </c:pt>
                      <c:pt idx="47" formatCode="General">
                        <c:v>-136.43808383233534</c:v>
                      </c:pt>
                      <c:pt idx="48" formatCode="General">
                        <c:v>-137.39137724550898</c:v>
                      </c:pt>
                      <c:pt idx="49" formatCode="General">
                        <c:v>-138.34467065868265</c:v>
                      </c:pt>
                      <c:pt idx="50" formatCode="General">
                        <c:v>-139.21824719101124</c:v>
                      </c:pt>
                      <c:pt idx="51" formatCode="General">
                        <c:v>-140.08296629213484</c:v>
                      </c:pt>
                      <c:pt idx="52" formatCode="General">
                        <c:v>-140.94768539325844</c:v>
                      </c:pt>
                      <c:pt idx="53" formatCode="General">
                        <c:v>-141.81240449438204</c:v>
                      </c:pt>
                      <c:pt idx="54" formatCode="General">
                        <c:v>-142.67712359550563</c:v>
                      </c:pt>
                      <c:pt idx="55" formatCode="General">
                        <c:v>-143.54184269662923</c:v>
                      </c:pt>
                      <c:pt idx="56" formatCode="General">
                        <c:v>-144.40656179775283</c:v>
                      </c:pt>
                      <c:pt idx="57" formatCode="General">
                        <c:v>-145.2712808988764</c:v>
                      </c:pt>
                      <c:pt idx="58" formatCode="General">
                        <c:v>-146.136</c:v>
                      </c:pt>
                      <c:pt idx="59" formatCode="General">
                        <c:v>-147.00071910112359</c:v>
                      </c:pt>
                      <c:pt idx="60" formatCode="General">
                        <c:v>-147.86543820224719</c:v>
                      </c:pt>
                      <c:pt idx="61" formatCode="General">
                        <c:v>-148.73015730337079</c:v>
                      </c:pt>
                      <c:pt idx="62" formatCode="General">
                        <c:v>-149.59487640449439</c:v>
                      </c:pt>
                      <c:pt idx="63" formatCode="General">
                        <c:v>-150.45959550561798</c:v>
                      </c:pt>
                      <c:pt idx="64" formatCode="General">
                        <c:v>-151.32431460674158</c:v>
                      </c:pt>
                      <c:pt idx="65" formatCode="General">
                        <c:v>-152.18903370786518</c:v>
                      </c:pt>
                      <c:pt idx="66" formatCode="General">
                        <c:v>-153.03172284644197</c:v>
                      </c:pt>
                      <c:pt idx="67" formatCode="General">
                        <c:v>-153.79277153558053</c:v>
                      </c:pt>
                      <c:pt idx="68" formatCode="General">
                        <c:v>-154.55382022471912</c:v>
                      </c:pt>
                      <c:pt idx="69" formatCode="General">
                        <c:v>-155.31486891385768</c:v>
                      </c:pt>
                      <c:pt idx="70" formatCode="General">
                        <c:v>-156.07591760299627</c:v>
                      </c:pt>
                      <c:pt idx="71" formatCode="General">
                        <c:v>-156.83696629213483</c:v>
                      </c:pt>
                      <c:pt idx="72" formatCode="General">
                        <c:v>-157.59801498127342</c:v>
                      </c:pt>
                      <c:pt idx="73" formatCode="General">
                        <c:v>-158.35906367041198</c:v>
                      </c:pt>
                      <c:pt idx="74" formatCode="General">
                        <c:v>-159.12011235955057</c:v>
                      </c:pt>
                      <c:pt idx="75" formatCode="General">
                        <c:v>-159.88116104868914</c:v>
                      </c:pt>
                      <c:pt idx="76" formatCode="General">
                        <c:v>-160.64220973782773</c:v>
                      </c:pt>
                      <c:pt idx="77" formatCode="General">
                        <c:v>-161.40325842696629</c:v>
                      </c:pt>
                      <c:pt idx="78" formatCode="General">
                        <c:v>-162.16430711610488</c:v>
                      </c:pt>
                      <c:pt idx="79" formatCode="General">
                        <c:v>-162.92535580524344</c:v>
                      </c:pt>
                      <c:pt idx="80" formatCode="General">
                        <c:v>-163.68640449438203</c:v>
                      </c:pt>
                      <c:pt idx="81" formatCode="General">
                        <c:v>-164.44745318352059</c:v>
                      </c:pt>
                      <c:pt idx="82" formatCode="General">
                        <c:v>-165.20850187265918</c:v>
                      </c:pt>
                      <c:pt idx="83" formatCode="General">
                        <c:v>-165.92838323353294</c:v>
                      </c:pt>
                      <c:pt idx="84" formatCode="General">
                        <c:v>-166.61101796407183</c:v>
                      </c:pt>
                      <c:pt idx="85" formatCode="General">
                        <c:v>-167.29365269461076</c:v>
                      </c:pt>
                      <c:pt idx="86" formatCode="General">
                        <c:v>-167.97628742514968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D-022F-4A2F-976F-7C3C2CD148C5}"/>
                  </c:ext>
                </c:extLst>
              </c15:ser>
            </c15:filteredScatterSeries>
            <c15:filteredScatterSeries>
              <c15:ser>
                <c:idx val="6"/>
                <c:order val="8"/>
                <c:spPr>
                  <a:ln>
                    <a:solidFill>
                      <a:srgbClr val="00B050"/>
                    </a:solidFill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306</c:v>
                      </c:pt>
                      <c:pt idx="1">
                        <c:v>314</c:v>
                      </c:pt>
                      <c:pt idx="2">
                        <c:v>322</c:v>
                      </c:pt>
                      <c:pt idx="3">
                        <c:v>330</c:v>
                      </c:pt>
                      <c:pt idx="4">
                        <c:v>338</c:v>
                      </c:pt>
                      <c:pt idx="5">
                        <c:v>346</c:v>
                      </c:pt>
                      <c:pt idx="6">
                        <c:v>354</c:v>
                      </c:pt>
                      <c:pt idx="7">
                        <c:v>362</c:v>
                      </c:pt>
                      <c:pt idx="8">
                        <c:v>370</c:v>
                      </c:pt>
                      <c:pt idx="9">
                        <c:v>378</c:v>
                      </c:pt>
                      <c:pt idx="10">
                        <c:v>386</c:v>
                      </c:pt>
                      <c:pt idx="11">
                        <c:v>394</c:v>
                      </c:pt>
                      <c:pt idx="12">
                        <c:v>402</c:v>
                      </c:pt>
                      <c:pt idx="13">
                        <c:v>410</c:v>
                      </c:pt>
                      <c:pt idx="14">
                        <c:v>418</c:v>
                      </c:pt>
                      <c:pt idx="15">
                        <c:v>426</c:v>
                      </c:pt>
                      <c:pt idx="16">
                        <c:v>434</c:v>
                      </c:pt>
                      <c:pt idx="17">
                        <c:v>442</c:v>
                      </c:pt>
                      <c:pt idx="18">
                        <c:v>450</c:v>
                      </c:pt>
                      <c:pt idx="19">
                        <c:v>458</c:v>
                      </c:pt>
                      <c:pt idx="20">
                        <c:v>466</c:v>
                      </c:pt>
                      <c:pt idx="21">
                        <c:v>474</c:v>
                      </c:pt>
                      <c:pt idx="22">
                        <c:v>482</c:v>
                      </c:pt>
                      <c:pt idx="23">
                        <c:v>490</c:v>
                      </c:pt>
                      <c:pt idx="24">
                        <c:v>498</c:v>
                      </c:pt>
                      <c:pt idx="25">
                        <c:v>506</c:v>
                      </c:pt>
                      <c:pt idx="26">
                        <c:v>514</c:v>
                      </c:pt>
                      <c:pt idx="27">
                        <c:v>522</c:v>
                      </c:pt>
                      <c:pt idx="28">
                        <c:v>530</c:v>
                      </c:pt>
                      <c:pt idx="29">
                        <c:v>538</c:v>
                      </c:pt>
                      <c:pt idx="30">
                        <c:v>546</c:v>
                      </c:pt>
                      <c:pt idx="31">
                        <c:v>554</c:v>
                      </c:pt>
                      <c:pt idx="32">
                        <c:v>562</c:v>
                      </c:pt>
                      <c:pt idx="33">
                        <c:v>570</c:v>
                      </c:pt>
                      <c:pt idx="34">
                        <c:v>578</c:v>
                      </c:pt>
                      <c:pt idx="35">
                        <c:v>586</c:v>
                      </c:pt>
                      <c:pt idx="36">
                        <c:v>594</c:v>
                      </c:pt>
                      <c:pt idx="37">
                        <c:v>602</c:v>
                      </c:pt>
                      <c:pt idx="38">
                        <c:v>610</c:v>
                      </c:pt>
                      <c:pt idx="39">
                        <c:v>618</c:v>
                      </c:pt>
                      <c:pt idx="40">
                        <c:v>626</c:v>
                      </c:pt>
                      <c:pt idx="41">
                        <c:v>634</c:v>
                      </c:pt>
                      <c:pt idx="42">
                        <c:v>642</c:v>
                      </c:pt>
                      <c:pt idx="43">
                        <c:v>650</c:v>
                      </c:pt>
                      <c:pt idx="44">
                        <c:v>658</c:v>
                      </c:pt>
                      <c:pt idx="45">
                        <c:v>666</c:v>
                      </c:pt>
                      <c:pt idx="46">
                        <c:v>674</c:v>
                      </c:pt>
                      <c:pt idx="47">
                        <c:v>682</c:v>
                      </c:pt>
                      <c:pt idx="48">
                        <c:v>690</c:v>
                      </c:pt>
                      <c:pt idx="49">
                        <c:v>698</c:v>
                      </c:pt>
                      <c:pt idx="50">
                        <c:v>706</c:v>
                      </c:pt>
                      <c:pt idx="51">
                        <c:v>714</c:v>
                      </c:pt>
                      <c:pt idx="52">
                        <c:v>722</c:v>
                      </c:pt>
                      <c:pt idx="53">
                        <c:v>730</c:v>
                      </c:pt>
                      <c:pt idx="54">
                        <c:v>738</c:v>
                      </c:pt>
                      <c:pt idx="55">
                        <c:v>746</c:v>
                      </c:pt>
                      <c:pt idx="56">
                        <c:v>754</c:v>
                      </c:pt>
                      <c:pt idx="57">
                        <c:v>762</c:v>
                      </c:pt>
                      <c:pt idx="58">
                        <c:v>770</c:v>
                      </c:pt>
                      <c:pt idx="59">
                        <c:v>778</c:v>
                      </c:pt>
                      <c:pt idx="60">
                        <c:v>786</c:v>
                      </c:pt>
                      <c:pt idx="61">
                        <c:v>794</c:v>
                      </c:pt>
                      <c:pt idx="62">
                        <c:v>802</c:v>
                      </c:pt>
                      <c:pt idx="63">
                        <c:v>810</c:v>
                      </c:pt>
                      <c:pt idx="64">
                        <c:v>818</c:v>
                      </c:pt>
                      <c:pt idx="65">
                        <c:v>826</c:v>
                      </c:pt>
                      <c:pt idx="66">
                        <c:v>834</c:v>
                      </c:pt>
                      <c:pt idx="67">
                        <c:v>842</c:v>
                      </c:pt>
                      <c:pt idx="68">
                        <c:v>850</c:v>
                      </c:pt>
                      <c:pt idx="69">
                        <c:v>858</c:v>
                      </c:pt>
                      <c:pt idx="70">
                        <c:v>866</c:v>
                      </c:pt>
                      <c:pt idx="71">
                        <c:v>874</c:v>
                      </c:pt>
                      <c:pt idx="72">
                        <c:v>882</c:v>
                      </c:pt>
                      <c:pt idx="73">
                        <c:v>890</c:v>
                      </c:pt>
                      <c:pt idx="74">
                        <c:v>898</c:v>
                      </c:pt>
                      <c:pt idx="75">
                        <c:v>906</c:v>
                      </c:pt>
                      <c:pt idx="76">
                        <c:v>914</c:v>
                      </c:pt>
                      <c:pt idx="77">
                        <c:v>922</c:v>
                      </c:pt>
                      <c:pt idx="78">
                        <c:v>930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EVALUATION!$B$109:$CP$109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-30.236216216216214</c:v>
                      </c:pt>
                      <c:pt idx="1">
                        <c:v>-29.760540540540539</c:v>
                      </c:pt>
                      <c:pt idx="2">
                        <c:v>-29.284864864864865</c:v>
                      </c:pt>
                      <c:pt idx="3">
                        <c:v>-28.809189189189187</c:v>
                      </c:pt>
                      <c:pt idx="4" formatCode="General">
                        <c:v>-27.918203592814368</c:v>
                      </c:pt>
                      <c:pt idx="5" formatCode="General">
                        <c:v>-26.93137724550898</c:v>
                      </c:pt>
                      <c:pt idx="6" formatCode="General">
                        <c:v>-25.944550898203591</c:v>
                      </c:pt>
                      <c:pt idx="7" formatCode="General">
                        <c:v>-24.957724550898202</c:v>
                      </c:pt>
                      <c:pt idx="8" formatCode="General">
                        <c:v>-23.900658682634731</c:v>
                      </c:pt>
                      <c:pt idx="9" formatCode="General">
                        <c:v>-22.803652694610779</c:v>
                      </c:pt>
                      <c:pt idx="10" formatCode="General">
                        <c:v>-21.706646706586827</c:v>
                      </c:pt>
                      <c:pt idx="11" formatCode="General">
                        <c:v>-20.609640718562876</c:v>
                      </c:pt>
                      <c:pt idx="12" formatCode="General">
                        <c:v>-19.579323353293415</c:v>
                      </c:pt>
                      <c:pt idx="13" formatCode="General">
                        <c:v>-18.626508982035929</c:v>
                      </c:pt>
                      <c:pt idx="14" formatCode="General">
                        <c:v>-17.673694610778444</c:v>
                      </c:pt>
                      <c:pt idx="15" formatCode="General">
                        <c:v>-16.720880239520959</c:v>
                      </c:pt>
                      <c:pt idx="16" formatCode="General">
                        <c:v>-15.802221556886229</c:v>
                      </c:pt>
                      <c:pt idx="17" formatCode="General">
                        <c:v>-14.968209580838325</c:v>
                      </c:pt>
                      <c:pt idx="18" formatCode="General">
                        <c:v>-14.134197604790421</c:v>
                      </c:pt>
                      <c:pt idx="19" formatCode="General">
                        <c:v>-13.300185628742518</c:v>
                      </c:pt>
                      <c:pt idx="20" formatCode="General">
                        <c:v>-12.476790419161679</c:v>
                      </c:pt>
                      <c:pt idx="21" formatCode="General">
                        <c:v>-11.737149700598804</c:v>
                      </c:pt>
                      <c:pt idx="22" formatCode="General">
                        <c:v>-10.99750898203593</c:v>
                      </c:pt>
                      <c:pt idx="23" formatCode="General">
                        <c:v>-10.257868263473053</c:v>
                      </c:pt>
                      <c:pt idx="24" formatCode="General">
                        <c:v>-9.5182275449101788</c:v>
                      </c:pt>
                      <c:pt idx="25" formatCode="General">
                        <c:v>-9.2039819819819808</c:v>
                      </c:pt>
                      <c:pt idx="26" formatCode="General">
                        <c:v>-8.9180960960960949</c:v>
                      </c:pt>
                      <c:pt idx="27" formatCode="General">
                        <c:v>-8.632210210210209</c:v>
                      </c:pt>
                      <c:pt idx="28" formatCode="General">
                        <c:v>-8.346324324324323</c:v>
                      </c:pt>
                      <c:pt idx="29" formatCode="General">
                        <c:v>-8.3124431137724546</c:v>
                      </c:pt>
                      <c:pt idx="30" formatCode="General">
                        <c:v>-8.3517245508982043</c:v>
                      </c:pt>
                      <c:pt idx="31" formatCode="General">
                        <c:v>-8.3910059880239523</c:v>
                      </c:pt>
                      <c:pt idx="32" formatCode="General">
                        <c:v>-8.4302874251497002</c:v>
                      </c:pt>
                      <c:pt idx="33" formatCode="General">
                        <c:v>-8.4697125748502984</c:v>
                      </c:pt>
                      <c:pt idx="34" formatCode="General">
                        <c:v>-8.5092335329341307</c:v>
                      </c:pt>
                      <c:pt idx="35" formatCode="General">
                        <c:v>-8.5487544910179629</c:v>
                      </c:pt>
                      <c:pt idx="36" formatCode="General">
                        <c:v>-8.5882754491017952</c:v>
                      </c:pt>
                      <c:pt idx="37" formatCode="General">
                        <c:v>-8.6277964071856292</c:v>
                      </c:pt>
                      <c:pt idx="38" formatCode="General">
                        <c:v>-8.6673173652694615</c:v>
                      </c:pt>
                      <c:pt idx="39" formatCode="General">
                        <c:v>-8.7068383233532938</c:v>
                      </c:pt>
                      <c:pt idx="40" formatCode="General">
                        <c:v>-8.746359281437126</c:v>
                      </c:pt>
                      <c:pt idx="41" formatCode="General">
                        <c:v>-8.7858802395209583</c:v>
                      </c:pt>
                      <c:pt idx="42" formatCode="General">
                        <c:v>-8.8254011976047906</c:v>
                      </c:pt>
                      <c:pt idx="43" formatCode="General">
                        <c:v>-8.8649221556886229</c:v>
                      </c:pt>
                      <c:pt idx="44" formatCode="General">
                        <c:v>-8.9044431137724551</c:v>
                      </c:pt>
                      <c:pt idx="45" formatCode="General">
                        <c:v>-8.9439640718562874</c:v>
                      </c:pt>
                      <c:pt idx="46" formatCode="General">
                        <c:v>-8.9834850299401197</c:v>
                      </c:pt>
                      <c:pt idx="47" formatCode="General">
                        <c:v>-9.0230059880239519</c:v>
                      </c:pt>
                      <c:pt idx="48" formatCode="General">
                        <c:v>-9.0625269461077842</c:v>
                      </c:pt>
                      <c:pt idx="49" formatCode="General">
                        <c:v>-9.1020479041916165</c:v>
                      </c:pt>
                      <c:pt idx="50" formatCode="General">
                        <c:v>-9.140516853932585</c:v>
                      </c:pt>
                      <c:pt idx="51" formatCode="General">
                        <c:v>-9.1788689138576789</c:v>
                      </c:pt>
                      <c:pt idx="52" formatCode="General">
                        <c:v>-9.2172209737827711</c:v>
                      </c:pt>
                      <c:pt idx="53" formatCode="General">
                        <c:v>-9.255573033707865</c:v>
                      </c:pt>
                      <c:pt idx="54" formatCode="General">
                        <c:v>-9.2939250936329589</c:v>
                      </c:pt>
                      <c:pt idx="55" formatCode="General">
                        <c:v>-9.3322771535580529</c:v>
                      </c:pt>
                      <c:pt idx="56" formatCode="General">
                        <c:v>-9.3706292134831468</c:v>
                      </c:pt>
                      <c:pt idx="57" formatCode="General">
                        <c:v>-9.4089812734082408</c:v>
                      </c:pt>
                      <c:pt idx="58" formatCode="General">
                        <c:v>-9.4473333333333329</c:v>
                      </c:pt>
                      <c:pt idx="59" formatCode="General">
                        <c:v>-9.4856853932584269</c:v>
                      </c:pt>
                      <c:pt idx="60" formatCode="General">
                        <c:v>-9.5240374531835208</c:v>
                      </c:pt>
                      <c:pt idx="61" formatCode="General">
                        <c:v>-9.5623895131086147</c:v>
                      </c:pt>
                      <c:pt idx="62" formatCode="General">
                        <c:v>-9.6007415730337087</c:v>
                      </c:pt>
                      <c:pt idx="63" formatCode="General">
                        <c:v>-9.6390936329588026</c:v>
                      </c:pt>
                      <c:pt idx="64" formatCode="General">
                        <c:v>-9.6774456928838966</c:v>
                      </c:pt>
                      <c:pt idx="65" formatCode="General">
                        <c:v>-9.7157977528089887</c:v>
                      </c:pt>
                      <c:pt idx="66" formatCode="General">
                        <c:v>-9.7536913857677909</c:v>
                      </c:pt>
                      <c:pt idx="67" formatCode="General">
                        <c:v>-9.7898861423220982</c:v>
                      </c:pt>
                      <c:pt idx="68" formatCode="General">
                        <c:v>-9.8260808988764055</c:v>
                      </c:pt>
                      <c:pt idx="69" formatCode="General">
                        <c:v>-9.8622756554307127</c:v>
                      </c:pt>
                      <c:pt idx="70" formatCode="General">
                        <c:v>-9.89847041198502</c:v>
                      </c:pt>
                      <c:pt idx="71" formatCode="General">
                        <c:v>-9.9346651685393255</c:v>
                      </c:pt>
                      <c:pt idx="72" formatCode="General">
                        <c:v>-9.9708599250936327</c:v>
                      </c:pt>
                      <c:pt idx="73" formatCode="General">
                        <c:v>-10.00705468164794</c:v>
                      </c:pt>
                      <c:pt idx="74" formatCode="General">
                        <c:v>-10.043249438202247</c:v>
                      </c:pt>
                      <c:pt idx="75" formatCode="General">
                        <c:v>-10.079444194756555</c:v>
                      </c:pt>
                      <c:pt idx="76" formatCode="General">
                        <c:v>-10.115638951310862</c:v>
                      </c:pt>
                      <c:pt idx="77" formatCode="General">
                        <c:v>-10.151833707865169</c:v>
                      </c:pt>
                      <c:pt idx="78" formatCode="General">
                        <c:v>-10.188028464419476</c:v>
                      </c:pt>
                      <c:pt idx="79" formatCode="General">
                        <c:v>-10.224223220973784</c:v>
                      </c:pt>
                      <c:pt idx="80" formatCode="General">
                        <c:v>-10.260417977528089</c:v>
                      </c:pt>
                      <c:pt idx="81" formatCode="General">
                        <c:v>-10.296612734082396</c:v>
                      </c:pt>
                      <c:pt idx="82" formatCode="General">
                        <c:v>-10.332807490636704</c:v>
                      </c:pt>
                      <c:pt idx="83" formatCode="General">
                        <c:v>-10.368107784431137</c:v>
                      </c:pt>
                      <c:pt idx="84" formatCode="General">
                        <c:v>-10.402598802395209</c:v>
                      </c:pt>
                      <c:pt idx="85" formatCode="General">
                        <c:v>-10.437089820359281</c:v>
                      </c:pt>
                      <c:pt idx="86" formatCode="General">
                        <c:v>-10.471580838323353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E-022F-4A2F-976F-7C3C2CD148C5}"/>
                  </c:ext>
                </c:extLst>
              </c15:ser>
            </c15:filteredScatterSeries>
            <c15:filteredScatterSeries>
              <c15:ser>
                <c:idx val="7"/>
                <c:order val="9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306</c:v>
                      </c:pt>
                      <c:pt idx="1">
                        <c:v>314</c:v>
                      </c:pt>
                      <c:pt idx="2">
                        <c:v>322</c:v>
                      </c:pt>
                      <c:pt idx="3">
                        <c:v>330</c:v>
                      </c:pt>
                      <c:pt idx="4">
                        <c:v>338</c:v>
                      </c:pt>
                      <c:pt idx="5">
                        <c:v>346</c:v>
                      </c:pt>
                      <c:pt idx="6">
                        <c:v>354</c:v>
                      </c:pt>
                      <c:pt idx="7">
                        <c:v>362</c:v>
                      </c:pt>
                      <c:pt idx="8">
                        <c:v>370</c:v>
                      </c:pt>
                      <c:pt idx="9">
                        <c:v>378</c:v>
                      </c:pt>
                      <c:pt idx="10">
                        <c:v>386</c:v>
                      </c:pt>
                      <c:pt idx="11">
                        <c:v>394</c:v>
                      </c:pt>
                      <c:pt idx="12">
                        <c:v>402</c:v>
                      </c:pt>
                      <c:pt idx="13">
                        <c:v>410</c:v>
                      </c:pt>
                      <c:pt idx="14">
                        <c:v>418</c:v>
                      </c:pt>
                      <c:pt idx="15">
                        <c:v>426</c:v>
                      </c:pt>
                      <c:pt idx="16">
                        <c:v>434</c:v>
                      </c:pt>
                      <c:pt idx="17">
                        <c:v>442</c:v>
                      </c:pt>
                      <c:pt idx="18">
                        <c:v>450</c:v>
                      </c:pt>
                      <c:pt idx="19">
                        <c:v>458</c:v>
                      </c:pt>
                      <c:pt idx="20">
                        <c:v>466</c:v>
                      </c:pt>
                      <c:pt idx="21">
                        <c:v>474</c:v>
                      </c:pt>
                      <c:pt idx="22">
                        <c:v>482</c:v>
                      </c:pt>
                      <c:pt idx="23">
                        <c:v>490</c:v>
                      </c:pt>
                      <c:pt idx="24">
                        <c:v>498</c:v>
                      </c:pt>
                      <c:pt idx="25">
                        <c:v>506</c:v>
                      </c:pt>
                      <c:pt idx="26">
                        <c:v>514</c:v>
                      </c:pt>
                      <c:pt idx="27">
                        <c:v>522</c:v>
                      </c:pt>
                      <c:pt idx="28">
                        <c:v>530</c:v>
                      </c:pt>
                      <c:pt idx="29">
                        <c:v>538</c:v>
                      </c:pt>
                      <c:pt idx="30">
                        <c:v>546</c:v>
                      </c:pt>
                      <c:pt idx="31">
                        <c:v>554</c:v>
                      </c:pt>
                      <c:pt idx="32">
                        <c:v>562</c:v>
                      </c:pt>
                      <c:pt idx="33">
                        <c:v>570</c:v>
                      </c:pt>
                      <c:pt idx="34">
                        <c:v>578</c:v>
                      </c:pt>
                      <c:pt idx="35">
                        <c:v>586</c:v>
                      </c:pt>
                      <c:pt idx="36">
                        <c:v>594</c:v>
                      </c:pt>
                      <c:pt idx="37">
                        <c:v>602</c:v>
                      </c:pt>
                      <c:pt idx="38">
                        <c:v>610</c:v>
                      </c:pt>
                      <c:pt idx="39">
                        <c:v>618</c:v>
                      </c:pt>
                      <c:pt idx="40">
                        <c:v>626</c:v>
                      </c:pt>
                      <c:pt idx="41">
                        <c:v>634</c:v>
                      </c:pt>
                      <c:pt idx="42">
                        <c:v>642</c:v>
                      </c:pt>
                      <c:pt idx="43">
                        <c:v>650</c:v>
                      </c:pt>
                      <c:pt idx="44">
                        <c:v>658</c:v>
                      </c:pt>
                      <c:pt idx="45">
                        <c:v>666</c:v>
                      </c:pt>
                      <c:pt idx="46">
                        <c:v>674</c:v>
                      </c:pt>
                      <c:pt idx="47">
                        <c:v>682</c:v>
                      </c:pt>
                      <c:pt idx="48">
                        <c:v>690</c:v>
                      </c:pt>
                      <c:pt idx="49">
                        <c:v>698</c:v>
                      </c:pt>
                      <c:pt idx="50">
                        <c:v>706</c:v>
                      </c:pt>
                      <c:pt idx="51">
                        <c:v>714</c:v>
                      </c:pt>
                      <c:pt idx="52">
                        <c:v>722</c:v>
                      </c:pt>
                      <c:pt idx="53">
                        <c:v>730</c:v>
                      </c:pt>
                      <c:pt idx="54">
                        <c:v>738</c:v>
                      </c:pt>
                      <c:pt idx="55">
                        <c:v>746</c:v>
                      </c:pt>
                      <c:pt idx="56">
                        <c:v>754</c:v>
                      </c:pt>
                      <c:pt idx="57">
                        <c:v>762</c:v>
                      </c:pt>
                      <c:pt idx="58">
                        <c:v>770</c:v>
                      </c:pt>
                      <c:pt idx="59">
                        <c:v>778</c:v>
                      </c:pt>
                      <c:pt idx="60">
                        <c:v>786</c:v>
                      </c:pt>
                      <c:pt idx="61">
                        <c:v>794</c:v>
                      </c:pt>
                      <c:pt idx="62">
                        <c:v>802</c:v>
                      </c:pt>
                      <c:pt idx="63">
                        <c:v>810</c:v>
                      </c:pt>
                      <c:pt idx="64">
                        <c:v>818</c:v>
                      </c:pt>
                      <c:pt idx="65">
                        <c:v>826</c:v>
                      </c:pt>
                      <c:pt idx="66">
                        <c:v>834</c:v>
                      </c:pt>
                      <c:pt idx="67">
                        <c:v>842</c:v>
                      </c:pt>
                      <c:pt idx="68">
                        <c:v>850</c:v>
                      </c:pt>
                      <c:pt idx="69">
                        <c:v>858</c:v>
                      </c:pt>
                      <c:pt idx="70">
                        <c:v>866</c:v>
                      </c:pt>
                      <c:pt idx="71">
                        <c:v>874</c:v>
                      </c:pt>
                      <c:pt idx="72">
                        <c:v>882</c:v>
                      </c:pt>
                      <c:pt idx="73">
                        <c:v>890</c:v>
                      </c:pt>
                      <c:pt idx="74">
                        <c:v>898</c:v>
                      </c:pt>
                      <c:pt idx="75">
                        <c:v>906</c:v>
                      </c:pt>
                      <c:pt idx="76">
                        <c:v>914</c:v>
                      </c:pt>
                      <c:pt idx="77">
                        <c:v>922</c:v>
                      </c:pt>
                      <c:pt idx="78">
                        <c:v>930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EVALUATION!$B$110:$CP$110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-15.118108108108107</c:v>
                      </c:pt>
                      <c:pt idx="1">
                        <c:v>-14.88027027027027</c:v>
                      </c:pt>
                      <c:pt idx="2">
                        <c:v>-14.642432432432432</c:v>
                      </c:pt>
                      <c:pt idx="3">
                        <c:v>-14.404594594594593</c:v>
                      </c:pt>
                      <c:pt idx="4" formatCode="General">
                        <c:v>-13.959101796407184</c:v>
                      </c:pt>
                      <c:pt idx="5" formatCode="General">
                        <c:v>-13.46568862275449</c:v>
                      </c:pt>
                      <c:pt idx="6" formatCode="General">
                        <c:v>-12.972275449101796</c:v>
                      </c:pt>
                      <c:pt idx="7" formatCode="General">
                        <c:v>-12.478862275449101</c:v>
                      </c:pt>
                      <c:pt idx="8" formatCode="General">
                        <c:v>-11.950329341317365</c:v>
                      </c:pt>
                      <c:pt idx="9" formatCode="General">
                        <c:v>-11.40182634730539</c:v>
                      </c:pt>
                      <c:pt idx="10" formatCode="General">
                        <c:v>-10.853323353293414</c:v>
                      </c:pt>
                      <c:pt idx="11" formatCode="General">
                        <c:v>-10.304820359281438</c:v>
                      </c:pt>
                      <c:pt idx="12" formatCode="General">
                        <c:v>-9.7896616766467073</c:v>
                      </c:pt>
                      <c:pt idx="13" formatCode="General">
                        <c:v>-9.3132544910179647</c:v>
                      </c:pt>
                      <c:pt idx="14" formatCode="General">
                        <c:v>-8.836847305389222</c:v>
                      </c:pt>
                      <c:pt idx="15" formatCode="General">
                        <c:v>-8.3604401197604794</c:v>
                      </c:pt>
                      <c:pt idx="16" formatCode="General">
                        <c:v>-7.9011107784431145</c:v>
                      </c:pt>
                      <c:pt idx="17" formatCode="General">
                        <c:v>-7.4841047904191624</c:v>
                      </c:pt>
                      <c:pt idx="18" formatCode="General">
                        <c:v>-7.0670988023952104</c:v>
                      </c:pt>
                      <c:pt idx="19" formatCode="General">
                        <c:v>-6.6500928143712592</c:v>
                      </c:pt>
                      <c:pt idx="20" formatCode="General">
                        <c:v>-6.2383952095808395</c:v>
                      </c:pt>
                      <c:pt idx="21" formatCode="General">
                        <c:v>-5.8685748502994022</c:v>
                      </c:pt>
                      <c:pt idx="22" formatCode="General">
                        <c:v>-5.4987544910179649</c:v>
                      </c:pt>
                      <c:pt idx="23" formatCode="General">
                        <c:v>-5.1289341317365267</c:v>
                      </c:pt>
                      <c:pt idx="24" formatCode="General">
                        <c:v>-4.7591137724550894</c:v>
                      </c:pt>
                      <c:pt idx="25" formatCode="General">
                        <c:v>-4.6019909909909904</c:v>
                      </c:pt>
                      <c:pt idx="26" formatCode="General">
                        <c:v>-4.4590480480480474</c:v>
                      </c:pt>
                      <c:pt idx="27" formatCode="General">
                        <c:v>-4.3161051051051045</c:v>
                      </c:pt>
                      <c:pt idx="28" formatCode="General">
                        <c:v>-4.1731621621621615</c:v>
                      </c:pt>
                      <c:pt idx="29" formatCode="General">
                        <c:v>-4.1562215568862273</c:v>
                      </c:pt>
                      <c:pt idx="30" formatCode="General">
                        <c:v>-4.1758622754491022</c:v>
                      </c:pt>
                      <c:pt idx="31" formatCode="General">
                        <c:v>-4.1955029940119761</c:v>
                      </c:pt>
                      <c:pt idx="32" formatCode="General">
                        <c:v>-4.2151437125748501</c:v>
                      </c:pt>
                      <c:pt idx="33" formatCode="General">
                        <c:v>-4.2348562874251492</c:v>
                      </c:pt>
                      <c:pt idx="34" formatCode="General">
                        <c:v>-4.2546167664670653</c:v>
                      </c:pt>
                      <c:pt idx="35" formatCode="General">
                        <c:v>-4.2743772455089815</c:v>
                      </c:pt>
                      <c:pt idx="36" formatCode="General">
                        <c:v>-4.2941377245508976</c:v>
                      </c:pt>
                      <c:pt idx="37" formatCode="General">
                        <c:v>-4.3138982035928146</c:v>
                      </c:pt>
                      <c:pt idx="38" formatCode="General">
                        <c:v>-4.3336586826347308</c:v>
                      </c:pt>
                      <c:pt idx="39" formatCode="General">
                        <c:v>-4.3534191616766469</c:v>
                      </c:pt>
                      <c:pt idx="40" formatCode="General">
                        <c:v>-4.373179640718563</c:v>
                      </c:pt>
                      <c:pt idx="41" formatCode="General">
                        <c:v>-4.3929401197604792</c:v>
                      </c:pt>
                      <c:pt idx="42" formatCode="General">
                        <c:v>-4.4127005988023953</c:v>
                      </c:pt>
                      <c:pt idx="43" formatCode="General">
                        <c:v>-4.4324610778443114</c:v>
                      </c:pt>
                      <c:pt idx="44" formatCode="General">
                        <c:v>-4.4522215568862276</c:v>
                      </c:pt>
                      <c:pt idx="45" formatCode="General">
                        <c:v>-4.4719820359281437</c:v>
                      </c:pt>
                      <c:pt idx="46" formatCode="General">
                        <c:v>-4.4917425149700598</c:v>
                      </c:pt>
                      <c:pt idx="47" formatCode="General">
                        <c:v>-4.511502994011976</c:v>
                      </c:pt>
                      <c:pt idx="48" formatCode="General">
                        <c:v>-4.5312634730538921</c:v>
                      </c:pt>
                      <c:pt idx="49" formatCode="General">
                        <c:v>-4.5510239520958082</c:v>
                      </c:pt>
                      <c:pt idx="50" formatCode="General">
                        <c:v>-4.5702584269662925</c:v>
                      </c:pt>
                      <c:pt idx="51" formatCode="General">
                        <c:v>-4.5894344569288394</c:v>
                      </c:pt>
                      <c:pt idx="52" formatCode="General">
                        <c:v>-4.6086104868913855</c:v>
                      </c:pt>
                      <c:pt idx="53" formatCode="General">
                        <c:v>-4.6277865168539325</c:v>
                      </c:pt>
                      <c:pt idx="54" formatCode="General">
                        <c:v>-4.6469625468164795</c:v>
                      </c:pt>
                      <c:pt idx="55" formatCode="General">
                        <c:v>-4.6661385767790264</c:v>
                      </c:pt>
                      <c:pt idx="56" formatCode="General">
                        <c:v>-4.6853146067415734</c:v>
                      </c:pt>
                      <c:pt idx="57" formatCode="General">
                        <c:v>-4.7044906367041204</c:v>
                      </c:pt>
                      <c:pt idx="58" formatCode="General">
                        <c:v>-4.7236666666666665</c:v>
                      </c:pt>
                      <c:pt idx="59" formatCode="General">
                        <c:v>-4.7428426966292134</c:v>
                      </c:pt>
                      <c:pt idx="60" formatCode="General">
                        <c:v>-4.7620187265917604</c:v>
                      </c:pt>
                      <c:pt idx="61" formatCode="General">
                        <c:v>-4.7811947565543074</c:v>
                      </c:pt>
                      <c:pt idx="62" formatCode="General">
                        <c:v>-4.8003707865168543</c:v>
                      </c:pt>
                      <c:pt idx="63" formatCode="General">
                        <c:v>-4.8195468164794013</c:v>
                      </c:pt>
                      <c:pt idx="64" formatCode="General">
                        <c:v>-4.8387228464419483</c:v>
                      </c:pt>
                      <c:pt idx="65" formatCode="General">
                        <c:v>-4.8578988764044944</c:v>
                      </c:pt>
                      <c:pt idx="66" formatCode="General">
                        <c:v>-4.8768456928838955</c:v>
                      </c:pt>
                      <c:pt idx="67" formatCode="General">
                        <c:v>-4.8949430711610491</c:v>
                      </c:pt>
                      <c:pt idx="68" formatCode="General">
                        <c:v>-4.9130404494382027</c:v>
                      </c:pt>
                      <c:pt idx="69" formatCode="General">
                        <c:v>-4.9311378277153564</c:v>
                      </c:pt>
                      <c:pt idx="70" formatCode="General">
                        <c:v>-4.94923520599251</c:v>
                      </c:pt>
                      <c:pt idx="71" formatCode="General">
                        <c:v>-4.9673325842696627</c:v>
                      </c:pt>
                      <c:pt idx="72" formatCode="General">
                        <c:v>-4.9854299625468164</c:v>
                      </c:pt>
                      <c:pt idx="73" formatCode="General">
                        <c:v>-5.00352734082397</c:v>
                      </c:pt>
                      <c:pt idx="74" formatCode="General">
                        <c:v>-5.0216247191011236</c:v>
                      </c:pt>
                      <c:pt idx="75" formatCode="General">
                        <c:v>-5.0397220973782773</c:v>
                      </c:pt>
                      <c:pt idx="76" formatCode="General">
                        <c:v>-5.0578194756554309</c:v>
                      </c:pt>
                      <c:pt idx="77" formatCode="General">
                        <c:v>-5.0759168539325845</c:v>
                      </c:pt>
                      <c:pt idx="78" formatCode="General">
                        <c:v>-5.0940142322097381</c:v>
                      </c:pt>
                      <c:pt idx="79" formatCode="General">
                        <c:v>-5.1121116104868918</c:v>
                      </c:pt>
                      <c:pt idx="80" formatCode="General">
                        <c:v>-5.1302089887640445</c:v>
                      </c:pt>
                      <c:pt idx="81" formatCode="General">
                        <c:v>-5.1483063670411982</c:v>
                      </c:pt>
                      <c:pt idx="82" formatCode="General">
                        <c:v>-5.1664037453183518</c:v>
                      </c:pt>
                      <c:pt idx="83" formatCode="General">
                        <c:v>-5.1840538922155686</c:v>
                      </c:pt>
                      <c:pt idx="84" formatCode="General">
                        <c:v>-5.2012994011976046</c:v>
                      </c:pt>
                      <c:pt idx="85" formatCode="General">
                        <c:v>-5.2185449101796406</c:v>
                      </c:pt>
                      <c:pt idx="86" formatCode="General">
                        <c:v>-5.2357904191616766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F-022F-4A2F-976F-7C3C2CD148C5}"/>
                  </c:ext>
                </c:extLst>
              </c15:ser>
            </c15:filteredScatterSeries>
            <c15:filteredScatterSeries>
              <c15:ser>
                <c:idx val="8"/>
                <c:order val="10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306</c:v>
                      </c:pt>
                      <c:pt idx="1">
                        <c:v>314</c:v>
                      </c:pt>
                      <c:pt idx="2">
                        <c:v>322</c:v>
                      </c:pt>
                      <c:pt idx="3">
                        <c:v>330</c:v>
                      </c:pt>
                      <c:pt idx="4">
                        <c:v>338</c:v>
                      </c:pt>
                      <c:pt idx="5">
                        <c:v>346</c:v>
                      </c:pt>
                      <c:pt idx="6">
                        <c:v>354</c:v>
                      </c:pt>
                      <c:pt idx="7">
                        <c:v>362</c:v>
                      </c:pt>
                      <c:pt idx="8">
                        <c:v>370</c:v>
                      </c:pt>
                      <c:pt idx="9">
                        <c:v>378</c:v>
                      </c:pt>
                      <c:pt idx="10">
                        <c:v>386</c:v>
                      </c:pt>
                      <c:pt idx="11">
                        <c:v>394</c:v>
                      </c:pt>
                      <c:pt idx="12">
                        <c:v>402</c:v>
                      </c:pt>
                      <c:pt idx="13">
                        <c:v>410</c:v>
                      </c:pt>
                      <c:pt idx="14">
                        <c:v>418</c:v>
                      </c:pt>
                      <c:pt idx="15">
                        <c:v>426</c:v>
                      </c:pt>
                      <c:pt idx="16">
                        <c:v>434</c:v>
                      </c:pt>
                      <c:pt idx="17">
                        <c:v>442</c:v>
                      </c:pt>
                      <c:pt idx="18">
                        <c:v>450</c:v>
                      </c:pt>
                      <c:pt idx="19">
                        <c:v>458</c:v>
                      </c:pt>
                      <c:pt idx="20">
                        <c:v>466</c:v>
                      </c:pt>
                      <c:pt idx="21">
                        <c:v>474</c:v>
                      </c:pt>
                      <c:pt idx="22">
                        <c:v>482</c:v>
                      </c:pt>
                      <c:pt idx="23">
                        <c:v>490</c:v>
                      </c:pt>
                      <c:pt idx="24">
                        <c:v>498</c:v>
                      </c:pt>
                      <c:pt idx="25">
                        <c:v>506</c:v>
                      </c:pt>
                      <c:pt idx="26">
                        <c:v>514</c:v>
                      </c:pt>
                      <c:pt idx="27">
                        <c:v>522</c:v>
                      </c:pt>
                      <c:pt idx="28">
                        <c:v>530</c:v>
                      </c:pt>
                      <c:pt idx="29">
                        <c:v>538</c:v>
                      </c:pt>
                      <c:pt idx="30">
                        <c:v>546</c:v>
                      </c:pt>
                      <c:pt idx="31">
                        <c:v>554</c:v>
                      </c:pt>
                      <c:pt idx="32">
                        <c:v>562</c:v>
                      </c:pt>
                      <c:pt idx="33">
                        <c:v>570</c:v>
                      </c:pt>
                      <c:pt idx="34">
                        <c:v>578</c:v>
                      </c:pt>
                      <c:pt idx="35">
                        <c:v>586</c:v>
                      </c:pt>
                      <c:pt idx="36">
                        <c:v>594</c:v>
                      </c:pt>
                      <c:pt idx="37">
                        <c:v>602</c:v>
                      </c:pt>
                      <c:pt idx="38">
                        <c:v>610</c:v>
                      </c:pt>
                      <c:pt idx="39">
                        <c:v>618</c:v>
                      </c:pt>
                      <c:pt idx="40">
                        <c:v>626</c:v>
                      </c:pt>
                      <c:pt idx="41">
                        <c:v>634</c:v>
                      </c:pt>
                      <c:pt idx="42">
                        <c:v>642</c:v>
                      </c:pt>
                      <c:pt idx="43">
                        <c:v>650</c:v>
                      </c:pt>
                      <c:pt idx="44">
                        <c:v>658</c:v>
                      </c:pt>
                      <c:pt idx="45">
                        <c:v>666</c:v>
                      </c:pt>
                      <c:pt idx="46">
                        <c:v>674</c:v>
                      </c:pt>
                      <c:pt idx="47">
                        <c:v>682</c:v>
                      </c:pt>
                      <c:pt idx="48">
                        <c:v>690</c:v>
                      </c:pt>
                      <c:pt idx="49">
                        <c:v>698</c:v>
                      </c:pt>
                      <c:pt idx="50">
                        <c:v>706</c:v>
                      </c:pt>
                      <c:pt idx="51">
                        <c:v>714</c:v>
                      </c:pt>
                      <c:pt idx="52">
                        <c:v>722</c:v>
                      </c:pt>
                      <c:pt idx="53">
                        <c:v>730</c:v>
                      </c:pt>
                      <c:pt idx="54">
                        <c:v>738</c:v>
                      </c:pt>
                      <c:pt idx="55">
                        <c:v>746</c:v>
                      </c:pt>
                      <c:pt idx="56">
                        <c:v>754</c:v>
                      </c:pt>
                      <c:pt idx="57">
                        <c:v>762</c:v>
                      </c:pt>
                      <c:pt idx="58">
                        <c:v>770</c:v>
                      </c:pt>
                      <c:pt idx="59">
                        <c:v>778</c:v>
                      </c:pt>
                      <c:pt idx="60">
                        <c:v>786</c:v>
                      </c:pt>
                      <c:pt idx="61">
                        <c:v>794</c:v>
                      </c:pt>
                      <c:pt idx="62">
                        <c:v>802</c:v>
                      </c:pt>
                      <c:pt idx="63">
                        <c:v>810</c:v>
                      </c:pt>
                      <c:pt idx="64">
                        <c:v>818</c:v>
                      </c:pt>
                      <c:pt idx="65">
                        <c:v>826</c:v>
                      </c:pt>
                      <c:pt idx="66">
                        <c:v>834</c:v>
                      </c:pt>
                      <c:pt idx="67">
                        <c:v>842</c:v>
                      </c:pt>
                      <c:pt idx="68">
                        <c:v>850</c:v>
                      </c:pt>
                      <c:pt idx="69">
                        <c:v>858</c:v>
                      </c:pt>
                      <c:pt idx="70">
                        <c:v>866</c:v>
                      </c:pt>
                      <c:pt idx="71">
                        <c:v>874</c:v>
                      </c:pt>
                      <c:pt idx="72">
                        <c:v>882</c:v>
                      </c:pt>
                      <c:pt idx="73">
                        <c:v>890</c:v>
                      </c:pt>
                      <c:pt idx="74">
                        <c:v>898</c:v>
                      </c:pt>
                      <c:pt idx="75">
                        <c:v>906</c:v>
                      </c:pt>
                      <c:pt idx="76">
                        <c:v>914</c:v>
                      </c:pt>
                      <c:pt idx="77">
                        <c:v>922</c:v>
                      </c:pt>
                      <c:pt idx="78">
                        <c:v>930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EVALUATION!$B$111:$CP$111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-19.022342342342341</c:v>
                      </c:pt>
                      <c:pt idx="1">
                        <c:v>-19.024744744744744</c:v>
                      </c:pt>
                      <c:pt idx="2">
                        <c:v>-19.027147147147147</c:v>
                      </c:pt>
                      <c:pt idx="3">
                        <c:v>-19.02954954954955</c:v>
                      </c:pt>
                      <c:pt idx="4" formatCode="General">
                        <c:v>-19.035838323353293</c:v>
                      </c:pt>
                      <c:pt idx="5" formatCode="General">
                        <c:v>-19.043023952095808</c:v>
                      </c:pt>
                      <c:pt idx="6" formatCode="General">
                        <c:v>-19.050209580838324</c:v>
                      </c:pt>
                      <c:pt idx="7" formatCode="General">
                        <c:v>-19.057395209580836</c:v>
                      </c:pt>
                      <c:pt idx="8" formatCode="General">
                        <c:v>-19.06763473053892</c:v>
                      </c:pt>
                      <c:pt idx="9" formatCode="General">
                        <c:v>-19.079610778443111</c:v>
                      </c:pt>
                      <c:pt idx="10" formatCode="General">
                        <c:v>-19.091586826347303</c:v>
                      </c:pt>
                      <c:pt idx="11" formatCode="General">
                        <c:v>-19.103562874251498</c:v>
                      </c:pt>
                      <c:pt idx="12" formatCode="General">
                        <c:v>-19.116646706586828</c:v>
                      </c:pt>
                      <c:pt idx="13" formatCode="General">
                        <c:v>-19.131017964071855</c:v>
                      </c:pt>
                      <c:pt idx="14" formatCode="General">
                        <c:v>-19.145389221556886</c:v>
                      </c:pt>
                      <c:pt idx="15" formatCode="General">
                        <c:v>-19.159760479041918</c:v>
                      </c:pt>
                      <c:pt idx="16" formatCode="General">
                        <c:v>-19.174131736526949</c:v>
                      </c:pt>
                      <c:pt idx="17" formatCode="General">
                        <c:v>-19.188502994011976</c:v>
                      </c:pt>
                      <c:pt idx="18" formatCode="General">
                        <c:v>-19.202874251497008</c:v>
                      </c:pt>
                      <c:pt idx="19" formatCode="General">
                        <c:v>-19.217245508982035</c:v>
                      </c:pt>
                      <c:pt idx="20" formatCode="General">
                        <c:v>-19.231886227544912</c:v>
                      </c:pt>
                      <c:pt idx="21" formatCode="General">
                        <c:v>-19.248652694610779</c:v>
                      </c:pt>
                      <c:pt idx="22" formatCode="General">
                        <c:v>-19.265419161676647</c:v>
                      </c:pt>
                      <c:pt idx="23" formatCode="General">
                        <c:v>-19.282185628742514</c:v>
                      </c:pt>
                      <c:pt idx="24" formatCode="General">
                        <c:v>-19.298952095808385</c:v>
                      </c:pt>
                      <c:pt idx="25" formatCode="General">
                        <c:v>-19.2481981981982</c:v>
                      </c:pt>
                      <c:pt idx="26" formatCode="General">
                        <c:v>-19.192942942942942</c:v>
                      </c:pt>
                      <c:pt idx="27" formatCode="General">
                        <c:v>-19.137687687687688</c:v>
                      </c:pt>
                      <c:pt idx="28" formatCode="General">
                        <c:v>-19.082432432432434</c:v>
                      </c:pt>
                      <c:pt idx="29" formatCode="General">
                        <c:v>-19.062574850299402</c:v>
                      </c:pt>
                      <c:pt idx="30" formatCode="General">
                        <c:v>-19.052994011976047</c:v>
                      </c:pt>
                      <c:pt idx="31" formatCode="General">
                        <c:v>-19.043413173652695</c:v>
                      </c:pt>
                      <c:pt idx="32" formatCode="General">
                        <c:v>-19.033832335329343</c:v>
                      </c:pt>
                      <c:pt idx="33" formatCode="General">
                        <c:v>-19.040059880239522</c:v>
                      </c:pt>
                      <c:pt idx="34" formatCode="General">
                        <c:v>-19.056826347305389</c:v>
                      </c:pt>
                      <c:pt idx="35" formatCode="General">
                        <c:v>-19.07359281437126</c:v>
                      </c:pt>
                      <c:pt idx="36" formatCode="General">
                        <c:v>-19.090359281437127</c:v>
                      </c:pt>
                      <c:pt idx="37" formatCode="General">
                        <c:v>-19.107125748502995</c:v>
                      </c:pt>
                      <c:pt idx="38" formatCode="General">
                        <c:v>-19.123892215568862</c:v>
                      </c:pt>
                      <c:pt idx="39" formatCode="General">
                        <c:v>-19.140658682634729</c:v>
                      </c:pt>
                      <c:pt idx="40" formatCode="General">
                        <c:v>-19.1574251497006</c:v>
                      </c:pt>
                      <c:pt idx="41" formatCode="General">
                        <c:v>-19.174191616766468</c:v>
                      </c:pt>
                      <c:pt idx="42" formatCode="General">
                        <c:v>-19.190958083832335</c:v>
                      </c:pt>
                      <c:pt idx="43" formatCode="General">
                        <c:v>-19.207724550898202</c:v>
                      </c:pt>
                      <c:pt idx="44" formatCode="General">
                        <c:v>-19.22449101796407</c:v>
                      </c:pt>
                      <c:pt idx="45" formatCode="General">
                        <c:v>-19.241257485029941</c:v>
                      </c:pt>
                      <c:pt idx="46" formatCode="General">
                        <c:v>-19.258023952095808</c:v>
                      </c:pt>
                      <c:pt idx="47" formatCode="General">
                        <c:v>-19.274790419161675</c:v>
                      </c:pt>
                      <c:pt idx="48" formatCode="General">
                        <c:v>-19.291556886227543</c:v>
                      </c:pt>
                      <c:pt idx="49" formatCode="General">
                        <c:v>-19.30832335329341</c:v>
                      </c:pt>
                      <c:pt idx="50" formatCode="General">
                        <c:v>-19.324022471910112</c:v>
                      </c:pt>
                      <c:pt idx="51" formatCode="General">
                        <c:v>-19.33960299625468</c:v>
                      </c:pt>
                      <c:pt idx="52" formatCode="General">
                        <c:v>-19.355183520599251</c:v>
                      </c:pt>
                      <c:pt idx="53" formatCode="General">
                        <c:v>-19.370764044943819</c:v>
                      </c:pt>
                      <c:pt idx="54" formatCode="General">
                        <c:v>-19.38634456928839</c:v>
                      </c:pt>
                      <c:pt idx="55" formatCode="General">
                        <c:v>-19.401925093632958</c:v>
                      </c:pt>
                      <c:pt idx="56" formatCode="General">
                        <c:v>-19.417505617977529</c:v>
                      </c:pt>
                      <c:pt idx="57" formatCode="General">
                        <c:v>-19.433086142322097</c:v>
                      </c:pt>
                      <c:pt idx="58" formatCode="General">
                        <c:v>-19.448666666666668</c:v>
                      </c:pt>
                      <c:pt idx="59" formatCode="General">
                        <c:v>-19.464247191011236</c:v>
                      </c:pt>
                      <c:pt idx="60" formatCode="General">
                        <c:v>-19.479827715355807</c:v>
                      </c:pt>
                      <c:pt idx="61" formatCode="General">
                        <c:v>-19.495408239700375</c:v>
                      </c:pt>
                      <c:pt idx="62" formatCode="General">
                        <c:v>-19.510988764044942</c:v>
                      </c:pt>
                      <c:pt idx="63" formatCode="General">
                        <c:v>-19.526569288389513</c:v>
                      </c:pt>
                      <c:pt idx="64" formatCode="General">
                        <c:v>-19.542149812734081</c:v>
                      </c:pt>
                      <c:pt idx="65" formatCode="General">
                        <c:v>-19.557730337078652</c:v>
                      </c:pt>
                      <c:pt idx="66" formatCode="General">
                        <c:v>-19.573183520599251</c:v>
                      </c:pt>
                      <c:pt idx="67" formatCode="General">
                        <c:v>-19.58816479400749</c:v>
                      </c:pt>
                      <c:pt idx="68" formatCode="General">
                        <c:v>-19.603146067415732</c:v>
                      </c:pt>
                      <c:pt idx="69" formatCode="General">
                        <c:v>-19.618127340823971</c:v>
                      </c:pt>
                      <c:pt idx="70" formatCode="General">
                        <c:v>-19.63310861423221</c:v>
                      </c:pt>
                      <c:pt idx="71" formatCode="General">
                        <c:v>-19.648089887640449</c:v>
                      </c:pt>
                      <c:pt idx="72" formatCode="General">
                        <c:v>-19.663071161048691</c:v>
                      </c:pt>
                      <c:pt idx="73" formatCode="General">
                        <c:v>-19.67805243445693</c:v>
                      </c:pt>
                      <c:pt idx="74" formatCode="General">
                        <c:v>-19.693033707865169</c:v>
                      </c:pt>
                      <c:pt idx="75" formatCode="General">
                        <c:v>-19.708014981273408</c:v>
                      </c:pt>
                      <c:pt idx="76" formatCode="General">
                        <c:v>-19.722996254681647</c:v>
                      </c:pt>
                      <c:pt idx="77" formatCode="General">
                        <c:v>-19.737977528089889</c:v>
                      </c:pt>
                      <c:pt idx="78" formatCode="General">
                        <c:v>-19.752958801498128</c:v>
                      </c:pt>
                      <c:pt idx="79" formatCode="General">
                        <c:v>-19.767940074906367</c:v>
                      </c:pt>
                      <c:pt idx="80" formatCode="General">
                        <c:v>-19.782921348314606</c:v>
                      </c:pt>
                      <c:pt idx="81" formatCode="General">
                        <c:v>-19.797902621722848</c:v>
                      </c:pt>
                      <c:pt idx="82" formatCode="General">
                        <c:v>-19.812883895131087</c:v>
                      </c:pt>
                      <c:pt idx="83" formatCode="General">
                        <c:v>-19.82754491017964</c:v>
                      </c:pt>
                      <c:pt idx="84" formatCode="General">
                        <c:v>-19.841916167664671</c:v>
                      </c:pt>
                      <c:pt idx="85" formatCode="General">
                        <c:v>-19.856287425149699</c:v>
                      </c:pt>
                      <c:pt idx="86" formatCode="General">
                        <c:v>-19.87065868263473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0-022F-4A2F-976F-7C3C2CD148C5}"/>
                  </c:ext>
                </c:extLst>
              </c15:ser>
            </c15:filteredScatterSeries>
            <c15:filteredScatterSeries>
              <c15:ser>
                <c:idx val="9"/>
                <c:order val="11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306</c:v>
                      </c:pt>
                      <c:pt idx="1">
                        <c:v>314</c:v>
                      </c:pt>
                      <c:pt idx="2">
                        <c:v>322</c:v>
                      </c:pt>
                      <c:pt idx="3">
                        <c:v>330</c:v>
                      </c:pt>
                      <c:pt idx="4">
                        <c:v>338</c:v>
                      </c:pt>
                      <c:pt idx="5">
                        <c:v>346</c:v>
                      </c:pt>
                      <c:pt idx="6">
                        <c:v>354</c:v>
                      </c:pt>
                      <c:pt idx="7">
                        <c:v>362</c:v>
                      </c:pt>
                      <c:pt idx="8">
                        <c:v>370</c:v>
                      </c:pt>
                      <c:pt idx="9">
                        <c:v>378</c:v>
                      </c:pt>
                      <c:pt idx="10">
                        <c:v>386</c:v>
                      </c:pt>
                      <c:pt idx="11">
                        <c:v>394</c:v>
                      </c:pt>
                      <c:pt idx="12">
                        <c:v>402</c:v>
                      </c:pt>
                      <c:pt idx="13">
                        <c:v>410</c:v>
                      </c:pt>
                      <c:pt idx="14">
                        <c:v>418</c:v>
                      </c:pt>
                      <c:pt idx="15">
                        <c:v>426</c:v>
                      </c:pt>
                      <c:pt idx="16">
                        <c:v>434</c:v>
                      </c:pt>
                      <c:pt idx="17">
                        <c:v>442</c:v>
                      </c:pt>
                      <c:pt idx="18">
                        <c:v>450</c:v>
                      </c:pt>
                      <c:pt idx="19">
                        <c:v>458</c:v>
                      </c:pt>
                      <c:pt idx="20">
                        <c:v>466</c:v>
                      </c:pt>
                      <c:pt idx="21">
                        <c:v>474</c:v>
                      </c:pt>
                      <c:pt idx="22">
                        <c:v>482</c:v>
                      </c:pt>
                      <c:pt idx="23">
                        <c:v>490</c:v>
                      </c:pt>
                      <c:pt idx="24">
                        <c:v>498</c:v>
                      </c:pt>
                      <c:pt idx="25">
                        <c:v>506</c:v>
                      </c:pt>
                      <c:pt idx="26">
                        <c:v>514</c:v>
                      </c:pt>
                      <c:pt idx="27">
                        <c:v>522</c:v>
                      </c:pt>
                      <c:pt idx="28">
                        <c:v>530</c:v>
                      </c:pt>
                      <c:pt idx="29">
                        <c:v>538</c:v>
                      </c:pt>
                      <c:pt idx="30">
                        <c:v>546</c:v>
                      </c:pt>
                      <c:pt idx="31">
                        <c:v>554</c:v>
                      </c:pt>
                      <c:pt idx="32">
                        <c:v>562</c:v>
                      </c:pt>
                      <c:pt idx="33">
                        <c:v>570</c:v>
                      </c:pt>
                      <c:pt idx="34">
                        <c:v>578</c:v>
                      </c:pt>
                      <c:pt idx="35">
                        <c:v>586</c:v>
                      </c:pt>
                      <c:pt idx="36">
                        <c:v>594</c:v>
                      </c:pt>
                      <c:pt idx="37">
                        <c:v>602</c:v>
                      </c:pt>
                      <c:pt idx="38">
                        <c:v>610</c:v>
                      </c:pt>
                      <c:pt idx="39">
                        <c:v>618</c:v>
                      </c:pt>
                      <c:pt idx="40">
                        <c:v>626</c:v>
                      </c:pt>
                      <c:pt idx="41">
                        <c:v>634</c:v>
                      </c:pt>
                      <c:pt idx="42">
                        <c:v>642</c:v>
                      </c:pt>
                      <c:pt idx="43">
                        <c:v>650</c:v>
                      </c:pt>
                      <c:pt idx="44">
                        <c:v>658</c:v>
                      </c:pt>
                      <c:pt idx="45">
                        <c:v>666</c:v>
                      </c:pt>
                      <c:pt idx="46">
                        <c:v>674</c:v>
                      </c:pt>
                      <c:pt idx="47">
                        <c:v>682</c:v>
                      </c:pt>
                      <c:pt idx="48">
                        <c:v>690</c:v>
                      </c:pt>
                      <c:pt idx="49">
                        <c:v>698</c:v>
                      </c:pt>
                      <c:pt idx="50">
                        <c:v>706</c:v>
                      </c:pt>
                      <c:pt idx="51">
                        <c:v>714</c:v>
                      </c:pt>
                      <c:pt idx="52">
                        <c:v>722</c:v>
                      </c:pt>
                      <c:pt idx="53">
                        <c:v>730</c:v>
                      </c:pt>
                      <c:pt idx="54">
                        <c:v>738</c:v>
                      </c:pt>
                      <c:pt idx="55">
                        <c:v>746</c:v>
                      </c:pt>
                      <c:pt idx="56">
                        <c:v>754</c:v>
                      </c:pt>
                      <c:pt idx="57">
                        <c:v>762</c:v>
                      </c:pt>
                      <c:pt idx="58">
                        <c:v>770</c:v>
                      </c:pt>
                      <c:pt idx="59">
                        <c:v>778</c:v>
                      </c:pt>
                      <c:pt idx="60">
                        <c:v>786</c:v>
                      </c:pt>
                      <c:pt idx="61">
                        <c:v>794</c:v>
                      </c:pt>
                      <c:pt idx="62">
                        <c:v>802</c:v>
                      </c:pt>
                      <c:pt idx="63">
                        <c:v>810</c:v>
                      </c:pt>
                      <c:pt idx="64">
                        <c:v>818</c:v>
                      </c:pt>
                      <c:pt idx="65">
                        <c:v>826</c:v>
                      </c:pt>
                      <c:pt idx="66">
                        <c:v>834</c:v>
                      </c:pt>
                      <c:pt idx="67">
                        <c:v>842</c:v>
                      </c:pt>
                      <c:pt idx="68">
                        <c:v>850</c:v>
                      </c:pt>
                      <c:pt idx="69">
                        <c:v>858</c:v>
                      </c:pt>
                      <c:pt idx="70">
                        <c:v>866</c:v>
                      </c:pt>
                      <c:pt idx="71">
                        <c:v>874</c:v>
                      </c:pt>
                      <c:pt idx="72">
                        <c:v>882</c:v>
                      </c:pt>
                      <c:pt idx="73">
                        <c:v>890</c:v>
                      </c:pt>
                      <c:pt idx="74">
                        <c:v>898</c:v>
                      </c:pt>
                      <c:pt idx="75">
                        <c:v>906</c:v>
                      </c:pt>
                      <c:pt idx="76">
                        <c:v>914</c:v>
                      </c:pt>
                      <c:pt idx="77">
                        <c:v>922</c:v>
                      </c:pt>
                      <c:pt idx="78">
                        <c:v>930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EVALUATION!$B$112:$CP$112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-15.118108108108107</c:v>
                      </c:pt>
                      <c:pt idx="1">
                        <c:v>-14.88027027027027</c:v>
                      </c:pt>
                      <c:pt idx="2">
                        <c:v>-14.642432432432432</c:v>
                      </c:pt>
                      <c:pt idx="3">
                        <c:v>-14.404594594594593</c:v>
                      </c:pt>
                      <c:pt idx="4" formatCode="General">
                        <c:v>-13.959101796407184</c:v>
                      </c:pt>
                      <c:pt idx="5" formatCode="General">
                        <c:v>-13.46568862275449</c:v>
                      </c:pt>
                      <c:pt idx="6" formatCode="General">
                        <c:v>-12.972275449101796</c:v>
                      </c:pt>
                      <c:pt idx="7" formatCode="General">
                        <c:v>-12.478862275449101</c:v>
                      </c:pt>
                      <c:pt idx="8" formatCode="General">
                        <c:v>-11.950329341317365</c:v>
                      </c:pt>
                      <c:pt idx="9" formatCode="General">
                        <c:v>-11.40182634730539</c:v>
                      </c:pt>
                      <c:pt idx="10" formatCode="General">
                        <c:v>-10.853323353293414</c:v>
                      </c:pt>
                      <c:pt idx="11" formatCode="General">
                        <c:v>-10.304820359281438</c:v>
                      </c:pt>
                      <c:pt idx="12" formatCode="General">
                        <c:v>-9.7896616766467073</c:v>
                      </c:pt>
                      <c:pt idx="13" formatCode="General">
                        <c:v>-9.3132544910179647</c:v>
                      </c:pt>
                      <c:pt idx="14" formatCode="General">
                        <c:v>-8.836847305389222</c:v>
                      </c:pt>
                      <c:pt idx="15" formatCode="General">
                        <c:v>-8.3604401197604794</c:v>
                      </c:pt>
                      <c:pt idx="16" formatCode="General">
                        <c:v>-7.9011107784431145</c:v>
                      </c:pt>
                      <c:pt idx="17" formatCode="General">
                        <c:v>-7.4841047904191624</c:v>
                      </c:pt>
                      <c:pt idx="18" formatCode="General">
                        <c:v>-7.0670988023952104</c:v>
                      </c:pt>
                      <c:pt idx="19" formatCode="General">
                        <c:v>-6.6500928143712592</c:v>
                      </c:pt>
                      <c:pt idx="20" formatCode="General">
                        <c:v>-6.2383952095808395</c:v>
                      </c:pt>
                      <c:pt idx="21" formatCode="General">
                        <c:v>-5.8685748502994022</c:v>
                      </c:pt>
                      <c:pt idx="22" formatCode="General">
                        <c:v>-5.4987544910179649</c:v>
                      </c:pt>
                      <c:pt idx="23" formatCode="General">
                        <c:v>-5.1289341317365267</c:v>
                      </c:pt>
                      <c:pt idx="24" formatCode="General">
                        <c:v>-4.7591137724550894</c:v>
                      </c:pt>
                      <c:pt idx="25" formatCode="General">
                        <c:v>-4.6019909909909904</c:v>
                      </c:pt>
                      <c:pt idx="26" formatCode="General">
                        <c:v>-4.4590480480480474</c:v>
                      </c:pt>
                      <c:pt idx="27" formatCode="General">
                        <c:v>-4.3161051051051045</c:v>
                      </c:pt>
                      <c:pt idx="28" formatCode="General">
                        <c:v>-4.1731621621621615</c:v>
                      </c:pt>
                      <c:pt idx="29" formatCode="General">
                        <c:v>-4.1562215568862273</c:v>
                      </c:pt>
                      <c:pt idx="30" formatCode="General">
                        <c:v>-4.1758622754491022</c:v>
                      </c:pt>
                      <c:pt idx="31" formatCode="General">
                        <c:v>-4.1955029940119761</c:v>
                      </c:pt>
                      <c:pt idx="32" formatCode="General">
                        <c:v>-4.2151437125748501</c:v>
                      </c:pt>
                      <c:pt idx="33" formatCode="General">
                        <c:v>-4.2348562874251492</c:v>
                      </c:pt>
                      <c:pt idx="34" formatCode="General">
                        <c:v>-4.2546167664670653</c:v>
                      </c:pt>
                      <c:pt idx="35" formatCode="General">
                        <c:v>-4.2743772455089815</c:v>
                      </c:pt>
                      <c:pt idx="36" formatCode="General">
                        <c:v>-4.2941377245508976</c:v>
                      </c:pt>
                      <c:pt idx="37" formatCode="General">
                        <c:v>-4.3138982035928146</c:v>
                      </c:pt>
                      <c:pt idx="38" formatCode="General">
                        <c:v>-4.3336586826347308</c:v>
                      </c:pt>
                      <c:pt idx="39" formatCode="General">
                        <c:v>-4.3534191616766469</c:v>
                      </c:pt>
                      <c:pt idx="40" formatCode="General">
                        <c:v>-4.373179640718563</c:v>
                      </c:pt>
                      <c:pt idx="41" formatCode="General">
                        <c:v>-4.3929401197604792</c:v>
                      </c:pt>
                      <c:pt idx="42" formatCode="General">
                        <c:v>-4.4127005988023953</c:v>
                      </c:pt>
                      <c:pt idx="43" formatCode="General">
                        <c:v>-4.4324610778443114</c:v>
                      </c:pt>
                      <c:pt idx="44" formatCode="General">
                        <c:v>-4.4522215568862276</c:v>
                      </c:pt>
                      <c:pt idx="45" formatCode="General">
                        <c:v>-4.4719820359281437</c:v>
                      </c:pt>
                      <c:pt idx="46" formatCode="General">
                        <c:v>-4.4917425149700598</c:v>
                      </c:pt>
                      <c:pt idx="47" formatCode="General">
                        <c:v>-4.511502994011976</c:v>
                      </c:pt>
                      <c:pt idx="48" formatCode="General">
                        <c:v>-4.5312634730538921</c:v>
                      </c:pt>
                      <c:pt idx="49" formatCode="General">
                        <c:v>-4.5510239520958082</c:v>
                      </c:pt>
                      <c:pt idx="50" formatCode="General">
                        <c:v>-4.5702584269662925</c:v>
                      </c:pt>
                      <c:pt idx="51" formatCode="General">
                        <c:v>-4.5894344569288394</c:v>
                      </c:pt>
                      <c:pt idx="52" formatCode="General">
                        <c:v>-4.6086104868913855</c:v>
                      </c:pt>
                      <c:pt idx="53" formatCode="General">
                        <c:v>-4.6277865168539325</c:v>
                      </c:pt>
                      <c:pt idx="54" formatCode="General">
                        <c:v>-4.6469625468164795</c:v>
                      </c:pt>
                      <c:pt idx="55" formatCode="General">
                        <c:v>-4.6661385767790264</c:v>
                      </c:pt>
                      <c:pt idx="56" formatCode="General">
                        <c:v>-4.6853146067415734</c:v>
                      </c:pt>
                      <c:pt idx="57" formatCode="General">
                        <c:v>-4.7044906367041204</c:v>
                      </c:pt>
                      <c:pt idx="58" formatCode="General">
                        <c:v>-4.7236666666666665</c:v>
                      </c:pt>
                      <c:pt idx="59" formatCode="General">
                        <c:v>-4.7428426966292134</c:v>
                      </c:pt>
                      <c:pt idx="60" formatCode="General">
                        <c:v>-4.7620187265917604</c:v>
                      </c:pt>
                      <c:pt idx="61" formatCode="General">
                        <c:v>-4.7811947565543074</c:v>
                      </c:pt>
                      <c:pt idx="62" formatCode="General">
                        <c:v>-4.8003707865168543</c:v>
                      </c:pt>
                      <c:pt idx="63" formatCode="General">
                        <c:v>-4.8195468164794013</c:v>
                      </c:pt>
                      <c:pt idx="64" formatCode="General">
                        <c:v>-4.8387228464419483</c:v>
                      </c:pt>
                      <c:pt idx="65" formatCode="General">
                        <c:v>-4.8578988764044944</c:v>
                      </c:pt>
                      <c:pt idx="66" formatCode="General">
                        <c:v>-4.8768456928838955</c:v>
                      </c:pt>
                      <c:pt idx="67" formatCode="General">
                        <c:v>-4.8949430711610491</c:v>
                      </c:pt>
                      <c:pt idx="68" formatCode="General">
                        <c:v>-4.9130404494382027</c:v>
                      </c:pt>
                      <c:pt idx="69" formatCode="General">
                        <c:v>-4.9311378277153564</c:v>
                      </c:pt>
                      <c:pt idx="70" formatCode="General">
                        <c:v>-4.94923520599251</c:v>
                      </c:pt>
                      <c:pt idx="71" formatCode="General">
                        <c:v>-4.9673325842696627</c:v>
                      </c:pt>
                      <c:pt idx="72" formatCode="General">
                        <c:v>-4.9854299625468164</c:v>
                      </c:pt>
                      <c:pt idx="73" formatCode="General">
                        <c:v>-5.00352734082397</c:v>
                      </c:pt>
                      <c:pt idx="74" formatCode="General">
                        <c:v>-5.0216247191011236</c:v>
                      </c:pt>
                      <c:pt idx="75" formatCode="General">
                        <c:v>-5.0397220973782773</c:v>
                      </c:pt>
                      <c:pt idx="76" formatCode="General">
                        <c:v>-5.0578194756554309</c:v>
                      </c:pt>
                      <c:pt idx="77" formatCode="General">
                        <c:v>-5.0759168539325845</c:v>
                      </c:pt>
                      <c:pt idx="78" formatCode="General">
                        <c:v>-5.0940142322097381</c:v>
                      </c:pt>
                      <c:pt idx="79" formatCode="General">
                        <c:v>-5.1121116104868918</c:v>
                      </c:pt>
                      <c:pt idx="80" formatCode="General">
                        <c:v>-5.1302089887640445</c:v>
                      </c:pt>
                      <c:pt idx="81" formatCode="General">
                        <c:v>-5.1483063670411982</c:v>
                      </c:pt>
                      <c:pt idx="82" formatCode="General">
                        <c:v>-5.1664037453183518</c:v>
                      </c:pt>
                      <c:pt idx="83" formatCode="General">
                        <c:v>-5.1840538922155686</c:v>
                      </c:pt>
                      <c:pt idx="84" formatCode="General">
                        <c:v>-5.2012994011976046</c:v>
                      </c:pt>
                      <c:pt idx="85" formatCode="General">
                        <c:v>-5.2185449101796406</c:v>
                      </c:pt>
                      <c:pt idx="86" formatCode="General">
                        <c:v>-5.2357904191616766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1-022F-4A2F-976F-7C3C2CD148C5}"/>
                  </c:ext>
                </c:extLst>
              </c15:ser>
            </c15:filteredScatterSeries>
            <c15:filteredScatterSeries>
              <c15:ser>
                <c:idx val="10"/>
                <c:order val="12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306</c:v>
                      </c:pt>
                      <c:pt idx="1">
                        <c:v>314</c:v>
                      </c:pt>
                      <c:pt idx="2">
                        <c:v>322</c:v>
                      </c:pt>
                      <c:pt idx="3">
                        <c:v>330</c:v>
                      </c:pt>
                      <c:pt idx="4">
                        <c:v>338</c:v>
                      </c:pt>
                      <c:pt idx="5">
                        <c:v>346</c:v>
                      </c:pt>
                      <c:pt idx="6">
                        <c:v>354</c:v>
                      </c:pt>
                      <c:pt idx="7">
                        <c:v>362</c:v>
                      </c:pt>
                      <c:pt idx="8">
                        <c:v>370</c:v>
                      </c:pt>
                      <c:pt idx="9">
                        <c:v>378</c:v>
                      </c:pt>
                      <c:pt idx="10">
                        <c:v>386</c:v>
                      </c:pt>
                      <c:pt idx="11">
                        <c:v>394</c:v>
                      </c:pt>
                      <c:pt idx="12">
                        <c:v>402</c:v>
                      </c:pt>
                      <c:pt idx="13">
                        <c:v>410</c:v>
                      </c:pt>
                      <c:pt idx="14">
                        <c:v>418</c:v>
                      </c:pt>
                      <c:pt idx="15">
                        <c:v>426</c:v>
                      </c:pt>
                      <c:pt idx="16">
                        <c:v>434</c:v>
                      </c:pt>
                      <c:pt idx="17">
                        <c:v>442</c:v>
                      </c:pt>
                      <c:pt idx="18">
                        <c:v>450</c:v>
                      </c:pt>
                      <c:pt idx="19">
                        <c:v>458</c:v>
                      </c:pt>
                      <c:pt idx="20">
                        <c:v>466</c:v>
                      </c:pt>
                      <c:pt idx="21">
                        <c:v>474</c:v>
                      </c:pt>
                      <c:pt idx="22">
                        <c:v>482</c:v>
                      </c:pt>
                      <c:pt idx="23">
                        <c:v>490</c:v>
                      </c:pt>
                      <c:pt idx="24">
                        <c:v>498</c:v>
                      </c:pt>
                      <c:pt idx="25">
                        <c:v>506</c:v>
                      </c:pt>
                      <c:pt idx="26">
                        <c:v>514</c:v>
                      </c:pt>
                      <c:pt idx="27">
                        <c:v>522</c:v>
                      </c:pt>
                      <c:pt idx="28">
                        <c:v>530</c:v>
                      </c:pt>
                      <c:pt idx="29">
                        <c:v>538</c:v>
                      </c:pt>
                      <c:pt idx="30">
                        <c:v>546</c:v>
                      </c:pt>
                      <c:pt idx="31">
                        <c:v>554</c:v>
                      </c:pt>
                      <c:pt idx="32">
                        <c:v>562</c:v>
                      </c:pt>
                      <c:pt idx="33">
                        <c:v>570</c:v>
                      </c:pt>
                      <c:pt idx="34">
                        <c:v>578</c:v>
                      </c:pt>
                      <c:pt idx="35">
                        <c:v>586</c:v>
                      </c:pt>
                      <c:pt idx="36">
                        <c:v>594</c:v>
                      </c:pt>
                      <c:pt idx="37">
                        <c:v>602</c:v>
                      </c:pt>
                      <c:pt idx="38">
                        <c:v>610</c:v>
                      </c:pt>
                      <c:pt idx="39">
                        <c:v>618</c:v>
                      </c:pt>
                      <c:pt idx="40">
                        <c:v>626</c:v>
                      </c:pt>
                      <c:pt idx="41">
                        <c:v>634</c:v>
                      </c:pt>
                      <c:pt idx="42">
                        <c:v>642</c:v>
                      </c:pt>
                      <c:pt idx="43">
                        <c:v>650</c:v>
                      </c:pt>
                      <c:pt idx="44">
                        <c:v>658</c:v>
                      </c:pt>
                      <c:pt idx="45">
                        <c:v>666</c:v>
                      </c:pt>
                      <c:pt idx="46">
                        <c:v>674</c:v>
                      </c:pt>
                      <c:pt idx="47">
                        <c:v>682</c:v>
                      </c:pt>
                      <c:pt idx="48">
                        <c:v>690</c:v>
                      </c:pt>
                      <c:pt idx="49">
                        <c:v>698</c:v>
                      </c:pt>
                      <c:pt idx="50">
                        <c:v>706</c:v>
                      </c:pt>
                      <c:pt idx="51">
                        <c:v>714</c:v>
                      </c:pt>
                      <c:pt idx="52">
                        <c:v>722</c:v>
                      </c:pt>
                      <c:pt idx="53">
                        <c:v>730</c:v>
                      </c:pt>
                      <c:pt idx="54">
                        <c:v>738</c:v>
                      </c:pt>
                      <c:pt idx="55">
                        <c:v>746</c:v>
                      </c:pt>
                      <c:pt idx="56">
                        <c:v>754</c:v>
                      </c:pt>
                      <c:pt idx="57">
                        <c:v>762</c:v>
                      </c:pt>
                      <c:pt idx="58">
                        <c:v>770</c:v>
                      </c:pt>
                      <c:pt idx="59">
                        <c:v>778</c:v>
                      </c:pt>
                      <c:pt idx="60">
                        <c:v>786</c:v>
                      </c:pt>
                      <c:pt idx="61">
                        <c:v>794</c:v>
                      </c:pt>
                      <c:pt idx="62">
                        <c:v>802</c:v>
                      </c:pt>
                      <c:pt idx="63">
                        <c:v>810</c:v>
                      </c:pt>
                      <c:pt idx="64">
                        <c:v>818</c:v>
                      </c:pt>
                      <c:pt idx="65">
                        <c:v>826</c:v>
                      </c:pt>
                      <c:pt idx="66">
                        <c:v>834</c:v>
                      </c:pt>
                      <c:pt idx="67">
                        <c:v>842</c:v>
                      </c:pt>
                      <c:pt idx="68">
                        <c:v>850</c:v>
                      </c:pt>
                      <c:pt idx="69">
                        <c:v>858</c:v>
                      </c:pt>
                      <c:pt idx="70">
                        <c:v>866</c:v>
                      </c:pt>
                      <c:pt idx="71">
                        <c:v>874</c:v>
                      </c:pt>
                      <c:pt idx="72">
                        <c:v>882</c:v>
                      </c:pt>
                      <c:pt idx="73">
                        <c:v>890</c:v>
                      </c:pt>
                      <c:pt idx="74">
                        <c:v>898</c:v>
                      </c:pt>
                      <c:pt idx="75">
                        <c:v>906</c:v>
                      </c:pt>
                      <c:pt idx="76">
                        <c:v>914</c:v>
                      </c:pt>
                      <c:pt idx="77">
                        <c:v>922</c:v>
                      </c:pt>
                      <c:pt idx="78">
                        <c:v>930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EVALUATION!$B$113:$CP$113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-19.022342342342341</c:v>
                      </c:pt>
                      <c:pt idx="1">
                        <c:v>-19.024744744744744</c:v>
                      </c:pt>
                      <c:pt idx="2">
                        <c:v>-19.027147147147147</c:v>
                      </c:pt>
                      <c:pt idx="3">
                        <c:v>-19.02954954954955</c:v>
                      </c:pt>
                      <c:pt idx="4" formatCode="General">
                        <c:v>-19.035838323353293</c:v>
                      </c:pt>
                      <c:pt idx="5" formatCode="General">
                        <c:v>-19.043023952095808</c:v>
                      </c:pt>
                      <c:pt idx="6" formatCode="General">
                        <c:v>-19.050209580838324</c:v>
                      </c:pt>
                      <c:pt idx="7" formatCode="General">
                        <c:v>-19.057395209580836</c:v>
                      </c:pt>
                      <c:pt idx="8" formatCode="General">
                        <c:v>-19.06763473053892</c:v>
                      </c:pt>
                      <c:pt idx="9" formatCode="General">
                        <c:v>-19.079610778443111</c:v>
                      </c:pt>
                      <c:pt idx="10" formatCode="General">
                        <c:v>-19.091586826347303</c:v>
                      </c:pt>
                      <c:pt idx="11" formatCode="General">
                        <c:v>-19.103562874251498</c:v>
                      </c:pt>
                      <c:pt idx="12" formatCode="General">
                        <c:v>-19.116646706586828</c:v>
                      </c:pt>
                      <c:pt idx="13" formatCode="General">
                        <c:v>-19.131017964071855</c:v>
                      </c:pt>
                      <c:pt idx="14" formatCode="General">
                        <c:v>-19.145389221556886</c:v>
                      </c:pt>
                      <c:pt idx="15" formatCode="General">
                        <c:v>-19.159760479041918</c:v>
                      </c:pt>
                      <c:pt idx="16" formatCode="General">
                        <c:v>-19.174131736526949</c:v>
                      </c:pt>
                      <c:pt idx="17" formatCode="General">
                        <c:v>-19.188502994011976</c:v>
                      </c:pt>
                      <c:pt idx="18" formatCode="General">
                        <c:v>-19.202874251497008</c:v>
                      </c:pt>
                      <c:pt idx="19" formatCode="General">
                        <c:v>-19.217245508982035</c:v>
                      </c:pt>
                      <c:pt idx="20" formatCode="General">
                        <c:v>-19.231886227544912</c:v>
                      </c:pt>
                      <c:pt idx="21" formatCode="General">
                        <c:v>-19.248652694610779</c:v>
                      </c:pt>
                      <c:pt idx="22" formatCode="General">
                        <c:v>-19.265419161676647</c:v>
                      </c:pt>
                      <c:pt idx="23" formatCode="General">
                        <c:v>-19.282185628742514</c:v>
                      </c:pt>
                      <c:pt idx="24" formatCode="General">
                        <c:v>-19.298952095808385</c:v>
                      </c:pt>
                      <c:pt idx="25" formatCode="General">
                        <c:v>-19.2481981981982</c:v>
                      </c:pt>
                      <c:pt idx="26" formatCode="General">
                        <c:v>-19.192942942942942</c:v>
                      </c:pt>
                      <c:pt idx="27" formatCode="General">
                        <c:v>-19.137687687687688</c:v>
                      </c:pt>
                      <c:pt idx="28" formatCode="General">
                        <c:v>-19.082432432432434</c:v>
                      </c:pt>
                      <c:pt idx="29" formatCode="General">
                        <c:v>-19.062574850299402</c:v>
                      </c:pt>
                      <c:pt idx="30" formatCode="General">
                        <c:v>-19.052994011976047</c:v>
                      </c:pt>
                      <c:pt idx="31" formatCode="General">
                        <c:v>-19.043413173652695</c:v>
                      </c:pt>
                      <c:pt idx="32" formatCode="General">
                        <c:v>-19.033832335329343</c:v>
                      </c:pt>
                      <c:pt idx="33" formatCode="General">
                        <c:v>-19.040059880239522</c:v>
                      </c:pt>
                      <c:pt idx="34" formatCode="General">
                        <c:v>-19.056826347305389</c:v>
                      </c:pt>
                      <c:pt idx="35" formatCode="General">
                        <c:v>-19.07359281437126</c:v>
                      </c:pt>
                      <c:pt idx="36" formatCode="General">
                        <c:v>-19.090359281437127</c:v>
                      </c:pt>
                      <c:pt idx="37" formatCode="General">
                        <c:v>-19.107125748502995</c:v>
                      </c:pt>
                      <c:pt idx="38" formatCode="General">
                        <c:v>-19.123892215568862</c:v>
                      </c:pt>
                      <c:pt idx="39" formatCode="General">
                        <c:v>-19.140658682634729</c:v>
                      </c:pt>
                      <c:pt idx="40" formatCode="General">
                        <c:v>-19.1574251497006</c:v>
                      </c:pt>
                      <c:pt idx="41" formatCode="General">
                        <c:v>-19.174191616766468</c:v>
                      </c:pt>
                      <c:pt idx="42" formatCode="General">
                        <c:v>-19.190958083832335</c:v>
                      </c:pt>
                      <c:pt idx="43" formatCode="General">
                        <c:v>-19.207724550898202</c:v>
                      </c:pt>
                      <c:pt idx="44" formatCode="General">
                        <c:v>-19.22449101796407</c:v>
                      </c:pt>
                      <c:pt idx="45" formatCode="General">
                        <c:v>-19.241257485029941</c:v>
                      </c:pt>
                      <c:pt idx="46" formatCode="General">
                        <c:v>-19.258023952095808</c:v>
                      </c:pt>
                      <c:pt idx="47" formatCode="General">
                        <c:v>-19.274790419161675</c:v>
                      </c:pt>
                      <c:pt idx="48" formatCode="General">
                        <c:v>-19.291556886227543</c:v>
                      </c:pt>
                      <c:pt idx="49" formatCode="General">
                        <c:v>-19.30832335329341</c:v>
                      </c:pt>
                      <c:pt idx="50" formatCode="General">
                        <c:v>-19.324022471910112</c:v>
                      </c:pt>
                      <c:pt idx="51" formatCode="General">
                        <c:v>-19.33960299625468</c:v>
                      </c:pt>
                      <c:pt idx="52" formatCode="General">
                        <c:v>-19.355183520599251</c:v>
                      </c:pt>
                      <c:pt idx="53" formatCode="General">
                        <c:v>-19.370764044943819</c:v>
                      </c:pt>
                      <c:pt idx="54" formatCode="General">
                        <c:v>-19.38634456928839</c:v>
                      </c:pt>
                      <c:pt idx="55" formatCode="General">
                        <c:v>-19.401925093632958</c:v>
                      </c:pt>
                      <c:pt idx="56" formatCode="General">
                        <c:v>-19.417505617977529</c:v>
                      </c:pt>
                      <c:pt idx="57" formatCode="General">
                        <c:v>-19.433086142322097</c:v>
                      </c:pt>
                      <c:pt idx="58" formatCode="General">
                        <c:v>-19.448666666666668</c:v>
                      </c:pt>
                      <c:pt idx="59" formatCode="General">
                        <c:v>-19.464247191011236</c:v>
                      </c:pt>
                      <c:pt idx="60" formatCode="General">
                        <c:v>-19.479827715355807</c:v>
                      </c:pt>
                      <c:pt idx="61" formatCode="General">
                        <c:v>-19.495408239700375</c:v>
                      </c:pt>
                      <c:pt idx="62" formatCode="General">
                        <c:v>-19.510988764044942</c:v>
                      </c:pt>
                      <c:pt idx="63" formatCode="General">
                        <c:v>-19.526569288389513</c:v>
                      </c:pt>
                      <c:pt idx="64" formatCode="General">
                        <c:v>-19.542149812734081</c:v>
                      </c:pt>
                      <c:pt idx="65" formatCode="General">
                        <c:v>-19.557730337078652</c:v>
                      </c:pt>
                      <c:pt idx="66" formatCode="General">
                        <c:v>-19.573183520599251</c:v>
                      </c:pt>
                      <c:pt idx="67" formatCode="General">
                        <c:v>-19.58816479400749</c:v>
                      </c:pt>
                      <c:pt idx="68" formatCode="General">
                        <c:v>-19.603146067415732</c:v>
                      </c:pt>
                      <c:pt idx="69" formatCode="General">
                        <c:v>-19.618127340823971</c:v>
                      </c:pt>
                      <c:pt idx="70" formatCode="General">
                        <c:v>-19.63310861423221</c:v>
                      </c:pt>
                      <c:pt idx="71" formatCode="General">
                        <c:v>-19.648089887640449</c:v>
                      </c:pt>
                      <c:pt idx="72" formatCode="General">
                        <c:v>-19.663071161048691</c:v>
                      </c:pt>
                      <c:pt idx="73" formatCode="General">
                        <c:v>-19.67805243445693</c:v>
                      </c:pt>
                      <c:pt idx="74" formatCode="General">
                        <c:v>-19.693033707865169</c:v>
                      </c:pt>
                      <c:pt idx="75" formatCode="General">
                        <c:v>-19.708014981273408</c:v>
                      </c:pt>
                      <c:pt idx="76" formatCode="General">
                        <c:v>-19.722996254681647</c:v>
                      </c:pt>
                      <c:pt idx="77" formatCode="General">
                        <c:v>-19.737977528089889</c:v>
                      </c:pt>
                      <c:pt idx="78" formatCode="General">
                        <c:v>-19.752958801498128</c:v>
                      </c:pt>
                      <c:pt idx="79" formatCode="General">
                        <c:v>-19.767940074906367</c:v>
                      </c:pt>
                      <c:pt idx="80" formatCode="General">
                        <c:v>-19.782921348314606</c:v>
                      </c:pt>
                      <c:pt idx="81" formatCode="General">
                        <c:v>-19.797902621722848</c:v>
                      </c:pt>
                      <c:pt idx="82" formatCode="General">
                        <c:v>-19.812883895131087</c:v>
                      </c:pt>
                      <c:pt idx="83" formatCode="General">
                        <c:v>-19.82754491017964</c:v>
                      </c:pt>
                      <c:pt idx="84" formatCode="General">
                        <c:v>-19.841916167664671</c:v>
                      </c:pt>
                      <c:pt idx="85" formatCode="General">
                        <c:v>-19.856287425149699</c:v>
                      </c:pt>
                      <c:pt idx="86" formatCode="General">
                        <c:v>-19.87065868263473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2-022F-4A2F-976F-7C3C2CD148C5}"/>
                  </c:ext>
                </c:extLst>
              </c15:ser>
            </c15:filteredScatterSeries>
            <c15:filteredScatterSeries>
              <c15:ser>
                <c:idx val="11"/>
                <c:order val="13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306</c:v>
                      </c:pt>
                      <c:pt idx="1">
                        <c:v>314</c:v>
                      </c:pt>
                      <c:pt idx="2">
                        <c:v>322</c:v>
                      </c:pt>
                      <c:pt idx="3">
                        <c:v>330</c:v>
                      </c:pt>
                      <c:pt idx="4">
                        <c:v>338</c:v>
                      </c:pt>
                      <c:pt idx="5">
                        <c:v>346</c:v>
                      </c:pt>
                      <c:pt idx="6">
                        <c:v>354</c:v>
                      </c:pt>
                      <c:pt idx="7">
                        <c:v>362</c:v>
                      </c:pt>
                      <c:pt idx="8">
                        <c:v>370</c:v>
                      </c:pt>
                      <c:pt idx="9">
                        <c:v>378</c:v>
                      </c:pt>
                      <c:pt idx="10">
                        <c:v>386</c:v>
                      </c:pt>
                      <c:pt idx="11">
                        <c:v>394</c:v>
                      </c:pt>
                      <c:pt idx="12">
                        <c:v>402</c:v>
                      </c:pt>
                      <c:pt idx="13">
                        <c:v>410</c:v>
                      </c:pt>
                      <c:pt idx="14">
                        <c:v>418</c:v>
                      </c:pt>
                      <c:pt idx="15">
                        <c:v>426</c:v>
                      </c:pt>
                      <c:pt idx="16">
                        <c:v>434</c:v>
                      </c:pt>
                      <c:pt idx="17">
                        <c:v>442</c:v>
                      </c:pt>
                      <c:pt idx="18">
                        <c:v>450</c:v>
                      </c:pt>
                      <c:pt idx="19">
                        <c:v>458</c:v>
                      </c:pt>
                      <c:pt idx="20">
                        <c:v>466</c:v>
                      </c:pt>
                      <c:pt idx="21">
                        <c:v>474</c:v>
                      </c:pt>
                      <c:pt idx="22">
                        <c:v>482</c:v>
                      </c:pt>
                      <c:pt idx="23">
                        <c:v>490</c:v>
                      </c:pt>
                      <c:pt idx="24">
                        <c:v>498</c:v>
                      </c:pt>
                      <c:pt idx="25">
                        <c:v>506</c:v>
                      </c:pt>
                      <c:pt idx="26">
                        <c:v>514</c:v>
                      </c:pt>
                      <c:pt idx="27">
                        <c:v>522</c:v>
                      </c:pt>
                      <c:pt idx="28">
                        <c:v>530</c:v>
                      </c:pt>
                      <c:pt idx="29">
                        <c:v>538</c:v>
                      </c:pt>
                      <c:pt idx="30">
                        <c:v>546</c:v>
                      </c:pt>
                      <c:pt idx="31">
                        <c:v>554</c:v>
                      </c:pt>
                      <c:pt idx="32">
                        <c:v>562</c:v>
                      </c:pt>
                      <c:pt idx="33">
                        <c:v>570</c:v>
                      </c:pt>
                      <c:pt idx="34">
                        <c:v>578</c:v>
                      </c:pt>
                      <c:pt idx="35">
                        <c:v>586</c:v>
                      </c:pt>
                      <c:pt idx="36">
                        <c:v>594</c:v>
                      </c:pt>
                      <c:pt idx="37">
                        <c:v>602</c:v>
                      </c:pt>
                      <c:pt idx="38">
                        <c:v>610</c:v>
                      </c:pt>
                      <c:pt idx="39">
                        <c:v>618</c:v>
                      </c:pt>
                      <c:pt idx="40">
                        <c:v>626</c:v>
                      </c:pt>
                      <c:pt idx="41">
                        <c:v>634</c:v>
                      </c:pt>
                      <c:pt idx="42">
                        <c:v>642</c:v>
                      </c:pt>
                      <c:pt idx="43">
                        <c:v>650</c:v>
                      </c:pt>
                      <c:pt idx="44">
                        <c:v>658</c:v>
                      </c:pt>
                      <c:pt idx="45">
                        <c:v>666</c:v>
                      </c:pt>
                      <c:pt idx="46">
                        <c:v>674</c:v>
                      </c:pt>
                      <c:pt idx="47">
                        <c:v>682</c:v>
                      </c:pt>
                      <c:pt idx="48">
                        <c:v>690</c:v>
                      </c:pt>
                      <c:pt idx="49">
                        <c:v>698</c:v>
                      </c:pt>
                      <c:pt idx="50">
                        <c:v>706</c:v>
                      </c:pt>
                      <c:pt idx="51">
                        <c:v>714</c:v>
                      </c:pt>
                      <c:pt idx="52">
                        <c:v>722</c:v>
                      </c:pt>
                      <c:pt idx="53">
                        <c:v>730</c:v>
                      </c:pt>
                      <c:pt idx="54">
                        <c:v>738</c:v>
                      </c:pt>
                      <c:pt idx="55">
                        <c:v>746</c:v>
                      </c:pt>
                      <c:pt idx="56">
                        <c:v>754</c:v>
                      </c:pt>
                      <c:pt idx="57">
                        <c:v>762</c:v>
                      </c:pt>
                      <c:pt idx="58">
                        <c:v>770</c:v>
                      </c:pt>
                      <c:pt idx="59">
                        <c:v>778</c:v>
                      </c:pt>
                      <c:pt idx="60">
                        <c:v>786</c:v>
                      </c:pt>
                      <c:pt idx="61">
                        <c:v>794</c:v>
                      </c:pt>
                      <c:pt idx="62">
                        <c:v>802</c:v>
                      </c:pt>
                      <c:pt idx="63">
                        <c:v>810</c:v>
                      </c:pt>
                      <c:pt idx="64">
                        <c:v>818</c:v>
                      </c:pt>
                      <c:pt idx="65">
                        <c:v>826</c:v>
                      </c:pt>
                      <c:pt idx="66">
                        <c:v>834</c:v>
                      </c:pt>
                      <c:pt idx="67">
                        <c:v>842</c:v>
                      </c:pt>
                      <c:pt idx="68">
                        <c:v>850</c:v>
                      </c:pt>
                      <c:pt idx="69">
                        <c:v>858</c:v>
                      </c:pt>
                      <c:pt idx="70">
                        <c:v>866</c:v>
                      </c:pt>
                      <c:pt idx="71">
                        <c:v>874</c:v>
                      </c:pt>
                      <c:pt idx="72">
                        <c:v>882</c:v>
                      </c:pt>
                      <c:pt idx="73">
                        <c:v>890</c:v>
                      </c:pt>
                      <c:pt idx="74">
                        <c:v>898</c:v>
                      </c:pt>
                      <c:pt idx="75">
                        <c:v>906</c:v>
                      </c:pt>
                      <c:pt idx="76">
                        <c:v>914</c:v>
                      </c:pt>
                      <c:pt idx="77">
                        <c:v>922</c:v>
                      </c:pt>
                      <c:pt idx="78">
                        <c:v>930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EVALUATION!$B$114:$CP$114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-59.678288288288286</c:v>
                      </c:pt>
                      <c:pt idx="1">
                        <c:v>-58.332942942942942</c:v>
                      </c:pt>
                      <c:pt idx="2">
                        <c:v>-56.987597597597599</c:v>
                      </c:pt>
                      <c:pt idx="3">
                        <c:v>-55.642252252252256</c:v>
                      </c:pt>
                      <c:pt idx="4" formatCode="General">
                        <c:v>-54.130868263473054</c:v>
                      </c:pt>
                      <c:pt idx="5" formatCode="General">
                        <c:v>-52.581167664670659</c:v>
                      </c:pt>
                      <c:pt idx="6" formatCode="General">
                        <c:v>-51.031467065868263</c:v>
                      </c:pt>
                      <c:pt idx="7" formatCode="General">
                        <c:v>-49.481766467065867</c:v>
                      </c:pt>
                      <c:pt idx="8" formatCode="General">
                        <c:v>-47.964131736526944</c:v>
                      </c:pt>
                      <c:pt idx="9" formatCode="General">
                        <c:v>-46.464730538922154</c:v>
                      </c:pt>
                      <c:pt idx="10" formatCode="General">
                        <c:v>-44.965329341317364</c:v>
                      </c:pt>
                      <c:pt idx="11" formatCode="General">
                        <c:v>-43.465928143712574</c:v>
                      </c:pt>
                      <c:pt idx="12" formatCode="General">
                        <c:v>-42.064011976047901</c:v>
                      </c:pt>
                      <c:pt idx="13" formatCode="General">
                        <c:v>-40.775389221556885</c:v>
                      </c:pt>
                      <c:pt idx="14" formatCode="General">
                        <c:v>-39.48676646706587</c:v>
                      </c:pt>
                      <c:pt idx="15" formatCode="General">
                        <c:v>-38.198143712574847</c:v>
                      </c:pt>
                      <c:pt idx="16" formatCode="General">
                        <c:v>-36.957724550898206</c:v>
                      </c:pt>
                      <c:pt idx="17" formatCode="General">
                        <c:v>-35.836766467065871</c:v>
                      </c:pt>
                      <c:pt idx="18" formatCode="General">
                        <c:v>-34.715808383233536</c:v>
                      </c:pt>
                      <c:pt idx="19" formatCode="General">
                        <c:v>-33.594850299401202</c:v>
                      </c:pt>
                      <c:pt idx="20" formatCode="General">
                        <c:v>-32.488982035928146</c:v>
                      </c:pt>
                      <c:pt idx="21" formatCode="General">
                        <c:v>-31.502155688622757</c:v>
                      </c:pt>
                      <c:pt idx="22" formatCode="General">
                        <c:v>-30.515329341317369</c:v>
                      </c:pt>
                      <c:pt idx="23" formatCode="General">
                        <c:v>-29.528502994011976</c:v>
                      </c:pt>
                      <c:pt idx="24" formatCode="General">
                        <c:v>-28.541676646706588</c:v>
                      </c:pt>
                      <c:pt idx="25" formatCode="General">
                        <c:v>-27.788558558558559</c:v>
                      </c:pt>
                      <c:pt idx="26" formatCode="General">
                        <c:v>-27.051021021021018</c:v>
                      </c:pt>
                      <c:pt idx="27" formatCode="General">
                        <c:v>-26.313483483483481</c:v>
                      </c:pt>
                      <c:pt idx="28" formatCode="General">
                        <c:v>-25.575945945945943</c:v>
                      </c:pt>
                      <c:pt idx="29" formatCode="General">
                        <c:v>-25.655029940119761</c:v>
                      </c:pt>
                      <c:pt idx="30" formatCode="General">
                        <c:v>-25.971197604790419</c:v>
                      </c:pt>
                      <c:pt idx="31" formatCode="General">
                        <c:v>-26.287365269461077</c:v>
                      </c:pt>
                      <c:pt idx="32" formatCode="General">
                        <c:v>-26.603532934131735</c:v>
                      </c:pt>
                      <c:pt idx="33" formatCode="General">
                        <c:v>-26.911437125748503</c:v>
                      </c:pt>
                      <c:pt idx="34" formatCode="General">
                        <c:v>-27.213832335329339</c:v>
                      </c:pt>
                      <c:pt idx="35" formatCode="General">
                        <c:v>-27.51622754491018</c:v>
                      </c:pt>
                      <c:pt idx="36" formatCode="General">
                        <c:v>-27.818622754491017</c:v>
                      </c:pt>
                      <c:pt idx="37" formatCode="General">
                        <c:v>-28.121017964071857</c:v>
                      </c:pt>
                      <c:pt idx="38" formatCode="General">
                        <c:v>-28.423413173652694</c:v>
                      </c:pt>
                      <c:pt idx="39" formatCode="General">
                        <c:v>-28.725808383233534</c:v>
                      </c:pt>
                      <c:pt idx="40" formatCode="General">
                        <c:v>-29.028203592814371</c:v>
                      </c:pt>
                      <c:pt idx="41" formatCode="General">
                        <c:v>-29.330598802395212</c:v>
                      </c:pt>
                      <c:pt idx="42" formatCode="General">
                        <c:v>-29.632994011976049</c:v>
                      </c:pt>
                      <c:pt idx="43" formatCode="General">
                        <c:v>-29.935389221556889</c:v>
                      </c:pt>
                      <c:pt idx="44" formatCode="General">
                        <c:v>-30.237784431137726</c:v>
                      </c:pt>
                      <c:pt idx="45" formatCode="General">
                        <c:v>-30.540179640718566</c:v>
                      </c:pt>
                      <c:pt idx="46" formatCode="General">
                        <c:v>-30.842574850299403</c:v>
                      </c:pt>
                      <c:pt idx="47" formatCode="General">
                        <c:v>-31.144970059880244</c:v>
                      </c:pt>
                      <c:pt idx="48" formatCode="General">
                        <c:v>-31.447365269461081</c:v>
                      </c:pt>
                      <c:pt idx="49" formatCode="General">
                        <c:v>-31.749760479041917</c:v>
                      </c:pt>
                      <c:pt idx="50" formatCode="General">
                        <c:v>-32.022696629213485</c:v>
                      </c:pt>
                      <c:pt idx="51" formatCode="General">
                        <c:v>-32.292359550561798</c:v>
                      </c:pt>
                      <c:pt idx="52" formatCode="General">
                        <c:v>-32.562022471910112</c:v>
                      </c:pt>
                      <c:pt idx="53" formatCode="General">
                        <c:v>-32.831685393258432</c:v>
                      </c:pt>
                      <c:pt idx="54" formatCode="General">
                        <c:v>-33.101348314606746</c:v>
                      </c:pt>
                      <c:pt idx="55" formatCode="General">
                        <c:v>-33.371011235955059</c:v>
                      </c:pt>
                      <c:pt idx="56" formatCode="General">
                        <c:v>-33.640674157303373</c:v>
                      </c:pt>
                      <c:pt idx="57" formatCode="General">
                        <c:v>-33.910337078651686</c:v>
                      </c:pt>
                      <c:pt idx="58" formatCode="General">
                        <c:v>-34.18</c:v>
                      </c:pt>
                      <c:pt idx="59" formatCode="General">
                        <c:v>-34.44966292134832</c:v>
                      </c:pt>
                      <c:pt idx="60" formatCode="General">
                        <c:v>-34.719325842696634</c:v>
                      </c:pt>
                      <c:pt idx="61" formatCode="General">
                        <c:v>-34.988988764044947</c:v>
                      </c:pt>
                      <c:pt idx="62" formatCode="General">
                        <c:v>-35.258651685393261</c:v>
                      </c:pt>
                      <c:pt idx="63" formatCode="General">
                        <c:v>-35.528314606741574</c:v>
                      </c:pt>
                      <c:pt idx="64" formatCode="General">
                        <c:v>-35.797977528089888</c:v>
                      </c:pt>
                      <c:pt idx="65" formatCode="General">
                        <c:v>-36.067640449438201</c:v>
                      </c:pt>
                      <c:pt idx="66" formatCode="General">
                        <c:v>-36.328007490636708</c:v>
                      </c:pt>
                      <c:pt idx="67" formatCode="General">
                        <c:v>-36.553925093632962</c:v>
                      </c:pt>
                      <c:pt idx="68" formatCode="General">
                        <c:v>-36.779842696629217</c:v>
                      </c:pt>
                      <c:pt idx="69" formatCode="General">
                        <c:v>-37.005760299625472</c:v>
                      </c:pt>
                      <c:pt idx="70" formatCode="General">
                        <c:v>-37.231677902621726</c:v>
                      </c:pt>
                      <c:pt idx="71" formatCode="General">
                        <c:v>-37.457595505617981</c:v>
                      </c:pt>
                      <c:pt idx="72" formatCode="General">
                        <c:v>-37.683513108614235</c:v>
                      </c:pt>
                      <c:pt idx="73" formatCode="General">
                        <c:v>-37.90943071161049</c:v>
                      </c:pt>
                      <c:pt idx="74" formatCode="General">
                        <c:v>-38.135348314606745</c:v>
                      </c:pt>
                      <c:pt idx="75" formatCode="General">
                        <c:v>-38.361265917602999</c:v>
                      </c:pt>
                      <c:pt idx="76" formatCode="General">
                        <c:v>-38.587183520599254</c:v>
                      </c:pt>
                      <c:pt idx="77" formatCode="General">
                        <c:v>-38.813101123595509</c:v>
                      </c:pt>
                      <c:pt idx="78" formatCode="General">
                        <c:v>-39.039018726591763</c:v>
                      </c:pt>
                      <c:pt idx="79" formatCode="General">
                        <c:v>-39.264936329588011</c:v>
                      </c:pt>
                      <c:pt idx="80" formatCode="General">
                        <c:v>-39.490853932584265</c:v>
                      </c:pt>
                      <c:pt idx="81" formatCode="General">
                        <c:v>-39.71677153558052</c:v>
                      </c:pt>
                      <c:pt idx="82" formatCode="General">
                        <c:v>-39.942689138576775</c:v>
                      </c:pt>
                      <c:pt idx="83" formatCode="General">
                        <c:v>-40.151856287425147</c:v>
                      </c:pt>
                      <c:pt idx="84" formatCode="General">
                        <c:v>-40.345868263473051</c:v>
                      </c:pt>
                      <c:pt idx="85" formatCode="General">
                        <c:v>-40.539880239520954</c:v>
                      </c:pt>
                      <c:pt idx="86" formatCode="General">
                        <c:v>-40.733892215568858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3-022F-4A2F-976F-7C3C2CD148C5}"/>
                  </c:ext>
                </c:extLst>
              </c15:ser>
            </c15:filteredScatterSeries>
            <c15:filteredScatterSeries>
              <c15:ser>
                <c:idx val="12"/>
                <c:order val="14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306</c:v>
                      </c:pt>
                      <c:pt idx="1">
                        <c:v>314</c:v>
                      </c:pt>
                      <c:pt idx="2">
                        <c:v>322</c:v>
                      </c:pt>
                      <c:pt idx="3">
                        <c:v>330</c:v>
                      </c:pt>
                      <c:pt idx="4">
                        <c:v>338</c:v>
                      </c:pt>
                      <c:pt idx="5">
                        <c:v>346</c:v>
                      </c:pt>
                      <c:pt idx="6">
                        <c:v>354</c:v>
                      </c:pt>
                      <c:pt idx="7">
                        <c:v>362</c:v>
                      </c:pt>
                      <c:pt idx="8">
                        <c:v>370</c:v>
                      </c:pt>
                      <c:pt idx="9">
                        <c:v>378</c:v>
                      </c:pt>
                      <c:pt idx="10">
                        <c:v>386</c:v>
                      </c:pt>
                      <c:pt idx="11">
                        <c:v>394</c:v>
                      </c:pt>
                      <c:pt idx="12">
                        <c:v>402</c:v>
                      </c:pt>
                      <c:pt idx="13">
                        <c:v>410</c:v>
                      </c:pt>
                      <c:pt idx="14">
                        <c:v>418</c:v>
                      </c:pt>
                      <c:pt idx="15">
                        <c:v>426</c:v>
                      </c:pt>
                      <c:pt idx="16">
                        <c:v>434</c:v>
                      </c:pt>
                      <c:pt idx="17">
                        <c:v>442</c:v>
                      </c:pt>
                      <c:pt idx="18">
                        <c:v>450</c:v>
                      </c:pt>
                      <c:pt idx="19">
                        <c:v>458</c:v>
                      </c:pt>
                      <c:pt idx="20">
                        <c:v>466</c:v>
                      </c:pt>
                      <c:pt idx="21">
                        <c:v>474</c:v>
                      </c:pt>
                      <c:pt idx="22">
                        <c:v>482</c:v>
                      </c:pt>
                      <c:pt idx="23">
                        <c:v>490</c:v>
                      </c:pt>
                      <c:pt idx="24">
                        <c:v>498</c:v>
                      </c:pt>
                      <c:pt idx="25">
                        <c:v>506</c:v>
                      </c:pt>
                      <c:pt idx="26">
                        <c:v>514</c:v>
                      </c:pt>
                      <c:pt idx="27">
                        <c:v>522</c:v>
                      </c:pt>
                      <c:pt idx="28">
                        <c:v>530</c:v>
                      </c:pt>
                      <c:pt idx="29">
                        <c:v>538</c:v>
                      </c:pt>
                      <c:pt idx="30">
                        <c:v>546</c:v>
                      </c:pt>
                      <c:pt idx="31">
                        <c:v>554</c:v>
                      </c:pt>
                      <c:pt idx="32">
                        <c:v>562</c:v>
                      </c:pt>
                      <c:pt idx="33">
                        <c:v>570</c:v>
                      </c:pt>
                      <c:pt idx="34">
                        <c:v>578</c:v>
                      </c:pt>
                      <c:pt idx="35">
                        <c:v>586</c:v>
                      </c:pt>
                      <c:pt idx="36">
                        <c:v>594</c:v>
                      </c:pt>
                      <c:pt idx="37">
                        <c:v>602</c:v>
                      </c:pt>
                      <c:pt idx="38">
                        <c:v>610</c:v>
                      </c:pt>
                      <c:pt idx="39">
                        <c:v>618</c:v>
                      </c:pt>
                      <c:pt idx="40">
                        <c:v>626</c:v>
                      </c:pt>
                      <c:pt idx="41">
                        <c:v>634</c:v>
                      </c:pt>
                      <c:pt idx="42">
                        <c:v>642</c:v>
                      </c:pt>
                      <c:pt idx="43">
                        <c:v>650</c:v>
                      </c:pt>
                      <c:pt idx="44">
                        <c:v>658</c:v>
                      </c:pt>
                      <c:pt idx="45">
                        <c:v>666</c:v>
                      </c:pt>
                      <c:pt idx="46">
                        <c:v>674</c:v>
                      </c:pt>
                      <c:pt idx="47">
                        <c:v>682</c:v>
                      </c:pt>
                      <c:pt idx="48">
                        <c:v>690</c:v>
                      </c:pt>
                      <c:pt idx="49">
                        <c:v>698</c:v>
                      </c:pt>
                      <c:pt idx="50">
                        <c:v>706</c:v>
                      </c:pt>
                      <c:pt idx="51">
                        <c:v>714</c:v>
                      </c:pt>
                      <c:pt idx="52">
                        <c:v>722</c:v>
                      </c:pt>
                      <c:pt idx="53">
                        <c:v>730</c:v>
                      </c:pt>
                      <c:pt idx="54">
                        <c:v>738</c:v>
                      </c:pt>
                      <c:pt idx="55">
                        <c:v>746</c:v>
                      </c:pt>
                      <c:pt idx="56">
                        <c:v>754</c:v>
                      </c:pt>
                      <c:pt idx="57">
                        <c:v>762</c:v>
                      </c:pt>
                      <c:pt idx="58">
                        <c:v>770</c:v>
                      </c:pt>
                      <c:pt idx="59">
                        <c:v>778</c:v>
                      </c:pt>
                      <c:pt idx="60">
                        <c:v>786</c:v>
                      </c:pt>
                      <c:pt idx="61">
                        <c:v>794</c:v>
                      </c:pt>
                      <c:pt idx="62">
                        <c:v>802</c:v>
                      </c:pt>
                      <c:pt idx="63">
                        <c:v>810</c:v>
                      </c:pt>
                      <c:pt idx="64">
                        <c:v>818</c:v>
                      </c:pt>
                      <c:pt idx="65">
                        <c:v>826</c:v>
                      </c:pt>
                      <c:pt idx="66">
                        <c:v>834</c:v>
                      </c:pt>
                      <c:pt idx="67">
                        <c:v>842</c:v>
                      </c:pt>
                      <c:pt idx="68">
                        <c:v>850</c:v>
                      </c:pt>
                      <c:pt idx="69">
                        <c:v>858</c:v>
                      </c:pt>
                      <c:pt idx="70">
                        <c:v>866</c:v>
                      </c:pt>
                      <c:pt idx="71">
                        <c:v>874</c:v>
                      </c:pt>
                      <c:pt idx="72">
                        <c:v>882</c:v>
                      </c:pt>
                      <c:pt idx="73">
                        <c:v>890</c:v>
                      </c:pt>
                      <c:pt idx="74">
                        <c:v>898</c:v>
                      </c:pt>
                      <c:pt idx="75">
                        <c:v>906</c:v>
                      </c:pt>
                      <c:pt idx="76">
                        <c:v>914</c:v>
                      </c:pt>
                      <c:pt idx="77">
                        <c:v>922</c:v>
                      </c:pt>
                      <c:pt idx="78">
                        <c:v>930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EVALUATION!$B$115:$CP$115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-15.118108108108107</c:v>
                      </c:pt>
                      <c:pt idx="1">
                        <c:v>-14.88027027027027</c:v>
                      </c:pt>
                      <c:pt idx="2">
                        <c:v>-14.642432432432432</c:v>
                      </c:pt>
                      <c:pt idx="3">
                        <c:v>-14.404594594594593</c:v>
                      </c:pt>
                      <c:pt idx="4" formatCode="General">
                        <c:v>-13.959101796407184</c:v>
                      </c:pt>
                      <c:pt idx="5" formatCode="General">
                        <c:v>-13.46568862275449</c:v>
                      </c:pt>
                      <c:pt idx="6" formatCode="General">
                        <c:v>-12.972275449101796</c:v>
                      </c:pt>
                      <c:pt idx="7" formatCode="General">
                        <c:v>-12.478862275449101</c:v>
                      </c:pt>
                      <c:pt idx="8" formatCode="General">
                        <c:v>-11.950329341317365</c:v>
                      </c:pt>
                      <c:pt idx="9" formatCode="General">
                        <c:v>-11.40182634730539</c:v>
                      </c:pt>
                      <c:pt idx="10" formatCode="General">
                        <c:v>-10.853323353293414</c:v>
                      </c:pt>
                      <c:pt idx="11" formatCode="General">
                        <c:v>-10.304820359281438</c:v>
                      </c:pt>
                      <c:pt idx="12" formatCode="General">
                        <c:v>-9.7896616766467073</c:v>
                      </c:pt>
                      <c:pt idx="13" formatCode="General">
                        <c:v>-9.3132544910179647</c:v>
                      </c:pt>
                      <c:pt idx="14" formatCode="General">
                        <c:v>-8.836847305389222</c:v>
                      </c:pt>
                      <c:pt idx="15" formatCode="General">
                        <c:v>-8.3604401197604794</c:v>
                      </c:pt>
                      <c:pt idx="16" formatCode="General">
                        <c:v>-7.9011107784431145</c:v>
                      </c:pt>
                      <c:pt idx="17" formatCode="General">
                        <c:v>-7.4841047904191624</c:v>
                      </c:pt>
                      <c:pt idx="18" formatCode="General">
                        <c:v>-7.0670988023952104</c:v>
                      </c:pt>
                      <c:pt idx="19" formatCode="General">
                        <c:v>-6.6500928143712592</c:v>
                      </c:pt>
                      <c:pt idx="20" formatCode="General">
                        <c:v>-6.2383952095808395</c:v>
                      </c:pt>
                      <c:pt idx="21" formatCode="General">
                        <c:v>-5.8685748502994022</c:v>
                      </c:pt>
                      <c:pt idx="22" formatCode="General">
                        <c:v>-5.4987544910179649</c:v>
                      </c:pt>
                      <c:pt idx="23" formatCode="General">
                        <c:v>-5.1289341317365267</c:v>
                      </c:pt>
                      <c:pt idx="24" formatCode="General">
                        <c:v>-4.7591137724550894</c:v>
                      </c:pt>
                      <c:pt idx="25" formatCode="General">
                        <c:v>-4.6019909909909904</c:v>
                      </c:pt>
                      <c:pt idx="26" formatCode="General">
                        <c:v>-4.4590480480480474</c:v>
                      </c:pt>
                      <c:pt idx="27" formatCode="General">
                        <c:v>-4.3161051051051045</c:v>
                      </c:pt>
                      <c:pt idx="28" formatCode="General">
                        <c:v>-4.1731621621621615</c:v>
                      </c:pt>
                      <c:pt idx="29" formatCode="General">
                        <c:v>-4.1562215568862273</c:v>
                      </c:pt>
                      <c:pt idx="30" formatCode="General">
                        <c:v>-4.1758622754491022</c:v>
                      </c:pt>
                      <c:pt idx="31" formatCode="General">
                        <c:v>-4.1955029940119761</c:v>
                      </c:pt>
                      <c:pt idx="32" formatCode="General">
                        <c:v>-4.2151437125748501</c:v>
                      </c:pt>
                      <c:pt idx="33" formatCode="General">
                        <c:v>-4.2348562874251492</c:v>
                      </c:pt>
                      <c:pt idx="34" formatCode="General">
                        <c:v>-4.2546167664670653</c:v>
                      </c:pt>
                      <c:pt idx="35" formatCode="General">
                        <c:v>-4.2743772455089815</c:v>
                      </c:pt>
                      <c:pt idx="36" formatCode="General">
                        <c:v>-4.2941377245508976</c:v>
                      </c:pt>
                      <c:pt idx="37" formatCode="General">
                        <c:v>-4.3138982035928146</c:v>
                      </c:pt>
                      <c:pt idx="38" formatCode="General">
                        <c:v>-4.3336586826347308</c:v>
                      </c:pt>
                      <c:pt idx="39" formatCode="General">
                        <c:v>-4.3534191616766469</c:v>
                      </c:pt>
                      <c:pt idx="40" formatCode="General">
                        <c:v>-4.373179640718563</c:v>
                      </c:pt>
                      <c:pt idx="41" formatCode="General">
                        <c:v>-4.3929401197604792</c:v>
                      </c:pt>
                      <c:pt idx="42" formatCode="General">
                        <c:v>-4.4127005988023953</c:v>
                      </c:pt>
                      <c:pt idx="43" formatCode="General">
                        <c:v>-4.4324610778443114</c:v>
                      </c:pt>
                      <c:pt idx="44" formatCode="General">
                        <c:v>-4.4522215568862276</c:v>
                      </c:pt>
                      <c:pt idx="45" formatCode="General">
                        <c:v>-4.4719820359281437</c:v>
                      </c:pt>
                      <c:pt idx="46" formatCode="General">
                        <c:v>-4.4917425149700598</c:v>
                      </c:pt>
                      <c:pt idx="47" formatCode="General">
                        <c:v>-4.511502994011976</c:v>
                      </c:pt>
                      <c:pt idx="48" formatCode="General">
                        <c:v>-4.5312634730538921</c:v>
                      </c:pt>
                      <c:pt idx="49" formatCode="General">
                        <c:v>-4.5510239520958082</c:v>
                      </c:pt>
                      <c:pt idx="50" formatCode="General">
                        <c:v>-4.5702584269662925</c:v>
                      </c:pt>
                      <c:pt idx="51" formatCode="General">
                        <c:v>-4.5894344569288394</c:v>
                      </c:pt>
                      <c:pt idx="52" formatCode="General">
                        <c:v>-4.6086104868913855</c:v>
                      </c:pt>
                      <c:pt idx="53" formatCode="General">
                        <c:v>-4.6277865168539325</c:v>
                      </c:pt>
                      <c:pt idx="54" formatCode="General">
                        <c:v>-4.6469625468164795</c:v>
                      </c:pt>
                      <c:pt idx="55" formatCode="General">
                        <c:v>-4.6661385767790264</c:v>
                      </c:pt>
                      <c:pt idx="56" formatCode="General">
                        <c:v>-4.6853146067415734</c:v>
                      </c:pt>
                      <c:pt idx="57" formatCode="General">
                        <c:v>-4.7044906367041204</c:v>
                      </c:pt>
                      <c:pt idx="58" formatCode="General">
                        <c:v>-4.7236666666666665</c:v>
                      </c:pt>
                      <c:pt idx="59" formatCode="General">
                        <c:v>-4.7428426966292134</c:v>
                      </c:pt>
                      <c:pt idx="60" formatCode="General">
                        <c:v>-4.7620187265917604</c:v>
                      </c:pt>
                      <c:pt idx="61" formatCode="General">
                        <c:v>-4.7811947565543074</c:v>
                      </c:pt>
                      <c:pt idx="62" formatCode="General">
                        <c:v>-4.8003707865168543</c:v>
                      </c:pt>
                      <c:pt idx="63" formatCode="General">
                        <c:v>-4.8195468164794013</c:v>
                      </c:pt>
                      <c:pt idx="64" formatCode="General">
                        <c:v>-4.8387228464419483</c:v>
                      </c:pt>
                      <c:pt idx="65" formatCode="General">
                        <c:v>-4.8578988764044944</c:v>
                      </c:pt>
                      <c:pt idx="66" formatCode="General">
                        <c:v>-4.8768456928838955</c:v>
                      </c:pt>
                      <c:pt idx="67" formatCode="General">
                        <c:v>-4.8949430711610491</c:v>
                      </c:pt>
                      <c:pt idx="68" formatCode="General">
                        <c:v>-4.9130404494382027</c:v>
                      </c:pt>
                      <c:pt idx="69" formatCode="General">
                        <c:v>-4.9311378277153564</c:v>
                      </c:pt>
                      <c:pt idx="70" formatCode="General">
                        <c:v>-4.94923520599251</c:v>
                      </c:pt>
                      <c:pt idx="71" formatCode="General">
                        <c:v>-4.9673325842696627</c:v>
                      </c:pt>
                      <c:pt idx="72" formatCode="General">
                        <c:v>-4.9854299625468164</c:v>
                      </c:pt>
                      <c:pt idx="73" formatCode="General">
                        <c:v>-5.00352734082397</c:v>
                      </c:pt>
                      <c:pt idx="74" formatCode="General">
                        <c:v>-5.0216247191011236</c:v>
                      </c:pt>
                      <c:pt idx="75" formatCode="General">
                        <c:v>-5.0397220973782773</c:v>
                      </c:pt>
                      <c:pt idx="76" formatCode="General">
                        <c:v>-5.0578194756554309</c:v>
                      </c:pt>
                      <c:pt idx="77" formatCode="General">
                        <c:v>-5.0759168539325845</c:v>
                      </c:pt>
                      <c:pt idx="78" formatCode="General">
                        <c:v>-5.0940142322097381</c:v>
                      </c:pt>
                      <c:pt idx="79" formatCode="General">
                        <c:v>-5.1121116104868918</c:v>
                      </c:pt>
                      <c:pt idx="80" formatCode="General">
                        <c:v>-5.1302089887640445</c:v>
                      </c:pt>
                      <c:pt idx="81" formatCode="General">
                        <c:v>-5.1483063670411982</c:v>
                      </c:pt>
                      <c:pt idx="82" formatCode="General">
                        <c:v>-5.1664037453183518</c:v>
                      </c:pt>
                      <c:pt idx="83" formatCode="General">
                        <c:v>-5.1840538922155686</c:v>
                      </c:pt>
                      <c:pt idx="84" formatCode="General">
                        <c:v>-5.2012994011976046</c:v>
                      </c:pt>
                      <c:pt idx="85" formatCode="General">
                        <c:v>-5.2185449101796406</c:v>
                      </c:pt>
                      <c:pt idx="86" formatCode="General">
                        <c:v>-5.2357904191616766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4-022F-4A2F-976F-7C3C2CD148C5}"/>
                  </c:ext>
                </c:extLst>
              </c15:ser>
            </c15:filteredScatterSeries>
            <c15:filteredScatterSeries>
              <c15:ser>
                <c:idx val="13"/>
                <c:order val="15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306</c:v>
                      </c:pt>
                      <c:pt idx="1">
                        <c:v>314</c:v>
                      </c:pt>
                      <c:pt idx="2">
                        <c:v>322</c:v>
                      </c:pt>
                      <c:pt idx="3">
                        <c:v>330</c:v>
                      </c:pt>
                      <c:pt idx="4">
                        <c:v>338</c:v>
                      </c:pt>
                      <c:pt idx="5">
                        <c:v>346</c:v>
                      </c:pt>
                      <c:pt idx="6">
                        <c:v>354</c:v>
                      </c:pt>
                      <c:pt idx="7">
                        <c:v>362</c:v>
                      </c:pt>
                      <c:pt idx="8">
                        <c:v>370</c:v>
                      </c:pt>
                      <c:pt idx="9">
                        <c:v>378</c:v>
                      </c:pt>
                      <c:pt idx="10">
                        <c:v>386</c:v>
                      </c:pt>
                      <c:pt idx="11">
                        <c:v>394</c:v>
                      </c:pt>
                      <c:pt idx="12">
                        <c:v>402</c:v>
                      </c:pt>
                      <c:pt idx="13">
                        <c:v>410</c:v>
                      </c:pt>
                      <c:pt idx="14">
                        <c:v>418</c:v>
                      </c:pt>
                      <c:pt idx="15">
                        <c:v>426</c:v>
                      </c:pt>
                      <c:pt idx="16">
                        <c:v>434</c:v>
                      </c:pt>
                      <c:pt idx="17">
                        <c:v>442</c:v>
                      </c:pt>
                      <c:pt idx="18">
                        <c:v>450</c:v>
                      </c:pt>
                      <c:pt idx="19">
                        <c:v>458</c:v>
                      </c:pt>
                      <c:pt idx="20">
                        <c:v>466</c:v>
                      </c:pt>
                      <c:pt idx="21">
                        <c:v>474</c:v>
                      </c:pt>
                      <c:pt idx="22">
                        <c:v>482</c:v>
                      </c:pt>
                      <c:pt idx="23">
                        <c:v>490</c:v>
                      </c:pt>
                      <c:pt idx="24">
                        <c:v>498</c:v>
                      </c:pt>
                      <c:pt idx="25">
                        <c:v>506</c:v>
                      </c:pt>
                      <c:pt idx="26">
                        <c:v>514</c:v>
                      </c:pt>
                      <c:pt idx="27">
                        <c:v>522</c:v>
                      </c:pt>
                      <c:pt idx="28">
                        <c:v>530</c:v>
                      </c:pt>
                      <c:pt idx="29">
                        <c:v>538</c:v>
                      </c:pt>
                      <c:pt idx="30">
                        <c:v>546</c:v>
                      </c:pt>
                      <c:pt idx="31">
                        <c:v>554</c:v>
                      </c:pt>
                      <c:pt idx="32">
                        <c:v>562</c:v>
                      </c:pt>
                      <c:pt idx="33">
                        <c:v>570</c:v>
                      </c:pt>
                      <c:pt idx="34">
                        <c:v>578</c:v>
                      </c:pt>
                      <c:pt idx="35">
                        <c:v>586</c:v>
                      </c:pt>
                      <c:pt idx="36">
                        <c:v>594</c:v>
                      </c:pt>
                      <c:pt idx="37">
                        <c:v>602</c:v>
                      </c:pt>
                      <c:pt idx="38">
                        <c:v>610</c:v>
                      </c:pt>
                      <c:pt idx="39">
                        <c:v>618</c:v>
                      </c:pt>
                      <c:pt idx="40">
                        <c:v>626</c:v>
                      </c:pt>
                      <c:pt idx="41">
                        <c:v>634</c:v>
                      </c:pt>
                      <c:pt idx="42">
                        <c:v>642</c:v>
                      </c:pt>
                      <c:pt idx="43">
                        <c:v>650</c:v>
                      </c:pt>
                      <c:pt idx="44">
                        <c:v>658</c:v>
                      </c:pt>
                      <c:pt idx="45">
                        <c:v>666</c:v>
                      </c:pt>
                      <c:pt idx="46">
                        <c:v>674</c:v>
                      </c:pt>
                      <c:pt idx="47">
                        <c:v>682</c:v>
                      </c:pt>
                      <c:pt idx="48">
                        <c:v>690</c:v>
                      </c:pt>
                      <c:pt idx="49">
                        <c:v>698</c:v>
                      </c:pt>
                      <c:pt idx="50">
                        <c:v>706</c:v>
                      </c:pt>
                      <c:pt idx="51">
                        <c:v>714</c:v>
                      </c:pt>
                      <c:pt idx="52">
                        <c:v>722</c:v>
                      </c:pt>
                      <c:pt idx="53">
                        <c:v>730</c:v>
                      </c:pt>
                      <c:pt idx="54">
                        <c:v>738</c:v>
                      </c:pt>
                      <c:pt idx="55">
                        <c:v>746</c:v>
                      </c:pt>
                      <c:pt idx="56">
                        <c:v>754</c:v>
                      </c:pt>
                      <c:pt idx="57">
                        <c:v>762</c:v>
                      </c:pt>
                      <c:pt idx="58">
                        <c:v>770</c:v>
                      </c:pt>
                      <c:pt idx="59">
                        <c:v>778</c:v>
                      </c:pt>
                      <c:pt idx="60">
                        <c:v>786</c:v>
                      </c:pt>
                      <c:pt idx="61">
                        <c:v>794</c:v>
                      </c:pt>
                      <c:pt idx="62">
                        <c:v>802</c:v>
                      </c:pt>
                      <c:pt idx="63">
                        <c:v>810</c:v>
                      </c:pt>
                      <c:pt idx="64">
                        <c:v>818</c:v>
                      </c:pt>
                      <c:pt idx="65">
                        <c:v>826</c:v>
                      </c:pt>
                      <c:pt idx="66">
                        <c:v>834</c:v>
                      </c:pt>
                      <c:pt idx="67">
                        <c:v>842</c:v>
                      </c:pt>
                      <c:pt idx="68">
                        <c:v>850</c:v>
                      </c:pt>
                      <c:pt idx="69">
                        <c:v>858</c:v>
                      </c:pt>
                      <c:pt idx="70">
                        <c:v>866</c:v>
                      </c:pt>
                      <c:pt idx="71">
                        <c:v>874</c:v>
                      </c:pt>
                      <c:pt idx="72">
                        <c:v>882</c:v>
                      </c:pt>
                      <c:pt idx="73">
                        <c:v>890</c:v>
                      </c:pt>
                      <c:pt idx="74">
                        <c:v>898</c:v>
                      </c:pt>
                      <c:pt idx="75">
                        <c:v>906</c:v>
                      </c:pt>
                      <c:pt idx="76">
                        <c:v>914</c:v>
                      </c:pt>
                      <c:pt idx="77">
                        <c:v>922</c:v>
                      </c:pt>
                      <c:pt idx="78">
                        <c:v>930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EVALUATION!$B$116:$CP$116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-21.473063063063062</c:v>
                      </c:pt>
                      <c:pt idx="1">
                        <c:v>-21.045435435435436</c:v>
                      </c:pt>
                      <c:pt idx="2">
                        <c:v>-20.617807807807807</c:v>
                      </c:pt>
                      <c:pt idx="3">
                        <c:v>-20.190180180180178</c:v>
                      </c:pt>
                      <c:pt idx="4" formatCode="General">
                        <c:v>-20.082754491017962</c:v>
                      </c:pt>
                      <c:pt idx="5" formatCode="General">
                        <c:v>-20.049221556886227</c:v>
                      </c:pt>
                      <c:pt idx="6" formatCode="General">
                        <c:v>-20.015688622754489</c:v>
                      </c:pt>
                      <c:pt idx="7" formatCode="General">
                        <c:v>-19.982155688622754</c:v>
                      </c:pt>
                      <c:pt idx="8" formatCode="General">
                        <c:v>-20.046347305389222</c:v>
                      </c:pt>
                      <c:pt idx="9" formatCode="General">
                        <c:v>-20.166107784431137</c:v>
                      </c:pt>
                      <c:pt idx="10" formatCode="General">
                        <c:v>-20.285868263473052</c:v>
                      </c:pt>
                      <c:pt idx="11" formatCode="General">
                        <c:v>-20.40562874251497</c:v>
                      </c:pt>
                      <c:pt idx="12" formatCode="General">
                        <c:v>-20.526497005988023</c:v>
                      </c:pt>
                      <c:pt idx="13" formatCode="General">
                        <c:v>-20.648652694610778</c:v>
                      </c:pt>
                      <c:pt idx="14" formatCode="General">
                        <c:v>-20.770808383233533</c:v>
                      </c:pt>
                      <c:pt idx="15" formatCode="General">
                        <c:v>-20.892964071856287</c:v>
                      </c:pt>
                      <c:pt idx="16" formatCode="General">
                        <c:v>-21.015119760479042</c:v>
                      </c:pt>
                      <c:pt idx="17" formatCode="General">
                        <c:v>-21.137275449101796</c:v>
                      </c:pt>
                      <c:pt idx="18" formatCode="General">
                        <c:v>-21.259431137724551</c:v>
                      </c:pt>
                      <c:pt idx="19" formatCode="General">
                        <c:v>-21.381586826347306</c:v>
                      </c:pt>
                      <c:pt idx="20" formatCode="General">
                        <c:v>-21.504011976047902</c:v>
                      </c:pt>
                      <c:pt idx="21" formatCode="General">
                        <c:v>-21.628562874251497</c:v>
                      </c:pt>
                      <c:pt idx="22" formatCode="General">
                        <c:v>-21.753113772455091</c:v>
                      </c:pt>
                      <c:pt idx="23" formatCode="General">
                        <c:v>-21.877664670658682</c:v>
                      </c:pt>
                      <c:pt idx="24" formatCode="General">
                        <c:v>-22.002215568862276</c:v>
                      </c:pt>
                      <c:pt idx="25" formatCode="General">
                        <c:v>-22.122612612612613</c:v>
                      </c:pt>
                      <c:pt idx="26" formatCode="General">
                        <c:v>-22.242732732732733</c:v>
                      </c:pt>
                      <c:pt idx="27" formatCode="General">
                        <c:v>-22.362852852852853</c:v>
                      </c:pt>
                      <c:pt idx="28" formatCode="General">
                        <c:v>-22.482972972972973</c:v>
                      </c:pt>
                      <c:pt idx="29" formatCode="General">
                        <c:v>-22.604670658682636</c:v>
                      </c:pt>
                      <c:pt idx="30" formatCode="General">
                        <c:v>-22.726826347305391</c:v>
                      </c:pt>
                      <c:pt idx="31" formatCode="General">
                        <c:v>-22.848982035928145</c:v>
                      </c:pt>
                      <c:pt idx="32" formatCode="General">
                        <c:v>-22.971137724550896</c:v>
                      </c:pt>
                      <c:pt idx="33" formatCode="General">
                        <c:v>-23.089700598802395</c:v>
                      </c:pt>
                      <c:pt idx="34" formatCode="General">
                        <c:v>-23.205868263473054</c:v>
                      </c:pt>
                      <c:pt idx="35" formatCode="General">
                        <c:v>-23.322035928143713</c:v>
                      </c:pt>
                      <c:pt idx="36" formatCode="General">
                        <c:v>-23.438203592814371</c:v>
                      </c:pt>
                      <c:pt idx="37" formatCode="General">
                        <c:v>-23.55437125748503</c:v>
                      </c:pt>
                      <c:pt idx="38" formatCode="General">
                        <c:v>-23.670538922155689</c:v>
                      </c:pt>
                      <c:pt idx="39" formatCode="General">
                        <c:v>-23.786706586826348</c:v>
                      </c:pt>
                      <c:pt idx="40" formatCode="General">
                        <c:v>-23.902874251497007</c:v>
                      </c:pt>
                      <c:pt idx="41" formatCode="General">
                        <c:v>-24.019041916167666</c:v>
                      </c:pt>
                      <c:pt idx="42" formatCode="General">
                        <c:v>-24.135209580838325</c:v>
                      </c:pt>
                      <c:pt idx="43" formatCode="General">
                        <c:v>-24.251377245508984</c:v>
                      </c:pt>
                      <c:pt idx="44" formatCode="General">
                        <c:v>-24.367544910179642</c:v>
                      </c:pt>
                      <c:pt idx="45" formatCode="General">
                        <c:v>-24.483712574850301</c:v>
                      </c:pt>
                      <c:pt idx="46" formatCode="General">
                        <c:v>-24.59988023952096</c:v>
                      </c:pt>
                      <c:pt idx="47" formatCode="General">
                        <c:v>-24.716047904191619</c:v>
                      </c:pt>
                      <c:pt idx="48" formatCode="General">
                        <c:v>-24.832215568862278</c:v>
                      </c:pt>
                      <c:pt idx="49" formatCode="General">
                        <c:v>-24.948383233532937</c:v>
                      </c:pt>
                      <c:pt idx="50" formatCode="General">
                        <c:v>-25.057617977528093</c:v>
                      </c:pt>
                      <c:pt idx="51" formatCode="General">
                        <c:v>-25.166082397003748</c:v>
                      </c:pt>
                      <c:pt idx="52" formatCode="General">
                        <c:v>-25.2745468164794</c:v>
                      </c:pt>
                      <c:pt idx="53" formatCode="General">
                        <c:v>-25.383011235955056</c:v>
                      </c:pt>
                      <c:pt idx="54" formatCode="General">
                        <c:v>-25.491475655430712</c:v>
                      </c:pt>
                      <c:pt idx="55" formatCode="General">
                        <c:v>-25.599940074906367</c:v>
                      </c:pt>
                      <c:pt idx="56" formatCode="General">
                        <c:v>-25.708404494382023</c:v>
                      </c:pt>
                      <c:pt idx="57" formatCode="General">
                        <c:v>-25.816868913857679</c:v>
                      </c:pt>
                      <c:pt idx="58" formatCode="General">
                        <c:v>-25.925333333333334</c:v>
                      </c:pt>
                      <c:pt idx="59" formatCode="General">
                        <c:v>-26.03379775280899</c:v>
                      </c:pt>
                      <c:pt idx="60" formatCode="General">
                        <c:v>-26.142262172284646</c:v>
                      </c:pt>
                      <c:pt idx="61" formatCode="General">
                        <c:v>-26.250726591760301</c:v>
                      </c:pt>
                      <c:pt idx="62" formatCode="General">
                        <c:v>-26.359191011235957</c:v>
                      </c:pt>
                      <c:pt idx="63" formatCode="General">
                        <c:v>-26.467655430711609</c:v>
                      </c:pt>
                      <c:pt idx="64" formatCode="General">
                        <c:v>-26.576119850187265</c:v>
                      </c:pt>
                      <c:pt idx="65" formatCode="General">
                        <c:v>-26.684584269662921</c:v>
                      </c:pt>
                      <c:pt idx="66" formatCode="General">
                        <c:v>-26.791902621722848</c:v>
                      </c:pt>
                      <c:pt idx="67" formatCode="General">
                        <c:v>-26.894973782771537</c:v>
                      </c:pt>
                      <c:pt idx="68" formatCode="General">
                        <c:v>-26.998044943820226</c:v>
                      </c:pt>
                      <c:pt idx="69" formatCode="General">
                        <c:v>-27.101116104868915</c:v>
                      </c:pt>
                      <c:pt idx="70" formatCode="General">
                        <c:v>-27.204187265917604</c:v>
                      </c:pt>
                      <c:pt idx="71" formatCode="General">
                        <c:v>-27.307258426966293</c:v>
                      </c:pt>
                      <c:pt idx="72" formatCode="General">
                        <c:v>-27.410329588014982</c:v>
                      </c:pt>
                      <c:pt idx="73" formatCode="General">
                        <c:v>-27.513400749063671</c:v>
                      </c:pt>
                      <c:pt idx="74" formatCode="General">
                        <c:v>-27.616471910112359</c:v>
                      </c:pt>
                      <c:pt idx="75" formatCode="General">
                        <c:v>-27.719543071161048</c:v>
                      </c:pt>
                      <c:pt idx="76" formatCode="General">
                        <c:v>-27.822614232209737</c:v>
                      </c:pt>
                      <c:pt idx="77" formatCode="General">
                        <c:v>-27.925685393258426</c:v>
                      </c:pt>
                      <c:pt idx="78" formatCode="General">
                        <c:v>-28.028756554307115</c:v>
                      </c:pt>
                      <c:pt idx="79" formatCode="General">
                        <c:v>-28.131827715355804</c:v>
                      </c:pt>
                      <c:pt idx="80" formatCode="General">
                        <c:v>-28.234898876404493</c:v>
                      </c:pt>
                      <c:pt idx="81" formatCode="General">
                        <c:v>-28.337970037453182</c:v>
                      </c:pt>
                      <c:pt idx="82" formatCode="General">
                        <c:v>-28.441041198501871</c:v>
                      </c:pt>
                      <c:pt idx="83" formatCode="General">
                        <c:v>-28.541556886227543</c:v>
                      </c:pt>
                      <c:pt idx="84" formatCode="General">
                        <c:v>-28.639760479041914</c:v>
                      </c:pt>
                      <c:pt idx="85" formatCode="General">
                        <c:v>-28.737964071856286</c:v>
                      </c:pt>
                      <c:pt idx="86" formatCode="General">
                        <c:v>-28.836167664670658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5-022F-4A2F-976F-7C3C2CD148C5}"/>
                  </c:ext>
                </c:extLst>
              </c15:ser>
            </c15:filteredScatterSeries>
            <c15:filteredScatterSeries>
              <c15:ser>
                <c:idx val="14"/>
                <c:order val="16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306</c:v>
                      </c:pt>
                      <c:pt idx="1">
                        <c:v>314</c:v>
                      </c:pt>
                      <c:pt idx="2">
                        <c:v>322</c:v>
                      </c:pt>
                      <c:pt idx="3">
                        <c:v>330</c:v>
                      </c:pt>
                      <c:pt idx="4">
                        <c:v>338</c:v>
                      </c:pt>
                      <c:pt idx="5">
                        <c:v>346</c:v>
                      </c:pt>
                      <c:pt idx="6">
                        <c:v>354</c:v>
                      </c:pt>
                      <c:pt idx="7">
                        <c:v>362</c:v>
                      </c:pt>
                      <c:pt idx="8">
                        <c:v>370</c:v>
                      </c:pt>
                      <c:pt idx="9">
                        <c:v>378</c:v>
                      </c:pt>
                      <c:pt idx="10">
                        <c:v>386</c:v>
                      </c:pt>
                      <c:pt idx="11">
                        <c:v>394</c:v>
                      </c:pt>
                      <c:pt idx="12">
                        <c:v>402</c:v>
                      </c:pt>
                      <c:pt idx="13">
                        <c:v>410</c:v>
                      </c:pt>
                      <c:pt idx="14">
                        <c:v>418</c:v>
                      </c:pt>
                      <c:pt idx="15">
                        <c:v>426</c:v>
                      </c:pt>
                      <c:pt idx="16">
                        <c:v>434</c:v>
                      </c:pt>
                      <c:pt idx="17">
                        <c:v>442</c:v>
                      </c:pt>
                      <c:pt idx="18">
                        <c:v>450</c:v>
                      </c:pt>
                      <c:pt idx="19">
                        <c:v>458</c:v>
                      </c:pt>
                      <c:pt idx="20">
                        <c:v>466</c:v>
                      </c:pt>
                      <c:pt idx="21">
                        <c:v>474</c:v>
                      </c:pt>
                      <c:pt idx="22">
                        <c:v>482</c:v>
                      </c:pt>
                      <c:pt idx="23">
                        <c:v>490</c:v>
                      </c:pt>
                      <c:pt idx="24">
                        <c:v>498</c:v>
                      </c:pt>
                      <c:pt idx="25">
                        <c:v>506</c:v>
                      </c:pt>
                      <c:pt idx="26">
                        <c:v>514</c:v>
                      </c:pt>
                      <c:pt idx="27">
                        <c:v>522</c:v>
                      </c:pt>
                      <c:pt idx="28">
                        <c:v>530</c:v>
                      </c:pt>
                      <c:pt idx="29">
                        <c:v>538</c:v>
                      </c:pt>
                      <c:pt idx="30">
                        <c:v>546</c:v>
                      </c:pt>
                      <c:pt idx="31">
                        <c:v>554</c:v>
                      </c:pt>
                      <c:pt idx="32">
                        <c:v>562</c:v>
                      </c:pt>
                      <c:pt idx="33">
                        <c:v>570</c:v>
                      </c:pt>
                      <c:pt idx="34">
                        <c:v>578</c:v>
                      </c:pt>
                      <c:pt idx="35">
                        <c:v>586</c:v>
                      </c:pt>
                      <c:pt idx="36">
                        <c:v>594</c:v>
                      </c:pt>
                      <c:pt idx="37">
                        <c:v>602</c:v>
                      </c:pt>
                      <c:pt idx="38">
                        <c:v>610</c:v>
                      </c:pt>
                      <c:pt idx="39">
                        <c:v>618</c:v>
                      </c:pt>
                      <c:pt idx="40">
                        <c:v>626</c:v>
                      </c:pt>
                      <c:pt idx="41">
                        <c:v>634</c:v>
                      </c:pt>
                      <c:pt idx="42">
                        <c:v>642</c:v>
                      </c:pt>
                      <c:pt idx="43">
                        <c:v>650</c:v>
                      </c:pt>
                      <c:pt idx="44">
                        <c:v>658</c:v>
                      </c:pt>
                      <c:pt idx="45">
                        <c:v>666</c:v>
                      </c:pt>
                      <c:pt idx="46">
                        <c:v>674</c:v>
                      </c:pt>
                      <c:pt idx="47">
                        <c:v>682</c:v>
                      </c:pt>
                      <c:pt idx="48">
                        <c:v>690</c:v>
                      </c:pt>
                      <c:pt idx="49">
                        <c:v>698</c:v>
                      </c:pt>
                      <c:pt idx="50">
                        <c:v>706</c:v>
                      </c:pt>
                      <c:pt idx="51">
                        <c:v>714</c:v>
                      </c:pt>
                      <c:pt idx="52">
                        <c:v>722</c:v>
                      </c:pt>
                      <c:pt idx="53">
                        <c:v>730</c:v>
                      </c:pt>
                      <c:pt idx="54">
                        <c:v>738</c:v>
                      </c:pt>
                      <c:pt idx="55">
                        <c:v>746</c:v>
                      </c:pt>
                      <c:pt idx="56">
                        <c:v>754</c:v>
                      </c:pt>
                      <c:pt idx="57">
                        <c:v>762</c:v>
                      </c:pt>
                      <c:pt idx="58">
                        <c:v>770</c:v>
                      </c:pt>
                      <c:pt idx="59">
                        <c:v>778</c:v>
                      </c:pt>
                      <c:pt idx="60">
                        <c:v>786</c:v>
                      </c:pt>
                      <c:pt idx="61">
                        <c:v>794</c:v>
                      </c:pt>
                      <c:pt idx="62">
                        <c:v>802</c:v>
                      </c:pt>
                      <c:pt idx="63">
                        <c:v>810</c:v>
                      </c:pt>
                      <c:pt idx="64">
                        <c:v>818</c:v>
                      </c:pt>
                      <c:pt idx="65">
                        <c:v>826</c:v>
                      </c:pt>
                      <c:pt idx="66">
                        <c:v>834</c:v>
                      </c:pt>
                      <c:pt idx="67">
                        <c:v>842</c:v>
                      </c:pt>
                      <c:pt idx="68">
                        <c:v>850</c:v>
                      </c:pt>
                      <c:pt idx="69">
                        <c:v>858</c:v>
                      </c:pt>
                      <c:pt idx="70">
                        <c:v>866</c:v>
                      </c:pt>
                      <c:pt idx="71">
                        <c:v>874</c:v>
                      </c:pt>
                      <c:pt idx="72">
                        <c:v>882</c:v>
                      </c:pt>
                      <c:pt idx="73">
                        <c:v>890</c:v>
                      </c:pt>
                      <c:pt idx="74">
                        <c:v>898</c:v>
                      </c:pt>
                      <c:pt idx="75">
                        <c:v>906</c:v>
                      </c:pt>
                      <c:pt idx="76">
                        <c:v>914</c:v>
                      </c:pt>
                      <c:pt idx="77">
                        <c:v>922</c:v>
                      </c:pt>
                      <c:pt idx="78">
                        <c:v>930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EVALUATION!$B$117:$CP$117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6-022F-4A2F-976F-7C3C2CD148C5}"/>
                  </c:ext>
                </c:extLst>
              </c15:ser>
            </c15:filteredScatterSeries>
            <c15:filteredScatterSeries>
              <c15:ser>
                <c:idx val="15"/>
                <c:order val="17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306</c:v>
                      </c:pt>
                      <c:pt idx="1">
                        <c:v>314</c:v>
                      </c:pt>
                      <c:pt idx="2">
                        <c:v>322</c:v>
                      </c:pt>
                      <c:pt idx="3">
                        <c:v>330</c:v>
                      </c:pt>
                      <c:pt idx="4">
                        <c:v>338</c:v>
                      </c:pt>
                      <c:pt idx="5">
                        <c:v>346</c:v>
                      </c:pt>
                      <c:pt idx="6">
                        <c:v>354</c:v>
                      </c:pt>
                      <c:pt idx="7">
                        <c:v>362</c:v>
                      </c:pt>
                      <c:pt idx="8">
                        <c:v>370</c:v>
                      </c:pt>
                      <c:pt idx="9">
                        <c:v>378</c:v>
                      </c:pt>
                      <c:pt idx="10">
                        <c:v>386</c:v>
                      </c:pt>
                      <c:pt idx="11">
                        <c:v>394</c:v>
                      </c:pt>
                      <c:pt idx="12">
                        <c:v>402</c:v>
                      </c:pt>
                      <c:pt idx="13">
                        <c:v>410</c:v>
                      </c:pt>
                      <c:pt idx="14">
                        <c:v>418</c:v>
                      </c:pt>
                      <c:pt idx="15">
                        <c:v>426</c:v>
                      </c:pt>
                      <c:pt idx="16">
                        <c:v>434</c:v>
                      </c:pt>
                      <c:pt idx="17">
                        <c:v>442</c:v>
                      </c:pt>
                      <c:pt idx="18">
                        <c:v>450</c:v>
                      </c:pt>
                      <c:pt idx="19">
                        <c:v>458</c:v>
                      </c:pt>
                      <c:pt idx="20">
                        <c:v>466</c:v>
                      </c:pt>
                      <c:pt idx="21">
                        <c:v>474</c:v>
                      </c:pt>
                      <c:pt idx="22">
                        <c:v>482</c:v>
                      </c:pt>
                      <c:pt idx="23">
                        <c:v>490</c:v>
                      </c:pt>
                      <c:pt idx="24">
                        <c:v>498</c:v>
                      </c:pt>
                      <c:pt idx="25">
                        <c:v>506</c:v>
                      </c:pt>
                      <c:pt idx="26">
                        <c:v>514</c:v>
                      </c:pt>
                      <c:pt idx="27">
                        <c:v>522</c:v>
                      </c:pt>
                      <c:pt idx="28">
                        <c:v>530</c:v>
                      </c:pt>
                      <c:pt idx="29">
                        <c:v>538</c:v>
                      </c:pt>
                      <c:pt idx="30">
                        <c:v>546</c:v>
                      </c:pt>
                      <c:pt idx="31">
                        <c:v>554</c:v>
                      </c:pt>
                      <c:pt idx="32">
                        <c:v>562</c:v>
                      </c:pt>
                      <c:pt idx="33">
                        <c:v>570</c:v>
                      </c:pt>
                      <c:pt idx="34">
                        <c:v>578</c:v>
                      </c:pt>
                      <c:pt idx="35">
                        <c:v>586</c:v>
                      </c:pt>
                      <c:pt idx="36">
                        <c:v>594</c:v>
                      </c:pt>
                      <c:pt idx="37">
                        <c:v>602</c:v>
                      </c:pt>
                      <c:pt idx="38">
                        <c:v>610</c:v>
                      </c:pt>
                      <c:pt idx="39">
                        <c:v>618</c:v>
                      </c:pt>
                      <c:pt idx="40">
                        <c:v>626</c:v>
                      </c:pt>
                      <c:pt idx="41">
                        <c:v>634</c:v>
                      </c:pt>
                      <c:pt idx="42">
                        <c:v>642</c:v>
                      </c:pt>
                      <c:pt idx="43">
                        <c:v>650</c:v>
                      </c:pt>
                      <c:pt idx="44">
                        <c:v>658</c:v>
                      </c:pt>
                      <c:pt idx="45">
                        <c:v>666</c:v>
                      </c:pt>
                      <c:pt idx="46">
                        <c:v>674</c:v>
                      </c:pt>
                      <c:pt idx="47">
                        <c:v>682</c:v>
                      </c:pt>
                      <c:pt idx="48">
                        <c:v>690</c:v>
                      </c:pt>
                      <c:pt idx="49">
                        <c:v>698</c:v>
                      </c:pt>
                      <c:pt idx="50">
                        <c:v>706</c:v>
                      </c:pt>
                      <c:pt idx="51">
                        <c:v>714</c:v>
                      </c:pt>
                      <c:pt idx="52">
                        <c:v>722</c:v>
                      </c:pt>
                      <c:pt idx="53">
                        <c:v>730</c:v>
                      </c:pt>
                      <c:pt idx="54">
                        <c:v>738</c:v>
                      </c:pt>
                      <c:pt idx="55">
                        <c:v>746</c:v>
                      </c:pt>
                      <c:pt idx="56">
                        <c:v>754</c:v>
                      </c:pt>
                      <c:pt idx="57">
                        <c:v>762</c:v>
                      </c:pt>
                      <c:pt idx="58">
                        <c:v>770</c:v>
                      </c:pt>
                      <c:pt idx="59">
                        <c:v>778</c:v>
                      </c:pt>
                      <c:pt idx="60">
                        <c:v>786</c:v>
                      </c:pt>
                      <c:pt idx="61">
                        <c:v>794</c:v>
                      </c:pt>
                      <c:pt idx="62">
                        <c:v>802</c:v>
                      </c:pt>
                      <c:pt idx="63">
                        <c:v>810</c:v>
                      </c:pt>
                      <c:pt idx="64">
                        <c:v>818</c:v>
                      </c:pt>
                      <c:pt idx="65">
                        <c:v>826</c:v>
                      </c:pt>
                      <c:pt idx="66">
                        <c:v>834</c:v>
                      </c:pt>
                      <c:pt idx="67">
                        <c:v>842</c:v>
                      </c:pt>
                      <c:pt idx="68">
                        <c:v>850</c:v>
                      </c:pt>
                      <c:pt idx="69">
                        <c:v>858</c:v>
                      </c:pt>
                      <c:pt idx="70">
                        <c:v>866</c:v>
                      </c:pt>
                      <c:pt idx="71">
                        <c:v>874</c:v>
                      </c:pt>
                      <c:pt idx="72">
                        <c:v>882</c:v>
                      </c:pt>
                      <c:pt idx="73">
                        <c:v>890</c:v>
                      </c:pt>
                      <c:pt idx="74">
                        <c:v>898</c:v>
                      </c:pt>
                      <c:pt idx="75">
                        <c:v>906</c:v>
                      </c:pt>
                      <c:pt idx="76">
                        <c:v>914</c:v>
                      </c:pt>
                      <c:pt idx="77">
                        <c:v>922</c:v>
                      </c:pt>
                      <c:pt idx="78">
                        <c:v>930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EVALUATION!$B$118:$CP$118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7-022F-4A2F-976F-7C3C2CD148C5}"/>
                  </c:ext>
                </c:extLst>
              </c15:ser>
            </c15:filteredScatterSeries>
            <c15:filteredScatterSeries>
              <c15:ser>
                <c:idx val="16"/>
                <c:order val="18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306</c:v>
                      </c:pt>
                      <c:pt idx="1">
                        <c:v>314</c:v>
                      </c:pt>
                      <c:pt idx="2">
                        <c:v>322</c:v>
                      </c:pt>
                      <c:pt idx="3">
                        <c:v>330</c:v>
                      </c:pt>
                      <c:pt idx="4">
                        <c:v>338</c:v>
                      </c:pt>
                      <c:pt idx="5">
                        <c:v>346</c:v>
                      </c:pt>
                      <c:pt idx="6">
                        <c:v>354</c:v>
                      </c:pt>
                      <c:pt idx="7">
                        <c:v>362</c:v>
                      </c:pt>
                      <c:pt idx="8">
                        <c:v>370</c:v>
                      </c:pt>
                      <c:pt idx="9">
                        <c:v>378</c:v>
                      </c:pt>
                      <c:pt idx="10">
                        <c:v>386</c:v>
                      </c:pt>
                      <c:pt idx="11">
                        <c:v>394</c:v>
                      </c:pt>
                      <c:pt idx="12">
                        <c:v>402</c:v>
                      </c:pt>
                      <c:pt idx="13">
                        <c:v>410</c:v>
                      </c:pt>
                      <c:pt idx="14">
                        <c:v>418</c:v>
                      </c:pt>
                      <c:pt idx="15">
                        <c:v>426</c:v>
                      </c:pt>
                      <c:pt idx="16">
                        <c:v>434</c:v>
                      </c:pt>
                      <c:pt idx="17">
                        <c:v>442</c:v>
                      </c:pt>
                      <c:pt idx="18">
                        <c:v>450</c:v>
                      </c:pt>
                      <c:pt idx="19">
                        <c:v>458</c:v>
                      </c:pt>
                      <c:pt idx="20">
                        <c:v>466</c:v>
                      </c:pt>
                      <c:pt idx="21">
                        <c:v>474</c:v>
                      </c:pt>
                      <c:pt idx="22">
                        <c:v>482</c:v>
                      </c:pt>
                      <c:pt idx="23">
                        <c:v>490</c:v>
                      </c:pt>
                      <c:pt idx="24">
                        <c:v>498</c:v>
                      </c:pt>
                      <c:pt idx="25">
                        <c:v>506</c:v>
                      </c:pt>
                      <c:pt idx="26">
                        <c:v>514</c:v>
                      </c:pt>
                      <c:pt idx="27">
                        <c:v>522</c:v>
                      </c:pt>
                      <c:pt idx="28">
                        <c:v>530</c:v>
                      </c:pt>
                      <c:pt idx="29">
                        <c:v>538</c:v>
                      </c:pt>
                      <c:pt idx="30">
                        <c:v>546</c:v>
                      </c:pt>
                      <c:pt idx="31">
                        <c:v>554</c:v>
                      </c:pt>
                      <c:pt idx="32">
                        <c:v>562</c:v>
                      </c:pt>
                      <c:pt idx="33">
                        <c:v>570</c:v>
                      </c:pt>
                      <c:pt idx="34">
                        <c:v>578</c:v>
                      </c:pt>
                      <c:pt idx="35">
                        <c:v>586</c:v>
                      </c:pt>
                      <c:pt idx="36">
                        <c:v>594</c:v>
                      </c:pt>
                      <c:pt idx="37">
                        <c:v>602</c:v>
                      </c:pt>
                      <c:pt idx="38">
                        <c:v>610</c:v>
                      </c:pt>
                      <c:pt idx="39">
                        <c:v>618</c:v>
                      </c:pt>
                      <c:pt idx="40">
                        <c:v>626</c:v>
                      </c:pt>
                      <c:pt idx="41">
                        <c:v>634</c:v>
                      </c:pt>
                      <c:pt idx="42">
                        <c:v>642</c:v>
                      </c:pt>
                      <c:pt idx="43">
                        <c:v>650</c:v>
                      </c:pt>
                      <c:pt idx="44">
                        <c:v>658</c:v>
                      </c:pt>
                      <c:pt idx="45">
                        <c:v>666</c:v>
                      </c:pt>
                      <c:pt idx="46">
                        <c:v>674</c:v>
                      </c:pt>
                      <c:pt idx="47">
                        <c:v>682</c:v>
                      </c:pt>
                      <c:pt idx="48">
                        <c:v>690</c:v>
                      </c:pt>
                      <c:pt idx="49">
                        <c:v>698</c:v>
                      </c:pt>
                      <c:pt idx="50">
                        <c:v>706</c:v>
                      </c:pt>
                      <c:pt idx="51">
                        <c:v>714</c:v>
                      </c:pt>
                      <c:pt idx="52">
                        <c:v>722</c:v>
                      </c:pt>
                      <c:pt idx="53">
                        <c:v>730</c:v>
                      </c:pt>
                      <c:pt idx="54">
                        <c:v>738</c:v>
                      </c:pt>
                      <c:pt idx="55">
                        <c:v>746</c:v>
                      </c:pt>
                      <c:pt idx="56">
                        <c:v>754</c:v>
                      </c:pt>
                      <c:pt idx="57">
                        <c:v>762</c:v>
                      </c:pt>
                      <c:pt idx="58">
                        <c:v>770</c:v>
                      </c:pt>
                      <c:pt idx="59">
                        <c:v>778</c:v>
                      </c:pt>
                      <c:pt idx="60">
                        <c:v>786</c:v>
                      </c:pt>
                      <c:pt idx="61">
                        <c:v>794</c:v>
                      </c:pt>
                      <c:pt idx="62">
                        <c:v>802</c:v>
                      </c:pt>
                      <c:pt idx="63">
                        <c:v>810</c:v>
                      </c:pt>
                      <c:pt idx="64">
                        <c:v>818</c:v>
                      </c:pt>
                      <c:pt idx="65">
                        <c:v>826</c:v>
                      </c:pt>
                      <c:pt idx="66">
                        <c:v>834</c:v>
                      </c:pt>
                      <c:pt idx="67">
                        <c:v>842</c:v>
                      </c:pt>
                      <c:pt idx="68">
                        <c:v>850</c:v>
                      </c:pt>
                      <c:pt idx="69">
                        <c:v>858</c:v>
                      </c:pt>
                      <c:pt idx="70">
                        <c:v>866</c:v>
                      </c:pt>
                      <c:pt idx="71">
                        <c:v>874</c:v>
                      </c:pt>
                      <c:pt idx="72">
                        <c:v>882</c:v>
                      </c:pt>
                      <c:pt idx="73">
                        <c:v>890</c:v>
                      </c:pt>
                      <c:pt idx="74">
                        <c:v>898</c:v>
                      </c:pt>
                      <c:pt idx="75">
                        <c:v>906</c:v>
                      </c:pt>
                      <c:pt idx="76">
                        <c:v>914</c:v>
                      </c:pt>
                      <c:pt idx="77">
                        <c:v>922</c:v>
                      </c:pt>
                      <c:pt idx="78">
                        <c:v>930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EVALUATION!$B$119:$CP$119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8-022F-4A2F-976F-7C3C2CD148C5}"/>
                  </c:ext>
                </c:extLst>
              </c15:ser>
            </c15:filteredScatterSeries>
            <c15:filteredScatterSeries>
              <c15:ser>
                <c:idx val="17"/>
                <c:order val="19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306</c:v>
                      </c:pt>
                      <c:pt idx="1">
                        <c:v>314</c:v>
                      </c:pt>
                      <c:pt idx="2">
                        <c:v>322</c:v>
                      </c:pt>
                      <c:pt idx="3">
                        <c:v>330</c:v>
                      </c:pt>
                      <c:pt idx="4">
                        <c:v>338</c:v>
                      </c:pt>
                      <c:pt idx="5">
                        <c:v>346</c:v>
                      </c:pt>
                      <c:pt idx="6">
                        <c:v>354</c:v>
                      </c:pt>
                      <c:pt idx="7">
                        <c:v>362</c:v>
                      </c:pt>
                      <c:pt idx="8">
                        <c:v>370</c:v>
                      </c:pt>
                      <c:pt idx="9">
                        <c:v>378</c:v>
                      </c:pt>
                      <c:pt idx="10">
                        <c:v>386</c:v>
                      </c:pt>
                      <c:pt idx="11">
                        <c:v>394</c:v>
                      </c:pt>
                      <c:pt idx="12">
                        <c:v>402</c:v>
                      </c:pt>
                      <c:pt idx="13">
                        <c:v>410</c:v>
                      </c:pt>
                      <c:pt idx="14">
                        <c:v>418</c:v>
                      </c:pt>
                      <c:pt idx="15">
                        <c:v>426</c:v>
                      </c:pt>
                      <c:pt idx="16">
                        <c:v>434</c:v>
                      </c:pt>
                      <c:pt idx="17">
                        <c:v>442</c:v>
                      </c:pt>
                      <c:pt idx="18">
                        <c:v>450</c:v>
                      </c:pt>
                      <c:pt idx="19">
                        <c:v>458</c:v>
                      </c:pt>
                      <c:pt idx="20">
                        <c:v>466</c:v>
                      </c:pt>
                      <c:pt idx="21">
                        <c:v>474</c:v>
                      </c:pt>
                      <c:pt idx="22">
                        <c:v>482</c:v>
                      </c:pt>
                      <c:pt idx="23">
                        <c:v>490</c:v>
                      </c:pt>
                      <c:pt idx="24">
                        <c:v>498</c:v>
                      </c:pt>
                      <c:pt idx="25">
                        <c:v>506</c:v>
                      </c:pt>
                      <c:pt idx="26">
                        <c:v>514</c:v>
                      </c:pt>
                      <c:pt idx="27">
                        <c:v>522</c:v>
                      </c:pt>
                      <c:pt idx="28">
                        <c:v>530</c:v>
                      </c:pt>
                      <c:pt idx="29">
                        <c:v>538</c:v>
                      </c:pt>
                      <c:pt idx="30">
                        <c:v>546</c:v>
                      </c:pt>
                      <c:pt idx="31">
                        <c:v>554</c:v>
                      </c:pt>
                      <c:pt idx="32">
                        <c:v>562</c:v>
                      </c:pt>
                      <c:pt idx="33">
                        <c:v>570</c:v>
                      </c:pt>
                      <c:pt idx="34">
                        <c:v>578</c:v>
                      </c:pt>
                      <c:pt idx="35">
                        <c:v>586</c:v>
                      </c:pt>
                      <c:pt idx="36">
                        <c:v>594</c:v>
                      </c:pt>
                      <c:pt idx="37">
                        <c:v>602</c:v>
                      </c:pt>
                      <c:pt idx="38">
                        <c:v>610</c:v>
                      </c:pt>
                      <c:pt idx="39">
                        <c:v>618</c:v>
                      </c:pt>
                      <c:pt idx="40">
                        <c:v>626</c:v>
                      </c:pt>
                      <c:pt idx="41">
                        <c:v>634</c:v>
                      </c:pt>
                      <c:pt idx="42">
                        <c:v>642</c:v>
                      </c:pt>
                      <c:pt idx="43">
                        <c:v>650</c:v>
                      </c:pt>
                      <c:pt idx="44">
                        <c:v>658</c:v>
                      </c:pt>
                      <c:pt idx="45">
                        <c:v>666</c:v>
                      </c:pt>
                      <c:pt idx="46">
                        <c:v>674</c:v>
                      </c:pt>
                      <c:pt idx="47">
                        <c:v>682</c:v>
                      </c:pt>
                      <c:pt idx="48">
                        <c:v>690</c:v>
                      </c:pt>
                      <c:pt idx="49">
                        <c:v>698</c:v>
                      </c:pt>
                      <c:pt idx="50">
                        <c:v>706</c:v>
                      </c:pt>
                      <c:pt idx="51">
                        <c:v>714</c:v>
                      </c:pt>
                      <c:pt idx="52">
                        <c:v>722</c:v>
                      </c:pt>
                      <c:pt idx="53">
                        <c:v>730</c:v>
                      </c:pt>
                      <c:pt idx="54">
                        <c:v>738</c:v>
                      </c:pt>
                      <c:pt idx="55">
                        <c:v>746</c:v>
                      </c:pt>
                      <c:pt idx="56">
                        <c:v>754</c:v>
                      </c:pt>
                      <c:pt idx="57">
                        <c:v>762</c:v>
                      </c:pt>
                      <c:pt idx="58">
                        <c:v>770</c:v>
                      </c:pt>
                      <c:pt idx="59">
                        <c:v>778</c:v>
                      </c:pt>
                      <c:pt idx="60">
                        <c:v>786</c:v>
                      </c:pt>
                      <c:pt idx="61">
                        <c:v>794</c:v>
                      </c:pt>
                      <c:pt idx="62">
                        <c:v>802</c:v>
                      </c:pt>
                      <c:pt idx="63">
                        <c:v>810</c:v>
                      </c:pt>
                      <c:pt idx="64">
                        <c:v>818</c:v>
                      </c:pt>
                      <c:pt idx="65">
                        <c:v>826</c:v>
                      </c:pt>
                      <c:pt idx="66">
                        <c:v>834</c:v>
                      </c:pt>
                      <c:pt idx="67">
                        <c:v>842</c:v>
                      </c:pt>
                      <c:pt idx="68">
                        <c:v>850</c:v>
                      </c:pt>
                      <c:pt idx="69">
                        <c:v>858</c:v>
                      </c:pt>
                      <c:pt idx="70">
                        <c:v>866</c:v>
                      </c:pt>
                      <c:pt idx="71">
                        <c:v>874</c:v>
                      </c:pt>
                      <c:pt idx="72">
                        <c:v>882</c:v>
                      </c:pt>
                      <c:pt idx="73">
                        <c:v>890</c:v>
                      </c:pt>
                      <c:pt idx="74">
                        <c:v>898</c:v>
                      </c:pt>
                      <c:pt idx="75">
                        <c:v>906</c:v>
                      </c:pt>
                      <c:pt idx="76">
                        <c:v>914</c:v>
                      </c:pt>
                      <c:pt idx="77">
                        <c:v>922</c:v>
                      </c:pt>
                      <c:pt idx="78">
                        <c:v>930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EVALUATION!$B$120:$CP$120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9-022F-4A2F-976F-7C3C2CD148C5}"/>
                  </c:ext>
                </c:extLst>
              </c15:ser>
            </c15:filteredScatterSeries>
            <c15:filteredScatterSeries>
              <c15:ser>
                <c:idx val="18"/>
                <c:order val="20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306</c:v>
                      </c:pt>
                      <c:pt idx="1">
                        <c:v>314</c:v>
                      </c:pt>
                      <c:pt idx="2">
                        <c:v>322</c:v>
                      </c:pt>
                      <c:pt idx="3">
                        <c:v>330</c:v>
                      </c:pt>
                      <c:pt idx="4">
                        <c:v>338</c:v>
                      </c:pt>
                      <c:pt idx="5">
                        <c:v>346</c:v>
                      </c:pt>
                      <c:pt idx="6">
                        <c:v>354</c:v>
                      </c:pt>
                      <c:pt idx="7">
                        <c:v>362</c:v>
                      </c:pt>
                      <c:pt idx="8">
                        <c:v>370</c:v>
                      </c:pt>
                      <c:pt idx="9">
                        <c:v>378</c:v>
                      </c:pt>
                      <c:pt idx="10">
                        <c:v>386</c:v>
                      </c:pt>
                      <c:pt idx="11">
                        <c:v>394</c:v>
                      </c:pt>
                      <c:pt idx="12">
                        <c:v>402</c:v>
                      </c:pt>
                      <c:pt idx="13">
                        <c:v>410</c:v>
                      </c:pt>
                      <c:pt idx="14">
                        <c:v>418</c:v>
                      </c:pt>
                      <c:pt idx="15">
                        <c:v>426</c:v>
                      </c:pt>
                      <c:pt idx="16">
                        <c:v>434</c:v>
                      </c:pt>
                      <c:pt idx="17">
                        <c:v>442</c:v>
                      </c:pt>
                      <c:pt idx="18">
                        <c:v>450</c:v>
                      </c:pt>
                      <c:pt idx="19">
                        <c:v>458</c:v>
                      </c:pt>
                      <c:pt idx="20">
                        <c:v>466</c:v>
                      </c:pt>
                      <c:pt idx="21">
                        <c:v>474</c:v>
                      </c:pt>
                      <c:pt idx="22">
                        <c:v>482</c:v>
                      </c:pt>
                      <c:pt idx="23">
                        <c:v>490</c:v>
                      </c:pt>
                      <c:pt idx="24">
                        <c:v>498</c:v>
                      </c:pt>
                      <c:pt idx="25">
                        <c:v>506</c:v>
                      </c:pt>
                      <c:pt idx="26">
                        <c:v>514</c:v>
                      </c:pt>
                      <c:pt idx="27">
                        <c:v>522</c:v>
                      </c:pt>
                      <c:pt idx="28">
                        <c:v>530</c:v>
                      </c:pt>
                      <c:pt idx="29">
                        <c:v>538</c:v>
                      </c:pt>
                      <c:pt idx="30">
                        <c:v>546</c:v>
                      </c:pt>
                      <c:pt idx="31">
                        <c:v>554</c:v>
                      </c:pt>
                      <c:pt idx="32">
                        <c:v>562</c:v>
                      </c:pt>
                      <c:pt idx="33">
                        <c:v>570</c:v>
                      </c:pt>
                      <c:pt idx="34">
                        <c:v>578</c:v>
                      </c:pt>
                      <c:pt idx="35">
                        <c:v>586</c:v>
                      </c:pt>
                      <c:pt idx="36">
                        <c:v>594</c:v>
                      </c:pt>
                      <c:pt idx="37">
                        <c:v>602</c:v>
                      </c:pt>
                      <c:pt idx="38">
                        <c:v>610</c:v>
                      </c:pt>
                      <c:pt idx="39">
                        <c:v>618</c:v>
                      </c:pt>
                      <c:pt idx="40">
                        <c:v>626</c:v>
                      </c:pt>
                      <c:pt idx="41">
                        <c:v>634</c:v>
                      </c:pt>
                      <c:pt idx="42">
                        <c:v>642</c:v>
                      </c:pt>
                      <c:pt idx="43">
                        <c:v>650</c:v>
                      </c:pt>
                      <c:pt idx="44">
                        <c:v>658</c:v>
                      </c:pt>
                      <c:pt idx="45">
                        <c:v>666</c:v>
                      </c:pt>
                      <c:pt idx="46">
                        <c:v>674</c:v>
                      </c:pt>
                      <c:pt idx="47">
                        <c:v>682</c:v>
                      </c:pt>
                      <c:pt idx="48">
                        <c:v>690</c:v>
                      </c:pt>
                      <c:pt idx="49">
                        <c:v>698</c:v>
                      </c:pt>
                      <c:pt idx="50">
                        <c:v>706</c:v>
                      </c:pt>
                      <c:pt idx="51">
                        <c:v>714</c:v>
                      </c:pt>
                      <c:pt idx="52">
                        <c:v>722</c:v>
                      </c:pt>
                      <c:pt idx="53">
                        <c:v>730</c:v>
                      </c:pt>
                      <c:pt idx="54">
                        <c:v>738</c:v>
                      </c:pt>
                      <c:pt idx="55">
                        <c:v>746</c:v>
                      </c:pt>
                      <c:pt idx="56">
                        <c:v>754</c:v>
                      </c:pt>
                      <c:pt idx="57">
                        <c:v>762</c:v>
                      </c:pt>
                      <c:pt idx="58">
                        <c:v>770</c:v>
                      </c:pt>
                      <c:pt idx="59">
                        <c:v>778</c:v>
                      </c:pt>
                      <c:pt idx="60">
                        <c:v>786</c:v>
                      </c:pt>
                      <c:pt idx="61">
                        <c:v>794</c:v>
                      </c:pt>
                      <c:pt idx="62">
                        <c:v>802</c:v>
                      </c:pt>
                      <c:pt idx="63">
                        <c:v>810</c:v>
                      </c:pt>
                      <c:pt idx="64">
                        <c:v>818</c:v>
                      </c:pt>
                      <c:pt idx="65">
                        <c:v>826</c:v>
                      </c:pt>
                      <c:pt idx="66">
                        <c:v>834</c:v>
                      </c:pt>
                      <c:pt idx="67">
                        <c:v>842</c:v>
                      </c:pt>
                      <c:pt idx="68">
                        <c:v>850</c:v>
                      </c:pt>
                      <c:pt idx="69">
                        <c:v>858</c:v>
                      </c:pt>
                      <c:pt idx="70">
                        <c:v>866</c:v>
                      </c:pt>
                      <c:pt idx="71">
                        <c:v>874</c:v>
                      </c:pt>
                      <c:pt idx="72">
                        <c:v>882</c:v>
                      </c:pt>
                      <c:pt idx="73">
                        <c:v>890</c:v>
                      </c:pt>
                      <c:pt idx="74">
                        <c:v>898</c:v>
                      </c:pt>
                      <c:pt idx="75">
                        <c:v>906</c:v>
                      </c:pt>
                      <c:pt idx="76">
                        <c:v>914</c:v>
                      </c:pt>
                      <c:pt idx="77">
                        <c:v>922</c:v>
                      </c:pt>
                      <c:pt idx="78">
                        <c:v>930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EVALUATION!$B$121:$CP$121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A-022F-4A2F-976F-7C3C2CD148C5}"/>
                  </c:ext>
                </c:extLst>
              </c15:ser>
            </c15:filteredScatterSeries>
            <c15:filteredScatterSeries>
              <c15:ser>
                <c:idx val="19"/>
                <c:order val="21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306</c:v>
                      </c:pt>
                      <c:pt idx="1">
                        <c:v>314</c:v>
                      </c:pt>
                      <c:pt idx="2">
                        <c:v>322</c:v>
                      </c:pt>
                      <c:pt idx="3">
                        <c:v>330</c:v>
                      </c:pt>
                      <c:pt idx="4">
                        <c:v>338</c:v>
                      </c:pt>
                      <c:pt idx="5">
                        <c:v>346</c:v>
                      </c:pt>
                      <c:pt idx="6">
                        <c:v>354</c:v>
                      </c:pt>
                      <c:pt idx="7">
                        <c:v>362</c:v>
                      </c:pt>
                      <c:pt idx="8">
                        <c:v>370</c:v>
                      </c:pt>
                      <c:pt idx="9">
                        <c:v>378</c:v>
                      </c:pt>
                      <c:pt idx="10">
                        <c:v>386</c:v>
                      </c:pt>
                      <c:pt idx="11">
                        <c:v>394</c:v>
                      </c:pt>
                      <c:pt idx="12">
                        <c:v>402</c:v>
                      </c:pt>
                      <c:pt idx="13">
                        <c:v>410</c:v>
                      </c:pt>
                      <c:pt idx="14">
                        <c:v>418</c:v>
                      </c:pt>
                      <c:pt idx="15">
                        <c:v>426</c:v>
                      </c:pt>
                      <c:pt idx="16">
                        <c:v>434</c:v>
                      </c:pt>
                      <c:pt idx="17">
                        <c:v>442</c:v>
                      </c:pt>
                      <c:pt idx="18">
                        <c:v>450</c:v>
                      </c:pt>
                      <c:pt idx="19">
                        <c:v>458</c:v>
                      </c:pt>
                      <c:pt idx="20">
                        <c:v>466</c:v>
                      </c:pt>
                      <c:pt idx="21">
                        <c:v>474</c:v>
                      </c:pt>
                      <c:pt idx="22">
                        <c:v>482</c:v>
                      </c:pt>
                      <c:pt idx="23">
                        <c:v>490</c:v>
                      </c:pt>
                      <c:pt idx="24">
                        <c:v>498</c:v>
                      </c:pt>
                      <c:pt idx="25">
                        <c:v>506</c:v>
                      </c:pt>
                      <c:pt idx="26">
                        <c:v>514</c:v>
                      </c:pt>
                      <c:pt idx="27">
                        <c:v>522</c:v>
                      </c:pt>
                      <c:pt idx="28">
                        <c:v>530</c:v>
                      </c:pt>
                      <c:pt idx="29">
                        <c:v>538</c:v>
                      </c:pt>
                      <c:pt idx="30">
                        <c:v>546</c:v>
                      </c:pt>
                      <c:pt idx="31">
                        <c:v>554</c:v>
                      </c:pt>
                      <c:pt idx="32">
                        <c:v>562</c:v>
                      </c:pt>
                      <c:pt idx="33">
                        <c:v>570</c:v>
                      </c:pt>
                      <c:pt idx="34">
                        <c:v>578</c:v>
                      </c:pt>
                      <c:pt idx="35">
                        <c:v>586</c:v>
                      </c:pt>
                      <c:pt idx="36">
                        <c:v>594</c:v>
                      </c:pt>
                      <c:pt idx="37">
                        <c:v>602</c:v>
                      </c:pt>
                      <c:pt idx="38">
                        <c:v>610</c:v>
                      </c:pt>
                      <c:pt idx="39">
                        <c:v>618</c:v>
                      </c:pt>
                      <c:pt idx="40">
                        <c:v>626</c:v>
                      </c:pt>
                      <c:pt idx="41">
                        <c:v>634</c:v>
                      </c:pt>
                      <c:pt idx="42">
                        <c:v>642</c:v>
                      </c:pt>
                      <c:pt idx="43">
                        <c:v>650</c:v>
                      </c:pt>
                      <c:pt idx="44">
                        <c:v>658</c:v>
                      </c:pt>
                      <c:pt idx="45">
                        <c:v>666</c:v>
                      </c:pt>
                      <c:pt idx="46">
                        <c:v>674</c:v>
                      </c:pt>
                      <c:pt idx="47">
                        <c:v>682</c:v>
                      </c:pt>
                      <c:pt idx="48">
                        <c:v>690</c:v>
                      </c:pt>
                      <c:pt idx="49">
                        <c:v>698</c:v>
                      </c:pt>
                      <c:pt idx="50">
                        <c:v>706</c:v>
                      </c:pt>
                      <c:pt idx="51">
                        <c:v>714</c:v>
                      </c:pt>
                      <c:pt idx="52">
                        <c:v>722</c:v>
                      </c:pt>
                      <c:pt idx="53">
                        <c:v>730</c:v>
                      </c:pt>
                      <c:pt idx="54">
                        <c:v>738</c:v>
                      </c:pt>
                      <c:pt idx="55">
                        <c:v>746</c:v>
                      </c:pt>
                      <c:pt idx="56">
                        <c:v>754</c:v>
                      </c:pt>
                      <c:pt idx="57">
                        <c:v>762</c:v>
                      </c:pt>
                      <c:pt idx="58">
                        <c:v>770</c:v>
                      </c:pt>
                      <c:pt idx="59">
                        <c:v>778</c:v>
                      </c:pt>
                      <c:pt idx="60">
                        <c:v>786</c:v>
                      </c:pt>
                      <c:pt idx="61">
                        <c:v>794</c:v>
                      </c:pt>
                      <c:pt idx="62">
                        <c:v>802</c:v>
                      </c:pt>
                      <c:pt idx="63">
                        <c:v>810</c:v>
                      </c:pt>
                      <c:pt idx="64">
                        <c:v>818</c:v>
                      </c:pt>
                      <c:pt idx="65">
                        <c:v>826</c:v>
                      </c:pt>
                      <c:pt idx="66">
                        <c:v>834</c:v>
                      </c:pt>
                      <c:pt idx="67">
                        <c:v>842</c:v>
                      </c:pt>
                      <c:pt idx="68">
                        <c:v>850</c:v>
                      </c:pt>
                      <c:pt idx="69">
                        <c:v>858</c:v>
                      </c:pt>
                      <c:pt idx="70">
                        <c:v>866</c:v>
                      </c:pt>
                      <c:pt idx="71">
                        <c:v>874</c:v>
                      </c:pt>
                      <c:pt idx="72">
                        <c:v>882</c:v>
                      </c:pt>
                      <c:pt idx="73">
                        <c:v>890</c:v>
                      </c:pt>
                      <c:pt idx="74">
                        <c:v>898</c:v>
                      </c:pt>
                      <c:pt idx="75">
                        <c:v>906</c:v>
                      </c:pt>
                      <c:pt idx="76">
                        <c:v>914</c:v>
                      </c:pt>
                      <c:pt idx="77">
                        <c:v>922</c:v>
                      </c:pt>
                      <c:pt idx="78">
                        <c:v>930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EVALUATION!$B$122:$CP$122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B-022F-4A2F-976F-7C3C2CD148C5}"/>
                  </c:ext>
                </c:extLst>
              </c15:ser>
            </c15:filteredScatterSeries>
            <c15:filteredScatterSeries>
              <c15:ser>
                <c:idx val="20"/>
                <c:order val="22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306</c:v>
                      </c:pt>
                      <c:pt idx="1">
                        <c:v>314</c:v>
                      </c:pt>
                      <c:pt idx="2">
                        <c:v>322</c:v>
                      </c:pt>
                      <c:pt idx="3">
                        <c:v>330</c:v>
                      </c:pt>
                      <c:pt idx="4">
                        <c:v>338</c:v>
                      </c:pt>
                      <c:pt idx="5">
                        <c:v>346</c:v>
                      </c:pt>
                      <c:pt idx="6">
                        <c:v>354</c:v>
                      </c:pt>
                      <c:pt idx="7">
                        <c:v>362</c:v>
                      </c:pt>
                      <c:pt idx="8">
                        <c:v>370</c:v>
                      </c:pt>
                      <c:pt idx="9">
                        <c:v>378</c:v>
                      </c:pt>
                      <c:pt idx="10">
                        <c:v>386</c:v>
                      </c:pt>
                      <c:pt idx="11">
                        <c:v>394</c:v>
                      </c:pt>
                      <c:pt idx="12">
                        <c:v>402</c:v>
                      </c:pt>
                      <c:pt idx="13">
                        <c:v>410</c:v>
                      </c:pt>
                      <c:pt idx="14">
                        <c:v>418</c:v>
                      </c:pt>
                      <c:pt idx="15">
                        <c:v>426</c:v>
                      </c:pt>
                      <c:pt idx="16">
                        <c:v>434</c:v>
                      </c:pt>
                      <c:pt idx="17">
                        <c:v>442</c:v>
                      </c:pt>
                      <c:pt idx="18">
                        <c:v>450</c:v>
                      </c:pt>
                      <c:pt idx="19">
                        <c:v>458</c:v>
                      </c:pt>
                      <c:pt idx="20">
                        <c:v>466</c:v>
                      </c:pt>
                      <c:pt idx="21">
                        <c:v>474</c:v>
                      </c:pt>
                      <c:pt idx="22">
                        <c:v>482</c:v>
                      </c:pt>
                      <c:pt idx="23">
                        <c:v>490</c:v>
                      </c:pt>
                      <c:pt idx="24">
                        <c:v>498</c:v>
                      </c:pt>
                      <c:pt idx="25">
                        <c:v>506</c:v>
                      </c:pt>
                      <c:pt idx="26">
                        <c:v>514</c:v>
                      </c:pt>
                      <c:pt idx="27">
                        <c:v>522</c:v>
                      </c:pt>
                      <c:pt idx="28">
                        <c:v>530</c:v>
                      </c:pt>
                      <c:pt idx="29">
                        <c:v>538</c:v>
                      </c:pt>
                      <c:pt idx="30">
                        <c:v>546</c:v>
                      </c:pt>
                      <c:pt idx="31">
                        <c:v>554</c:v>
                      </c:pt>
                      <c:pt idx="32">
                        <c:v>562</c:v>
                      </c:pt>
                      <c:pt idx="33">
                        <c:v>570</c:v>
                      </c:pt>
                      <c:pt idx="34">
                        <c:v>578</c:v>
                      </c:pt>
                      <c:pt idx="35">
                        <c:v>586</c:v>
                      </c:pt>
                      <c:pt idx="36">
                        <c:v>594</c:v>
                      </c:pt>
                      <c:pt idx="37">
                        <c:v>602</c:v>
                      </c:pt>
                      <c:pt idx="38">
                        <c:v>610</c:v>
                      </c:pt>
                      <c:pt idx="39">
                        <c:v>618</c:v>
                      </c:pt>
                      <c:pt idx="40">
                        <c:v>626</c:v>
                      </c:pt>
                      <c:pt idx="41">
                        <c:v>634</c:v>
                      </c:pt>
                      <c:pt idx="42">
                        <c:v>642</c:v>
                      </c:pt>
                      <c:pt idx="43">
                        <c:v>650</c:v>
                      </c:pt>
                      <c:pt idx="44">
                        <c:v>658</c:v>
                      </c:pt>
                      <c:pt idx="45">
                        <c:v>666</c:v>
                      </c:pt>
                      <c:pt idx="46">
                        <c:v>674</c:v>
                      </c:pt>
                      <c:pt idx="47">
                        <c:v>682</c:v>
                      </c:pt>
                      <c:pt idx="48">
                        <c:v>690</c:v>
                      </c:pt>
                      <c:pt idx="49">
                        <c:v>698</c:v>
                      </c:pt>
                      <c:pt idx="50">
                        <c:v>706</c:v>
                      </c:pt>
                      <c:pt idx="51">
                        <c:v>714</c:v>
                      </c:pt>
                      <c:pt idx="52">
                        <c:v>722</c:v>
                      </c:pt>
                      <c:pt idx="53">
                        <c:v>730</c:v>
                      </c:pt>
                      <c:pt idx="54">
                        <c:v>738</c:v>
                      </c:pt>
                      <c:pt idx="55">
                        <c:v>746</c:v>
                      </c:pt>
                      <c:pt idx="56">
                        <c:v>754</c:v>
                      </c:pt>
                      <c:pt idx="57">
                        <c:v>762</c:v>
                      </c:pt>
                      <c:pt idx="58">
                        <c:v>770</c:v>
                      </c:pt>
                      <c:pt idx="59">
                        <c:v>778</c:v>
                      </c:pt>
                      <c:pt idx="60">
                        <c:v>786</c:v>
                      </c:pt>
                      <c:pt idx="61">
                        <c:v>794</c:v>
                      </c:pt>
                      <c:pt idx="62">
                        <c:v>802</c:v>
                      </c:pt>
                      <c:pt idx="63">
                        <c:v>810</c:v>
                      </c:pt>
                      <c:pt idx="64">
                        <c:v>818</c:v>
                      </c:pt>
                      <c:pt idx="65">
                        <c:v>826</c:v>
                      </c:pt>
                      <c:pt idx="66">
                        <c:v>834</c:v>
                      </c:pt>
                      <c:pt idx="67">
                        <c:v>842</c:v>
                      </c:pt>
                      <c:pt idx="68">
                        <c:v>850</c:v>
                      </c:pt>
                      <c:pt idx="69">
                        <c:v>858</c:v>
                      </c:pt>
                      <c:pt idx="70">
                        <c:v>866</c:v>
                      </c:pt>
                      <c:pt idx="71">
                        <c:v>874</c:v>
                      </c:pt>
                      <c:pt idx="72">
                        <c:v>882</c:v>
                      </c:pt>
                      <c:pt idx="73">
                        <c:v>890</c:v>
                      </c:pt>
                      <c:pt idx="74">
                        <c:v>898</c:v>
                      </c:pt>
                      <c:pt idx="75">
                        <c:v>906</c:v>
                      </c:pt>
                      <c:pt idx="76">
                        <c:v>914</c:v>
                      </c:pt>
                      <c:pt idx="77">
                        <c:v>922</c:v>
                      </c:pt>
                      <c:pt idx="78">
                        <c:v>930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EVALUATION!$B$123:$CP$123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C-022F-4A2F-976F-7C3C2CD148C5}"/>
                  </c:ext>
                </c:extLst>
              </c15:ser>
            </c15:filteredScatterSeries>
            <c15:filteredScatterSeries>
              <c15:ser>
                <c:idx val="21"/>
                <c:order val="23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306</c:v>
                      </c:pt>
                      <c:pt idx="1">
                        <c:v>314</c:v>
                      </c:pt>
                      <c:pt idx="2">
                        <c:v>322</c:v>
                      </c:pt>
                      <c:pt idx="3">
                        <c:v>330</c:v>
                      </c:pt>
                      <c:pt idx="4">
                        <c:v>338</c:v>
                      </c:pt>
                      <c:pt idx="5">
                        <c:v>346</c:v>
                      </c:pt>
                      <c:pt idx="6">
                        <c:v>354</c:v>
                      </c:pt>
                      <c:pt idx="7">
                        <c:v>362</c:v>
                      </c:pt>
                      <c:pt idx="8">
                        <c:v>370</c:v>
                      </c:pt>
                      <c:pt idx="9">
                        <c:v>378</c:v>
                      </c:pt>
                      <c:pt idx="10">
                        <c:v>386</c:v>
                      </c:pt>
                      <c:pt idx="11">
                        <c:v>394</c:v>
                      </c:pt>
                      <c:pt idx="12">
                        <c:v>402</c:v>
                      </c:pt>
                      <c:pt idx="13">
                        <c:v>410</c:v>
                      </c:pt>
                      <c:pt idx="14">
                        <c:v>418</c:v>
                      </c:pt>
                      <c:pt idx="15">
                        <c:v>426</c:v>
                      </c:pt>
                      <c:pt idx="16">
                        <c:v>434</c:v>
                      </c:pt>
                      <c:pt idx="17">
                        <c:v>442</c:v>
                      </c:pt>
                      <c:pt idx="18">
                        <c:v>450</c:v>
                      </c:pt>
                      <c:pt idx="19">
                        <c:v>458</c:v>
                      </c:pt>
                      <c:pt idx="20">
                        <c:v>466</c:v>
                      </c:pt>
                      <c:pt idx="21">
                        <c:v>474</c:v>
                      </c:pt>
                      <c:pt idx="22">
                        <c:v>482</c:v>
                      </c:pt>
                      <c:pt idx="23">
                        <c:v>490</c:v>
                      </c:pt>
                      <c:pt idx="24">
                        <c:v>498</c:v>
                      </c:pt>
                      <c:pt idx="25">
                        <c:v>506</c:v>
                      </c:pt>
                      <c:pt idx="26">
                        <c:v>514</c:v>
                      </c:pt>
                      <c:pt idx="27">
                        <c:v>522</c:v>
                      </c:pt>
                      <c:pt idx="28">
                        <c:v>530</c:v>
                      </c:pt>
                      <c:pt idx="29">
                        <c:v>538</c:v>
                      </c:pt>
                      <c:pt idx="30">
                        <c:v>546</c:v>
                      </c:pt>
                      <c:pt idx="31">
                        <c:v>554</c:v>
                      </c:pt>
                      <c:pt idx="32">
                        <c:v>562</c:v>
                      </c:pt>
                      <c:pt idx="33">
                        <c:v>570</c:v>
                      </c:pt>
                      <c:pt idx="34">
                        <c:v>578</c:v>
                      </c:pt>
                      <c:pt idx="35">
                        <c:v>586</c:v>
                      </c:pt>
                      <c:pt idx="36">
                        <c:v>594</c:v>
                      </c:pt>
                      <c:pt idx="37">
                        <c:v>602</c:v>
                      </c:pt>
                      <c:pt idx="38">
                        <c:v>610</c:v>
                      </c:pt>
                      <c:pt idx="39">
                        <c:v>618</c:v>
                      </c:pt>
                      <c:pt idx="40">
                        <c:v>626</c:v>
                      </c:pt>
                      <c:pt idx="41">
                        <c:v>634</c:v>
                      </c:pt>
                      <c:pt idx="42">
                        <c:v>642</c:v>
                      </c:pt>
                      <c:pt idx="43">
                        <c:v>650</c:v>
                      </c:pt>
                      <c:pt idx="44">
                        <c:v>658</c:v>
                      </c:pt>
                      <c:pt idx="45">
                        <c:v>666</c:v>
                      </c:pt>
                      <c:pt idx="46">
                        <c:v>674</c:v>
                      </c:pt>
                      <c:pt idx="47">
                        <c:v>682</c:v>
                      </c:pt>
                      <c:pt idx="48">
                        <c:v>690</c:v>
                      </c:pt>
                      <c:pt idx="49">
                        <c:v>698</c:v>
                      </c:pt>
                      <c:pt idx="50">
                        <c:v>706</c:v>
                      </c:pt>
                      <c:pt idx="51">
                        <c:v>714</c:v>
                      </c:pt>
                      <c:pt idx="52">
                        <c:v>722</c:v>
                      </c:pt>
                      <c:pt idx="53">
                        <c:v>730</c:v>
                      </c:pt>
                      <c:pt idx="54">
                        <c:v>738</c:v>
                      </c:pt>
                      <c:pt idx="55">
                        <c:v>746</c:v>
                      </c:pt>
                      <c:pt idx="56">
                        <c:v>754</c:v>
                      </c:pt>
                      <c:pt idx="57">
                        <c:v>762</c:v>
                      </c:pt>
                      <c:pt idx="58">
                        <c:v>770</c:v>
                      </c:pt>
                      <c:pt idx="59">
                        <c:v>778</c:v>
                      </c:pt>
                      <c:pt idx="60">
                        <c:v>786</c:v>
                      </c:pt>
                      <c:pt idx="61">
                        <c:v>794</c:v>
                      </c:pt>
                      <c:pt idx="62">
                        <c:v>802</c:v>
                      </c:pt>
                      <c:pt idx="63">
                        <c:v>810</c:v>
                      </c:pt>
                      <c:pt idx="64">
                        <c:v>818</c:v>
                      </c:pt>
                      <c:pt idx="65">
                        <c:v>826</c:v>
                      </c:pt>
                      <c:pt idx="66">
                        <c:v>834</c:v>
                      </c:pt>
                      <c:pt idx="67">
                        <c:v>842</c:v>
                      </c:pt>
                      <c:pt idx="68">
                        <c:v>850</c:v>
                      </c:pt>
                      <c:pt idx="69">
                        <c:v>858</c:v>
                      </c:pt>
                      <c:pt idx="70">
                        <c:v>866</c:v>
                      </c:pt>
                      <c:pt idx="71">
                        <c:v>874</c:v>
                      </c:pt>
                      <c:pt idx="72">
                        <c:v>882</c:v>
                      </c:pt>
                      <c:pt idx="73">
                        <c:v>890</c:v>
                      </c:pt>
                      <c:pt idx="74">
                        <c:v>898</c:v>
                      </c:pt>
                      <c:pt idx="75">
                        <c:v>906</c:v>
                      </c:pt>
                      <c:pt idx="76">
                        <c:v>914</c:v>
                      </c:pt>
                      <c:pt idx="77">
                        <c:v>922</c:v>
                      </c:pt>
                      <c:pt idx="78">
                        <c:v>930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EVALUATION!$B$124:$CP$124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D-022F-4A2F-976F-7C3C2CD148C5}"/>
                  </c:ext>
                </c:extLst>
              </c15:ser>
            </c15:filteredScatterSeries>
            <c15:filteredScatterSeries>
              <c15:ser>
                <c:idx val="22"/>
                <c:order val="24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306</c:v>
                      </c:pt>
                      <c:pt idx="1">
                        <c:v>314</c:v>
                      </c:pt>
                      <c:pt idx="2">
                        <c:v>322</c:v>
                      </c:pt>
                      <c:pt idx="3">
                        <c:v>330</c:v>
                      </c:pt>
                      <c:pt idx="4">
                        <c:v>338</c:v>
                      </c:pt>
                      <c:pt idx="5">
                        <c:v>346</c:v>
                      </c:pt>
                      <c:pt idx="6">
                        <c:v>354</c:v>
                      </c:pt>
                      <c:pt idx="7">
                        <c:v>362</c:v>
                      </c:pt>
                      <c:pt idx="8">
                        <c:v>370</c:v>
                      </c:pt>
                      <c:pt idx="9">
                        <c:v>378</c:v>
                      </c:pt>
                      <c:pt idx="10">
                        <c:v>386</c:v>
                      </c:pt>
                      <c:pt idx="11">
                        <c:v>394</c:v>
                      </c:pt>
                      <c:pt idx="12">
                        <c:v>402</c:v>
                      </c:pt>
                      <c:pt idx="13">
                        <c:v>410</c:v>
                      </c:pt>
                      <c:pt idx="14">
                        <c:v>418</c:v>
                      </c:pt>
                      <c:pt idx="15">
                        <c:v>426</c:v>
                      </c:pt>
                      <c:pt idx="16">
                        <c:v>434</c:v>
                      </c:pt>
                      <c:pt idx="17">
                        <c:v>442</c:v>
                      </c:pt>
                      <c:pt idx="18">
                        <c:v>450</c:v>
                      </c:pt>
                      <c:pt idx="19">
                        <c:v>458</c:v>
                      </c:pt>
                      <c:pt idx="20">
                        <c:v>466</c:v>
                      </c:pt>
                      <c:pt idx="21">
                        <c:v>474</c:v>
                      </c:pt>
                      <c:pt idx="22">
                        <c:v>482</c:v>
                      </c:pt>
                      <c:pt idx="23">
                        <c:v>490</c:v>
                      </c:pt>
                      <c:pt idx="24">
                        <c:v>498</c:v>
                      </c:pt>
                      <c:pt idx="25">
                        <c:v>506</c:v>
                      </c:pt>
                      <c:pt idx="26">
                        <c:v>514</c:v>
                      </c:pt>
                      <c:pt idx="27">
                        <c:v>522</c:v>
                      </c:pt>
                      <c:pt idx="28">
                        <c:v>530</c:v>
                      </c:pt>
                      <c:pt idx="29">
                        <c:v>538</c:v>
                      </c:pt>
                      <c:pt idx="30">
                        <c:v>546</c:v>
                      </c:pt>
                      <c:pt idx="31">
                        <c:v>554</c:v>
                      </c:pt>
                      <c:pt idx="32">
                        <c:v>562</c:v>
                      </c:pt>
                      <c:pt idx="33">
                        <c:v>570</c:v>
                      </c:pt>
                      <c:pt idx="34">
                        <c:v>578</c:v>
                      </c:pt>
                      <c:pt idx="35">
                        <c:v>586</c:v>
                      </c:pt>
                      <c:pt idx="36">
                        <c:v>594</c:v>
                      </c:pt>
                      <c:pt idx="37">
                        <c:v>602</c:v>
                      </c:pt>
                      <c:pt idx="38">
                        <c:v>610</c:v>
                      </c:pt>
                      <c:pt idx="39">
                        <c:v>618</c:v>
                      </c:pt>
                      <c:pt idx="40">
                        <c:v>626</c:v>
                      </c:pt>
                      <c:pt idx="41">
                        <c:v>634</c:v>
                      </c:pt>
                      <c:pt idx="42">
                        <c:v>642</c:v>
                      </c:pt>
                      <c:pt idx="43">
                        <c:v>650</c:v>
                      </c:pt>
                      <c:pt idx="44">
                        <c:v>658</c:v>
                      </c:pt>
                      <c:pt idx="45">
                        <c:v>666</c:v>
                      </c:pt>
                      <c:pt idx="46">
                        <c:v>674</c:v>
                      </c:pt>
                      <c:pt idx="47">
                        <c:v>682</c:v>
                      </c:pt>
                      <c:pt idx="48">
                        <c:v>690</c:v>
                      </c:pt>
                      <c:pt idx="49">
                        <c:v>698</c:v>
                      </c:pt>
                      <c:pt idx="50">
                        <c:v>706</c:v>
                      </c:pt>
                      <c:pt idx="51">
                        <c:v>714</c:v>
                      </c:pt>
                      <c:pt idx="52">
                        <c:v>722</c:v>
                      </c:pt>
                      <c:pt idx="53">
                        <c:v>730</c:v>
                      </c:pt>
                      <c:pt idx="54">
                        <c:v>738</c:v>
                      </c:pt>
                      <c:pt idx="55">
                        <c:v>746</c:v>
                      </c:pt>
                      <c:pt idx="56">
                        <c:v>754</c:v>
                      </c:pt>
                      <c:pt idx="57">
                        <c:v>762</c:v>
                      </c:pt>
                      <c:pt idx="58">
                        <c:v>770</c:v>
                      </c:pt>
                      <c:pt idx="59">
                        <c:v>778</c:v>
                      </c:pt>
                      <c:pt idx="60">
                        <c:v>786</c:v>
                      </c:pt>
                      <c:pt idx="61">
                        <c:v>794</c:v>
                      </c:pt>
                      <c:pt idx="62">
                        <c:v>802</c:v>
                      </c:pt>
                      <c:pt idx="63">
                        <c:v>810</c:v>
                      </c:pt>
                      <c:pt idx="64">
                        <c:v>818</c:v>
                      </c:pt>
                      <c:pt idx="65">
                        <c:v>826</c:v>
                      </c:pt>
                      <c:pt idx="66">
                        <c:v>834</c:v>
                      </c:pt>
                      <c:pt idx="67">
                        <c:v>842</c:v>
                      </c:pt>
                      <c:pt idx="68">
                        <c:v>850</c:v>
                      </c:pt>
                      <c:pt idx="69">
                        <c:v>858</c:v>
                      </c:pt>
                      <c:pt idx="70">
                        <c:v>866</c:v>
                      </c:pt>
                      <c:pt idx="71">
                        <c:v>874</c:v>
                      </c:pt>
                      <c:pt idx="72">
                        <c:v>882</c:v>
                      </c:pt>
                      <c:pt idx="73">
                        <c:v>890</c:v>
                      </c:pt>
                      <c:pt idx="74">
                        <c:v>898</c:v>
                      </c:pt>
                      <c:pt idx="75">
                        <c:v>906</c:v>
                      </c:pt>
                      <c:pt idx="76">
                        <c:v>914</c:v>
                      </c:pt>
                      <c:pt idx="77">
                        <c:v>922</c:v>
                      </c:pt>
                      <c:pt idx="78">
                        <c:v>930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EVALUATION!$B$125:$CP$125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E-022F-4A2F-976F-7C3C2CD148C5}"/>
                  </c:ext>
                </c:extLst>
              </c15:ser>
            </c15:filteredScatterSeries>
            <c15:filteredScatterSeries>
              <c15:ser>
                <c:idx val="23"/>
                <c:order val="25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306</c:v>
                      </c:pt>
                      <c:pt idx="1">
                        <c:v>314</c:v>
                      </c:pt>
                      <c:pt idx="2">
                        <c:v>322</c:v>
                      </c:pt>
                      <c:pt idx="3">
                        <c:v>330</c:v>
                      </c:pt>
                      <c:pt idx="4">
                        <c:v>338</c:v>
                      </c:pt>
                      <c:pt idx="5">
                        <c:v>346</c:v>
                      </c:pt>
                      <c:pt idx="6">
                        <c:v>354</c:v>
                      </c:pt>
                      <c:pt idx="7">
                        <c:v>362</c:v>
                      </c:pt>
                      <c:pt idx="8">
                        <c:v>370</c:v>
                      </c:pt>
                      <c:pt idx="9">
                        <c:v>378</c:v>
                      </c:pt>
                      <c:pt idx="10">
                        <c:v>386</c:v>
                      </c:pt>
                      <c:pt idx="11">
                        <c:v>394</c:v>
                      </c:pt>
                      <c:pt idx="12">
                        <c:v>402</c:v>
                      </c:pt>
                      <c:pt idx="13">
                        <c:v>410</c:v>
                      </c:pt>
                      <c:pt idx="14">
                        <c:v>418</c:v>
                      </c:pt>
                      <c:pt idx="15">
                        <c:v>426</c:v>
                      </c:pt>
                      <c:pt idx="16">
                        <c:v>434</c:v>
                      </c:pt>
                      <c:pt idx="17">
                        <c:v>442</c:v>
                      </c:pt>
                      <c:pt idx="18">
                        <c:v>450</c:v>
                      </c:pt>
                      <c:pt idx="19">
                        <c:v>458</c:v>
                      </c:pt>
                      <c:pt idx="20">
                        <c:v>466</c:v>
                      </c:pt>
                      <c:pt idx="21">
                        <c:v>474</c:v>
                      </c:pt>
                      <c:pt idx="22">
                        <c:v>482</c:v>
                      </c:pt>
                      <c:pt idx="23">
                        <c:v>490</c:v>
                      </c:pt>
                      <c:pt idx="24">
                        <c:v>498</c:v>
                      </c:pt>
                      <c:pt idx="25">
                        <c:v>506</c:v>
                      </c:pt>
                      <c:pt idx="26">
                        <c:v>514</c:v>
                      </c:pt>
                      <c:pt idx="27">
                        <c:v>522</c:v>
                      </c:pt>
                      <c:pt idx="28">
                        <c:v>530</c:v>
                      </c:pt>
                      <c:pt idx="29">
                        <c:v>538</c:v>
                      </c:pt>
                      <c:pt idx="30">
                        <c:v>546</c:v>
                      </c:pt>
                      <c:pt idx="31">
                        <c:v>554</c:v>
                      </c:pt>
                      <c:pt idx="32">
                        <c:v>562</c:v>
                      </c:pt>
                      <c:pt idx="33">
                        <c:v>570</c:v>
                      </c:pt>
                      <c:pt idx="34">
                        <c:v>578</c:v>
                      </c:pt>
                      <c:pt idx="35">
                        <c:v>586</c:v>
                      </c:pt>
                      <c:pt idx="36">
                        <c:v>594</c:v>
                      </c:pt>
                      <c:pt idx="37">
                        <c:v>602</c:v>
                      </c:pt>
                      <c:pt idx="38">
                        <c:v>610</c:v>
                      </c:pt>
                      <c:pt idx="39">
                        <c:v>618</c:v>
                      </c:pt>
                      <c:pt idx="40">
                        <c:v>626</c:v>
                      </c:pt>
                      <c:pt idx="41">
                        <c:v>634</c:v>
                      </c:pt>
                      <c:pt idx="42">
                        <c:v>642</c:v>
                      </c:pt>
                      <c:pt idx="43">
                        <c:v>650</c:v>
                      </c:pt>
                      <c:pt idx="44">
                        <c:v>658</c:v>
                      </c:pt>
                      <c:pt idx="45">
                        <c:v>666</c:v>
                      </c:pt>
                      <c:pt idx="46">
                        <c:v>674</c:v>
                      </c:pt>
                      <c:pt idx="47">
                        <c:v>682</c:v>
                      </c:pt>
                      <c:pt idx="48">
                        <c:v>690</c:v>
                      </c:pt>
                      <c:pt idx="49">
                        <c:v>698</c:v>
                      </c:pt>
                      <c:pt idx="50">
                        <c:v>706</c:v>
                      </c:pt>
                      <c:pt idx="51">
                        <c:v>714</c:v>
                      </c:pt>
                      <c:pt idx="52">
                        <c:v>722</c:v>
                      </c:pt>
                      <c:pt idx="53">
                        <c:v>730</c:v>
                      </c:pt>
                      <c:pt idx="54">
                        <c:v>738</c:v>
                      </c:pt>
                      <c:pt idx="55">
                        <c:v>746</c:v>
                      </c:pt>
                      <c:pt idx="56">
                        <c:v>754</c:v>
                      </c:pt>
                      <c:pt idx="57">
                        <c:v>762</c:v>
                      </c:pt>
                      <c:pt idx="58">
                        <c:v>770</c:v>
                      </c:pt>
                      <c:pt idx="59">
                        <c:v>778</c:v>
                      </c:pt>
                      <c:pt idx="60">
                        <c:v>786</c:v>
                      </c:pt>
                      <c:pt idx="61">
                        <c:v>794</c:v>
                      </c:pt>
                      <c:pt idx="62">
                        <c:v>802</c:v>
                      </c:pt>
                      <c:pt idx="63">
                        <c:v>810</c:v>
                      </c:pt>
                      <c:pt idx="64">
                        <c:v>818</c:v>
                      </c:pt>
                      <c:pt idx="65">
                        <c:v>826</c:v>
                      </c:pt>
                      <c:pt idx="66">
                        <c:v>834</c:v>
                      </c:pt>
                      <c:pt idx="67">
                        <c:v>842</c:v>
                      </c:pt>
                      <c:pt idx="68">
                        <c:v>850</c:v>
                      </c:pt>
                      <c:pt idx="69">
                        <c:v>858</c:v>
                      </c:pt>
                      <c:pt idx="70">
                        <c:v>866</c:v>
                      </c:pt>
                      <c:pt idx="71">
                        <c:v>874</c:v>
                      </c:pt>
                      <c:pt idx="72">
                        <c:v>882</c:v>
                      </c:pt>
                      <c:pt idx="73">
                        <c:v>890</c:v>
                      </c:pt>
                      <c:pt idx="74">
                        <c:v>898</c:v>
                      </c:pt>
                      <c:pt idx="75">
                        <c:v>906</c:v>
                      </c:pt>
                      <c:pt idx="76">
                        <c:v>914</c:v>
                      </c:pt>
                      <c:pt idx="77">
                        <c:v>922</c:v>
                      </c:pt>
                      <c:pt idx="78">
                        <c:v>930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EVALUATION!$B$126:$CP$126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F-022F-4A2F-976F-7C3C2CD148C5}"/>
                  </c:ext>
                </c:extLst>
              </c15:ser>
            </c15:filteredScatterSeries>
            <c15:filteredScatterSeries>
              <c15:ser>
                <c:idx val="24"/>
                <c:order val="26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306</c:v>
                      </c:pt>
                      <c:pt idx="1">
                        <c:v>314</c:v>
                      </c:pt>
                      <c:pt idx="2">
                        <c:v>322</c:v>
                      </c:pt>
                      <c:pt idx="3">
                        <c:v>330</c:v>
                      </c:pt>
                      <c:pt idx="4">
                        <c:v>338</c:v>
                      </c:pt>
                      <c:pt idx="5">
                        <c:v>346</c:v>
                      </c:pt>
                      <c:pt idx="6">
                        <c:v>354</c:v>
                      </c:pt>
                      <c:pt idx="7">
                        <c:v>362</c:v>
                      </c:pt>
                      <c:pt idx="8">
                        <c:v>370</c:v>
                      </c:pt>
                      <c:pt idx="9">
                        <c:v>378</c:v>
                      </c:pt>
                      <c:pt idx="10">
                        <c:v>386</c:v>
                      </c:pt>
                      <c:pt idx="11">
                        <c:v>394</c:v>
                      </c:pt>
                      <c:pt idx="12">
                        <c:v>402</c:v>
                      </c:pt>
                      <c:pt idx="13">
                        <c:v>410</c:v>
                      </c:pt>
                      <c:pt idx="14">
                        <c:v>418</c:v>
                      </c:pt>
                      <c:pt idx="15">
                        <c:v>426</c:v>
                      </c:pt>
                      <c:pt idx="16">
                        <c:v>434</c:v>
                      </c:pt>
                      <c:pt idx="17">
                        <c:v>442</c:v>
                      </c:pt>
                      <c:pt idx="18">
                        <c:v>450</c:v>
                      </c:pt>
                      <c:pt idx="19">
                        <c:v>458</c:v>
                      </c:pt>
                      <c:pt idx="20">
                        <c:v>466</c:v>
                      </c:pt>
                      <c:pt idx="21">
                        <c:v>474</c:v>
                      </c:pt>
                      <c:pt idx="22">
                        <c:v>482</c:v>
                      </c:pt>
                      <c:pt idx="23">
                        <c:v>490</c:v>
                      </c:pt>
                      <c:pt idx="24">
                        <c:v>498</c:v>
                      </c:pt>
                      <c:pt idx="25">
                        <c:v>506</c:v>
                      </c:pt>
                      <c:pt idx="26">
                        <c:v>514</c:v>
                      </c:pt>
                      <c:pt idx="27">
                        <c:v>522</c:v>
                      </c:pt>
                      <c:pt idx="28">
                        <c:v>530</c:v>
                      </c:pt>
                      <c:pt idx="29">
                        <c:v>538</c:v>
                      </c:pt>
                      <c:pt idx="30">
                        <c:v>546</c:v>
                      </c:pt>
                      <c:pt idx="31">
                        <c:v>554</c:v>
                      </c:pt>
                      <c:pt idx="32">
                        <c:v>562</c:v>
                      </c:pt>
                      <c:pt idx="33">
                        <c:v>570</c:v>
                      </c:pt>
                      <c:pt idx="34">
                        <c:v>578</c:v>
                      </c:pt>
                      <c:pt idx="35">
                        <c:v>586</c:v>
                      </c:pt>
                      <c:pt idx="36">
                        <c:v>594</c:v>
                      </c:pt>
                      <c:pt idx="37">
                        <c:v>602</c:v>
                      </c:pt>
                      <c:pt idx="38">
                        <c:v>610</c:v>
                      </c:pt>
                      <c:pt idx="39">
                        <c:v>618</c:v>
                      </c:pt>
                      <c:pt idx="40">
                        <c:v>626</c:v>
                      </c:pt>
                      <c:pt idx="41">
                        <c:v>634</c:v>
                      </c:pt>
                      <c:pt idx="42">
                        <c:v>642</c:v>
                      </c:pt>
                      <c:pt idx="43">
                        <c:v>650</c:v>
                      </c:pt>
                      <c:pt idx="44">
                        <c:v>658</c:v>
                      </c:pt>
                      <c:pt idx="45">
                        <c:v>666</c:v>
                      </c:pt>
                      <c:pt idx="46">
                        <c:v>674</c:v>
                      </c:pt>
                      <c:pt idx="47">
                        <c:v>682</c:v>
                      </c:pt>
                      <c:pt idx="48">
                        <c:v>690</c:v>
                      </c:pt>
                      <c:pt idx="49">
                        <c:v>698</c:v>
                      </c:pt>
                      <c:pt idx="50">
                        <c:v>706</c:v>
                      </c:pt>
                      <c:pt idx="51">
                        <c:v>714</c:v>
                      </c:pt>
                      <c:pt idx="52">
                        <c:v>722</c:v>
                      </c:pt>
                      <c:pt idx="53">
                        <c:v>730</c:v>
                      </c:pt>
                      <c:pt idx="54">
                        <c:v>738</c:v>
                      </c:pt>
                      <c:pt idx="55">
                        <c:v>746</c:v>
                      </c:pt>
                      <c:pt idx="56">
                        <c:v>754</c:v>
                      </c:pt>
                      <c:pt idx="57">
                        <c:v>762</c:v>
                      </c:pt>
                      <c:pt idx="58">
                        <c:v>770</c:v>
                      </c:pt>
                      <c:pt idx="59">
                        <c:v>778</c:v>
                      </c:pt>
                      <c:pt idx="60">
                        <c:v>786</c:v>
                      </c:pt>
                      <c:pt idx="61">
                        <c:v>794</c:v>
                      </c:pt>
                      <c:pt idx="62">
                        <c:v>802</c:v>
                      </c:pt>
                      <c:pt idx="63">
                        <c:v>810</c:v>
                      </c:pt>
                      <c:pt idx="64">
                        <c:v>818</c:v>
                      </c:pt>
                      <c:pt idx="65">
                        <c:v>826</c:v>
                      </c:pt>
                      <c:pt idx="66">
                        <c:v>834</c:v>
                      </c:pt>
                      <c:pt idx="67">
                        <c:v>842</c:v>
                      </c:pt>
                      <c:pt idx="68">
                        <c:v>850</c:v>
                      </c:pt>
                      <c:pt idx="69">
                        <c:v>858</c:v>
                      </c:pt>
                      <c:pt idx="70">
                        <c:v>866</c:v>
                      </c:pt>
                      <c:pt idx="71">
                        <c:v>874</c:v>
                      </c:pt>
                      <c:pt idx="72">
                        <c:v>882</c:v>
                      </c:pt>
                      <c:pt idx="73">
                        <c:v>890</c:v>
                      </c:pt>
                      <c:pt idx="74">
                        <c:v>898</c:v>
                      </c:pt>
                      <c:pt idx="75">
                        <c:v>906</c:v>
                      </c:pt>
                      <c:pt idx="76">
                        <c:v>914</c:v>
                      </c:pt>
                      <c:pt idx="77">
                        <c:v>922</c:v>
                      </c:pt>
                      <c:pt idx="78">
                        <c:v>930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EVALUATION!$B$127:$CP$127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0-022F-4A2F-976F-7C3C2CD148C5}"/>
                  </c:ext>
                </c:extLst>
              </c15:ser>
            </c15:filteredScatterSeries>
            <c15:filteredScatterSeries>
              <c15:ser>
                <c:idx val="25"/>
                <c:order val="27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306</c:v>
                      </c:pt>
                      <c:pt idx="1">
                        <c:v>314</c:v>
                      </c:pt>
                      <c:pt idx="2">
                        <c:v>322</c:v>
                      </c:pt>
                      <c:pt idx="3">
                        <c:v>330</c:v>
                      </c:pt>
                      <c:pt idx="4">
                        <c:v>338</c:v>
                      </c:pt>
                      <c:pt idx="5">
                        <c:v>346</c:v>
                      </c:pt>
                      <c:pt idx="6">
                        <c:v>354</c:v>
                      </c:pt>
                      <c:pt idx="7">
                        <c:v>362</c:v>
                      </c:pt>
                      <c:pt idx="8">
                        <c:v>370</c:v>
                      </c:pt>
                      <c:pt idx="9">
                        <c:v>378</c:v>
                      </c:pt>
                      <c:pt idx="10">
                        <c:v>386</c:v>
                      </c:pt>
                      <c:pt idx="11">
                        <c:v>394</c:v>
                      </c:pt>
                      <c:pt idx="12">
                        <c:v>402</c:v>
                      </c:pt>
                      <c:pt idx="13">
                        <c:v>410</c:v>
                      </c:pt>
                      <c:pt idx="14">
                        <c:v>418</c:v>
                      </c:pt>
                      <c:pt idx="15">
                        <c:v>426</c:v>
                      </c:pt>
                      <c:pt idx="16">
                        <c:v>434</c:v>
                      </c:pt>
                      <c:pt idx="17">
                        <c:v>442</c:v>
                      </c:pt>
                      <c:pt idx="18">
                        <c:v>450</c:v>
                      </c:pt>
                      <c:pt idx="19">
                        <c:v>458</c:v>
                      </c:pt>
                      <c:pt idx="20">
                        <c:v>466</c:v>
                      </c:pt>
                      <c:pt idx="21">
                        <c:v>474</c:v>
                      </c:pt>
                      <c:pt idx="22">
                        <c:v>482</c:v>
                      </c:pt>
                      <c:pt idx="23">
                        <c:v>490</c:v>
                      </c:pt>
                      <c:pt idx="24">
                        <c:v>498</c:v>
                      </c:pt>
                      <c:pt idx="25">
                        <c:v>506</c:v>
                      </c:pt>
                      <c:pt idx="26">
                        <c:v>514</c:v>
                      </c:pt>
                      <c:pt idx="27">
                        <c:v>522</c:v>
                      </c:pt>
                      <c:pt idx="28">
                        <c:v>530</c:v>
                      </c:pt>
                      <c:pt idx="29">
                        <c:v>538</c:v>
                      </c:pt>
                      <c:pt idx="30">
                        <c:v>546</c:v>
                      </c:pt>
                      <c:pt idx="31">
                        <c:v>554</c:v>
                      </c:pt>
                      <c:pt idx="32">
                        <c:v>562</c:v>
                      </c:pt>
                      <c:pt idx="33">
                        <c:v>570</c:v>
                      </c:pt>
                      <c:pt idx="34">
                        <c:v>578</c:v>
                      </c:pt>
                      <c:pt idx="35">
                        <c:v>586</c:v>
                      </c:pt>
                      <c:pt idx="36">
                        <c:v>594</c:v>
                      </c:pt>
                      <c:pt idx="37">
                        <c:v>602</c:v>
                      </c:pt>
                      <c:pt idx="38">
                        <c:v>610</c:v>
                      </c:pt>
                      <c:pt idx="39">
                        <c:v>618</c:v>
                      </c:pt>
                      <c:pt idx="40">
                        <c:v>626</c:v>
                      </c:pt>
                      <c:pt idx="41">
                        <c:v>634</c:v>
                      </c:pt>
                      <c:pt idx="42">
                        <c:v>642</c:v>
                      </c:pt>
                      <c:pt idx="43">
                        <c:v>650</c:v>
                      </c:pt>
                      <c:pt idx="44">
                        <c:v>658</c:v>
                      </c:pt>
                      <c:pt idx="45">
                        <c:v>666</c:v>
                      </c:pt>
                      <c:pt idx="46">
                        <c:v>674</c:v>
                      </c:pt>
                      <c:pt idx="47">
                        <c:v>682</c:v>
                      </c:pt>
                      <c:pt idx="48">
                        <c:v>690</c:v>
                      </c:pt>
                      <c:pt idx="49">
                        <c:v>698</c:v>
                      </c:pt>
                      <c:pt idx="50">
                        <c:v>706</c:v>
                      </c:pt>
                      <c:pt idx="51">
                        <c:v>714</c:v>
                      </c:pt>
                      <c:pt idx="52">
                        <c:v>722</c:v>
                      </c:pt>
                      <c:pt idx="53">
                        <c:v>730</c:v>
                      </c:pt>
                      <c:pt idx="54">
                        <c:v>738</c:v>
                      </c:pt>
                      <c:pt idx="55">
                        <c:v>746</c:v>
                      </c:pt>
                      <c:pt idx="56">
                        <c:v>754</c:v>
                      </c:pt>
                      <c:pt idx="57">
                        <c:v>762</c:v>
                      </c:pt>
                      <c:pt idx="58">
                        <c:v>770</c:v>
                      </c:pt>
                      <c:pt idx="59">
                        <c:v>778</c:v>
                      </c:pt>
                      <c:pt idx="60">
                        <c:v>786</c:v>
                      </c:pt>
                      <c:pt idx="61">
                        <c:v>794</c:v>
                      </c:pt>
                      <c:pt idx="62">
                        <c:v>802</c:v>
                      </c:pt>
                      <c:pt idx="63">
                        <c:v>810</c:v>
                      </c:pt>
                      <c:pt idx="64">
                        <c:v>818</c:v>
                      </c:pt>
                      <c:pt idx="65">
                        <c:v>826</c:v>
                      </c:pt>
                      <c:pt idx="66">
                        <c:v>834</c:v>
                      </c:pt>
                      <c:pt idx="67">
                        <c:v>842</c:v>
                      </c:pt>
                      <c:pt idx="68">
                        <c:v>850</c:v>
                      </c:pt>
                      <c:pt idx="69">
                        <c:v>858</c:v>
                      </c:pt>
                      <c:pt idx="70">
                        <c:v>866</c:v>
                      </c:pt>
                      <c:pt idx="71">
                        <c:v>874</c:v>
                      </c:pt>
                      <c:pt idx="72">
                        <c:v>882</c:v>
                      </c:pt>
                      <c:pt idx="73">
                        <c:v>890</c:v>
                      </c:pt>
                      <c:pt idx="74">
                        <c:v>898</c:v>
                      </c:pt>
                      <c:pt idx="75">
                        <c:v>906</c:v>
                      </c:pt>
                      <c:pt idx="76">
                        <c:v>914</c:v>
                      </c:pt>
                      <c:pt idx="77">
                        <c:v>922</c:v>
                      </c:pt>
                      <c:pt idx="78">
                        <c:v>930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EVALUATION!$B$128:$CP$128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1-022F-4A2F-976F-7C3C2CD148C5}"/>
                  </c:ext>
                </c:extLst>
              </c15:ser>
            </c15:filteredScatterSeries>
            <c15:filteredScatterSeries>
              <c15:ser>
                <c:idx val="26"/>
                <c:order val="28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306</c:v>
                      </c:pt>
                      <c:pt idx="1">
                        <c:v>314</c:v>
                      </c:pt>
                      <c:pt idx="2">
                        <c:v>322</c:v>
                      </c:pt>
                      <c:pt idx="3">
                        <c:v>330</c:v>
                      </c:pt>
                      <c:pt idx="4">
                        <c:v>338</c:v>
                      </c:pt>
                      <c:pt idx="5">
                        <c:v>346</c:v>
                      </c:pt>
                      <c:pt idx="6">
                        <c:v>354</c:v>
                      </c:pt>
                      <c:pt idx="7">
                        <c:v>362</c:v>
                      </c:pt>
                      <c:pt idx="8">
                        <c:v>370</c:v>
                      </c:pt>
                      <c:pt idx="9">
                        <c:v>378</c:v>
                      </c:pt>
                      <c:pt idx="10">
                        <c:v>386</c:v>
                      </c:pt>
                      <c:pt idx="11">
                        <c:v>394</c:v>
                      </c:pt>
                      <c:pt idx="12">
                        <c:v>402</c:v>
                      </c:pt>
                      <c:pt idx="13">
                        <c:v>410</c:v>
                      </c:pt>
                      <c:pt idx="14">
                        <c:v>418</c:v>
                      </c:pt>
                      <c:pt idx="15">
                        <c:v>426</c:v>
                      </c:pt>
                      <c:pt idx="16">
                        <c:v>434</c:v>
                      </c:pt>
                      <c:pt idx="17">
                        <c:v>442</c:v>
                      </c:pt>
                      <c:pt idx="18">
                        <c:v>450</c:v>
                      </c:pt>
                      <c:pt idx="19">
                        <c:v>458</c:v>
                      </c:pt>
                      <c:pt idx="20">
                        <c:v>466</c:v>
                      </c:pt>
                      <c:pt idx="21">
                        <c:v>474</c:v>
                      </c:pt>
                      <c:pt idx="22">
                        <c:v>482</c:v>
                      </c:pt>
                      <c:pt idx="23">
                        <c:v>490</c:v>
                      </c:pt>
                      <c:pt idx="24">
                        <c:v>498</c:v>
                      </c:pt>
                      <c:pt idx="25">
                        <c:v>506</c:v>
                      </c:pt>
                      <c:pt idx="26">
                        <c:v>514</c:v>
                      </c:pt>
                      <c:pt idx="27">
                        <c:v>522</c:v>
                      </c:pt>
                      <c:pt idx="28">
                        <c:v>530</c:v>
                      </c:pt>
                      <c:pt idx="29">
                        <c:v>538</c:v>
                      </c:pt>
                      <c:pt idx="30">
                        <c:v>546</c:v>
                      </c:pt>
                      <c:pt idx="31">
                        <c:v>554</c:v>
                      </c:pt>
                      <c:pt idx="32">
                        <c:v>562</c:v>
                      </c:pt>
                      <c:pt idx="33">
                        <c:v>570</c:v>
                      </c:pt>
                      <c:pt idx="34">
                        <c:v>578</c:v>
                      </c:pt>
                      <c:pt idx="35">
                        <c:v>586</c:v>
                      </c:pt>
                      <c:pt idx="36">
                        <c:v>594</c:v>
                      </c:pt>
                      <c:pt idx="37">
                        <c:v>602</c:v>
                      </c:pt>
                      <c:pt idx="38">
                        <c:v>610</c:v>
                      </c:pt>
                      <c:pt idx="39">
                        <c:v>618</c:v>
                      </c:pt>
                      <c:pt idx="40">
                        <c:v>626</c:v>
                      </c:pt>
                      <c:pt idx="41">
                        <c:v>634</c:v>
                      </c:pt>
                      <c:pt idx="42">
                        <c:v>642</c:v>
                      </c:pt>
                      <c:pt idx="43">
                        <c:v>650</c:v>
                      </c:pt>
                      <c:pt idx="44">
                        <c:v>658</c:v>
                      </c:pt>
                      <c:pt idx="45">
                        <c:v>666</c:v>
                      </c:pt>
                      <c:pt idx="46">
                        <c:v>674</c:v>
                      </c:pt>
                      <c:pt idx="47">
                        <c:v>682</c:v>
                      </c:pt>
                      <c:pt idx="48">
                        <c:v>690</c:v>
                      </c:pt>
                      <c:pt idx="49">
                        <c:v>698</c:v>
                      </c:pt>
                      <c:pt idx="50">
                        <c:v>706</c:v>
                      </c:pt>
                      <c:pt idx="51">
                        <c:v>714</c:v>
                      </c:pt>
                      <c:pt idx="52">
                        <c:v>722</c:v>
                      </c:pt>
                      <c:pt idx="53">
                        <c:v>730</c:v>
                      </c:pt>
                      <c:pt idx="54">
                        <c:v>738</c:v>
                      </c:pt>
                      <c:pt idx="55">
                        <c:v>746</c:v>
                      </c:pt>
                      <c:pt idx="56">
                        <c:v>754</c:v>
                      </c:pt>
                      <c:pt idx="57">
                        <c:v>762</c:v>
                      </c:pt>
                      <c:pt idx="58">
                        <c:v>770</c:v>
                      </c:pt>
                      <c:pt idx="59">
                        <c:v>778</c:v>
                      </c:pt>
                      <c:pt idx="60">
                        <c:v>786</c:v>
                      </c:pt>
                      <c:pt idx="61">
                        <c:v>794</c:v>
                      </c:pt>
                      <c:pt idx="62">
                        <c:v>802</c:v>
                      </c:pt>
                      <c:pt idx="63">
                        <c:v>810</c:v>
                      </c:pt>
                      <c:pt idx="64">
                        <c:v>818</c:v>
                      </c:pt>
                      <c:pt idx="65">
                        <c:v>826</c:v>
                      </c:pt>
                      <c:pt idx="66">
                        <c:v>834</c:v>
                      </c:pt>
                      <c:pt idx="67">
                        <c:v>842</c:v>
                      </c:pt>
                      <c:pt idx="68">
                        <c:v>850</c:v>
                      </c:pt>
                      <c:pt idx="69">
                        <c:v>858</c:v>
                      </c:pt>
                      <c:pt idx="70">
                        <c:v>866</c:v>
                      </c:pt>
                      <c:pt idx="71">
                        <c:v>874</c:v>
                      </c:pt>
                      <c:pt idx="72">
                        <c:v>882</c:v>
                      </c:pt>
                      <c:pt idx="73">
                        <c:v>890</c:v>
                      </c:pt>
                      <c:pt idx="74">
                        <c:v>898</c:v>
                      </c:pt>
                      <c:pt idx="75">
                        <c:v>906</c:v>
                      </c:pt>
                      <c:pt idx="76">
                        <c:v>914</c:v>
                      </c:pt>
                      <c:pt idx="77">
                        <c:v>922</c:v>
                      </c:pt>
                      <c:pt idx="78">
                        <c:v>930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EVALUATION!$B$129:$CP$129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2-022F-4A2F-976F-7C3C2CD148C5}"/>
                  </c:ext>
                </c:extLst>
              </c15:ser>
            </c15:filteredScatterSeries>
            <c15:filteredScatterSeries>
              <c15:ser>
                <c:idx val="27"/>
                <c:order val="29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306</c:v>
                      </c:pt>
                      <c:pt idx="1">
                        <c:v>314</c:v>
                      </c:pt>
                      <c:pt idx="2">
                        <c:v>322</c:v>
                      </c:pt>
                      <c:pt idx="3">
                        <c:v>330</c:v>
                      </c:pt>
                      <c:pt idx="4">
                        <c:v>338</c:v>
                      </c:pt>
                      <c:pt idx="5">
                        <c:v>346</c:v>
                      </c:pt>
                      <c:pt idx="6">
                        <c:v>354</c:v>
                      </c:pt>
                      <c:pt idx="7">
                        <c:v>362</c:v>
                      </c:pt>
                      <c:pt idx="8">
                        <c:v>370</c:v>
                      </c:pt>
                      <c:pt idx="9">
                        <c:v>378</c:v>
                      </c:pt>
                      <c:pt idx="10">
                        <c:v>386</c:v>
                      </c:pt>
                      <c:pt idx="11">
                        <c:v>394</c:v>
                      </c:pt>
                      <c:pt idx="12">
                        <c:v>402</c:v>
                      </c:pt>
                      <c:pt idx="13">
                        <c:v>410</c:v>
                      </c:pt>
                      <c:pt idx="14">
                        <c:v>418</c:v>
                      </c:pt>
                      <c:pt idx="15">
                        <c:v>426</c:v>
                      </c:pt>
                      <c:pt idx="16">
                        <c:v>434</c:v>
                      </c:pt>
                      <c:pt idx="17">
                        <c:v>442</c:v>
                      </c:pt>
                      <c:pt idx="18">
                        <c:v>450</c:v>
                      </c:pt>
                      <c:pt idx="19">
                        <c:v>458</c:v>
                      </c:pt>
                      <c:pt idx="20">
                        <c:v>466</c:v>
                      </c:pt>
                      <c:pt idx="21">
                        <c:v>474</c:v>
                      </c:pt>
                      <c:pt idx="22">
                        <c:v>482</c:v>
                      </c:pt>
                      <c:pt idx="23">
                        <c:v>490</c:v>
                      </c:pt>
                      <c:pt idx="24">
                        <c:v>498</c:v>
                      </c:pt>
                      <c:pt idx="25">
                        <c:v>506</c:v>
                      </c:pt>
                      <c:pt idx="26">
                        <c:v>514</c:v>
                      </c:pt>
                      <c:pt idx="27">
                        <c:v>522</c:v>
                      </c:pt>
                      <c:pt idx="28">
                        <c:v>530</c:v>
                      </c:pt>
                      <c:pt idx="29">
                        <c:v>538</c:v>
                      </c:pt>
                      <c:pt idx="30">
                        <c:v>546</c:v>
                      </c:pt>
                      <c:pt idx="31">
                        <c:v>554</c:v>
                      </c:pt>
                      <c:pt idx="32">
                        <c:v>562</c:v>
                      </c:pt>
                      <c:pt idx="33">
                        <c:v>570</c:v>
                      </c:pt>
                      <c:pt idx="34">
                        <c:v>578</c:v>
                      </c:pt>
                      <c:pt idx="35">
                        <c:v>586</c:v>
                      </c:pt>
                      <c:pt idx="36">
                        <c:v>594</c:v>
                      </c:pt>
                      <c:pt idx="37">
                        <c:v>602</c:v>
                      </c:pt>
                      <c:pt idx="38">
                        <c:v>610</c:v>
                      </c:pt>
                      <c:pt idx="39">
                        <c:v>618</c:v>
                      </c:pt>
                      <c:pt idx="40">
                        <c:v>626</c:v>
                      </c:pt>
                      <c:pt idx="41">
                        <c:v>634</c:v>
                      </c:pt>
                      <c:pt idx="42">
                        <c:v>642</c:v>
                      </c:pt>
                      <c:pt idx="43">
                        <c:v>650</c:v>
                      </c:pt>
                      <c:pt idx="44">
                        <c:v>658</c:v>
                      </c:pt>
                      <c:pt idx="45">
                        <c:v>666</c:v>
                      </c:pt>
                      <c:pt idx="46">
                        <c:v>674</c:v>
                      </c:pt>
                      <c:pt idx="47">
                        <c:v>682</c:v>
                      </c:pt>
                      <c:pt idx="48">
                        <c:v>690</c:v>
                      </c:pt>
                      <c:pt idx="49">
                        <c:v>698</c:v>
                      </c:pt>
                      <c:pt idx="50">
                        <c:v>706</c:v>
                      </c:pt>
                      <c:pt idx="51">
                        <c:v>714</c:v>
                      </c:pt>
                      <c:pt idx="52">
                        <c:v>722</c:v>
                      </c:pt>
                      <c:pt idx="53">
                        <c:v>730</c:v>
                      </c:pt>
                      <c:pt idx="54">
                        <c:v>738</c:v>
                      </c:pt>
                      <c:pt idx="55">
                        <c:v>746</c:v>
                      </c:pt>
                      <c:pt idx="56">
                        <c:v>754</c:v>
                      </c:pt>
                      <c:pt idx="57">
                        <c:v>762</c:v>
                      </c:pt>
                      <c:pt idx="58">
                        <c:v>770</c:v>
                      </c:pt>
                      <c:pt idx="59">
                        <c:v>778</c:v>
                      </c:pt>
                      <c:pt idx="60">
                        <c:v>786</c:v>
                      </c:pt>
                      <c:pt idx="61">
                        <c:v>794</c:v>
                      </c:pt>
                      <c:pt idx="62">
                        <c:v>802</c:v>
                      </c:pt>
                      <c:pt idx="63">
                        <c:v>810</c:v>
                      </c:pt>
                      <c:pt idx="64">
                        <c:v>818</c:v>
                      </c:pt>
                      <c:pt idx="65">
                        <c:v>826</c:v>
                      </c:pt>
                      <c:pt idx="66">
                        <c:v>834</c:v>
                      </c:pt>
                      <c:pt idx="67">
                        <c:v>842</c:v>
                      </c:pt>
                      <c:pt idx="68">
                        <c:v>850</c:v>
                      </c:pt>
                      <c:pt idx="69">
                        <c:v>858</c:v>
                      </c:pt>
                      <c:pt idx="70">
                        <c:v>866</c:v>
                      </c:pt>
                      <c:pt idx="71">
                        <c:v>874</c:v>
                      </c:pt>
                      <c:pt idx="72">
                        <c:v>882</c:v>
                      </c:pt>
                      <c:pt idx="73">
                        <c:v>890</c:v>
                      </c:pt>
                      <c:pt idx="74">
                        <c:v>898</c:v>
                      </c:pt>
                      <c:pt idx="75">
                        <c:v>906</c:v>
                      </c:pt>
                      <c:pt idx="76">
                        <c:v>914</c:v>
                      </c:pt>
                      <c:pt idx="77">
                        <c:v>922</c:v>
                      </c:pt>
                      <c:pt idx="78">
                        <c:v>930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EVALUATION!$B$130:$CP$130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3-022F-4A2F-976F-7C3C2CD148C5}"/>
                  </c:ext>
                </c:extLst>
              </c15:ser>
            </c15:filteredScatterSeries>
            <c15:filteredScatterSeries>
              <c15:ser>
                <c:idx val="28"/>
                <c:order val="30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306</c:v>
                      </c:pt>
                      <c:pt idx="1">
                        <c:v>314</c:v>
                      </c:pt>
                      <c:pt idx="2">
                        <c:v>322</c:v>
                      </c:pt>
                      <c:pt idx="3">
                        <c:v>330</c:v>
                      </c:pt>
                      <c:pt idx="4">
                        <c:v>338</c:v>
                      </c:pt>
                      <c:pt idx="5">
                        <c:v>346</c:v>
                      </c:pt>
                      <c:pt idx="6">
                        <c:v>354</c:v>
                      </c:pt>
                      <c:pt idx="7">
                        <c:v>362</c:v>
                      </c:pt>
                      <c:pt idx="8">
                        <c:v>370</c:v>
                      </c:pt>
                      <c:pt idx="9">
                        <c:v>378</c:v>
                      </c:pt>
                      <c:pt idx="10">
                        <c:v>386</c:v>
                      </c:pt>
                      <c:pt idx="11">
                        <c:v>394</c:v>
                      </c:pt>
                      <c:pt idx="12">
                        <c:v>402</c:v>
                      </c:pt>
                      <c:pt idx="13">
                        <c:v>410</c:v>
                      </c:pt>
                      <c:pt idx="14">
                        <c:v>418</c:v>
                      </c:pt>
                      <c:pt idx="15">
                        <c:v>426</c:v>
                      </c:pt>
                      <c:pt idx="16">
                        <c:v>434</c:v>
                      </c:pt>
                      <c:pt idx="17">
                        <c:v>442</c:v>
                      </c:pt>
                      <c:pt idx="18">
                        <c:v>450</c:v>
                      </c:pt>
                      <c:pt idx="19">
                        <c:v>458</c:v>
                      </c:pt>
                      <c:pt idx="20">
                        <c:v>466</c:v>
                      </c:pt>
                      <c:pt idx="21">
                        <c:v>474</c:v>
                      </c:pt>
                      <c:pt idx="22">
                        <c:v>482</c:v>
                      </c:pt>
                      <c:pt idx="23">
                        <c:v>490</c:v>
                      </c:pt>
                      <c:pt idx="24">
                        <c:v>498</c:v>
                      </c:pt>
                      <c:pt idx="25">
                        <c:v>506</c:v>
                      </c:pt>
                      <c:pt idx="26">
                        <c:v>514</c:v>
                      </c:pt>
                      <c:pt idx="27">
                        <c:v>522</c:v>
                      </c:pt>
                      <c:pt idx="28">
                        <c:v>530</c:v>
                      </c:pt>
                      <c:pt idx="29">
                        <c:v>538</c:v>
                      </c:pt>
                      <c:pt idx="30">
                        <c:v>546</c:v>
                      </c:pt>
                      <c:pt idx="31">
                        <c:v>554</c:v>
                      </c:pt>
                      <c:pt idx="32">
                        <c:v>562</c:v>
                      </c:pt>
                      <c:pt idx="33">
                        <c:v>570</c:v>
                      </c:pt>
                      <c:pt idx="34">
                        <c:v>578</c:v>
                      </c:pt>
                      <c:pt idx="35">
                        <c:v>586</c:v>
                      </c:pt>
                      <c:pt idx="36">
                        <c:v>594</c:v>
                      </c:pt>
                      <c:pt idx="37">
                        <c:v>602</c:v>
                      </c:pt>
                      <c:pt idx="38">
                        <c:v>610</c:v>
                      </c:pt>
                      <c:pt idx="39">
                        <c:v>618</c:v>
                      </c:pt>
                      <c:pt idx="40">
                        <c:v>626</c:v>
                      </c:pt>
                      <c:pt idx="41">
                        <c:v>634</c:v>
                      </c:pt>
                      <c:pt idx="42">
                        <c:v>642</c:v>
                      </c:pt>
                      <c:pt idx="43">
                        <c:v>650</c:v>
                      </c:pt>
                      <c:pt idx="44">
                        <c:v>658</c:v>
                      </c:pt>
                      <c:pt idx="45">
                        <c:v>666</c:v>
                      </c:pt>
                      <c:pt idx="46">
                        <c:v>674</c:v>
                      </c:pt>
                      <c:pt idx="47">
                        <c:v>682</c:v>
                      </c:pt>
                      <c:pt idx="48">
                        <c:v>690</c:v>
                      </c:pt>
                      <c:pt idx="49">
                        <c:v>698</c:v>
                      </c:pt>
                      <c:pt idx="50">
                        <c:v>706</c:v>
                      </c:pt>
                      <c:pt idx="51">
                        <c:v>714</c:v>
                      </c:pt>
                      <c:pt idx="52">
                        <c:v>722</c:v>
                      </c:pt>
                      <c:pt idx="53">
                        <c:v>730</c:v>
                      </c:pt>
                      <c:pt idx="54">
                        <c:v>738</c:v>
                      </c:pt>
                      <c:pt idx="55">
                        <c:v>746</c:v>
                      </c:pt>
                      <c:pt idx="56">
                        <c:v>754</c:v>
                      </c:pt>
                      <c:pt idx="57">
                        <c:v>762</c:v>
                      </c:pt>
                      <c:pt idx="58">
                        <c:v>770</c:v>
                      </c:pt>
                      <c:pt idx="59">
                        <c:v>778</c:v>
                      </c:pt>
                      <c:pt idx="60">
                        <c:v>786</c:v>
                      </c:pt>
                      <c:pt idx="61">
                        <c:v>794</c:v>
                      </c:pt>
                      <c:pt idx="62">
                        <c:v>802</c:v>
                      </c:pt>
                      <c:pt idx="63">
                        <c:v>810</c:v>
                      </c:pt>
                      <c:pt idx="64">
                        <c:v>818</c:v>
                      </c:pt>
                      <c:pt idx="65">
                        <c:v>826</c:v>
                      </c:pt>
                      <c:pt idx="66">
                        <c:v>834</c:v>
                      </c:pt>
                      <c:pt idx="67">
                        <c:v>842</c:v>
                      </c:pt>
                      <c:pt idx="68">
                        <c:v>850</c:v>
                      </c:pt>
                      <c:pt idx="69">
                        <c:v>858</c:v>
                      </c:pt>
                      <c:pt idx="70">
                        <c:v>866</c:v>
                      </c:pt>
                      <c:pt idx="71">
                        <c:v>874</c:v>
                      </c:pt>
                      <c:pt idx="72">
                        <c:v>882</c:v>
                      </c:pt>
                      <c:pt idx="73">
                        <c:v>890</c:v>
                      </c:pt>
                      <c:pt idx="74">
                        <c:v>898</c:v>
                      </c:pt>
                      <c:pt idx="75">
                        <c:v>906</c:v>
                      </c:pt>
                      <c:pt idx="76">
                        <c:v>914</c:v>
                      </c:pt>
                      <c:pt idx="77">
                        <c:v>922</c:v>
                      </c:pt>
                      <c:pt idx="78">
                        <c:v>930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EVALUATION!$B$131:$CP$131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4-022F-4A2F-976F-7C3C2CD148C5}"/>
                  </c:ext>
                </c:extLst>
              </c15:ser>
            </c15:filteredScatterSeries>
            <c15:filteredScatterSeries>
              <c15:ser>
                <c:idx val="29"/>
                <c:order val="31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306</c:v>
                      </c:pt>
                      <c:pt idx="1">
                        <c:v>314</c:v>
                      </c:pt>
                      <c:pt idx="2">
                        <c:v>322</c:v>
                      </c:pt>
                      <c:pt idx="3">
                        <c:v>330</c:v>
                      </c:pt>
                      <c:pt idx="4">
                        <c:v>338</c:v>
                      </c:pt>
                      <c:pt idx="5">
                        <c:v>346</c:v>
                      </c:pt>
                      <c:pt idx="6">
                        <c:v>354</c:v>
                      </c:pt>
                      <c:pt idx="7">
                        <c:v>362</c:v>
                      </c:pt>
                      <c:pt idx="8">
                        <c:v>370</c:v>
                      </c:pt>
                      <c:pt idx="9">
                        <c:v>378</c:v>
                      </c:pt>
                      <c:pt idx="10">
                        <c:v>386</c:v>
                      </c:pt>
                      <c:pt idx="11">
                        <c:v>394</c:v>
                      </c:pt>
                      <c:pt idx="12">
                        <c:v>402</c:v>
                      </c:pt>
                      <c:pt idx="13">
                        <c:v>410</c:v>
                      </c:pt>
                      <c:pt idx="14">
                        <c:v>418</c:v>
                      </c:pt>
                      <c:pt idx="15">
                        <c:v>426</c:v>
                      </c:pt>
                      <c:pt idx="16">
                        <c:v>434</c:v>
                      </c:pt>
                      <c:pt idx="17">
                        <c:v>442</c:v>
                      </c:pt>
                      <c:pt idx="18">
                        <c:v>450</c:v>
                      </c:pt>
                      <c:pt idx="19">
                        <c:v>458</c:v>
                      </c:pt>
                      <c:pt idx="20">
                        <c:v>466</c:v>
                      </c:pt>
                      <c:pt idx="21">
                        <c:v>474</c:v>
                      </c:pt>
                      <c:pt idx="22">
                        <c:v>482</c:v>
                      </c:pt>
                      <c:pt idx="23">
                        <c:v>490</c:v>
                      </c:pt>
                      <c:pt idx="24">
                        <c:v>498</c:v>
                      </c:pt>
                      <c:pt idx="25">
                        <c:v>506</c:v>
                      </c:pt>
                      <c:pt idx="26">
                        <c:v>514</c:v>
                      </c:pt>
                      <c:pt idx="27">
                        <c:v>522</c:v>
                      </c:pt>
                      <c:pt idx="28">
                        <c:v>530</c:v>
                      </c:pt>
                      <c:pt idx="29">
                        <c:v>538</c:v>
                      </c:pt>
                      <c:pt idx="30">
                        <c:v>546</c:v>
                      </c:pt>
                      <c:pt idx="31">
                        <c:v>554</c:v>
                      </c:pt>
                      <c:pt idx="32">
                        <c:v>562</c:v>
                      </c:pt>
                      <c:pt idx="33">
                        <c:v>570</c:v>
                      </c:pt>
                      <c:pt idx="34">
                        <c:v>578</c:v>
                      </c:pt>
                      <c:pt idx="35">
                        <c:v>586</c:v>
                      </c:pt>
                      <c:pt idx="36">
                        <c:v>594</c:v>
                      </c:pt>
                      <c:pt idx="37">
                        <c:v>602</c:v>
                      </c:pt>
                      <c:pt idx="38">
                        <c:v>610</c:v>
                      </c:pt>
                      <c:pt idx="39">
                        <c:v>618</c:v>
                      </c:pt>
                      <c:pt idx="40">
                        <c:v>626</c:v>
                      </c:pt>
                      <c:pt idx="41">
                        <c:v>634</c:v>
                      </c:pt>
                      <c:pt idx="42">
                        <c:v>642</c:v>
                      </c:pt>
                      <c:pt idx="43">
                        <c:v>650</c:v>
                      </c:pt>
                      <c:pt idx="44">
                        <c:v>658</c:v>
                      </c:pt>
                      <c:pt idx="45">
                        <c:v>666</c:v>
                      </c:pt>
                      <c:pt idx="46">
                        <c:v>674</c:v>
                      </c:pt>
                      <c:pt idx="47">
                        <c:v>682</c:v>
                      </c:pt>
                      <c:pt idx="48">
                        <c:v>690</c:v>
                      </c:pt>
                      <c:pt idx="49">
                        <c:v>698</c:v>
                      </c:pt>
                      <c:pt idx="50">
                        <c:v>706</c:v>
                      </c:pt>
                      <c:pt idx="51">
                        <c:v>714</c:v>
                      </c:pt>
                      <c:pt idx="52">
                        <c:v>722</c:v>
                      </c:pt>
                      <c:pt idx="53">
                        <c:v>730</c:v>
                      </c:pt>
                      <c:pt idx="54">
                        <c:v>738</c:v>
                      </c:pt>
                      <c:pt idx="55">
                        <c:v>746</c:v>
                      </c:pt>
                      <c:pt idx="56">
                        <c:v>754</c:v>
                      </c:pt>
                      <c:pt idx="57">
                        <c:v>762</c:v>
                      </c:pt>
                      <c:pt idx="58">
                        <c:v>770</c:v>
                      </c:pt>
                      <c:pt idx="59">
                        <c:v>778</c:v>
                      </c:pt>
                      <c:pt idx="60">
                        <c:v>786</c:v>
                      </c:pt>
                      <c:pt idx="61">
                        <c:v>794</c:v>
                      </c:pt>
                      <c:pt idx="62">
                        <c:v>802</c:v>
                      </c:pt>
                      <c:pt idx="63">
                        <c:v>810</c:v>
                      </c:pt>
                      <c:pt idx="64">
                        <c:v>818</c:v>
                      </c:pt>
                      <c:pt idx="65">
                        <c:v>826</c:v>
                      </c:pt>
                      <c:pt idx="66">
                        <c:v>834</c:v>
                      </c:pt>
                      <c:pt idx="67">
                        <c:v>842</c:v>
                      </c:pt>
                      <c:pt idx="68">
                        <c:v>850</c:v>
                      </c:pt>
                      <c:pt idx="69">
                        <c:v>858</c:v>
                      </c:pt>
                      <c:pt idx="70">
                        <c:v>866</c:v>
                      </c:pt>
                      <c:pt idx="71">
                        <c:v>874</c:v>
                      </c:pt>
                      <c:pt idx="72">
                        <c:v>882</c:v>
                      </c:pt>
                      <c:pt idx="73">
                        <c:v>890</c:v>
                      </c:pt>
                      <c:pt idx="74">
                        <c:v>898</c:v>
                      </c:pt>
                      <c:pt idx="75">
                        <c:v>906</c:v>
                      </c:pt>
                      <c:pt idx="76">
                        <c:v>914</c:v>
                      </c:pt>
                      <c:pt idx="77">
                        <c:v>922</c:v>
                      </c:pt>
                      <c:pt idx="78">
                        <c:v>930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EVALUATION!$B$132:$CP$132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-37.456036036036032</c:v>
                      </c:pt>
                      <c:pt idx="1">
                        <c:v>-36.754534534534535</c:v>
                      </c:pt>
                      <c:pt idx="2">
                        <c:v>-36.053033033033032</c:v>
                      </c:pt>
                      <c:pt idx="3">
                        <c:v>-35.351531531531528</c:v>
                      </c:pt>
                      <c:pt idx="4" formatCode="General">
                        <c:v>-34.77434131736527</c:v>
                      </c:pt>
                      <c:pt idx="5" formatCode="General">
                        <c:v>-34.225838323353294</c:v>
                      </c:pt>
                      <c:pt idx="6" formatCode="General">
                        <c:v>-33.677335329341318</c:v>
                      </c:pt>
                      <c:pt idx="7" formatCode="General">
                        <c:v>-33.128832335329342</c:v>
                      </c:pt>
                      <c:pt idx="8" formatCode="General">
                        <c:v>-32.657592814371256</c:v>
                      </c:pt>
                      <c:pt idx="9" formatCode="General">
                        <c:v>-32.230287425149697</c:v>
                      </c:pt>
                      <c:pt idx="10" formatCode="General">
                        <c:v>-31.802982035928146</c:v>
                      </c:pt>
                      <c:pt idx="11" formatCode="General">
                        <c:v>-31.375676646706587</c:v>
                      </c:pt>
                      <c:pt idx="12" formatCode="General">
                        <c:v>-30.997113772455091</c:v>
                      </c:pt>
                      <c:pt idx="13" formatCode="General">
                        <c:v>-30.675197604790419</c:v>
                      </c:pt>
                      <c:pt idx="14" formatCode="General">
                        <c:v>-30.353281437125748</c:v>
                      </c:pt>
                      <c:pt idx="15" formatCode="General">
                        <c:v>-30.031365269461077</c:v>
                      </c:pt>
                      <c:pt idx="16" formatCode="General">
                        <c:v>-29.749044910179641</c:v>
                      </c:pt>
                      <c:pt idx="17" formatCode="General">
                        <c:v>-29.564853293413172</c:v>
                      </c:pt>
                      <c:pt idx="18" formatCode="General">
                        <c:v>-29.380661676646707</c:v>
                      </c:pt>
                      <c:pt idx="19" formatCode="General">
                        <c:v>-29.196470059880241</c:v>
                      </c:pt>
                      <c:pt idx="20" formatCode="General">
                        <c:v>-29.031194610778446</c:v>
                      </c:pt>
                      <c:pt idx="21" formatCode="General">
                        <c:v>-29.015146706586826</c:v>
                      </c:pt>
                      <c:pt idx="22" formatCode="General">
                        <c:v>-28.99909880239521</c:v>
                      </c:pt>
                      <c:pt idx="23" formatCode="General">
                        <c:v>-28.983050898203594</c:v>
                      </c:pt>
                      <c:pt idx="24" formatCode="General">
                        <c:v>-28.967002994011978</c:v>
                      </c:pt>
                      <c:pt idx="25" formatCode="General">
                        <c:v>-29.170279279279281</c:v>
                      </c:pt>
                      <c:pt idx="26" formatCode="General">
                        <c:v>-29.388177177177177</c:v>
                      </c:pt>
                      <c:pt idx="27" formatCode="General">
                        <c:v>-29.606075075075076</c:v>
                      </c:pt>
                      <c:pt idx="28" formatCode="General">
                        <c:v>-29.823972972972971</c:v>
                      </c:pt>
                      <c:pt idx="29" formatCode="General">
                        <c:v>-29.965814371257483</c:v>
                      </c:pt>
                      <c:pt idx="30" formatCode="General">
                        <c:v>-30.085574850299402</c:v>
                      </c:pt>
                      <c:pt idx="31" formatCode="General">
                        <c:v>-30.205335329341317</c:v>
                      </c:pt>
                      <c:pt idx="32" formatCode="General">
                        <c:v>-30.325095808383235</c:v>
                      </c:pt>
                      <c:pt idx="33" formatCode="General">
                        <c:v>-30.453622754491018</c:v>
                      </c:pt>
                      <c:pt idx="34" formatCode="General">
                        <c:v>-30.587994011976047</c:v>
                      </c:pt>
                      <c:pt idx="35" formatCode="General">
                        <c:v>-30.722365269461079</c:v>
                      </c:pt>
                      <c:pt idx="36" formatCode="General">
                        <c:v>-30.856736526946108</c:v>
                      </c:pt>
                      <c:pt idx="37" formatCode="General">
                        <c:v>-30.990700598802395</c:v>
                      </c:pt>
                      <c:pt idx="38" formatCode="General">
                        <c:v>-31.12411377245509</c:v>
                      </c:pt>
                      <c:pt idx="39" formatCode="General">
                        <c:v>-31.257526946107784</c:v>
                      </c:pt>
                      <c:pt idx="40" formatCode="General">
                        <c:v>-31.390940119760479</c:v>
                      </c:pt>
                      <c:pt idx="41" formatCode="General">
                        <c:v>-31.524592814371257</c:v>
                      </c:pt>
                      <c:pt idx="42" formatCode="General">
                        <c:v>-31.658964071856285</c:v>
                      </c:pt>
                      <c:pt idx="43" formatCode="General">
                        <c:v>-31.793335329341318</c:v>
                      </c:pt>
                      <c:pt idx="44" formatCode="General">
                        <c:v>-31.927706586826346</c:v>
                      </c:pt>
                      <c:pt idx="45" formatCode="General">
                        <c:v>-32.062077844311375</c:v>
                      </c:pt>
                      <c:pt idx="46" formatCode="General">
                        <c:v>-32.196449101796411</c:v>
                      </c:pt>
                      <c:pt idx="47" formatCode="General">
                        <c:v>-32.330820359281439</c:v>
                      </c:pt>
                      <c:pt idx="48" formatCode="General">
                        <c:v>-32.465191616766468</c:v>
                      </c:pt>
                      <c:pt idx="49" formatCode="General">
                        <c:v>-32.599562874251497</c:v>
                      </c:pt>
                      <c:pt idx="50" formatCode="General">
                        <c:v>-32.727876404494381</c:v>
                      </c:pt>
                      <c:pt idx="51" formatCode="General">
                        <c:v>-32.855516853932585</c:v>
                      </c:pt>
                      <c:pt idx="52" formatCode="General">
                        <c:v>-32.983157303370788</c:v>
                      </c:pt>
                      <c:pt idx="53" formatCode="General">
                        <c:v>-33.110797752808992</c:v>
                      </c:pt>
                      <c:pt idx="54" formatCode="General">
                        <c:v>-33.238438202247195</c:v>
                      </c:pt>
                      <c:pt idx="55" formatCode="General">
                        <c:v>-33.366078651685392</c:v>
                      </c:pt>
                      <c:pt idx="56" formatCode="General">
                        <c:v>-33.493719101123595</c:v>
                      </c:pt>
                      <c:pt idx="57" formatCode="General">
                        <c:v>-33.621359550561799</c:v>
                      </c:pt>
                      <c:pt idx="58" formatCode="General">
                        <c:v>-33.749000000000002</c:v>
                      </c:pt>
                      <c:pt idx="59" formatCode="General">
                        <c:v>-33.876640449438206</c:v>
                      </c:pt>
                      <c:pt idx="60" formatCode="General">
                        <c:v>-34.004280898876409</c:v>
                      </c:pt>
                      <c:pt idx="61" formatCode="General">
                        <c:v>-34.131921348314606</c:v>
                      </c:pt>
                      <c:pt idx="62" formatCode="General">
                        <c:v>-34.259561797752809</c:v>
                      </c:pt>
                      <c:pt idx="63" formatCode="General">
                        <c:v>-34.387202247191013</c:v>
                      </c:pt>
                      <c:pt idx="64" formatCode="General">
                        <c:v>-34.514842696629216</c:v>
                      </c:pt>
                      <c:pt idx="65" formatCode="General">
                        <c:v>-34.64248314606742</c:v>
                      </c:pt>
                      <c:pt idx="66" formatCode="General">
                        <c:v>-34.768748314606746</c:v>
                      </c:pt>
                      <c:pt idx="67" formatCode="General">
                        <c:v>-34.88991685393259</c:v>
                      </c:pt>
                      <c:pt idx="68" formatCode="General">
                        <c:v>-35.011085393258426</c:v>
                      </c:pt>
                      <c:pt idx="69" formatCode="General">
                        <c:v>-35.13225393258427</c:v>
                      </c:pt>
                      <c:pt idx="70" formatCode="General">
                        <c:v>-35.253422471910113</c:v>
                      </c:pt>
                      <c:pt idx="71" formatCode="General">
                        <c:v>-35.374591011235957</c:v>
                      </c:pt>
                      <c:pt idx="72" formatCode="General">
                        <c:v>-35.4957595505618</c:v>
                      </c:pt>
                      <c:pt idx="73" formatCode="General">
                        <c:v>-35.616928089887644</c:v>
                      </c:pt>
                      <c:pt idx="74" formatCode="General">
                        <c:v>-35.738096629213487</c:v>
                      </c:pt>
                      <c:pt idx="75" formatCode="General">
                        <c:v>-35.859265168539331</c:v>
                      </c:pt>
                      <c:pt idx="76" formatCode="General">
                        <c:v>-35.980433707865167</c:v>
                      </c:pt>
                      <c:pt idx="77" formatCode="General">
                        <c:v>-36.101602247191011</c:v>
                      </c:pt>
                      <c:pt idx="78" formatCode="General">
                        <c:v>-36.222770786516854</c:v>
                      </c:pt>
                      <c:pt idx="79" formatCode="General">
                        <c:v>-36.343939325842697</c:v>
                      </c:pt>
                      <c:pt idx="80" formatCode="General">
                        <c:v>-36.465107865168541</c:v>
                      </c:pt>
                      <c:pt idx="81" formatCode="General">
                        <c:v>-36.586276404494384</c:v>
                      </c:pt>
                      <c:pt idx="82" formatCode="General">
                        <c:v>-36.707444943820228</c:v>
                      </c:pt>
                      <c:pt idx="83" formatCode="General">
                        <c:v>-36.825319819819818</c:v>
                      </c:pt>
                      <c:pt idx="84" formatCode="General">
                        <c:v>-36.940214714714713</c:v>
                      </c:pt>
                      <c:pt idx="85" formatCode="General">
                        <c:v>-37.055109609609609</c:v>
                      </c:pt>
                      <c:pt idx="86" formatCode="General">
                        <c:v>-37.170004504504504</c:v>
                      </c:pt>
                      <c:pt idx="87" formatCode="General">
                        <c:v>-36.080475247524753</c:v>
                      </c:pt>
                      <c:pt idx="88" formatCode="General">
                        <c:v>-36.193346534653465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5-022F-4A2F-976F-7C3C2CD148C5}"/>
                  </c:ext>
                </c:extLst>
              </c15:ser>
            </c15:filteredScatterSeries>
            <c15:filteredScatterSeries>
              <c15:ser>
                <c:idx val="30"/>
                <c:order val="32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306</c:v>
                      </c:pt>
                      <c:pt idx="1">
                        <c:v>314</c:v>
                      </c:pt>
                      <c:pt idx="2">
                        <c:v>322</c:v>
                      </c:pt>
                      <c:pt idx="3">
                        <c:v>330</c:v>
                      </c:pt>
                      <c:pt idx="4">
                        <c:v>338</c:v>
                      </c:pt>
                      <c:pt idx="5">
                        <c:v>346</c:v>
                      </c:pt>
                      <c:pt idx="6">
                        <c:v>354</c:v>
                      </c:pt>
                      <c:pt idx="7">
                        <c:v>362</c:v>
                      </c:pt>
                      <c:pt idx="8">
                        <c:v>370</c:v>
                      </c:pt>
                      <c:pt idx="9">
                        <c:v>378</c:v>
                      </c:pt>
                      <c:pt idx="10">
                        <c:v>386</c:v>
                      </c:pt>
                      <c:pt idx="11">
                        <c:v>394</c:v>
                      </c:pt>
                      <c:pt idx="12">
                        <c:v>402</c:v>
                      </c:pt>
                      <c:pt idx="13">
                        <c:v>410</c:v>
                      </c:pt>
                      <c:pt idx="14">
                        <c:v>418</c:v>
                      </c:pt>
                      <c:pt idx="15">
                        <c:v>426</c:v>
                      </c:pt>
                      <c:pt idx="16">
                        <c:v>434</c:v>
                      </c:pt>
                      <c:pt idx="17">
                        <c:v>442</c:v>
                      </c:pt>
                      <c:pt idx="18">
                        <c:v>450</c:v>
                      </c:pt>
                      <c:pt idx="19">
                        <c:v>458</c:v>
                      </c:pt>
                      <c:pt idx="20">
                        <c:v>466</c:v>
                      </c:pt>
                      <c:pt idx="21">
                        <c:v>474</c:v>
                      </c:pt>
                      <c:pt idx="22">
                        <c:v>482</c:v>
                      </c:pt>
                      <c:pt idx="23">
                        <c:v>490</c:v>
                      </c:pt>
                      <c:pt idx="24">
                        <c:v>498</c:v>
                      </c:pt>
                      <c:pt idx="25">
                        <c:v>506</c:v>
                      </c:pt>
                      <c:pt idx="26">
                        <c:v>514</c:v>
                      </c:pt>
                      <c:pt idx="27">
                        <c:v>522</c:v>
                      </c:pt>
                      <c:pt idx="28">
                        <c:v>530</c:v>
                      </c:pt>
                      <c:pt idx="29">
                        <c:v>538</c:v>
                      </c:pt>
                      <c:pt idx="30">
                        <c:v>546</c:v>
                      </c:pt>
                      <c:pt idx="31">
                        <c:v>554</c:v>
                      </c:pt>
                      <c:pt idx="32">
                        <c:v>562</c:v>
                      </c:pt>
                      <c:pt idx="33">
                        <c:v>570</c:v>
                      </c:pt>
                      <c:pt idx="34">
                        <c:v>578</c:v>
                      </c:pt>
                      <c:pt idx="35">
                        <c:v>586</c:v>
                      </c:pt>
                      <c:pt idx="36">
                        <c:v>594</c:v>
                      </c:pt>
                      <c:pt idx="37">
                        <c:v>602</c:v>
                      </c:pt>
                      <c:pt idx="38">
                        <c:v>610</c:v>
                      </c:pt>
                      <c:pt idx="39">
                        <c:v>618</c:v>
                      </c:pt>
                      <c:pt idx="40">
                        <c:v>626</c:v>
                      </c:pt>
                      <c:pt idx="41">
                        <c:v>634</c:v>
                      </c:pt>
                      <c:pt idx="42">
                        <c:v>642</c:v>
                      </c:pt>
                      <c:pt idx="43">
                        <c:v>650</c:v>
                      </c:pt>
                      <c:pt idx="44">
                        <c:v>658</c:v>
                      </c:pt>
                      <c:pt idx="45">
                        <c:v>666</c:v>
                      </c:pt>
                      <c:pt idx="46">
                        <c:v>674</c:v>
                      </c:pt>
                      <c:pt idx="47">
                        <c:v>682</c:v>
                      </c:pt>
                      <c:pt idx="48">
                        <c:v>690</c:v>
                      </c:pt>
                      <c:pt idx="49">
                        <c:v>698</c:v>
                      </c:pt>
                      <c:pt idx="50">
                        <c:v>706</c:v>
                      </c:pt>
                      <c:pt idx="51">
                        <c:v>714</c:v>
                      </c:pt>
                      <c:pt idx="52">
                        <c:v>722</c:v>
                      </c:pt>
                      <c:pt idx="53">
                        <c:v>730</c:v>
                      </c:pt>
                      <c:pt idx="54">
                        <c:v>738</c:v>
                      </c:pt>
                      <c:pt idx="55">
                        <c:v>746</c:v>
                      </c:pt>
                      <c:pt idx="56">
                        <c:v>754</c:v>
                      </c:pt>
                      <c:pt idx="57">
                        <c:v>762</c:v>
                      </c:pt>
                      <c:pt idx="58">
                        <c:v>770</c:v>
                      </c:pt>
                      <c:pt idx="59">
                        <c:v>778</c:v>
                      </c:pt>
                      <c:pt idx="60">
                        <c:v>786</c:v>
                      </c:pt>
                      <c:pt idx="61">
                        <c:v>794</c:v>
                      </c:pt>
                      <c:pt idx="62">
                        <c:v>802</c:v>
                      </c:pt>
                      <c:pt idx="63">
                        <c:v>810</c:v>
                      </c:pt>
                      <c:pt idx="64">
                        <c:v>818</c:v>
                      </c:pt>
                      <c:pt idx="65">
                        <c:v>826</c:v>
                      </c:pt>
                      <c:pt idx="66">
                        <c:v>834</c:v>
                      </c:pt>
                      <c:pt idx="67">
                        <c:v>842</c:v>
                      </c:pt>
                      <c:pt idx="68">
                        <c:v>850</c:v>
                      </c:pt>
                      <c:pt idx="69">
                        <c:v>858</c:v>
                      </c:pt>
                      <c:pt idx="70">
                        <c:v>866</c:v>
                      </c:pt>
                      <c:pt idx="71">
                        <c:v>874</c:v>
                      </c:pt>
                      <c:pt idx="72">
                        <c:v>882</c:v>
                      </c:pt>
                      <c:pt idx="73">
                        <c:v>890</c:v>
                      </c:pt>
                      <c:pt idx="74">
                        <c:v>898</c:v>
                      </c:pt>
                      <c:pt idx="75">
                        <c:v>906</c:v>
                      </c:pt>
                      <c:pt idx="76">
                        <c:v>914</c:v>
                      </c:pt>
                      <c:pt idx="77">
                        <c:v>922</c:v>
                      </c:pt>
                      <c:pt idx="78">
                        <c:v>930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EVALUATION!$B$133:$CP$133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-21.943243243243245</c:v>
                      </c:pt>
                      <c:pt idx="1">
                        <c:v>-21.741441441441442</c:v>
                      </c:pt>
                      <c:pt idx="2">
                        <c:v>-21.539639639639642</c:v>
                      </c:pt>
                      <c:pt idx="3">
                        <c:v>-21.337837837837839</c:v>
                      </c:pt>
                      <c:pt idx="4" formatCode="General">
                        <c:v>-21.317514970059882</c:v>
                      </c:pt>
                      <c:pt idx="5" formatCode="General">
                        <c:v>-21.339071856287426</c:v>
                      </c:pt>
                      <c:pt idx="6" formatCode="General">
                        <c:v>-21.360628742514972</c:v>
                      </c:pt>
                      <c:pt idx="7" formatCode="General">
                        <c:v>-21.382185628742516</c:v>
                      </c:pt>
                      <c:pt idx="8" formatCode="General">
                        <c:v>-21.452604790419162</c:v>
                      </c:pt>
                      <c:pt idx="9" formatCode="General">
                        <c:v>-21.550808383233534</c:v>
                      </c:pt>
                      <c:pt idx="10" formatCode="General">
                        <c:v>-21.649011976047905</c:v>
                      </c:pt>
                      <c:pt idx="11" formatCode="General">
                        <c:v>-21.747215568862277</c:v>
                      </c:pt>
                      <c:pt idx="12" formatCode="General">
                        <c:v>-21.843203592814373</c:v>
                      </c:pt>
                      <c:pt idx="13" formatCode="General">
                        <c:v>-21.936616766467068</c:v>
                      </c:pt>
                      <c:pt idx="14" formatCode="General">
                        <c:v>-22.030029940119761</c:v>
                      </c:pt>
                      <c:pt idx="15" formatCode="General">
                        <c:v>-22.123443113772456</c:v>
                      </c:pt>
                      <c:pt idx="16" formatCode="General">
                        <c:v>-22.209970059880241</c:v>
                      </c:pt>
                      <c:pt idx="17" formatCode="General">
                        <c:v>-22.279431137724551</c:v>
                      </c:pt>
                      <c:pt idx="18" formatCode="General">
                        <c:v>-22.348892215568863</c:v>
                      </c:pt>
                      <c:pt idx="19" formatCode="General">
                        <c:v>-22.418353293413173</c:v>
                      </c:pt>
                      <c:pt idx="20" formatCode="General">
                        <c:v>-22.488353293413173</c:v>
                      </c:pt>
                      <c:pt idx="21" formatCode="General">
                        <c:v>-22.562604790419162</c:v>
                      </c:pt>
                      <c:pt idx="22" formatCode="General">
                        <c:v>-22.63685628742515</c:v>
                      </c:pt>
                      <c:pt idx="23" formatCode="General">
                        <c:v>-22.711107784431139</c:v>
                      </c:pt>
                      <c:pt idx="24" formatCode="General">
                        <c:v>-22.785359281437124</c:v>
                      </c:pt>
                      <c:pt idx="25" formatCode="General">
                        <c:v>-22.846306306306307</c:v>
                      </c:pt>
                      <c:pt idx="26" formatCode="General">
                        <c:v>-22.906366366366367</c:v>
                      </c:pt>
                      <c:pt idx="27" formatCode="General">
                        <c:v>-22.966426426426427</c:v>
                      </c:pt>
                      <c:pt idx="28" formatCode="General">
                        <c:v>-23.026486486486487</c:v>
                      </c:pt>
                      <c:pt idx="29" formatCode="General">
                        <c:v>-23.130958083832336</c:v>
                      </c:pt>
                      <c:pt idx="30" formatCode="General">
                        <c:v>-23.248323353293415</c:v>
                      </c:pt>
                      <c:pt idx="31" formatCode="General">
                        <c:v>-23.36568862275449</c:v>
                      </c:pt>
                      <c:pt idx="32" formatCode="General">
                        <c:v>-23.483053892215569</c:v>
                      </c:pt>
                      <c:pt idx="33" formatCode="General">
                        <c:v>-23.60185628742515</c:v>
                      </c:pt>
                      <c:pt idx="34" formatCode="General">
                        <c:v>-23.721616766467065</c:v>
                      </c:pt>
                      <c:pt idx="35" formatCode="General">
                        <c:v>-23.841377245508983</c:v>
                      </c:pt>
                      <c:pt idx="36" formatCode="General">
                        <c:v>-23.961137724550898</c:v>
                      </c:pt>
                      <c:pt idx="37" formatCode="General">
                        <c:v>-24.078862275449104</c:v>
                      </c:pt>
                      <c:pt idx="38" formatCode="General">
                        <c:v>-24.193832335329343</c:v>
                      </c:pt>
                      <c:pt idx="39" formatCode="General">
                        <c:v>-24.308802395209582</c:v>
                      </c:pt>
                      <c:pt idx="40" formatCode="General">
                        <c:v>-24.423772455089821</c:v>
                      </c:pt>
                      <c:pt idx="41" formatCode="General">
                        <c:v>-24.53874251497006</c:v>
                      </c:pt>
                      <c:pt idx="42" formatCode="General">
                        <c:v>-24.653712574850299</c:v>
                      </c:pt>
                      <c:pt idx="43" formatCode="General">
                        <c:v>-24.768682634730538</c:v>
                      </c:pt>
                      <c:pt idx="44" formatCode="General">
                        <c:v>-24.883652694610777</c:v>
                      </c:pt>
                      <c:pt idx="45" formatCode="General">
                        <c:v>-24.998622754491016</c:v>
                      </c:pt>
                      <c:pt idx="46" formatCode="General">
                        <c:v>-25.113592814371255</c:v>
                      </c:pt>
                      <c:pt idx="47" formatCode="General">
                        <c:v>-25.228562874251494</c:v>
                      </c:pt>
                      <c:pt idx="48" formatCode="General">
                        <c:v>-25.343532934131737</c:v>
                      </c:pt>
                      <c:pt idx="49" formatCode="General">
                        <c:v>-25.458502994011976</c:v>
                      </c:pt>
                      <c:pt idx="50" formatCode="General">
                        <c:v>-25.567617977528091</c:v>
                      </c:pt>
                      <c:pt idx="51" formatCode="General">
                        <c:v>-25.676082397003746</c:v>
                      </c:pt>
                      <c:pt idx="52" formatCode="General">
                        <c:v>-25.784546816479402</c:v>
                      </c:pt>
                      <c:pt idx="53" formatCode="General">
                        <c:v>-25.893011235955058</c:v>
                      </c:pt>
                      <c:pt idx="54" formatCode="General">
                        <c:v>-26.001475655430713</c:v>
                      </c:pt>
                      <c:pt idx="55" formatCode="General">
                        <c:v>-26.109940074906369</c:v>
                      </c:pt>
                      <c:pt idx="56" formatCode="General">
                        <c:v>-26.218404494382021</c:v>
                      </c:pt>
                      <c:pt idx="57" formatCode="General">
                        <c:v>-26.326868913857677</c:v>
                      </c:pt>
                      <c:pt idx="58" formatCode="General">
                        <c:v>-26.435333333333332</c:v>
                      </c:pt>
                      <c:pt idx="59" formatCode="General">
                        <c:v>-26.543797752808988</c:v>
                      </c:pt>
                      <c:pt idx="60" formatCode="General">
                        <c:v>-26.652262172284644</c:v>
                      </c:pt>
                      <c:pt idx="61" formatCode="General">
                        <c:v>-26.760726591760299</c:v>
                      </c:pt>
                      <c:pt idx="62" formatCode="General">
                        <c:v>-26.869191011235955</c:v>
                      </c:pt>
                      <c:pt idx="63" formatCode="General">
                        <c:v>-26.977655430711611</c:v>
                      </c:pt>
                      <c:pt idx="64" formatCode="General">
                        <c:v>-27.086119850187266</c:v>
                      </c:pt>
                      <c:pt idx="65" formatCode="General">
                        <c:v>-27.194584269662922</c:v>
                      </c:pt>
                      <c:pt idx="66" formatCode="General">
                        <c:v>-27.301902621722849</c:v>
                      </c:pt>
                      <c:pt idx="67" formatCode="General">
                        <c:v>-27.404973782771538</c:v>
                      </c:pt>
                      <c:pt idx="68" formatCode="General">
                        <c:v>-27.508044943820227</c:v>
                      </c:pt>
                      <c:pt idx="69" formatCode="General">
                        <c:v>-27.611116104868916</c:v>
                      </c:pt>
                      <c:pt idx="70" formatCode="General">
                        <c:v>-27.714187265917605</c:v>
                      </c:pt>
                      <c:pt idx="71" formatCode="General">
                        <c:v>-27.817258426966294</c:v>
                      </c:pt>
                      <c:pt idx="72" formatCode="General">
                        <c:v>-27.920329588014983</c:v>
                      </c:pt>
                      <c:pt idx="73" formatCode="General">
                        <c:v>-28.023400749063672</c:v>
                      </c:pt>
                      <c:pt idx="74" formatCode="General">
                        <c:v>-28.126471910112361</c:v>
                      </c:pt>
                      <c:pt idx="75" formatCode="General">
                        <c:v>-28.22954307116105</c:v>
                      </c:pt>
                      <c:pt idx="76" formatCode="General">
                        <c:v>-28.332614232209739</c:v>
                      </c:pt>
                      <c:pt idx="77" formatCode="General">
                        <c:v>-28.435685393258428</c:v>
                      </c:pt>
                      <c:pt idx="78" formatCode="General">
                        <c:v>-28.538756554307117</c:v>
                      </c:pt>
                      <c:pt idx="79" formatCode="General">
                        <c:v>-28.641827715355806</c:v>
                      </c:pt>
                      <c:pt idx="80" formatCode="General">
                        <c:v>-28.744898876404495</c:v>
                      </c:pt>
                      <c:pt idx="81" formatCode="General">
                        <c:v>-28.847970037453184</c:v>
                      </c:pt>
                      <c:pt idx="82" formatCode="General">
                        <c:v>-28.951041198501873</c:v>
                      </c:pt>
                      <c:pt idx="83" formatCode="General">
                        <c:v>-29.051396396396395</c:v>
                      </c:pt>
                      <c:pt idx="84" formatCode="General">
                        <c:v>-29.149294294294293</c:v>
                      </c:pt>
                      <c:pt idx="85" formatCode="General">
                        <c:v>-29.247192192192191</c:v>
                      </c:pt>
                      <c:pt idx="86" formatCode="General">
                        <c:v>-29.345090090090089</c:v>
                      </c:pt>
                      <c:pt idx="87" formatCode="General">
                        <c:v>-8.1209504950495059</c:v>
                      </c:pt>
                      <c:pt idx="88" formatCode="General">
                        <c:v>-8.1466930693069308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6-022F-4A2F-976F-7C3C2CD148C5}"/>
                  </c:ext>
                </c:extLst>
              </c15:ser>
            </c15:filteredScatterSeries>
            <c15:filteredScatterSeries>
              <c15:ser>
                <c:idx val="31"/>
                <c:order val="33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306</c:v>
                      </c:pt>
                      <c:pt idx="1">
                        <c:v>314</c:v>
                      </c:pt>
                      <c:pt idx="2">
                        <c:v>322</c:v>
                      </c:pt>
                      <c:pt idx="3">
                        <c:v>330</c:v>
                      </c:pt>
                      <c:pt idx="4">
                        <c:v>338</c:v>
                      </c:pt>
                      <c:pt idx="5">
                        <c:v>346</c:v>
                      </c:pt>
                      <c:pt idx="6">
                        <c:v>354</c:v>
                      </c:pt>
                      <c:pt idx="7">
                        <c:v>362</c:v>
                      </c:pt>
                      <c:pt idx="8">
                        <c:v>370</c:v>
                      </c:pt>
                      <c:pt idx="9">
                        <c:v>378</c:v>
                      </c:pt>
                      <c:pt idx="10">
                        <c:v>386</c:v>
                      </c:pt>
                      <c:pt idx="11">
                        <c:v>394</c:v>
                      </c:pt>
                      <c:pt idx="12">
                        <c:v>402</c:v>
                      </c:pt>
                      <c:pt idx="13">
                        <c:v>410</c:v>
                      </c:pt>
                      <c:pt idx="14">
                        <c:v>418</c:v>
                      </c:pt>
                      <c:pt idx="15">
                        <c:v>426</c:v>
                      </c:pt>
                      <c:pt idx="16">
                        <c:v>434</c:v>
                      </c:pt>
                      <c:pt idx="17">
                        <c:v>442</c:v>
                      </c:pt>
                      <c:pt idx="18">
                        <c:v>450</c:v>
                      </c:pt>
                      <c:pt idx="19">
                        <c:v>458</c:v>
                      </c:pt>
                      <c:pt idx="20">
                        <c:v>466</c:v>
                      </c:pt>
                      <c:pt idx="21">
                        <c:v>474</c:v>
                      </c:pt>
                      <c:pt idx="22">
                        <c:v>482</c:v>
                      </c:pt>
                      <c:pt idx="23">
                        <c:v>490</c:v>
                      </c:pt>
                      <c:pt idx="24">
                        <c:v>498</c:v>
                      </c:pt>
                      <c:pt idx="25">
                        <c:v>506</c:v>
                      </c:pt>
                      <c:pt idx="26">
                        <c:v>514</c:v>
                      </c:pt>
                      <c:pt idx="27">
                        <c:v>522</c:v>
                      </c:pt>
                      <c:pt idx="28">
                        <c:v>530</c:v>
                      </c:pt>
                      <c:pt idx="29">
                        <c:v>538</c:v>
                      </c:pt>
                      <c:pt idx="30">
                        <c:v>546</c:v>
                      </c:pt>
                      <c:pt idx="31">
                        <c:v>554</c:v>
                      </c:pt>
                      <c:pt idx="32">
                        <c:v>562</c:v>
                      </c:pt>
                      <c:pt idx="33">
                        <c:v>570</c:v>
                      </c:pt>
                      <c:pt idx="34">
                        <c:v>578</c:v>
                      </c:pt>
                      <c:pt idx="35">
                        <c:v>586</c:v>
                      </c:pt>
                      <c:pt idx="36">
                        <c:v>594</c:v>
                      </c:pt>
                      <c:pt idx="37">
                        <c:v>602</c:v>
                      </c:pt>
                      <c:pt idx="38">
                        <c:v>610</c:v>
                      </c:pt>
                      <c:pt idx="39">
                        <c:v>618</c:v>
                      </c:pt>
                      <c:pt idx="40">
                        <c:v>626</c:v>
                      </c:pt>
                      <c:pt idx="41">
                        <c:v>634</c:v>
                      </c:pt>
                      <c:pt idx="42">
                        <c:v>642</c:v>
                      </c:pt>
                      <c:pt idx="43">
                        <c:v>650</c:v>
                      </c:pt>
                      <c:pt idx="44">
                        <c:v>658</c:v>
                      </c:pt>
                      <c:pt idx="45">
                        <c:v>666</c:v>
                      </c:pt>
                      <c:pt idx="46">
                        <c:v>674</c:v>
                      </c:pt>
                      <c:pt idx="47">
                        <c:v>682</c:v>
                      </c:pt>
                      <c:pt idx="48">
                        <c:v>690</c:v>
                      </c:pt>
                      <c:pt idx="49">
                        <c:v>698</c:v>
                      </c:pt>
                      <c:pt idx="50">
                        <c:v>706</c:v>
                      </c:pt>
                      <c:pt idx="51">
                        <c:v>714</c:v>
                      </c:pt>
                      <c:pt idx="52">
                        <c:v>722</c:v>
                      </c:pt>
                      <c:pt idx="53">
                        <c:v>730</c:v>
                      </c:pt>
                      <c:pt idx="54">
                        <c:v>738</c:v>
                      </c:pt>
                      <c:pt idx="55">
                        <c:v>746</c:v>
                      </c:pt>
                      <c:pt idx="56">
                        <c:v>754</c:v>
                      </c:pt>
                      <c:pt idx="57">
                        <c:v>762</c:v>
                      </c:pt>
                      <c:pt idx="58">
                        <c:v>770</c:v>
                      </c:pt>
                      <c:pt idx="59">
                        <c:v>778</c:v>
                      </c:pt>
                      <c:pt idx="60">
                        <c:v>786</c:v>
                      </c:pt>
                      <c:pt idx="61">
                        <c:v>794</c:v>
                      </c:pt>
                      <c:pt idx="62">
                        <c:v>802</c:v>
                      </c:pt>
                      <c:pt idx="63">
                        <c:v>810</c:v>
                      </c:pt>
                      <c:pt idx="64">
                        <c:v>818</c:v>
                      </c:pt>
                      <c:pt idx="65">
                        <c:v>826</c:v>
                      </c:pt>
                      <c:pt idx="66">
                        <c:v>834</c:v>
                      </c:pt>
                      <c:pt idx="67">
                        <c:v>842</c:v>
                      </c:pt>
                      <c:pt idx="68">
                        <c:v>850</c:v>
                      </c:pt>
                      <c:pt idx="69">
                        <c:v>858</c:v>
                      </c:pt>
                      <c:pt idx="70">
                        <c:v>866</c:v>
                      </c:pt>
                      <c:pt idx="71">
                        <c:v>874</c:v>
                      </c:pt>
                      <c:pt idx="72">
                        <c:v>882</c:v>
                      </c:pt>
                      <c:pt idx="73">
                        <c:v>890</c:v>
                      </c:pt>
                      <c:pt idx="74">
                        <c:v>898</c:v>
                      </c:pt>
                      <c:pt idx="75">
                        <c:v>906</c:v>
                      </c:pt>
                      <c:pt idx="76">
                        <c:v>914</c:v>
                      </c:pt>
                      <c:pt idx="77">
                        <c:v>922</c:v>
                      </c:pt>
                      <c:pt idx="78">
                        <c:v>930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EVALUATION!$B$134:$CP$134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-184.14450450450451</c:v>
                      </c:pt>
                      <c:pt idx="1">
                        <c:v>-180.19015015015015</c:v>
                      </c:pt>
                      <c:pt idx="2">
                        <c:v>-176.23579579579581</c:v>
                      </c:pt>
                      <c:pt idx="3">
                        <c:v>-172.28144144144147</c:v>
                      </c:pt>
                      <c:pt idx="4" formatCode="General">
                        <c:v>-168.94194610778445</c:v>
                      </c:pt>
                      <c:pt idx="5" formatCode="General">
                        <c:v>-165.74434131736527</c:v>
                      </c:pt>
                      <c:pt idx="6" formatCode="General">
                        <c:v>-162.54673652694612</c:v>
                      </c:pt>
                      <c:pt idx="7" formatCode="General">
                        <c:v>-159.34913173652694</c:v>
                      </c:pt>
                      <c:pt idx="8" formatCode="General">
                        <c:v>-156.51188622754489</c:v>
                      </c:pt>
                      <c:pt idx="9" formatCode="General">
                        <c:v>-153.87955089820358</c:v>
                      </c:pt>
                      <c:pt idx="10" formatCode="General">
                        <c:v>-151.24721556886226</c:v>
                      </c:pt>
                      <c:pt idx="11" formatCode="General">
                        <c:v>-148.61488023952094</c:v>
                      </c:pt>
                      <c:pt idx="12" formatCode="General">
                        <c:v>-146.17973053892214</c:v>
                      </c:pt>
                      <c:pt idx="13" formatCode="General">
                        <c:v>-143.97374251497007</c:v>
                      </c:pt>
                      <c:pt idx="14" formatCode="General">
                        <c:v>-141.76775449101797</c:v>
                      </c:pt>
                      <c:pt idx="15" formatCode="General">
                        <c:v>-139.56176646706587</c:v>
                      </c:pt>
                      <c:pt idx="16" formatCode="General">
                        <c:v>-137.45494011976049</c:v>
                      </c:pt>
                      <c:pt idx="17" formatCode="General">
                        <c:v>-135.59386227544911</c:v>
                      </c:pt>
                      <c:pt idx="18" formatCode="General">
                        <c:v>-133.73278443113773</c:v>
                      </c:pt>
                      <c:pt idx="19" formatCode="General">
                        <c:v>-131.87170658682635</c:v>
                      </c:pt>
                      <c:pt idx="20" formatCode="General">
                        <c:v>-130.04404191616766</c:v>
                      </c:pt>
                      <c:pt idx="21" formatCode="General">
                        <c:v>-128.47997005988023</c:v>
                      </c:pt>
                      <c:pt idx="22" formatCode="General">
                        <c:v>-126.91589820359282</c:v>
                      </c:pt>
                      <c:pt idx="23" formatCode="General">
                        <c:v>-125.35182634730539</c:v>
                      </c:pt>
                      <c:pt idx="24" formatCode="General">
                        <c:v>-123.78775449101796</c:v>
                      </c:pt>
                      <c:pt idx="25" formatCode="General">
                        <c:v>-123.46702702702703</c:v>
                      </c:pt>
                      <c:pt idx="26" formatCode="General">
                        <c:v>-123.22918918918919</c:v>
                      </c:pt>
                      <c:pt idx="27" formatCode="General">
                        <c:v>-122.99135135135135</c:v>
                      </c:pt>
                      <c:pt idx="28" formatCode="General">
                        <c:v>-122.75351351351351</c:v>
                      </c:pt>
                      <c:pt idx="29" formatCode="General">
                        <c:v>-123.46293413173653</c:v>
                      </c:pt>
                      <c:pt idx="30" formatCode="General">
                        <c:v>-124.44736526946109</c:v>
                      </c:pt>
                      <c:pt idx="31" formatCode="General">
                        <c:v>-125.43179640718563</c:v>
                      </c:pt>
                      <c:pt idx="32" formatCode="General">
                        <c:v>-126.41622754491017</c:v>
                      </c:pt>
                      <c:pt idx="33" formatCode="General">
                        <c:v>-127.39922155688622</c:v>
                      </c:pt>
                      <c:pt idx="34" formatCode="General">
                        <c:v>-128.38125748502995</c:v>
                      </c:pt>
                      <c:pt idx="35" formatCode="General">
                        <c:v>-129.36329341317364</c:v>
                      </c:pt>
                      <c:pt idx="36" formatCode="General">
                        <c:v>-130.34532934131735</c:v>
                      </c:pt>
                      <c:pt idx="37" formatCode="General">
                        <c:v>-131.31718562874252</c:v>
                      </c:pt>
                      <c:pt idx="38" formatCode="General">
                        <c:v>-132.27526946107784</c:v>
                      </c:pt>
                      <c:pt idx="39" formatCode="General">
                        <c:v>-133.23335329341316</c:v>
                      </c:pt>
                      <c:pt idx="40" formatCode="General">
                        <c:v>-134.19143712574851</c:v>
                      </c:pt>
                      <c:pt idx="41" formatCode="General">
                        <c:v>-135.14592814371258</c:v>
                      </c:pt>
                      <c:pt idx="42" formatCode="General">
                        <c:v>-136.08964071856286</c:v>
                      </c:pt>
                      <c:pt idx="43" formatCode="General">
                        <c:v>-137.03335329341317</c:v>
                      </c:pt>
                      <c:pt idx="44" formatCode="General">
                        <c:v>-137.97706586826348</c:v>
                      </c:pt>
                      <c:pt idx="45" formatCode="General">
                        <c:v>-138.91970059880239</c:v>
                      </c:pt>
                      <c:pt idx="46" formatCode="General">
                        <c:v>-139.84904191616766</c:v>
                      </c:pt>
                      <c:pt idx="47" formatCode="General">
                        <c:v>-140.77838323353294</c:v>
                      </c:pt>
                      <c:pt idx="48" formatCode="General">
                        <c:v>-141.70772455089821</c:v>
                      </c:pt>
                      <c:pt idx="49" formatCode="General">
                        <c:v>-142.63706586826348</c:v>
                      </c:pt>
                      <c:pt idx="50" formatCode="General">
                        <c:v>-143.50932584269663</c:v>
                      </c:pt>
                      <c:pt idx="51" formatCode="General">
                        <c:v>-144.37524344569289</c:v>
                      </c:pt>
                      <c:pt idx="52" formatCode="General">
                        <c:v>-145.24116104868915</c:v>
                      </c:pt>
                      <c:pt idx="53" formatCode="General">
                        <c:v>-146.10707865168538</c:v>
                      </c:pt>
                      <c:pt idx="54" formatCode="General">
                        <c:v>-146.97299625468165</c:v>
                      </c:pt>
                      <c:pt idx="55" formatCode="General">
                        <c:v>-147.83891385767791</c:v>
                      </c:pt>
                      <c:pt idx="56" formatCode="General">
                        <c:v>-148.70483146067417</c:v>
                      </c:pt>
                      <c:pt idx="57" formatCode="General">
                        <c:v>-149.57074906367041</c:v>
                      </c:pt>
                      <c:pt idx="58" formatCode="General">
                        <c:v>-150.43666666666667</c:v>
                      </c:pt>
                      <c:pt idx="59" formatCode="General">
                        <c:v>-151.30258426966293</c:v>
                      </c:pt>
                      <c:pt idx="60" formatCode="General">
                        <c:v>-152.16850187265919</c:v>
                      </c:pt>
                      <c:pt idx="61" formatCode="General">
                        <c:v>-153.03441947565543</c:v>
                      </c:pt>
                      <c:pt idx="62" formatCode="General">
                        <c:v>-153.90033707865169</c:v>
                      </c:pt>
                      <c:pt idx="63" formatCode="General">
                        <c:v>-154.76625468164795</c:v>
                      </c:pt>
                      <c:pt idx="64" formatCode="General">
                        <c:v>-155.63217228464421</c:v>
                      </c:pt>
                      <c:pt idx="65" formatCode="General">
                        <c:v>-156.49808988764045</c:v>
                      </c:pt>
                      <c:pt idx="66" formatCode="General">
                        <c:v>-157.34146816479401</c:v>
                      </c:pt>
                      <c:pt idx="67" formatCode="General">
                        <c:v>-158.10131835205993</c:v>
                      </c:pt>
                      <c:pt idx="68" formatCode="General">
                        <c:v>-158.86116853932586</c:v>
                      </c:pt>
                      <c:pt idx="69" formatCode="General">
                        <c:v>-159.62101872659179</c:v>
                      </c:pt>
                      <c:pt idx="70" formatCode="General">
                        <c:v>-160.38086891385768</c:v>
                      </c:pt>
                      <c:pt idx="71" formatCode="General">
                        <c:v>-161.14071910112361</c:v>
                      </c:pt>
                      <c:pt idx="72" formatCode="General">
                        <c:v>-161.90056928838953</c:v>
                      </c:pt>
                      <c:pt idx="73" formatCode="General">
                        <c:v>-162.66041947565543</c:v>
                      </c:pt>
                      <c:pt idx="74" formatCode="General">
                        <c:v>-163.42026966292136</c:v>
                      </c:pt>
                      <c:pt idx="75" formatCode="General">
                        <c:v>-164.18011985018728</c:v>
                      </c:pt>
                      <c:pt idx="76" formatCode="General">
                        <c:v>-164.93997003745321</c:v>
                      </c:pt>
                      <c:pt idx="77" formatCode="General">
                        <c:v>-165.6998202247191</c:v>
                      </c:pt>
                      <c:pt idx="78" formatCode="General">
                        <c:v>-166.45967041198503</c:v>
                      </c:pt>
                      <c:pt idx="79" formatCode="General">
                        <c:v>-167.21952059925096</c:v>
                      </c:pt>
                      <c:pt idx="80" formatCode="General">
                        <c:v>-167.97937078651688</c:v>
                      </c:pt>
                      <c:pt idx="81" formatCode="General">
                        <c:v>-168.73922097378278</c:v>
                      </c:pt>
                      <c:pt idx="82" formatCode="General">
                        <c:v>-169.4990711610487</c:v>
                      </c:pt>
                      <c:pt idx="83" formatCode="General">
                        <c:v>-170.1970720720721</c:v>
                      </c:pt>
                      <c:pt idx="84" formatCode="General">
                        <c:v>-170.83911411411412</c:v>
                      </c:pt>
                      <c:pt idx="85" formatCode="General">
                        <c:v>-171.48115615615617</c:v>
                      </c:pt>
                      <c:pt idx="86" formatCode="General">
                        <c:v>-172.12319819819822</c:v>
                      </c:pt>
                      <c:pt idx="87" formatCode="General">
                        <c:v>-28.733663366336632</c:v>
                      </c:pt>
                      <c:pt idx="88" formatCode="General">
                        <c:v>-28.828712871287127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7-022F-4A2F-976F-7C3C2CD148C5}"/>
                  </c:ext>
                </c:extLst>
              </c15:ser>
            </c15:filteredScatterSeries>
            <c15:filteredScatterSeries>
              <c15:ser>
                <c:idx val="32"/>
                <c:order val="34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306</c:v>
                      </c:pt>
                      <c:pt idx="1">
                        <c:v>314</c:v>
                      </c:pt>
                      <c:pt idx="2">
                        <c:v>322</c:v>
                      </c:pt>
                      <c:pt idx="3">
                        <c:v>330</c:v>
                      </c:pt>
                      <c:pt idx="4">
                        <c:v>338</c:v>
                      </c:pt>
                      <c:pt idx="5">
                        <c:v>346</c:v>
                      </c:pt>
                      <c:pt idx="6">
                        <c:v>354</c:v>
                      </c:pt>
                      <c:pt idx="7">
                        <c:v>362</c:v>
                      </c:pt>
                      <c:pt idx="8">
                        <c:v>370</c:v>
                      </c:pt>
                      <c:pt idx="9">
                        <c:v>378</c:v>
                      </c:pt>
                      <c:pt idx="10">
                        <c:v>386</c:v>
                      </c:pt>
                      <c:pt idx="11">
                        <c:v>394</c:v>
                      </c:pt>
                      <c:pt idx="12">
                        <c:v>402</c:v>
                      </c:pt>
                      <c:pt idx="13">
                        <c:v>410</c:v>
                      </c:pt>
                      <c:pt idx="14">
                        <c:v>418</c:v>
                      </c:pt>
                      <c:pt idx="15">
                        <c:v>426</c:v>
                      </c:pt>
                      <c:pt idx="16">
                        <c:v>434</c:v>
                      </c:pt>
                      <c:pt idx="17">
                        <c:v>442</c:v>
                      </c:pt>
                      <c:pt idx="18">
                        <c:v>450</c:v>
                      </c:pt>
                      <c:pt idx="19">
                        <c:v>458</c:v>
                      </c:pt>
                      <c:pt idx="20">
                        <c:v>466</c:v>
                      </c:pt>
                      <c:pt idx="21">
                        <c:v>474</c:v>
                      </c:pt>
                      <c:pt idx="22">
                        <c:v>482</c:v>
                      </c:pt>
                      <c:pt idx="23">
                        <c:v>490</c:v>
                      </c:pt>
                      <c:pt idx="24">
                        <c:v>498</c:v>
                      </c:pt>
                      <c:pt idx="25">
                        <c:v>506</c:v>
                      </c:pt>
                      <c:pt idx="26">
                        <c:v>514</c:v>
                      </c:pt>
                      <c:pt idx="27">
                        <c:v>522</c:v>
                      </c:pt>
                      <c:pt idx="28">
                        <c:v>530</c:v>
                      </c:pt>
                      <c:pt idx="29">
                        <c:v>538</c:v>
                      </c:pt>
                      <c:pt idx="30">
                        <c:v>546</c:v>
                      </c:pt>
                      <c:pt idx="31">
                        <c:v>554</c:v>
                      </c:pt>
                      <c:pt idx="32">
                        <c:v>562</c:v>
                      </c:pt>
                      <c:pt idx="33">
                        <c:v>570</c:v>
                      </c:pt>
                      <c:pt idx="34">
                        <c:v>578</c:v>
                      </c:pt>
                      <c:pt idx="35">
                        <c:v>586</c:v>
                      </c:pt>
                      <c:pt idx="36">
                        <c:v>594</c:v>
                      </c:pt>
                      <c:pt idx="37">
                        <c:v>602</c:v>
                      </c:pt>
                      <c:pt idx="38">
                        <c:v>610</c:v>
                      </c:pt>
                      <c:pt idx="39">
                        <c:v>618</c:v>
                      </c:pt>
                      <c:pt idx="40">
                        <c:v>626</c:v>
                      </c:pt>
                      <c:pt idx="41">
                        <c:v>634</c:v>
                      </c:pt>
                      <c:pt idx="42">
                        <c:v>642</c:v>
                      </c:pt>
                      <c:pt idx="43">
                        <c:v>650</c:v>
                      </c:pt>
                      <c:pt idx="44">
                        <c:v>658</c:v>
                      </c:pt>
                      <c:pt idx="45">
                        <c:v>666</c:v>
                      </c:pt>
                      <c:pt idx="46">
                        <c:v>674</c:v>
                      </c:pt>
                      <c:pt idx="47">
                        <c:v>682</c:v>
                      </c:pt>
                      <c:pt idx="48">
                        <c:v>690</c:v>
                      </c:pt>
                      <c:pt idx="49">
                        <c:v>698</c:v>
                      </c:pt>
                      <c:pt idx="50">
                        <c:v>706</c:v>
                      </c:pt>
                      <c:pt idx="51">
                        <c:v>714</c:v>
                      </c:pt>
                      <c:pt idx="52">
                        <c:v>722</c:v>
                      </c:pt>
                      <c:pt idx="53">
                        <c:v>730</c:v>
                      </c:pt>
                      <c:pt idx="54">
                        <c:v>738</c:v>
                      </c:pt>
                      <c:pt idx="55">
                        <c:v>746</c:v>
                      </c:pt>
                      <c:pt idx="56">
                        <c:v>754</c:v>
                      </c:pt>
                      <c:pt idx="57">
                        <c:v>762</c:v>
                      </c:pt>
                      <c:pt idx="58">
                        <c:v>770</c:v>
                      </c:pt>
                      <c:pt idx="59">
                        <c:v>778</c:v>
                      </c:pt>
                      <c:pt idx="60">
                        <c:v>786</c:v>
                      </c:pt>
                      <c:pt idx="61">
                        <c:v>794</c:v>
                      </c:pt>
                      <c:pt idx="62">
                        <c:v>802</c:v>
                      </c:pt>
                      <c:pt idx="63">
                        <c:v>810</c:v>
                      </c:pt>
                      <c:pt idx="64">
                        <c:v>818</c:v>
                      </c:pt>
                      <c:pt idx="65">
                        <c:v>826</c:v>
                      </c:pt>
                      <c:pt idx="66">
                        <c:v>834</c:v>
                      </c:pt>
                      <c:pt idx="67">
                        <c:v>842</c:v>
                      </c:pt>
                      <c:pt idx="68">
                        <c:v>850</c:v>
                      </c:pt>
                      <c:pt idx="69">
                        <c:v>858</c:v>
                      </c:pt>
                      <c:pt idx="70">
                        <c:v>866</c:v>
                      </c:pt>
                      <c:pt idx="71">
                        <c:v>874</c:v>
                      </c:pt>
                      <c:pt idx="72">
                        <c:v>882</c:v>
                      </c:pt>
                      <c:pt idx="73">
                        <c:v>890</c:v>
                      </c:pt>
                      <c:pt idx="74">
                        <c:v>898</c:v>
                      </c:pt>
                      <c:pt idx="75">
                        <c:v>906</c:v>
                      </c:pt>
                      <c:pt idx="76">
                        <c:v>914</c:v>
                      </c:pt>
                      <c:pt idx="77">
                        <c:v>922</c:v>
                      </c:pt>
                      <c:pt idx="78">
                        <c:v>930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EVALUATION!$B$135:$CP$135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-15.512792792792792</c:v>
                      </c:pt>
                      <c:pt idx="1">
                        <c:v>-15.013093093093092</c:v>
                      </c:pt>
                      <c:pt idx="2">
                        <c:v>-14.513393393393393</c:v>
                      </c:pt>
                      <c:pt idx="3">
                        <c:v>-14.013693693693693</c:v>
                      </c:pt>
                      <c:pt idx="4" formatCode="General">
                        <c:v>-13.456826347305389</c:v>
                      </c:pt>
                      <c:pt idx="5" formatCode="General">
                        <c:v>-12.886766467065867</c:v>
                      </c:pt>
                      <c:pt idx="6" formatCode="General">
                        <c:v>-12.316706586826346</c:v>
                      </c:pt>
                      <c:pt idx="7" formatCode="General">
                        <c:v>-11.746646706586823</c:v>
                      </c:pt>
                      <c:pt idx="8" formatCode="General">
                        <c:v>-11.204988023952094</c:v>
                      </c:pt>
                      <c:pt idx="9" formatCode="General">
                        <c:v>-10.679479041916167</c:v>
                      </c:pt>
                      <c:pt idx="10" formatCode="General">
                        <c:v>-10.153970059880239</c:v>
                      </c:pt>
                      <c:pt idx="11" formatCode="General">
                        <c:v>-9.628461077844312</c:v>
                      </c:pt>
                      <c:pt idx="12" formatCode="General">
                        <c:v>-9.1539101796407198</c:v>
                      </c:pt>
                      <c:pt idx="13" formatCode="General">
                        <c:v>-8.7385808383233528</c:v>
                      </c:pt>
                      <c:pt idx="14" formatCode="General">
                        <c:v>-8.3232514970059874</c:v>
                      </c:pt>
                      <c:pt idx="15" formatCode="General">
                        <c:v>-7.9079221556886221</c:v>
                      </c:pt>
                      <c:pt idx="16" formatCode="General">
                        <c:v>-7.5390748502994009</c:v>
                      </c:pt>
                      <c:pt idx="17" formatCode="General">
                        <c:v>-7.2854221556886225</c:v>
                      </c:pt>
                      <c:pt idx="18" formatCode="General">
                        <c:v>-7.031769461077845</c:v>
                      </c:pt>
                      <c:pt idx="19" formatCode="General">
                        <c:v>-6.7781167664670665</c:v>
                      </c:pt>
                      <c:pt idx="20" formatCode="General">
                        <c:v>-6.5428413173652693</c:v>
                      </c:pt>
                      <c:pt idx="21" formatCode="General">
                        <c:v>-6.4525419161676645</c:v>
                      </c:pt>
                      <c:pt idx="22" formatCode="General">
                        <c:v>-6.3622425149700597</c:v>
                      </c:pt>
                      <c:pt idx="23" formatCode="General">
                        <c:v>-6.2719431137724548</c:v>
                      </c:pt>
                      <c:pt idx="24" formatCode="General">
                        <c:v>-6.18164371257485</c:v>
                      </c:pt>
                      <c:pt idx="25" formatCode="General">
                        <c:v>-6.3239729729729737</c:v>
                      </c:pt>
                      <c:pt idx="26" formatCode="General">
                        <c:v>-6.4818108108108117</c:v>
                      </c:pt>
                      <c:pt idx="27" formatCode="General">
                        <c:v>-6.6396486486486497</c:v>
                      </c:pt>
                      <c:pt idx="28" formatCode="General">
                        <c:v>-6.7974864864864877</c:v>
                      </c:pt>
                      <c:pt idx="29" formatCode="General">
                        <c:v>-6.8348562874251497</c:v>
                      </c:pt>
                      <c:pt idx="30" formatCode="General">
                        <c:v>-6.8372514970059886</c:v>
                      </c:pt>
                      <c:pt idx="31" formatCode="General">
                        <c:v>-6.8396467065868265</c:v>
                      </c:pt>
                      <c:pt idx="32" formatCode="General">
                        <c:v>-6.8420419161676644</c:v>
                      </c:pt>
                      <c:pt idx="33" formatCode="General">
                        <c:v>-6.8517664670658682</c:v>
                      </c:pt>
                      <c:pt idx="34" formatCode="General">
                        <c:v>-6.866377245508982</c:v>
                      </c:pt>
                      <c:pt idx="35" formatCode="General">
                        <c:v>-6.8809880239520957</c:v>
                      </c:pt>
                      <c:pt idx="36" formatCode="General">
                        <c:v>-6.8955988023952095</c:v>
                      </c:pt>
                      <c:pt idx="37" formatCode="General">
                        <c:v>-6.911838323353293</c:v>
                      </c:pt>
                      <c:pt idx="38" formatCode="General">
                        <c:v>-6.930281437125748</c:v>
                      </c:pt>
                      <c:pt idx="39" formatCode="General">
                        <c:v>-6.9487245508982038</c:v>
                      </c:pt>
                      <c:pt idx="40" formatCode="General">
                        <c:v>-6.9671676646706588</c:v>
                      </c:pt>
                      <c:pt idx="41" formatCode="General">
                        <c:v>-6.9858502994011973</c:v>
                      </c:pt>
                      <c:pt idx="42" formatCode="General">
                        <c:v>-7.0052514970059878</c:v>
                      </c:pt>
                      <c:pt idx="43" formatCode="General">
                        <c:v>-7.0246526946107783</c:v>
                      </c:pt>
                      <c:pt idx="44" formatCode="General">
                        <c:v>-7.0440538922155689</c:v>
                      </c:pt>
                      <c:pt idx="45" formatCode="General">
                        <c:v>-7.0634550898203594</c:v>
                      </c:pt>
                      <c:pt idx="46" formatCode="General">
                        <c:v>-7.0828562874251499</c:v>
                      </c:pt>
                      <c:pt idx="47" formatCode="General">
                        <c:v>-7.1022574850299405</c:v>
                      </c:pt>
                      <c:pt idx="48" formatCode="General">
                        <c:v>-7.1216586826347301</c:v>
                      </c:pt>
                      <c:pt idx="49" formatCode="General">
                        <c:v>-7.1410598802395207</c:v>
                      </c:pt>
                      <c:pt idx="50" formatCode="General">
                        <c:v>-7.1602584269662923</c:v>
                      </c:pt>
                      <c:pt idx="51" formatCode="General">
                        <c:v>-7.1794344569288393</c:v>
                      </c:pt>
                      <c:pt idx="52" formatCode="General">
                        <c:v>-7.1986104868913854</c:v>
                      </c:pt>
                      <c:pt idx="53" formatCode="General">
                        <c:v>-7.2177865168539324</c:v>
                      </c:pt>
                      <c:pt idx="54" formatCode="General">
                        <c:v>-7.2369625468164793</c:v>
                      </c:pt>
                      <c:pt idx="55" formatCode="General">
                        <c:v>-7.2561385767790263</c:v>
                      </c:pt>
                      <c:pt idx="56" formatCode="General">
                        <c:v>-7.2753146067415733</c:v>
                      </c:pt>
                      <c:pt idx="57" formatCode="General">
                        <c:v>-7.2944906367041202</c:v>
                      </c:pt>
                      <c:pt idx="58" formatCode="General">
                        <c:v>-7.3136666666666663</c:v>
                      </c:pt>
                      <c:pt idx="59" formatCode="General">
                        <c:v>-7.3328426966292133</c:v>
                      </c:pt>
                      <c:pt idx="60" formatCode="General">
                        <c:v>-7.3520187265917603</c:v>
                      </c:pt>
                      <c:pt idx="61" formatCode="General">
                        <c:v>-7.3711947565543072</c:v>
                      </c:pt>
                      <c:pt idx="62" formatCode="General">
                        <c:v>-7.3903707865168542</c:v>
                      </c:pt>
                      <c:pt idx="63" formatCode="General">
                        <c:v>-7.4095468164794012</c:v>
                      </c:pt>
                      <c:pt idx="64" formatCode="General">
                        <c:v>-7.4287228464419481</c:v>
                      </c:pt>
                      <c:pt idx="65" formatCode="General">
                        <c:v>-7.4478988764044942</c:v>
                      </c:pt>
                      <c:pt idx="66" formatCode="General">
                        <c:v>-7.4668456928838953</c:v>
                      </c:pt>
                      <c:pt idx="67" formatCode="General">
                        <c:v>-7.484943071161049</c:v>
                      </c:pt>
                      <c:pt idx="68" formatCode="General">
                        <c:v>-7.5030404494382026</c:v>
                      </c:pt>
                      <c:pt idx="69" formatCode="General">
                        <c:v>-7.5211378277153562</c:v>
                      </c:pt>
                      <c:pt idx="70" formatCode="General">
                        <c:v>-7.5392352059925098</c:v>
                      </c:pt>
                      <c:pt idx="71" formatCode="General">
                        <c:v>-7.5573325842696626</c:v>
                      </c:pt>
                      <c:pt idx="72" formatCode="General">
                        <c:v>-7.5754299625468162</c:v>
                      </c:pt>
                      <c:pt idx="73" formatCode="General">
                        <c:v>-7.5935273408239699</c:v>
                      </c:pt>
                      <c:pt idx="74" formatCode="General">
                        <c:v>-7.6116247191011235</c:v>
                      </c:pt>
                      <c:pt idx="75" formatCode="General">
                        <c:v>-7.6297220973782771</c:v>
                      </c:pt>
                      <c:pt idx="76" formatCode="General">
                        <c:v>-7.6478194756554307</c:v>
                      </c:pt>
                      <c:pt idx="77" formatCode="General">
                        <c:v>-7.6659168539325844</c:v>
                      </c:pt>
                      <c:pt idx="78" formatCode="General">
                        <c:v>-7.684014232209738</c:v>
                      </c:pt>
                      <c:pt idx="79" formatCode="General">
                        <c:v>-7.7021116104868916</c:v>
                      </c:pt>
                      <c:pt idx="80" formatCode="General">
                        <c:v>-7.7202089887640444</c:v>
                      </c:pt>
                      <c:pt idx="81" formatCode="General">
                        <c:v>-7.738306367041198</c:v>
                      </c:pt>
                      <c:pt idx="82" formatCode="General">
                        <c:v>-7.7564037453183516</c:v>
                      </c:pt>
                      <c:pt idx="83" formatCode="General">
                        <c:v>-7.7739234234234234</c:v>
                      </c:pt>
                      <c:pt idx="84" formatCode="General">
                        <c:v>-7.7909204204204201</c:v>
                      </c:pt>
                      <c:pt idx="85" formatCode="General">
                        <c:v>-7.8079174174174168</c:v>
                      </c:pt>
                      <c:pt idx="86" formatCode="General">
                        <c:v>-7.8249144144144145</c:v>
                      </c:pt>
                      <c:pt idx="87" formatCode="General">
                        <c:v>-64.814138613861388</c:v>
                      </c:pt>
                      <c:pt idx="88" formatCode="General">
                        <c:v>-65.022059405940595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8-022F-4A2F-976F-7C3C2CD148C5}"/>
                  </c:ext>
                </c:extLst>
              </c15:ser>
            </c15:filteredScatterSeries>
            <c15:filteredScatterSeries>
              <c15:ser>
                <c:idx val="33"/>
                <c:order val="35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306</c:v>
                      </c:pt>
                      <c:pt idx="1">
                        <c:v>314</c:v>
                      </c:pt>
                      <c:pt idx="2">
                        <c:v>322</c:v>
                      </c:pt>
                      <c:pt idx="3">
                        <c:v>330</c:v>
                      </c:pt>
                      <c:pt idx="4">
                        <c:v>338</c:v>
                      </c:pt>
                      <c:pt idx="5">
                        <c:v>346</c:v>
                      </c:pt>
                      <c:pt idx="6">
                        <c:v>354</c:v>
                      </c:pt>
                      <c:pt idx="7">
                        <c:v>362</c:v>
                      </c:pt>
                      <c:pt idx="8">
                        <c:v>370</c:v>
                      </c:pt>
                      <c:pt idx="9">
                        <c:v>378</c:v>
                      </c:pt>
                      <c:pt idx="10">
                        <c:v>386</c:v>
                      </c:pt>
                      <c:pt idx="11">
                        <c:v>394</c:v>
                      </c:pt>
                      <c:pt idx="12">
                        <c:v>402</c:v>
                      </c:pt>
                      <c:pt idx="13">
                        <c:v>410</c:v>
                      </c:pt>
                      <c:pt idx="14">
                        <c:v>418</c:v>
                      </c:pt>
                      <c:pt idx="15">
                        <c:v>426</c:v>
                      </c:pt>
                      <c:pt idx="16">
                        <c:v>434</c:v>
                      </c:pt>
                      <c:pt idx="17">
                        <c:v>442</c:v>
                      </c:pt>
                      <c:pt idx="18">
                        <c:v>450</c:v>
                      </c:pt>
                      <c:pt idx="19">
                        <c:v>458</c:v>
                      </c:pt>
                      <c:pt idx="20">
                        <c:v>466</c:v>
                      </c:pt>
                      <c:pt idx="21">
                        <c:v>474</c:v>
                      </c:pt>
                      <c:pt idx="22">
                        <c:v>482</c:v>
                      </c:pt>
                      <c:pt idx="23">
                        <c:v>490</c:v>
                      </c:pt>
                      <c:pt idx="24">
                        <c:v>498</c:v>
                      </c:pt>
                      <c:pt idx="25">
                        <c:v>506</c:v>
                      </c:pt>
                      <c:pt idx="26">
                        <c:v>514</c:v>
                      </c:pt>
                      <c:pt idx="27">
                        <c:v>522</c:v>
                      </c:pt>
                      <c:pt idx="28">
                        <c:v>530</c:v>
                      </c:pt>
                      <c:pt idx="29">
                        <c:v>538</c:v>
                      </c:pt>
                      <c:pt idx="30">
                        <c:v>546</c:v>
                      </c:pt>
                      <c:pt idx="31">
                        <c:v>554</c:v>
                      </c:pt>
                      <c:pt idx="32">
                        <c:v>562</c:v>
                      </c:pt>
                      <c:pt idx="33">
                        <c:v>570</c:v>
                      </c:pt>
                      <c:pt idx="34">
                        <c:v>578</c:v>
                      </c:pt>
                      <c:pt idx="35">
                        <c:v>586</c:v>
                      </c:pt>
                      <c:pt idx="36">
                        <c:v>594</c:v>
                      </c:pt>
                      <c:pt idx="37">
                        <c:v>602</c:v>
                      </c:pt>
                      <c:pt idx="38">
                        <c:v>610</c:v>
                      </c:pt>
                      <c:pt idx="39">
                        <c:v>618</c:v>
                      </c:pt>
                      <c:pt idx="40">
                        <c:v>626</c:v>
                      </c:pt>
                      <c:pt idx="41">
                        <c:v>634</c:v>
                      </c:pt>
                      <c:pt idx="42">
                        <c:v>642</c:v>
                      </c:pt>
                      <c:pt idx="43">
                        <c:v>650</c:v>
                      </c:pt>
                      <c:pt idx="44">
                        <c:v>658</c:v>
                      </c:pt>
                      <c:pt idx="45">
                        <c:v>666</c:v>
                      </c:pt>
                      <c:pt idx="46">
                        <c:v>674</c:v>
                      </c:pt>
                      <c:pt idx="47">
                        <c:v>682</c:v>
                      </c:pt>
                      <c:pt idx="48">
                        <c:v>690</c:v>
                      </c:pt>
                      <c:pt idx="49">
                        <c:v>698</c:v>
                      </c:pt>
                      <c:pt idx="50">
                        <c:v>706</c:v>
                      </c:pt>
                      <c:pt idx="51">
                        <c:v>714</c:v>
                      </c:pt>
                      <c:pt idx="52">
                        <c:v>722</c:v>
                      </c:pt>
                      <c:pt idx="53">
                        <c:v>730</c:v>
                      </c:pt>
                      <c:pt idx="54">
                        <c:v>738</c:v>
                      </c:pt>
                      <c:pt idx="55">
                        <c:v>746</c:v>
                      </c:pt>
                      <c:pt idx="56">
                        <c:v>754</c:v>
                      </c:pt>
                      <c:pt idx="57">
                        <c:v>762</c:v>
                      </c:pt>
                      <c:pt idx="58">
                        <c:v>770</c:v>
                      </c:pt>
                      <c:pt idx="59">
                        <c:v>778</c:v>
                      </c:pt>
                      <c:pt idx="60">
                        <c:v>786</c:v>
                      </c:pt>
                      <c:pt idx="61">
                        <c:v>794</c:v>
                      </c:pt>
                      <c:pt idx="62">
                        <c:v>802</c:v>
                      </c:pt>
                      <c:pt idx="63">
                        <c:v>810</c:v>
                      </c:pt>
                      <c:pt idx="64">
                        <c:v>818</c:v>
                      </c:pt>
                      <c:pt idx="65">
                        <c:v>826</c:v>
                      </c:pt>
                      <c:pt idx="66">
                        <c:v>834</c:v>
                      </c:pt>
                      <c:pt idx="67">
                        <c:v>842</c:v>
                      </c:pt>
                      <c:pt idx="68">
                        <c:v>850</c:v>
                      </c:pt>
                      <c:pt idx="69">
                        <c:v>858</c:v>
                      </c:pt>
                      <c:pt idx="70">
                        <c:v>866</c:v>
                      </c:pt>
                      <c:pt idx="71">
                        <c:v>874</c:v>
                      </c:pt>
                      <c:pt idx="72">
                        <c:v>882</c:v>
                      </c:pt>
                      <c:pt idx="73">
                        <c:v>890</c:v>
                      </c:pt>
                      <c:pt idx="74">
                        <c:v>898</c:v>
                      </c:pt>
                      <c:pt idx="75">
                        <c:v>906</c:v>
                      </c:pt>
                      <c:pt idx="76">
                        <c:v>914</c:v>
                      </c:pt>
                      <c:pt idx="77">
                        <c:v>922</c:v>
                      </c:pt>
                      <c:pt idx="78">
                        <c:v>930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EVALUATION!$B$136:$CP$136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-18.877657657657657</c:v>
                      </c:pt>
                      <c:pt idx="1">
                        <c:v>-18.875255255255254</c:v>
                      </c:pt>
                      <c:pt idx="2">
                        <c:v>-18.872852852852855</c:v>
                      </c:pt>
                      <c:pt idx="3">
                        <c:v>-18.870450450450452</c:v>
                      </c:pt>
                      <c:pt idx="4" formatCode="General">
                        <c:v>-18.875838323353292</c:v>
                      </c:pt>
                      <c:pt idx="5" formatCode="General">
                        <c:v>-18.883023952095808</c:v>
                      </c:pt>
                      <c:pt idx="6" formatCode="General">
                        <c:v>-18.890209580838324</c:v>
                      </c:pt>
                      <c:pt idx="7" formatCode="General">
                        <c:v>-18.897395209580836</c:v>
                      </c:pt>
                      <c:pt idx="8" formatCode="General">
                        <c:v>-18.906107784431136</c:v>
                      </c:pt>
                      <c:pt idx="9" formatCode="General">
                        <c:v>-18.915688622754491</c:v>
                      </c:pt>
                      <c:pt idx="10" formatCode="General">
                        <c:v>-18.925269461077846</c:v>
                      </c:pt>
                      <c:pt idx="11" formatCode="General">
                        <c:v>-18.934850299401198</c:v>
                      </c:pt>
                      <c:pt idx="12" formatCode="General">
                        <c:v>-18.945538922155688</c:v>
                      </c:pt>
                      <c:pt idx="13" formatCode="General">
                        <c:v>-18.957514970059879</c:v>
                      </c:pt>
                      <c:pt idx="14" formatCode="General">
                        <c:v>-18.969491017964071</c:v>
                      </c:pt>
                      <c:pt idx="15" formatCode="General">
                        <c:v>-18.981467065868262</c:v>
                      </c:pt>
                      <c:pt idx="16" formatCode="General">
                        <c:v>-18.993443113772454</c:v>
                      </c:pt>
                      <c:pt idx="17" formatCode="General">
                        <c:v>-19.005419161676645</c:v>
                      </c:pt>
                      <c:pt idx="18" formatCode="General">
                        <c:v>-19.017395209580837</c:v>
                      </c:pt>
                      <c:pt idx="19" formatCode="General">
                        <c:v>-19.029371257485028</c:v>
                      </c:pt>
                      <c:pt idx="20" formatCode="General">
                        <c:v>-19.040808383233532</c:v>
                      </c:pt>
                      <c:pt idx="21" formatCode="General">
                        <c:v>-19.047994011976048</c:v>
                      </c:pt>
                      <c:pt idx="22" formatCode="General">
                        <c:v>-19.055179640718563</c:v>
                      </c:pt>
                      <c:pt idx="23" formatCode="General">
                        <c:v>-19.062365269461079</c:v>
                      </c:pt>
                      <c:pt idx="24" formatCode="General">
                        <c:v>-19.069550898203595</c:v>
                      </c:pt>
                      <c:pt idx="25" formatCode="General">
                        <c:v>-19.045225225225227</c:v>
                      </c:pt>
                      <c:pt idx="26" formatCode="General">
                        <c:v>-19.018798798798798</c:v>
                      </c:pt>
                      <c:pt idx="27" formatCode="General">
                        <c:v>-18.992372372372373</c:v>
                      </c:pt>
                      <c:pt idx="28" formatCode="General">
                        <c:v>-18.965945945945947</c:v>
                      </c:pt>
                      <c:pt idx="29" formatCode="General">
                        <c:v>-18.972994011976049</c:v>
                      </c:pt>
                      <c:pt idx="30" formatCode="General">
                        <c:v>-18.989760479041916</c:v>
                      </c:pt>
                      <c:pt idx="31" formatCode="General">
                        <c:v>-19.006526946107787</c:v>
                      </c:pt>
                      <c:pt idx="32" formatCode="General">
                        <c:v>-19.023293413173654</c:v>
                      </c:pt>
                      <c:pt idx="33" formatCode="General">
                        <c:v>-19.040059880239522</c:v>
                      </c:pt>
                      <c:pt idx="34" formatCode="General">
                        <c:v>-19.056826347305389</c:v>
                      </c:pt>
                      <c:pt idx="35" formatCode="General">
                        <c:v>-19.07359281437126</c:v>
                      </c:pt>
                      <c:pt idx="36" formatCode="General">
                        <c:v>-19.090359281437127</c:v>
                      </c:pt>
                      <c:pt idx="37" formatCode="General">
                        <c:v>-19.107125748502995</c:v>
                      </c:pt>
                      <c:pt idx="38" formatCode="General">
                        <c:v>-19.123892215568866</c:v>
                      </c:pt>
                      <c:pt idx="39" formatCode="General">
                        <c:v>-19.140658682634733</c:v>
                      </c:pt>
                      <c:pt idx="40" formatCode="General">
                        <c:v>-19.1574251497006</c:v>
                      </c:pt>
                      <c:pt idx="41" formatCode="General">
                        <c:v>-19.174191616766468</c:v>
                      </c:pt>
                      <c:pt idx="42" formatCode="General">
                        <c:v>-19.190958083832335</c:v>
                      </c:pt>
                      <c:pt idx="43" formatCode="General">
                        <c:v>-19.207724550898202</c:v>
                      </c:pt>
                      <c:pt idx="44" formatCode="General">
                        <c:v>-19.22449101796407</c:v>
                      </c:pt>
                      <c:pt idx="45" formatCode="General">
                        <c:v>-19.241257485029937</c:v>
                      </c:pt>
                      <c:pt idx="46" formatCode="General">
                        <c:v>-19.258023952095808</c:v>
                      </c:pt>
                      <c:pt idx="47" formatCode="General">
                        <c:v>-19.274790419161675</c:v>
                      </c:pt>
                      <c:pt idx="48" formatCode="General">
                        <c:v>-19.291556886227543</c:v>
                      </c:pt>
                      <c:pt idx="49" formatCode="General">
                        <c:v>-19.30832335329341</c:v>
                      </c:pt>
                      <c:pt idx="50" formatCode="General">
                        <c:v>-19.324022471910112</c:v>
                      </c:pt>
                      <c:pt idx="51" formatCode="General">
                        <c:v>-19.33960299625468</c:v>
                      </c:pt>
                      <c:pt idx="52" formatCode="General">
                        <c:v>-19.355183520599251</c:v>
                      </c:pt>
                      <c:pt idx="53" formatCode="General">
                        <c:v>-19.370764044943819</c:v>
                      </c:pt>
                      <c:pt idx="54" formatCode="General">
                        <c:v>-19.38634456928839</c:v>
                      </c:pt>
                      <c:pt idx="55" formatCode="General">
                        <c:v>-19.401925093632958</c:v>
                      </c:pt>
                      <c:pt idx="56" formatCode="General">
                        <c:v>-19.417505617977529</c:v>
                      </c:pt>
                      <c:pt idx="57" formatCode="General">
                        <c:v>-19.433086142322097</c:v>
                      </c:pt>
                      <c:pt idx="58" formatCode="General">
                        <c:v>-19.448666666666668</c:v>
                      </c:pt>
                      <c:pt idx="59" formatCode="General">
                        <c:v>-19.464247191011236</c:v>
                      </c:pt>
                      <c:pt idx="60" formatCode="General">
                        <c:v>-19.479827715355807</c:v>
                      </c:pt>
                      <c:pt idx="61" formatCode="General">
                        <c:v>-19.495408239700375</c:v>
                      </c:pt>
                      <c:pt idx="62" formatCode="General">
                        <c:v>-19.510988764044942</c:v>
                      </c:pt>
                      <c:pt idx="63" formatCode="General">
                        <c:v>-19.526569288389513</c:v>
                      </c:pt>
                      <c:pt idx="64" formatCode="General">
                        <c:v>-19.542149812734081</c:v>
                      </c:pt>
                      <c:pt idx="65" formatCode="General">
                        <c:v>-19.557730337078652</c:v>
                      </c:pt>
                      <c:pt idx="66" formatCode="General">
                        <c:v>-19.573183520599251</c:v>
                      </c:pt>
                      <c:pt idx="67" formatCode="General">
                        <c:v>-19.58816479400749</c:v>
                      </c:pt>
                      <c:pt idx="68" formatCode="General">
                        <c:v>-19.603146067415732</c:v>
                      </c:pt>
                      <c:pt idx="69" formatCode="General">
                        <c:v>-19.618127340823971</c:v>
                      </c:pt>
                      <c:pt idx="70" formatCode="General">
                        <c:v>-19.63310861423221</c:v>
                      </c:pt>
                      <c:pt idx="71" formatCode="General">
                        <c:v>-19.648089887640449</c:v>
                      </c:pt>
                      <c:pt idx="72" formatCode="General">
                        <c:v>-19.663071161048691</c:v>
                      </c:pt>
                      <c:pt idx="73" formatCode="General">
                        <c:v>-19.67805243445693</c:v>
                      </c:pt>
                      <c:pt idx="74" formatCode="General">
                        <c:v>-19.693033707865169</c:v>
                      </c:pt>
                      <c:pt idx="75" formatCode="General">
                        <c:v>-19.708014981273408</c:v>
                      </c:pt>
                      <c:pt idx="76" formatCode="General">
                        <c:v>-19.722996254681647</c:v>
                      </c:pt>
                      <c:pt idx="77" formatCode="General">
                        <c:v>-19.737977528089889</c:v>
                      </c:pt>
                      <c:pt idx="78" formatCode="General">
                        <c:v>-19.752958801498128</c:v>
                      </c:pt>
                      <c:pt idx="79" formatCode="General">
                        <c:v>-19.767940074906367</c:v>
                      </c:pt>
                      <c:pt idx="80" formatCode="General">
                        <c:v>-19.782921348314606</c:v>
                      </c:pt>
                      <c:pt idx="81" formatCode="General">
                        <c:v>-19.797902621722848</c:v>
                      </c:pt>
                      <c:pt idx="82" formatCode="General">
                        <c:v>-19.812883895131087</c:v>
                      </c:pt>
                      <c:pt idx="83" formatCode="General">
                        <c:v>-19.827252252252254</c:v>
                      </c:pt>
                      <c:pt idx="84" formatCode="General">
                        <c:v>-19.841066066066066</c:v>
                      </c:pt>
                      <c:pt idx="85" formatCode="General">
                        <c:v>-19.854879879879881</c:v>
                      </c:pt>
                      <c:pt idx="86" formatCode="General">
                        <c:v>-19.868693693693693</c:v>
                      </c:pt>
                      <c:pt idx="87" formatCode="General">
                        <c:v>-102.44289108910891</c:v>
                      </c:pt>
                      <c:pt idx="88" formatCode="General">
                        <c:v>-102.77952475247524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9-022F-4A2F-976F-7C3C2CD148C5}"/>
                  </c:ext>
                </c:extLst>
              </c15:ser>
            </c15:filteredScatterSeries>
            <c15:filteredScatterSeries>
              <c15:ser>
                <c:idx val="34"/>
                <c:order val="36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306</c:v>
                      </c:pt>
                      <c:pt idx="1">
                        <c:v>314</c:v>
                      </c:pt>
                      <c:pt idx="2">
                        <c:v>322</c:v>
                      </c:pt>
                      <c:pt idx="3">
                        <c:v>330</c:v>
                      </c:pt>
                      <c:pt idx="4">
                        <c:v>338</c:v>
                      </c:pt>
                      <c:pt idx="5">
                        <c:v>346</c:v>
                      </c:pt>
                      <c:pt idx="6">
                        <c:v>354</c:v>
                      </c:pt>
                      <c:pt idx="7">
                        <c:v>362</c:v>
                      </c:pt>
                      <c:pt idx="8">
                        <c:v>370</c:v>
                      </c:pt>
                      <c:pt idx="9">
                        <c:v>378</c:v>
                      </c:pt>
                      <c:pt idx="10">
                        <c:v>386</c:v>
                      </c:pt>
                      <c:pt idx="11">
                        <c:v>394</c:v>
                      </c:pt>
                      <c:pt idx="12">
                        <c:v>402</c:v>
                      </c:pt>
                      <c:pt idx="13">
                        <c:v>410</c:v>
                      </c:pt>
                      <c:pt idx="14">
                        <c:v>418</c:v>
                      </c:pt>
                      <c:pt idx="15">
                        <c:v>426</c:v>
                      </c:pt>
                      <c:pt idx="16">
                        <c:v>434</c:v>
                      </c:pt>
                      <c:pt idx="17">
                        <c:v>442</c:v>
                      </c:pt>
                      <c:pt idx="18">
                        <c:v>450</c:v>
                      </c:pt>
                      <c:pt idx="19">
                        <c:v>458</c:v>
                      </c:pt>
                      <c:pt idx="20">
                        <c:v>466</c:v>
                      </c:pt>
                      <c:pt idx="21">
                        <c:v>474</c:v>
                      </c:pt>
                      <c:pt idx="22">
                        <c:v>482</c:v>
                      </c:pt>
                      <c:pt idx="23">
                        <c:v>490</c:v>
                      </c:pt>
                      <c:pt idx="24">
                        <c:v>498</c:v>
                      </c:pt>
                      <c:pt idx="25">
                        <c:v>506</c:v>
                      </c:pt>
                      <c:pt idx="26">
                        <c:v>514</c:v>
                      </c:pt>
                      <c:pt idx="27">
                        <c:v>522</c:v>
                      </c:pt>
                      <c:pt idx="28">
                        <c:v>530</c:v>
                      </c:pt>
                      <c:pt idx="29">
                        <c:v>538</c:v>
                      </c:pt>
                      <c:pt idx="30">
                        <c:v>546</c:v>
                      </c:pt>
                      <c:pt idx="31">
                        <c:v>554</c:v>
                      </c:pt>
                      <c:pt idx="32">
                        <c:v>562</c:v>
                      </c:pt>
                      <c:pt idx="33">
                        <c:v>570</c:v>
                      </c:pt>
                      <c:pt idx="34">
                        <c:v>578</c:v>
                      </c:pt>
                      <c:pt idx="35">
                        <c:v>586</c:v>
                      </c:pt>
                      <c:pt idx="36">
                        <c:v>594</c:v>
                      </c:pt>
                      <c:pt idx="37">
                        <c:v>602</c:v>
                      </c:pt>
                      <c:pt idx="38">
                        <c:v>610</c:v>
                      </c:pt>
                      <c:pt idx="39">
                        <c:v>618</c:v>
                      </c:pt>
                      <c:pt idx="40">
                        <c:v>626</c:v>
                      </c:pt>
                      <c:pt idx="41">
                        <c:v>634</c:v>
                      </c:pt>
                      <c:pt idx="42">
                        <c:v>642</c:v>
                      </c:pt>
                      <c:pt idx="43">
                        <c:v>650</c:v>
                      </c:pt>
                      <c:pt idx="44">
                        <c:v>658</c:v>
                      </c:pt>
                      <c:pt idx="45">
                        <c:v>666</c:v>
                      </c:pt>
                      <c:pt idx="46">
                        <c:v>674</c:v>
                      </c:pt>
                      <c:pt idx="47">
                        <c:v>682</c:v>
                      </c:pt>
                      <c:pt idx="48">
                        <c:v>690</c:v>
                      </c:pt>
                      <c:pt idx="49">
                        <c:v>698</c:v>
                      </c:pt>
                      <c:pt idx="50">
                        <c:v>706</c:v>
                      </c:pt>
                      <c:pt idx="51">
                        <c:v>714</c:v>
                      </c:pt>
                      <c:pt idx="52">
                        <c:v>722</c:v>
                      </c:pt>
                      <c:pt idx="53">
                        <c:v>730</c:v>
                      </c:pt>
                      <c:pt idx="54">
                        <c:v>738</c:v>
                      </c:pt>
                      <c:pt idx="55">
                        <c:v>746</c:v>
                      </c:pt>
                      <c:pt idx="56">
                        <c:v>754</c:v>
                      </c:pt>
                      <c:pt idx="57">
                        <c:v>762</c:v>
                      </c:pt>
                      <c:pt idx="58">
                        <c:v>770</c:v>
                      </c:pt>
                      <c:pt idx="59">
                        <c:v>778</c:v>
                      </c:pt>
                      <c:pt idx="60">
                        <c:v>786</c:v>
                      </c:pt>
                      <c:pt idx="61">
                        <c:v>794</c:v>
                      </c:pt>
                      <c:pt idx="62">
                        <c:v>802</c:v>
                      </c:pt>
                      <c:pt idx="63">
                        <c:v>810</c:v>
                      </c:pt>
                      <c:pt idx="64">
                        <c:v>818</c:v>
                      </c:pt>
                      <c:pt idx="65">
                        <c:v>826</c:v>
                      </c:pt>
                      <c:pt idx="66">
                        <c:v>834</c:v>
                      </c:pt>
                      <c:pt idx="67">
                        <c:v>842</c:v>
                      </c:pt>
                      <c:pt idx="68">
                        <c:v>850</c:v>
                      </c:pt>
                      <c:pt idx="69">
                        <c:v>858</c:v>
                      </c:pt>
                      <c:pt idx="70">
                        <c:v>866</c:v>
                      </c:pt>
                      <c:pt idx="71">
                        <c:v>874</c:v>
                      </c:pt>
                      <c:pt idx="72">
                        <c:v>882</c:v>
                      </c:pt>
                      <c:pt idx="73">
                        <c:v>890</c:v>
                      </c:pt>
                      <c:pt idx="74">
                        <c:v>898</c:v>
                      </c:pt>
                      <c:pt idx="75">
                        <c:v>906</c:v>
                      </c:pt>
                      <c:pt idx="76">
                        <c:v>914</c:v>
                      </c:pt>
                      <c:pt idx="77">
                        <c:v>922</c:v>
                      </c:pt>
                      <c:pt idx="78">
                        <c:v>930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EVALUATION!$B$137:$CP$137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-59.399279279279277</c:v>
                      </c:pt>
                      <c:pt idx="1">
                        <c:v>-58.495975975975981</c:v>
                      </c:pt>
                      <c:pt idx="2">
                        <c:v>-57.592672672672677</c:v>
                      </c:pt>
                      <c:pt idx="3">
                        <c:v>-56.689369369369373</c:v>
                      </c:pt>
                      <c:pt idx="4" formatCode="General">
                        <c:v>-56.091856287425152</c:v>
                      </c:pt>
                      <c:pt idx="5" formatCode="General">
                        <c:v>-55.564910179640719</c:v>
                      </c:pt>
                      <c:pt idx="6" formatCode="General">
                        <c:v>-55.037964071856287</c:v>
                      </c:pt>
                      <c:pt idx="7" formatCode="General">
                        <c:v>-54.511017964071854</c:v>
                      </c:pt>
                      <c:pt idx="8" formatCode="General">
                        <c:v>-54.110197604790422</c:v>
                      </c:pt>
                      <c:pt idx="9" formatCode="General">
                        <c:v>-53.781095808383235</c:v>
                      </c:pt>
                      <c:pt idx="10" formatCode="General">
                        <c:v>-53.451994011976048</c:v>
                      </c:pt>
                      <c:pt idx="11" formatCode="General">
                        <c:v>-53.122892215568861</c:v>
                      </c:pt>
                      <c:pt idx="12" formatCode="General">
                        <c:v>-52.840317365269463</c:v>
                      </c:pt>
                      <c:pt idx="13" formatCode="General">
                        <c:v>-52.611814371257488</c:v>
                      </c:pt>
                      <c:pt idx="14" formatCode="General">
                        <c:v>-52.383311377245512</c:v>
                      </c:pt>
                      <c:pt idx="15" formatCode="General">
                        <c:v>-52.154808383233537</c:v>
                      </c:pt>
                      <c:pt idx="16" formatCode="General">
                        <c:v>-51.959014970059883</c:v>
                      </c:pt>
                      <c:pt idx="17" formatCode="General">
                        <c:v>-51.84428443113773</c:v>
                      </c:pt>
                      <c:pt idx="18" formatCode="General">
                        <c:v>-51.72955389221557</c:v>
                      </c:pt>
                      <c:pt idx="19" formatCode="General">
                        <c:v>-51.61482335329341</c:v>
                      </c:pt>
                      <c:pt idx="20" formatCode="General">
                        <c:v>-51.519547904191612</c:v>
                      </c:pt>
                      <c:pt idx="21" formatCode="General">
                        <c:v>-51.577751497005984</c:v>
                      </c:pt>
                      <c:pt idx="22" formatCode="General">
                        <c:v>-51.635955089820357</c:v>
                      </c:pt>
                      <c:pt idx="23" formatCode="General">
                        <c:v>-51.694158682634729</c:v>
                      </c:pt>
                      <c:pt idx="24" formatCode="General">
                        <c:v>-51.752362275449102</c:v>
                      </c:pt>
                      <c:pt idx="25" formatCode="General">
                        <c:v>-52.016585585585588</c:v>
                      </c:pt>
                      <c:pt idx="26" formatCode="General">
                        <c:v>-52.29454354354354</c:v>
                      </c:pt>
                      <c:pt idx="27" formatCode="General">
                        <c:v>-52.572501501501499</c:v>
                      </c:pt>
                      <c:pt idx="28" formatCode="General">
                        <c:v>-52.850459459459458</c:v>
                      </c:pt>
                      <c:pt idx="29" formatCode="General">
                        <c:v>-53.09677245508982</c:v>
                      </c:pt>
                      <c:pt idx="30" formatCode="General">
                        <c:v>-53.333898203592817</c:v>
                      </c:pt>
                      <c:pt idx="31" formatCode="General">
                        <c:v>-53.571023952095814</c:v>
                      </c:pt>
                      <c:pt idx="32" formatCode="General">
                        <c:v>-53.808149700598804</c:v>
                      </c:pt>
                      <c:pt idx="33" formatCode="General">
                        <c:v>-54.055479041916172</c:v>
                      </c:pt>
                      <c:pt idx="34" formatCode="General">
                        <c:v>-54.309610778443115</c:v>
                      </c:pt>
                      <c:pt idx="35" formatCode="General">
                        <c:v>-54.563742514970059</c:v>
                      </c:pt>
                      <c:pt idx="36" formatCode="General">
                        <c:v>-54.817874251497003</c:v>
                      </c:pt>
                      <c:pt idx="37" formatCode="General">
                        <c:v>-55.069562874251496</c:v>
                      </c:pt>
                      <c:pt idx="38" formatCode="General">
                        <c:v>-55.317946107784429</c:v>
                      </c:pt>
                      <c:pt idx="39" formatCode="General">
                        <c:v>-55.56632934131737</c:v>
                      </c:pt>
                      <c:pt idx="40" formatCode="General">
                        <c:v>-55.814712574850304</c:v>
                      </c:pt>
                      <c:pt idx="41" formatCode="General">
                        <c:v>-56.063335329341321</c:v>
                      </c:pt>
                      <c:pt idx="42" formatCode="General">
                        <c:v>-56.312676646706592</c:v>
                      </c:pt>
                      <c:pt idx="43" formatCode="General">
                        <c:v>-56.562017964071856</c:v>
                      </c:pt>
                      <c:pt idx="44" formatCode="General">
                        <c:v>-56.81135928143712</c:v>
                      </c:pt>
                      <c:pt idx="45" formatCode="General">
                        <c:v>-57.060700598802391</c:v>
                      </c:pt>
                      <c:pt idx="46" formatCode="General">
                        <c:v>-57.310041916167663</c:v>
                      </c:pt>
                      <c:pt idx="47" formatCode="General">
                        <c:v>-57.559383233532934</c:v>
                      </c:pt>
                      <c:pt idx="48" formatCode="General">
                        <c:v>-57.808724550898205</c:v>
                      </c:pt>
                      <c:pt idx="49" formatCode="General">
                        <c:v>-58.058065868263469</c:v>
                      </c:pt>
                      <c:pt idx="50" formatCode="General">
                        <c:v>-58.295494382022468</c:v>
                      </c:pt>
                      <c:pt idx="51" formatCode="General">
                        <c:v>-58.531599250936331</c:v>
                      </c:pt>
                      <c:pt idx="52" formatCode="General">
                        <c:v>-58.767704119850187</c:v>
                      </c:pt>
                      <c:pt idx="53" formatCode="General">
                        <c:v>-59.003808988764042</c:v>
                      </c:pt>
                      <c:pt idx="54" formatCode="General">
                        <c:v>-59.239913857677905</c:v>
                      </c:pt>
                      <c:pt idx="55" formatCode="General">
                        <c:v>-59.476018726591761</c:v>
                      </c:pt>
                      <c:pt idx="56" formatCode="General">
                        <c:v>-59.712123595505616</c:v>
                      </c:pt>
                      <c:pt idx="57" formatCode="General">
                        <c:v>-59.948228464419479</c:v>
                      </c:pt>
                      <c:pt idx="58" formatCode="General">
                        <c:v>-60.184333333333335</c:v>
                      </c:pt>
                      <c:pt idx="59" formatCode="General">
                        <c:v>-60.42043820224719</c:v>
                      </c:pt>
                      <c:pt idx="60" formatCode="General">
                        <c:v>-60.656543071161053</c:v>
                      </c:pt>
                      <c:pt idx="61" formatCode="General">
                        <c:v>-60.892647940074909</c:v>
                      </c:pt>
                      <c:pt idx="62" formatCode="General">
                        <c:v>-61.128752808988764</c:v>
                      </c:pt>
                      <c:pt idx="63" formatCode="General">
                        <c:v>-61.364857677902627</c:v>
                      </c:pt>
                      <c:pt idx="64" formatCode="General">
                        <c:v>-61.600962546816483</c:v>
                      </c:pt>
                      <c:pt idx="65" formatCode="General">
                        <c:v>-61.837067415730338</c:v>
                      </c:pt>
                      <c:pt idx="66" formatCode="General">
                        <c:v>-62.070650936329592</c:v>
                      </c:pt>
                      <c:pt idx="67" formatCode="General">
                        <c:v>-62.294890636704125</c:v>
                      </c:pt>
                      <c:pt idx="68" formatCode="General">
                        <c:v>-62.519130337078657</c:v>
                      </c:pt>
                      <c:pt idx="69" formatCode="General">
                        <c:v>-62.74337003745319</c:v>
                      </c:pt>
                      <c:pt idx="70" formatCode="General">
                        <c:v>-62.967609737827722</c:v>
                      </c:pt>
                      <c:pt idx="71" formatCode="General">
                        <c:v>-63.191849438202254</c:v>
                      </c:pt>
                      <c:pt idx="72" formatCode="General">
                        <c:v>-63.41608913857678</c:v>
                      </c:pt>
                      <c:pt idx="73" formatCode="General">
                        <c:v>-63.640328838951312</c:v>
                      </c:pt>
                      <c:pt idx="74" formatCode="General">
                        <c:v>-63.864568539325845</c:v>
                      </c:pt>
                      <c:pt idx="75" formatCode="General">
                        <c:v>-64.088808239700384</c:v>
                      </c:pt>
                      <c:pt idx="76" formatCode="General">
                        <c:v>-64.31304794007491</c:v>
                      </c:pt>
                      <c:pt idx="77" formatCode="General">
                        <c:v>-64.537287640449435</c:v>
                      </c:pt>
                      <c:pt idx="78" formatCode="General">
                        <c:v>-64.761527340823974</c:v>
                      </c:pt>
                      <c:pt idx="79" formatCode="General">
                        <c:v>-64.9857670411985</c:v>
                      </c:pt>
                      <c:pt idx="80" formatCode="General">
                        <c:v>-65.210006741573039</c:v>
                      </c:pt>
                      <c:pt idx="81" formatCode="General">
                        <c:v>-65.434246441947565</c:v>
                      </c:pt>
                      <c:pt idx="82" formatCode="General">
                        <c:v>-65.658486142322104</c:v>
                      </c:pt>
                      <c:pt idx="83" formatCode="General">
                        <c:v>-65.876716216216224</c:v>
                      </c:pt>
                      <c:pt idx="84" formatCode="General">
                        <c:v>-66.089509009009006</c:v>
                      </c:pt>
                      <c:pt idx="85" formatCode="General">
                        <c:v>-66.302301801801804</c:v>
                      </c:pt>
                      <c:pt idx="86" formatCode="General">
                        <c:v>-66.515094594594601</c:v>
                      </c:pt>
                      <c:pt idx="87" formatCode="General">
                        <c:v>-44.975564356435648</c:v>
                      </c:pt>
                      <c:pt idx="88" formatCode="General">
                        <c:v>-45.122099009900992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A-022F-4A2F-976F-7C3C2CD148C5}"/>
                  </c:ext>
                </c:extLst>
              </c15:ser>
            </c15:filteredScatterSeries>
            <c15:filteredScatterSeries>
              <c15:ser>
                <c:idx val="35"/>
                <c:order val="37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306</c:v>
                      </c:pt>
                      <c:pt idx="1">
                        <c:v>314</c:v>
                      </c:pt>
                      <c:pt idx="2">
                        <c:v>322</c:v>
                      </c:pt>
                      <c:pt idx="3">
                        <c:v>330</c:v>
                      </c:pt>
                      <c:pt idx="4">
                        <c:v>338</c:v>
                      </c:pt>
                      <c:pt idx="5">
                        <c:v>346</c:v>
                      </c:pt>
                      <c:pt idx="6">
                        <c:v>354</c:v>
                      </c:pt>
                      <c:pt idx="7">
                        <c:v>362</c:v>
                      </c:pt>
                      <c:pt idx="8">
                        <c:v>370</c:v>
                      </c:pt>
                      <c:pt idx="9">
                        <c:v>378</c:v>
                      </c:pt>
                      <c:pt idx="10">
                        <c:v>386</c:v>
                      </c:pt>
                      <c:pt idx="11">
                        <c:v>394</c:v>
                      </c:pt>
                      <c:pt idx="12">
                        <c:v>402</c:v>
                      </c:pt>
                      <c:pt idx="13">
                        <c:v>410</c:v>
                      </c:pt>
                      <c:pt idx="14">
                        <c:v>418</c:v>
                      </c:pt>
                      <c:pt idx="15">
                        <c:v>426</c:v>
                      </c:pt>
                      <c:pt idx="16">
                        <c:v>434</c:v>
                      </c:pt>
                      <c:pt idx="17">
                        <c:v>442</c:v>
                      </c:pt>
                      <c:pt idx="18">
                        <c:v>450</c:v>
                      </c:pt>
                      <c:pt idx="19">
                        <c:v>458</c:v>
                      </c:pt>
                      <c:pt idx="20">
                        <c:v>466</c:v>
                      </c:pt>
                      <c:pt idx="21">
                        <c:v>474</c:v>
                      </c:pt>
                      <c:pt idx="22">
                        <c:v>482</c:v>
                      </c:pt>
                      <c:pt idx="23">
                        <c:v>490</c:v>
                      </c:pt>
                      <c:pt idx="24">
                        <c:v>498</c:v>
                      </c:pt>
                      <c:pt idx="25">
                        <c:v>506</c:v>
                      </c:pt>
                      <c:pt idx="26">
                        <c:v>514</c:v>
                      </c:pt>
                      <c:pt idx="27">
                        <c:v>522</c:v>
                      </c:pt>
                      <c:pt idx="28">
                        <c:v>530</c:v>
                      </c:pt>
                      <c:pt idx="29">
                        <c:v>538</c:v>
                      </c:pt>
                      <c:pt idx="30">
                        <c:v>546</c:v>
                      </c:pt>
                      <c:pt idx="31">
                        <c:v>554</c:v>
                      </c:pt>
                      <c:pt idx="32">
                        <c:v>562</c:v>
                      </c:pt>
                      <c:pt idx="33">
                        <c:v>570</c:v>
                      </c:pt>
                      <c:pt idx="34">
                        <c:v>578</c:v>
                      </c:pt>
                      <c:pt idx="35">
                        <c:v>586</c:v>
                      </c:pt>
                      <c:pt idx="36">
                        <c:v>594</c:v>
                      </c:pt>
                      <c:pt idx="37">
                        <c:v>602</c:v>
                      </c:pt>
                      <c:pt idx="38">
                        <c:v>610</c:v>
                      </c:pt>
                      <c:pt idx="39">
                        <c:v>618</c:v>
                      </c:pt>
                      <c:pt idx="40">
                        <c:v>626</c:v>
                      </c:pt>
                      <c:pt idx="41">
                        <c:v>634</c:v>
                      </c:pt>
                      <c:pt idx="42">
                        <c:v>642</c:v>
                      </c:pt>
                      <c:pt idx="43">
                        <c:v>650</c:v>
                      </c:pt>
                      <c:pt idx="44">
                        <c:v>658</c:v>
                      </c:pt>
                      <c:pt idx="45">
                        <c:v>666</c:v>
                      </c:pt>
                      <c:pt idx="46">
                        <c:v>674</c:v>
                      </c:pt>
                      <c:pt idx="47">
                        <c:v>682</c:v>
                      </c:pt>
                      <c:pt idx="48">
                        <c:v>690</c:v>
                      </c:pt>
                      <c:pt idx="49">
                        <c:v>698</c:v>
                      </c:pt>
                      <c:pt idx="50">
                        <c:v>706</c:v>
                      </c:pt>
                      <c:pt idx="51">
                        <c:v>714</c:v>
                      </c:pt>
                      <c:pt idx="52">
                        <c:v>722</c:v>
                      </c:pt>
                      <c:pt idx="53">
                        <c:v>730</c:v>
                      </c:pt>
                      <c:pt idx="54">
                        <c:v>738</c:v>
                      </c:pt>
                      <c:pt idx="55">
                        <c:v>746</c:v>
                      </c:pt>
                      <c:pt idx="56">
                        <c:v>754</c:v>
                      </c:pt>
                      <c:pt idx="57">
                        <c:v>762</c:v>
                      </c:pt>
                      <c:pt idx="58">
                        <c:v>770</c:v>
                      </c:pt>
                      <c:pt idx="59">
                        <c:v>778</c:v>
                      </c:pt>
                      <c:pt idx="60">
                        <c:v>786</c:v>
                      </c:pt>
                      <c:pt idx="61">
                        <c:v>794</c:v>
                      </c:pt>
                      <c:pt idx="62">
                        <c:v>802</c:v>
                      </c:pt>
                      <c:pt idx="63">
                        <c:v>810</c:v>
                      </c:pt>
                      <c:pt idx="64">
                        <c:v>818</c:v>
                      </c:pt>
                      <c:pt idx="65">
                        <c:v>826</c:v>
                      </c:pt>
                      <c:pt idx="66">
                        <c:v>834</c:v>
                      </c:pt>
                      <c:pt idx="67">
                        <c:v>842</c:v>
                      </c:pt>
                      <c:pt idx="68">
                        <c:v>850</c:v>
                      </c:pt>
                      <c:pt idx="69">
                        <c:v>858</c:v>
                      </c:pt>
                      <c:pt idx="70">
                        <c:v>866</c:v>
                      </c:pt>
                      <c:pt idx="71">
                        <c:v>874</c:v>
                      </c:pt>
                      <c:pt idx="72">
                        <c:v>882</c:v>
                      </c:pt>
                      <c:pt idx="73">
                        <c:v>890</c:v>
                      </c:pt>
                      <c:pt idx="74">
                        <c:v>898</c:v>
                      </c:pt>
                      <c:pt idx="75">
                        <c:v>906</c:v>
                      </c:pt>
                      <c:pt idx="76">
                        <c:v>914</c:v>
                      </c:pt>
                      <c:pt idx="77">
                        <c:v>922</c:v>
                      </c:pt>
                      <c:pt idx="78">
                        <c:v>930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EVALUATION!$B$138:$CP$138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-37.456036036036032</c:v>
                      </c:pt>
                      <c:pt idx="1">
                        <c:v>-36.754534534534535</c:v>
                      </c:pt>
                      <c:pt idx="2">
                        <c:v>-36.053033033033032</c:v>
                      </c:pt>
                      <c:pt idx="3">
                        <c:v>-35.351531531531528</c:v>
                      </c:pt>
                      <c:pt idx="4" formatCode="General">
                        <c:v>-34.77434131736527</c:v>
                      </c:pt>
                      <c:pt idx="5" formatCode="General">
                        <c:v>-34.225838323353294</c:v>
                      </c:pt>
                      <c:pt idx="6" formatCode="General">
                        <c:v>-33.677335329341318</c:v>
                      </c:pt>
                      <c:pt idx="7" formatCode="General">
                        <c:v>-33.128832335329342</c:v>
                      </c:pt>
                      <c:pt idx="8" formatCode="General">
                        <c:v>-32.657592814371256</c:v>
                      </c:pt>
                      <c:pt idx="9" formatCode="General">
                        <c:v>-32.230287425149697</c:v>
                      </c:pt>
                      <c:pt idx="10" formatCode="General">
                        <c:v>-31.802982035928146</c:v>
                      </c:pt>
                      <c:pt idx="11" formatCode="General">
                        <c:v>-31.375676646706587</c:v>
                      </c:pt>
                      <c:pt idx="12" formatCode="General">
                        <c:v>-30.997113772455091</c:v>
                      </c:pt>
                      <c:pt idx="13" formatCode="General">
                        <c:v>-30.675197604790419</c:v>
                      </c:pt>
                      <c:pt idx="14" formatCode="General">
                        <c:v>-30.353281437125748</c:v>
                      </c:pt>
                      <c:pt idx="15" formatCode="General">
                        <c:v>-30.031365269461077</c:v>
                      </c:pt>
                      <c:pt idx="16" formatCode="General">
                        <c:v>-29.749044910179641</c:v>
                      </c:pt>
                      <c:pt idx="17" formatCode="General">
                        <c:v>-29.564853293413172</c:v>
                      </c:pt>
                      <c:pt idx="18" formatCode="General">
                        <c:v>-29.380661676646707</c:v>
                      </c:pt>
                      <c:pt idx="19" formatCode="General">
                        <c:v>-29.196470059880241</c:v>
                      </c:pt>
                      <c:pt idx="20" formatCode="General">
                        <c:v>-29.031194610778446</c:v>
                      </c:pt>
                      <c:pt idx="21" formatCode="General">
                        <c:v>-29.015146706586826</c:v>
                      </c:pt>
                      <c:pt idx="22" formatCode="General">
                        <c:v>-28.99909880239521</c:v>
                      </c:pt>
                      <c:pt idx="23" formatCode="General">
                        <c:v>-28.983050898203594</c:v>
                      </c:pt>
                      <c:pt idx="24" formatCode="General">
                        <c:v>-28.967002994011978</c:v>
                      </c:pt>
                      <c:pt idx="25" formatCode="General">
                        <c:v>-29.170279279279281</c:v>
                      </c:pt>
                      <c:pt idx="26" formatCode="General">
                        <c:v>-29.388177177177177</c:v>
                      </c:pt>
                      <c:pt idx="27" formatCode="General">
                        <c:v>-29.606075075075076</c:v>
                      </c:pt>
                      <c:pt idx="28" formatCode="General">
                        <c:v>-29.823972972972971</c:v>
                      </c:pt>
                      <c:pt idx="29" formatCode="General">
                        <c:v>-29.965814371257483</c:v>
                      </c:pt>
                      <c:pt idx="30" formatCode="General">
                        <c:v>-30.085574850299402</c:v>
                      </c:pt>
                      <c:pt idx="31" formatCode="General">
                        <c:v>-30.205335329341317</c:v>
                      </c:pt>
                      <c:pt idx="32" formatCode="General">
                        <c:v>-30.325095808383235</c:v>
                      </c:pt>
                      <c:pt idx="33" formatCode="General">
                        <c:v>-30.453622754491018</c:v>
                      </c:pt>
                      <c:pt idx="34" formatCode="General">
                        <c:v>-30.587994011976047</c:v>
                      </c:pt>
                      <c:pt idx="35" formatCode="General">
                        <c:v>-30.722365269461079</c:v>
                      </c:pt>
                      <c:pt idx="36" formatCode="General">
                        <c:v>-30.856736526946108</c:v>
                      </c:pt>
                      <c:pt idx="37" formatCode="General">
                        <c:v>-30.990700598802395</c:v>
                      </c:pt>
                      <c:pt idx="38" formatCode="General">
                        <c:v>-31.12411377245509</c:v>
                      </c:pt>
                      <c:pt idx="39" formatCode="General">
                        <c:v>-31.257526946107784</c:v>
                      </c:pt>
                      <c:pt idx="40" formatCode="General">
                        <c:v>-31.390940119760479</c:v>
                      </c:pt>
                      <c:pt idx="41" formatCode="General">
                        <c:v>-31.524592814371257</c:v>
                      </c:pt>
                      <c:pt idx="42" formatCode="General">
                        <c:v>-31.658964071856285</c:v>
                      </c:pt>
                      <c:pt idx="43" formatCode="General">
                        <c:v>-31.793335329341318</c:v>
                      </c:pt>
                      <c:pt idx="44" formatCode="General">
                        <c:v>-31.927706586826346</c:v>
                      </c:pt>
                      <c:pt idx="45" formatCode="General">
                        <c:v>-32.062077844311375</c:v>
                      </c:pt>
                      <c:pt idx="46" formatCode="General">
                        <c:v>-32.196449101796411</c:v>
                      </c:pt>
                      <c:pt idx="47" formatCode="General">
                        <c:v>-32.330820359281439</c:v>
                      </c:pt>
                      <c:pt idx="48" formatCode="General">
                        <c:v>-32.465191616766468</c:v>
                      </c:pt>
                      <c:pt idx="49" formatCode="General">
                        <c:v>-32.599562874251497</c:v>
                      </c:pt>
                      <c:pt idx="50" formatCode="General">
                        <c:v>-32.727876404494381</c:v>
                      </c:pt>
                      <c:pt idx="51" formatCode="General">
                        <c:v>-32.855516853932585</c:v>
                      </c:pt>
                      <c:pt idx="52" formatCode="General">
                        <c:v>-32.983157303370788</c:v>
                      </c:pt>
                      <c:pt idx="53" formatCode="General">
                        <c:v>-33.110797752808992</c:v>
                      </c:pt>
                      <c:pt idx="54" formatCode="General">
                        <c:v>-33.238438202247195</c:v>
                      </c:pt>
                      <c:pt idx="55" formatCode="General">
                        <c:v>-33.366078651685392</c:v>
                      </c:pt>
                      <c:pt idx="56" formatCode="General">
                        <c:v>-33.493719101123595</c:v>
                      </c:pt>
                      <c:pt idx="57" formatCode="General">
                        <c:v>-33.621359550561799</c:v>
                      </c:pt>
                      <c:pt idx="58" formatCode="General">
                        <c:v>-33.749000000000002</c:v>
                      </c:pt>
                      <c:pt idx="59" formatCode="General">
                        <c:v>-33.876640449438206</c:v>
                      </c:pt>
                      <c:pt idx="60" formatCode="General">
                        <c:v>-34.004280898876409</c:v>
                      </c:pt>
                      <c:pt idx="61" formatCode="General">
                        <c:v>-34.131921348314606</c:v>
                      </c:pt>
                      <c:pt idx="62" formatCode="General">
                        <c:v>-34.259561797752809</c:v>
                      </c:pt>
                      <c:pt idx="63" formatCode="General">
                        <c:v>-34.387202247191013</c:v>
                      </c:pt>
                      <c:pt idx="64" formatCode="General">
                        <c:v>-34.514842696629216</c:v>
                      </c:pt>
                      <c:pt idx="65" formatCode="General">
                        <c:v>-34.64248314606742</c:v>
                      </c:pt>
                      <c:pt idx="66" formatCode="General">
                        <c:v>-34.768748314606746</c:v>
                      </c:pt>
                      <c:pt idx="67" formatCode="General">
                        <c:v>-34.88991685393259</c:v>
                      </c:pt>
                      <c:pt idx="68" formatCode="General">
                        <c:v>-35.011085393258426</c:v>
                      </c:pt>
                      <c:pt idx="69" formatCode="General">
                        <c:v>-35.13225393258427</c:v>
                      </c:pt>
                      <c:pt idx="70" formatCode="General">
                        <c:v>-35.253422471910113</c:v>
                      </c:pt>
                      <c:pt idx="71" formatCode="General">
                        <c:v>-35.374591011235957</c:v>
                      </c:pt>
                      <c:pt idx="72" formatCode="General">
                        <c:v>-35.4957595505618</c:v>
                      </c:pt>
                      <c:pt idx="73" formatCode="General">
                        <c:v>-35.616928089887644</c:v>
                      </c:pt>
                      <c:pt idx="74" formatCode="General">
                        <c:v>-35.738096629213487</c:v>
                      </c:pt>
                      <c:pt idx="75" formatCode="General">
                        <c:v>-35.859265168539331</c:v>
                      </c:pt>
                      <c:pt idx="76" formatCode="General">
                        <c:v>-35.980433707865167</c:v>
                      </c:pt>
                      <c:pt idx="77" formatCode="General">
                        <c:v>-36.101602247191011</c:v>
                      </c:pt>
                      <c:pt idx="78" formatCode="General">
                        <c:v>-36.222770786516854</c:v>
                      </c:pt>
                      <c:pt idx="79" formatCode="General">
                        <c:v>-36.343939325842697</c:v>
                      </c:pt>
                      <c:pt idx="80" formatCode="General">
                        <c:v>-36.465107865168541</c:v>
                      </c:pt>
                      <c:pt idx="81" formatCode="General">
                        <c:v>-36.586276404494384</c:v>
                      </c:pt>
                      <c:pt idx="82" formatCode="General">
                        <c:v>-36.707444943820228</c:v>
                      </c:pt>
                      <c:pt idx="83" formatCode="General">
                        <c:v>-36.825319819819818</c:v>
                      </c:pt>
                      <c:pt idx="84" formatCode="General">
                        <c:v>-36.940214714714713</c:v>
                      </c:pt>
                      <c:pt idx="85" formatCode="General">
                        <c:v>-37.055109609609609</c:v>
                      </c:pt>
                      <c:pt idx="86" formatCode="General">
                        <c:v>-37.170004504504504</c:v>
                      </c:pt>
                      <c:pt idx="87" formatCode="General">
                        <c:v>-8.1209504950495059</c:v>
                      </c:pt>
                      <c:pt idx="88" formatCode="General">
                        <c:v>-8.1466930693069308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B-022F-4A2F-976F-7C3C2CD148C5}"/>
                  </c:ext>
                </c:extLst>
              </c15:ser>
            </c15:filteredScatterSeries>
            <c15:filteredScatterSeries>
              <c15:ser>
                <c:idx val="36"/>
                <c:order val="38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306</c:v>
                      </c:pt>
                      <c:pt idx="1">
                        <c:v>314</c:v>
                      </c:pt>
                      <c:pt idx="2">
                        <c:v>322</c:v>
                      </c:pt>
                      <c:pt idx="3">
                        <c:v>330</c:v>
                      </c:pt>
                      <c:pt idx="4">
                        <c:v>338</c:v>
                      </c:pt>
                      <c:pt idx="5">
                        <c:v>346</c:v>
                      </c:pt>
                      <c:pt idx="6">
                        <c:v>354</c:v>
                      </c:pt>
                      <c:pt idx="7">
                        <c:v>362</c:v>
                      </c:pt>
                      <c:pt idx="8">
                        <c:v>370</c:v>
                      </c:pt>
                      <c:pt idx="9">
                        <c:v>378</c:v>
                      </c:pt>
                      <c:pt idx="10">
                        <c:v>386</c:v>
                      </c:pt>
                      <c:pt idx="11">
                        <c:v>394</c:v>
                      </c:pt>
                      <c:pt idx="12">
                        <c:v>402</c:v>
                      </c:pt>
                      <c:pt idx="13">
                        <c:v>410</c:v>
                      </c:pt>
                      <c:pt idx="14">
                        <c:v>418</c:v>
                      </c:pt>
                      <c:pt idx="15">
                        <c:v>426</c:v>
                      </c:pt>
                      <c:pt idx="16">
                        <c:v>434</c:v>
                      </c:pt>
                      <c:pt idx="17">
                        <c:v>442</c:v>
                      </c:pt>
                      <c:pt idx="18">
                        <c:v>450</c:v>
                      </c:pt>
                      <c:pt idx="19">
                        <c:v>458</c:v>
                      </c:pt>
                      <c:pt idx="20">
                        <c:v>466</c:v>
                      </c:pt>
                      <c:pt idx="21">
                        <c:v>474</c:v>
                      </c:pt>
                      <c:pt idx="22">
                        <c:v>482</c:v>
                      </c:pt>
                      <c:pt idx="23">
                        <c:v>490</c:v>
                      </c:pt>
                      <c:pt idx="24">
                        <c:v>498</c:v>
                      </c:pt>
                      <c:pt idx="25">
                        <c:v>506</c:v>
                      </c:pt>
                      <c:pt idx="26">
                        <c:v>514</c:v>
                      </c:pt>
                      <c:pt idx="27">
                        <c:v>522</c:v>
                      </c:pt>
                      <c:pt idx="28">
                        <c:v>530</c:v>
                      </c:pt>
                      <c:pt idx="29">
                        <c:v>538</c:v>
                      </c:pt>
                      <c:pt idx="30">
                        <c:v>546</c:v>
                      </c:pt>
                      <c:pt idx="31">
                        <c:v>554</c:v>
                      </c:pt>
                      <c:pt idx="32">
                        <c:v>562</c:v>
                      </c:pt>
                      <c:pt idx="33">
                        <c:v>570</c:v>
                      </c:pt>
                      <c:pt idx="34">
                        <c:v>578</c:v>
                      </c:pt>
                      <c:pt idx="35">
                        <c:v>586</c:v>
                      </c:pt>
                      <c:pt idx="36">
                        <c:v>594</c:v>
                      </c:pt>
                      <c:pt idx="37">
                        <c:v>602</c:v>
                      </c:pt>
                      <c:pt idx="38">
                        <c:v>610</c:v>
                      </c:pt>
                      <c:pt idx="39">
                        <c:v>618</c:v>
                      </c:pt>
                      <c:pt idx="40">
                        <c:v>626</c:v>
                      </c:pt>
                      <c:pt idx="41">
                        <c:v>634</c:v>
                      </c:pt>
                      <c:pt idx="42">
                        <c:v>642</c:v>
                      </c:pt>
                      <c:pt idx="43">
                        <c:v>650</c:v>
                      </c:pt>
                      <c:pt idx="44">
                        <c:v>658</c:v>
                      </c:pt>
                      <c:pt idx="45">
                        <c:v>666</c:v>
                      </c:pt>
                      <c:pt idx="46">
                        <c:v>674</c:v>
                      </c:pt>
                      <c:pt idx="47">
                        <c:v>682</c:v>
                      </c:pt>
                      <c:pt idx="48">
                        <c:v>690</c:v>
                      </c:pt>
                      <c:pt idx="49">
                        <c:v>698</c:v>
                      </c:pt>
                      <c:pt idx="50">
                        <c:v>706</c:v>
                      </c:pt>
                      <c:pt idx="51">
                        <c:v>714</c:v>
                      </c:pt>
                      <c:pt idx="52">
                        <c:v>722</c:v>
                      </c:pt>
                      <c:pt idx="53">
                        <c:v>730</c:v>
                      </c:pt>
                      <c:pt idx="54">
                        <c:v>738</c:v>
                      </c:pt>
                      <c:pt idx="55">
                        <c:v>746</c:v>
                      </c:pt>
                      <c:pt idx="56">
                        <c:v>754</c:v>
                      </c:pt>
                      <c:pt idx="57">
                        <c:v>762</c:v>
                      </c:pt>
                      <c:pt idx="58">
                        <c:v>770</c:v>
                      </c:pt>
                      <c:pt idx="59">
                        <c:v>778</c:v>
                      </c:pt>
                      <c:pt idx="60">
                        <c:v>786</c:v>
                      </c:pt>
                      <c:pt idx="61">
                        <c:v>794</c:v>
                      </c:pt>
                      <c:pt idx="62">
                        <c:v>802</c:v>
                      </c:pt>
                      <c:pt idx="63">
                        <c:v>810</c:v>
                      </c:pt>
                      <c:pt idx="64">
                        <c:v>818</c:v>
                      </c:pt>
                      <c:pt idx="65">
                        <c:v>826</c:v>
                      </c:pt>
                      <c:pt idx="66">
                        <c:v>834</c:v>
                      </c:pt>
                      <c:pt idx="67">
                        <c:v>842</c:v>
                      </c:pt>
                      <c:pt idx="68">
                        <c:v>850</c:v>
                      </c:pt>
                      <c:pt idx="69">
                        <c:v>858</c:v>
                      </c:pt>
                      <c:pt idx="70">
                        <c:v>866</c:v>
                      </c:pt>
                      <c:pt idx="71">
                        <c:v>874</c:v>
                      </c:pt>
                      <c:pt idx="72">
                        <c:v>882</c:v>
                      </c:pt>
                      <c:pt idx="73">
                        <c:v>890</c:v>
                      </c:pt>
                      <c:pt idx="74">
                        <c:v>898</c:v>
                      </c:pt>
                      <c:pt idx="75">
                        <c:v>906</c:v>
                      </c:pt>
                      <c:pt idx="76">
                        <c:v>914</c:v>
                      </c:pt>
                      <c:pt idx="77">
                        <c:v>922</c:v>
                      </c:pt>
                      <c:pt idx="78">
                        <c:v>930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EVALUATION!$B$139:$CP$139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-184.14450450450451</c:v>
                      </c:pt>
                      <c:pt idx="1">
                        <c:v>-180.19015015015015</c:v>
                      </c:pt>
                      <c:pt idx="2">
                        <c:v>-176.23579579579581</c:v>
                      </c:pt>
                      <c:pt idx="3">
                        <c:v>-172.28144144144147</c:v>
                      </c:pt>
                      <c:pt idx="4" formatCode="General">
                        <c:v>-168.94194610778445</c:v>
                      </c:pt>
                      <c:pt idx="5" formatCode="General">
                        <c:v>-165.74434131736527</c:v>
                      </c:pt>
                      <c:pt idx="6" formatCode="General">
                        <c:v>-162.54673652694612</c:v>
                      </c:pt>
                      <c:pt idx="7" formatCode="General">
                        <c:v>-159.34913173652694</c:v>
                      </c:pt>
                      <c:pt idx="8" formatCode="General">
                        <c:v>-156.51188622754489</c:v>
                      </c:pt>
                      <c:pt idx="9" formatCode="General">
                        <c:v>-153.87955089820358</c:v>
                      </c:pt>
                      <c:pt idx="10" formatCode="General">
                        <c:v>-151.24721556886226</c:v>
                      </c:pt>
                      <c:pt idx="11" formatCode="General">
                        <c:v>-148.61488023952094</c:v>
                      </c:pt>
                      <c:pt idx="12" formatCode="General">
                        <c:v>-146.17973053892214</c:v>
                      </c:pt>
                      <c:pt idx="13" formatCode="General">
                        <c:v>-143.97374251497007</c:v>
                      </c:pt>
                      <c:pt idx="14" formatCode="General">
                        <c:v>-141.76775449101797</c:v>
                      </c:pt>
                      <c:pt idx="15" formatCode="General">
                        <c:v>-139.56176646706587</c:v>
                      </c:pt>
                      <c:pt idx="16" formatCode="General">
                        <c:v>-137.45494011976049</c:v>
                      </c:pt>
                      <c:pt idx="17" formatCode="General">
                        <c:v>-135.59386227544911</c:v>
                      </c:pt>
                      <c:pt idx="18" formatCode="General">
                        <c:v>-133.73278443113773</c:v>
                      </c:pt>
                      <c:pt idx="19" formatCode="General">
                        <c:v>-131.87170658682635</c:v>
                      </c:pt>
                      <c:pt idx="20" formatCode="General">
                        <c:v>-130.04404191616766</c:v>
                      </c:pt>
                      <c:pt idx="21" formatCode="General">
                        <c:v>-128.47997005988023</c:v>
                      </c:pt>
                      <c:pt idx="22" formatCode="General">
                        <c:v>-126.91589820359282</c:v>
                      </c:pt>
                      <c:pt idx="23" formatCode="General">
                        <c:v>-125.35182634730539</c:v>
                      </c:pt>
                      <c:pt idx="24" formatCode="General">
                        <c:v>-123.78775449101796</c:v>
                      </c:pt>
                      <c:pt idx="25" formatCode="General">
                        <c:v>-123.46702702702703</c:v>
                      </c:pt>
                      <c:pt idx="26" formatCode="General">
                        <c:v>-123.22918918918919</c:v>
                      </c:pt>
                      <c:pt idx="27" formatCode="General">
                        <c:v>-122.99135135135135</c:v>
                      </c:pt>
                      <c:pt idx="28" formatCode="General">
                        <c:v>-122.75351351351351</c:v>
                      </c:pt>
                      <c:pt idx="29" formatCode="General">
                        <c:v>-123.46293413173653</c:v>
                      </c:pt>
                      <c:pt idx="30" formatCode="General">
                        <c:v>-124.44736526946109</c:v>
                      </c:pt>
                      <c:pt idx="31" formatCode="General">
                        <c:v>-125.43179640718563</c:v>
                      </c:pt>
                      <c:pt idx="32" formatCode="General">
                        <c:v>-126.41622754491017</c:v>
                      </c:pt>
                      <c:pt idx="33" formatCode="General">
                        <c:v>-127.39922155688622</c:v>
                      </c:pt>
                      <c:pt idx="34" formatCode="General">
                        <c:v>-128.38125748502995</c:v>
                      </c:pt>
                      <c:pt idx="35" formatCode="General">
                        <c:v>-129.36329341317364</c:v>
                      </c:pt>
                      <c:pt idx="36" formatCode="General">
                        <c:v>-130.34532934131735</c:v>
                      </c:pt>
                      <c:pt idx="37" formatCode="General">
                        <c:v>-131.31718562874252</c:v>
                      </c:pt>
                      <c:pt idx="38" formatCode="General">
                        <c:v>-132.27526946107784</c:v>
                      </c:pt>
                      <c:pt idx="39" formatCode="General">
                        <c:v>-133.23335329341316</c:v>
                      </c:pt>
                      <c:pt idx="40" formatCode="General">
                        <c:v>-134.19143712574851</c:v>
                      </c:pt>
                      <c:pt idx="41" formatCode="General">
                        <c:v>-135.14592814371258</c:v>
                      </c:pt>
                      <c:pt idx="42" formatCode="General">
                        <c:v>-136.08964071856286</c:v>
                      </c:pt>
                      <c:pt idx="43" formatCode="General">
                        <c:v>-137.03335329341317</c:v>
                      </c:pt>
                      <c:pt idx="44" formatCode="General">
                        <c:v>-137.97706586826348</c:v>
                      </c:pt>
                      <c:pt idx="45" formatCode="General">
                        <c:v>-138.91970059880239</c:v>
                      </c:pt>
                      <c:pt idx="46" formatCode="General">
                        <c:v>-139.84904191616766</c:v>
                      </c:pt>
                      <c:pt idx="47" formatCode="General">
                        <c:v>-140.77838323353294</c:v>
                      </c:pt>
                      <c:pt idx="48" formatCode="General">
                        <c:v>-141.70772455089821</c:v>
                      </c:pt>
                      <c:pt idx="49" formatCode="General">
                        <c:v>-142.63706586826348</c:v>
                      </c:pt>
                      <c:pt idx="50" formatCode="General">
                        <c:v>-143.50932584269663</c:v>
                      </c:pt>
                      <c:pt idx="51" formatCode="General">
                        <c:v>-144.37524344569289</c:v>
                      </c:pt>
                      <c:pt idx="52" formatCode="General">
                        <c:v>-145.24116104868915</c:v>
                      </c:pt>
                      <c:pt idx="53" formatCode="General">
                        <c:v>-146.10707865168538</c:v>
                      </c:pt>
                      <c:pt idx="54" formatCode="General">
                        <c:v>-146.97299625468165</c:v>
                      </c:pt>
                      <c:pt idx="55" formatCode="General">
                        <c:v>-147.83891385767791</c:v>
                      </c:pt>
                      <c:pt idx="56" formatCode="General">
                        <c:v>-148.70483146067417</c:v>
                      </c:pt>
                      <c:pt idx="57" formatCode="General">
                        <c:v>-149.57074906367041</c:v>
                      </c:pt>
                      <c:pt idx="58" formatCode="General">
                        <c:v>-150.43666666666667</c:v>
                      </c:pt>
                      <c:pt idx="59" formatCode="General">
                        <c:v>-151.30258426966293</c:v>
                      </c:pt>
                      <c:pt idx="60" formatCode="General">
                        <c:v>-152.16850187265919</c:v>
                      </c:pt>
                      <c:pt idx="61" formatCode="General">
                        <c:v>-153.03441947565543</c:v>
                      </c:pt>
                      <c:pt idx="62" formatCode="General">
                        <c:v>-153.90033707865169</c:v>
                      </c:pt>
                      <c:pt idx="63" formatCode="General">
                        <c:v>-154.76625468164795</c:v>
                      </c:pt>
                      <c:pt idx="64" formatCode="General">
                        <c:v>-155.63217228464421</c:v>
                      </c:pt>
                      <c:pt idx="65" formatCode="General">
                        <c:v>-156.49808988764045</c:v>
                      </c:pt>
                      <c:pt idx="66" formatCode="General">
                        <c:v>-157.34146816479401</c:v>
                      </c:pt>
                      <c:pt idx="67" formatCode="General">
                        <c:v>-158.10131835205993</c:v>
                      </c:pt>
                      <c:pt idx="68" formatCode="General">
                        <c:v>-158.86116853932586</c:v>
                      </c:pt>
                      <c:pt idx="69" formatCode="General">
                        <c:v>-159.62101872659179</c:v>
                      </c:pt>
                      <c:pt idx="70" formatCode="General">
                        <c:v>-160.38086891385768</c:v>
                      </c:pt>
                      <c:pt idx="71" formatCode="General">
                        <c:v>-161.14071910112361</c:v>
                      </c:pt>
                      <c:pt idx="72" formatCode="General">
                        <c:v>-161.90056928838953</c:v>
                      </c:pt>
                      <c:pt idx="73" formatCode="General">
                        <c:v>-162.66041947565543</c:v>
                      </c:pt>
                      <c:pt idx="74" formatCode="General">
                        <c:v>-163.42026966292136</c:v>
                      </c:pt>
                      <c:pt idx="75" formatCode="General">
                        <c:v>-164.18011985018728</c:v>
                      </c:pt>
                      <c:pt idx="76" formatCode="General">
                        <c:v>-164.93997003745321</c:v>
                      </c:pt>
                      <c:pt idx="77" formatCode="General">
                        <c:v>-165.6998202247191</c:v>
                      </c:pt>
                      <c:pt idx="78" formatCode="General">
                        <c:v>-166.45967041198503</c:v>
                      </c:pt>
                      <c:pt idx="79" formatCode="General">
                        <c:v>-167.21952059925096</c:v>
                      </c:pt>
                      <c:pt idx="80" formatCode="General">
                        <c:v>-167.97937078651688</c:v>
                      </c:pt>
                      <c:pt idx="81" formatCode="General">
                        <c:v>-168.73922097378278</c:v>
                      </c:pt>
                      <c:pt idx="82" formatCode="General">
                        <c:v>-169.4990711610487</c:v>
                      </c:pt>
                      <c:pt idx="83" formatCode="General">
                        <c:v>-170.1970720720721</c:v>
                      </c:pt>
                      <c:pt idx="84" formatCode="General">
                        <c:v>-170.83911411411412</c:v>
                      </c:pt>
                      <c:pt idx="85" formatCode="General">
                        <c:v>-171.48115615615617</c:v>
                      </c:pt>
                      <c:pt idx="86" formatCode="General">
                        <c:v>-172.12319819819822</c:v>
                      </c:pt>
                      <c:pt idx="87" formatCode="General">
                        <c:v>-19.85920792079208</c:v>
                      </c:pt>
                      <c:pt idx="88" formatCode="General">
                        <c:v>-19.871089108910891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C-022F-4A2F-976F-7C3C2CD148C5}"/>
                  </c:ext>
                </c:extLst>
              </c15:ser>
            </c15:filteredScatterSeries>
            <c15:filteredScatterSeries>
              <c15:ser>
                <c:idx val="37"/>
                <c:order val="39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306</c:v>
                      </c:pt>
                      <c:pt idx="1">
                        <c:v>314</c:v>
                      </c:pt>
                      <c:pt idx="2">
                        <c:v>322</c:v>
                      </c:pt>
                      <c:pt idx="3">
                        <c:v>330</c:v>
                      </c:pt>
                      <c:pt idx="4">
                        <c:v>338</c:v>
                      </c:pt>
                      <c:pt idx="5">
                        <c:v>346</c:v>
                      </c:pt>
                      <c:pt idx="6">
                        <c:v>354</c:v>
                      </c:pt>
                      <c:pt idx="7">
                        <c:v>362</c:v>
                      </c:pt>
                      <c:pt idx="8">
                        <c:v>370</c:v>
                      </c:pt>
                      <c:pt idx="9">
                        <c:v>378</c:v>
                      </c:pt>
                      <c:pt idx="10">
                        <c:v>386</c:v>
                      </c:pt>
                      <c:pt idx="11">
                        <c:v>394</c:v>
                      </c:pt>
                      <c:pt idx="12">
                        <c:v>402</c:v>
                      </c:pt>
                      <c:pt idx="13">
                        <c:v>410</c:v>
                      </c:pt>
                      <c:pt idx="14">
                        <c:v>418</c:v>
                      </c:pt>
                      <c:pt idx="15">
                        <c:v>426</c:v>
                      </c:pt>
                      <c:pt idx="16">
                        <c:v>434</c:v>
                      </c:pt>
                      <c:pt idx="17">
                        <c:v>442</c:v>
                      </c:pt>
                      <c:pt idx="18">
                        <c:v>450</c:v>
                      </c:pt>
                      <c:pt idx="19">
                        <c:v>458</c:v>
                      </c:pt>
                      <c:pt idx="20">
                        <c:v>466</c:v>
                      </c:pt>
                      <c:pt idx="21">
                        <c:v>474</c:v>
                      </c:pt>
                      <c:pt idx="22">
                        <c:v>482</c:v>
                      </c:pt>
                      <c:pt idx="23">
                        <c:v>490</c:v>
                      </c:pt>
                      <c:pt idx="24">
                        <c:v>498</c:v>
                      </c:pt>
                      <c:pt idx="25">
                        <c:v>506</c:v>
                      </c:pt>
                      <c:pt idx="26">
                        <c:v>514</c:v>
                      </c:pt>
                      <c:pt idx="27">
                        <c:v>522</c:v>
                      </c:pt>
                      <c:pt idx="28">
                        <c:v>530</c:v>
                      </c:pt>
                      <c:pt idx="29">
                        <c:v>538</c:v>
                      </c:pt>
                      <c:pt idx="30">
                        <c:v>546</c:v>
                      </c:pt>
                      <c:pt idx="31">
                        <c:v>554</c:v>
                      </c:pt>
                      <c:pt idx="32">
                        <c:v>562</c:v>
                      </c:pt>
                      <c:pt idx="33">
                        <c:v>570</c:v>
                      </c:pt>
                      <c:pt idx="34">
                        <c:v>578</c:v>
                      </c:pt>
                      <c:pt idx="35">
                        <c:v>586</c:v>
                      </c:pt>
                      <c:pt idx="36">
                        <c:v>594</c:v>
                      </c:pt>
                      <c:pt idx="37">
                        <c:v>602</c:v>
                      </c:pt>
                      <c:pt idx="38">
                        <c:v>610</c:v>
                      </c:pt>
                      <c:pt idx="39">
                        <c:v>618</c:v>
                      </c:pt>
                      <c:pt idx="40">
                        <c:v>626</c:v>
                      </c:pt>
                      <c:pt idx="41">
                        <c:v>634</c:v>
                      </c:pt>
                      <c:pt idx="42">
                        <c:v>642</c:v>
                      </c:pt>
                      <c:pt idx="43">
                        <c:v>650</c:v>
                      </c:pt>
                      <c:pt idx="44">
                        <c:v>658</c:v>
                      </c:pt>
                      <c:pt idx="45">
                        <c:v>666</c:v>
                      </c:pt>
                      <c:pt idx="46">
                        <c:v>674</c:v>
                      </c:pt>
                      <c:pt idx="47">
                        <c:v>682</c:v>
                      </c:pt>
                      <c:pt idx="48">
                        <c:v>690</c:v>
                      </c:pt>
                      <c:pt idx="49">
                        <c:v>698</c:v>
                      </c:pt>
                      <c:pt idx="50">
                        <c:v>706</c:v>
                      </c:pt>
                      <c:pt idx="51">
                        <c:v>714</c:v>
                      </c:pt>
                      <c:pt idx="52">
                        <c:v>722</c:v>
                      </c:pt>
                      <c:pt idx="53">
                        <c:v>730</c:v>
                      </c:pt>
                      <c:pt idx="54">
                        <c:v>738</c:v>
                      </c:pt>
                      <c:pt idx="55">
                        <c:v>746</c:v>
                      </c:pt>
                      <c:pt idx="56">
                        <c:v>754</c:v>
                      </c:pt>
                      <c:pt idx="57">
                        <c:v>762</c:v>
                      </c:pt>
                      <c:pt idx="58">
                        <c:v>770</c:v>
                      </c:pt>
                      <c:pt idx="59">
                        <c:v>778</c:v>
                      </c:pt>
                      <c:pt idx="60">
                        <c:v>786</c:v>
                      </c:pt>
                      <c:pt idx="61">
                        <c:v>794</c:v>
                      </c:pt>
                      <c:pt idx="62">
                        <c:v>802</c:v>
                      </c:pt>
                      <c:pt idx="63">
                        <c:v>810</c:v>
                      </c:pt>
                      <c:pt idx="64">
                        <c:v>818</c:v>
                      </c:pt>
                      <c:pt idx="65">
                        <c:v>826</c:v>
                      </c:pt>
                      <c:pt idx="66">
                        <c:v>834</c:v>
                      </c:pt>
                      <c:pt idx="67">
                        <c:v>842</c:v>
                      </c:pt>
                      <c:pt idx="68">
                        <c:v>850</c:v>
                      </c:pt>
                      <c:pt idx="69">
                        <c:v>858</c:v>
                      </c:pt>
                      <c:pt idx="70">
                        <c:v>866</c:v>
                      </c:pt>
                      <c:pt idx="71">
                        <c:v>874</c:v>
                      </c:pt>
                      <c:pt idx="72">
                        <c:v>882</c:v>
                      </c:pt>
                      <c:pt idx="73">
                        <c:v>890</c:v>
                      </c:pt>
                      <c:pt idx="74">
                        <c:v>898</c:v>
                      </c:pt>
                      <c:pt idx="75">
                        <c:v>906</c:v>
                      </c:pt>
                      <c:pt idx="76">
                        <c:v>914</c:v>
                      </c:pt>
                      <c:pt idx="77">
                        <c:v>922</c:v>
                      </c:pt>
                      <c:pt idx="78">
                        <c:v>930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EVALUATION!$B$140:$CP$140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-15.512792792792792</c:v>
                      </c:pt>
                      <c:pt idx="1">
                        <c:v>-15.013093093093092</c:v>
                      </c:pt>
                      <c:pt idx="2">
                        <c:v>-14.513393393393393</c:v>
                      </c:pt>
                      <c:pt idx="3">
                        <c:v>-14.013693693693693</c:v>
                      </c:pt>
                      <c:pt idx="4" formatCode="General">
                        <c:v>-13.456826347305389</c:v>
                      </c:pt>
                      <c:pt idx="5" formatCode="General">
                        <c:v>-12.886766467065867</c:v>
                      </c:pt>
                      <c:pt idx="6" formatCode="General">
                        <c:v>-12.316706586826346</c:v>
                      </c:pt>
                      <c:pt idx="7" formatCode="General">
                        <c:v>-11.746646706586823</c:v>
                      </c:pt>
                      <c:pt idx="8" formatCode="General">
                        <c:v>-11.204988023952094</c:v>
                      </c:pt>
                      <c:pt idx="9" formatCode="General">
                        <c:v>-10.679479041916167</c:v>
                      </c:pt>
                      <c:pt idx="10" formatCode="General">
                        <c:v>-10.153970059880239</c:v>
                      </c:pt>
                      <c:pt idx="11" formatCode="General">
                        <c:v>-9.628461077844312</c:v>
                      </c:pt>
                      <c:pt idx="12" formatCode="General">
                        <c:v>-9.1539101796407198</c:v>
                      </c:pt>
                      <c:pt idx="13" formatCode="General">
                        <c:v>-8.7385808383233528</c:v>
                      </c:pt>
                      <c:pt idx="14" formatCode="General">
                        <c:v>-8.3232514970059874</c:v>
                      </c:pt>
                      <c:pt idx="15" formatCode="General">
                        <c:v>-7.9079221556886221</c:v>
                      </c:pt>
                      <c:pt idx="16" formatCode="General">
                        <c:v>-7.5390748502994009</c:v>
                      </c:pt>
                      <c:pt idx="17" formatCode="General">
                        <c:v>-7.2854221556886225</c:v>
                      </c:pt>
                      <c:pt idx="18" formatCode="General">
                        <c:v>-7.031769461077845</c:v>
                      </c:pt>
                      <c:pt idx="19" formatCode="General">
                        <c:v>-6.7781167664670665</c:v>
                      </c:pt>
                      <c:pt idx="20" formatCode="General">
                        <c:v>-6.5428413173652693</c:v>
                      </c:pt>
                      <c:pt idx="21" formatCode="General">
                        <c:v>-6.4525419161676645</c:v>
                      </c:pt>
                      <c:pt idx="22" formatCode="General">
                        <c:v>-6.3622425149700597</c:v>
                      </c:pt>
                      <c:pt idx="23" formatCode="General">
                        <c:v>-6.2719431137724548</c:v>
                      </c:pt>
                      <c:pt idx="24" formatCode="General">
                        <c:v>-6.18164371257485</c:v>
                      </c:pt>
                      <c:pt idx="25" formatCode="General">
                        <c:v>-6.3239729729729737</c:v>
                      </c:pt>
                      <c:pt idx="26" formatCode="General">
                        <c:v>-6.4818108108108117</c:v>
                      </c:pt>
                      <c:pt idx="27" formatCode="General">
                        <c:v>-6.6396486486486497</c:v>
                      </c:pt>
                      <c:pt idx="28" formatCode="General">
                        <c:v>-6.7974864864864877</c:v>
                      </c:pt>
                      <c:pt idx="29" formatCode="General">
                        <c:v>-6.8348562874251497</c:v>
                      </c:pt>
                      <c:pt idx="30" formatCode="General">
                        <c:v>-6.8372514970059886</c:v>
                      </c:pt>
                      <c:pt idx="31" formatCode="General">
                        <c:v>-6.8396467065868265</c:v>
                      </c:pt>
                      <c:pt idx="32" formatCode="General">
                        <c:v>-6.8420419161676644</c:v>
                      </c:pt>
                      <c:pt idx="33" formatCode="General">
                        <c:v>-6.8517664670658682</c:v>
                      </c:pt>
                      <c:pt idx="34" formatCode="General">
                        <c:v>-6.866377245508982</c:v>
                      </c:pt>
                      <c:pt idx="35" formatCode="General">
                        <c:v>-6.8809880239520957</c:v>
                      </c:pt>
                      <c:pt idx="36" formatCode="General">
                        <c:v>-6.8955988023952095</c:v>
                      </c:pt>
                      <c:pt idx="37" formatCode="General">
                        <c:v>-6.911838323353293</c:v>
                      </c:pt>
                      <c:pt idx="38" formatCode="General">
                        <c:v>-6.930281437125748</c:v>
                      </c:pt>
                      <c:pt idx="39" formatCode="General">
                        <c:v>-6.9487245508982038</c:v>
                      </c:pt>
                      <c:pt idx="40" formatCode="General">
                        <c:v>-6.9671676646706588</c:v>
                      </c:pt>
                      <c:pt idx="41" formatCode="General">
                        <c:v>-6.9858502994011973</c:v>
                      </c:pt>
                      <c:pt idx="42" formatCode="General">
                        <c:v>-7.0052514970059878</c:v>
                      </c:pt>
                      <c:pt idx="43" formatCode="General">
                        <c:v>-7.0246526946107783</c:v>
                      </c:pt>
                      <c:pt idx="44" formatCode="General">
                        <c:v>-7.0440538922155689</c:v>
                      </c:pt>
                      <c:pt idx="45" formatCode="General">
                        <c:v>-7.0634550898203594</c:v>
                      </c:pt>
                      <c:pt idx="46" formatCode="General">
                        <c:v>-7.0828562874251499</c:v>
                      </c:pt>
                      <c:pt idx="47" formatCode="General">
                        <c:v>-7.1022574850299405</c:v>
                      </c:pt>
                      <c:pt idx="48" formatCode="General">
                        <c:v>-7.1216586826347301</c:v>
                      </c:pt>
                      <c:pt idx="49" formatCode="General">
                        <c:v>-7.1410598802395207</c:v>
                      </c:pt>
                      <c:pt idx="50" formatCode="General">
                        <c:v>-7.1602584269662923</c:v>
                      </c:pt>
                      <c:pt idx="51" formatCode="General">
                        <c:v>-7.1794344569288393</c:v>
                      </c:pt>
                      <c:pt idx="52" formatCode="General">
                        <c:v>-7.1986104868913854</c:v>
                      </c:pt>
                      <c:pt idx="53" formatCode="General">
                        <c:v>-7.2177865168539324</c:v>
                      </c:pt>
                      <c:pt idx="54" formatCode="General">
                        <c:v>-7.2369625468164793</c:v>
                      </c:pt>
                      <c:pt idx="55" formatCode="General">
                        <c:v>-7.2561385767790263</c:v>
                      </c:pt>
                      <c:pt idx="56" formatCode="General">
                        <c:v>-7.2753146067415733</c:v>
                      </c:pt>
                      <c:pt idx="57" formatCode="General">
                        <c:v>-7.2944906367041202</c:v>
                      </c:pt>
                      <c:pt idx="58" formatCode="General">
                        <c:v>-7.3136666666666663</c:v>
                      </c:pt>
                      <c:pt idx="59" formatCode="General">
                        <c:v>-7.3328426966292133</c:v>
                      </c:pt>
                      <c:pt idx="60" formatCode="General">
                        <c:v>-7.3520187265917603</c:v>
                      </c:pt>
                      <c:pt idx="61" formatCode="General">
                        <c:v>-7.3711947565543072</c:v>
                      </c:pt>
                      <c:pt idx="62" formatCode="General">
                        <c:v>-7.3903707865168542</c:v>
                      </c:pt>
                      <c:pt idx="63" formatCode="General">
                        <c:v>-7.4095468164794012</c:v>
                      </c:pt>
                      <c:pt idx="64" formatCode="General">
                        <c:v>-7.4287228464419481</c:v>
                      </c:pt>
                      <c:pt idx="65" formatCode="General">
                        <c:v>-7.4478988764044942</c:v>
                      </c:pt>
                      <c:pt idx="66" formatCode="General">
                        <c:v>-7.4668456928838953</c:v>
                      </c:pt>
                      <c:pt idx="67" formatCode="General">
                        <c:v>-7.484943071161049</c:v>
                      </c:pt>
                      <c:pt idx="68" formatCode="General">
                        <c:v>-7.5030404494382026</c:v>
                      </c:pt>
                      <c:pt idx="69" formatCode="General">
                        <c:v>-7.5211378277153562</c:v>
                      </c:pt>
                      <c:pt idx="70" formatCode="General">
                        <c:v>-7.5392352059925098</c:v>
                      </c:pt>
                      <c:pt idx="71" formatCode="General">
                        <c:v>-7.5573325842696626</c:v>
                      </c:pt>
                      <c:pt idx="72" formatCode="General">
                        <c:v>-7.5754299625468162</c:v>
                      </c:pt>
                      <c:pt idx="73" formatCode="General">
                        <c:v>-7.5935273408239699</c:v>
                      </c:pt>
                      <c:pt idx="74" formatCode="General">
                        <c:v>-7.6116247191011235</c:v>
                      </c:pt>
                      <c:pt idx="75" formatCode="General">
                        <c:v>-7.6297220973782771</c:v>
                      </c:pt>
                      <c:pt idx="76" formatCode="General">
                        <c:v>-7.6478194756554307</c:v>
                      </c:pt>
                      <c:pt idx="77" formatCode="General">
                        <c:v>-7.6659168539325844</c:v>
                      </c:pt>
                      <c:pt idx="78" formatCode="General">
                        <c:v>-7.684014232209738</c:v>
                      </c:pt>
                      <c:pt idx="79" formatCode="General">
                        <c:v>-7.7021116104868916</c:v>
                      </c:pt>
                      <c:pt idx="80" formatCode="General">
                        <c:v>-7.7202089887640444</c:v>
                      </c:pt>
                      <c:pt idx="81" formatCode="General">
                        <c:v>-7.738306367041198</c:v>
                      </c:pt>
                      <c:pt idx="82" formatCode="General">
                        <c:v>-7.7564037453183516</c:v>
                      </c:pt>
                      <c:pt idx="83" formatCode="General">
                        <c:v>-7.7739234234234234</c:v>
                      </c:pt>
                      <c:pt idx="84" formatCode="General">
                        <c:v>-7.7909204204204201</c:v>
                      </c:pt>
                      <c:pt idx="85" formatCode="General">
                        <c:v>-7.8079174174174168</c:v>
                      </c:pt>
                      <c:pt idx="86" formatCode="General">
                        <c:v>-7.8249144144144145</c:v>
                      </c:pt>
                      <c:pt idx="87" formatCode="General">
                        <c:v>-64.814138613861388</c:v>
                      </c:pt>
                      <c:pt idx="88" formatCode="General">
                        <c:v>-65.022059405940595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D-022F-4A2F-976F-7C3C2CD148C5}"/>
                  </c:ext>
                </c:extLst>
              </c15:ser>
            </c15:filteredScatterSeries>
            <c15:filteredScatterSeries>
              <c15:ser>
                <c:idx val="38"/>
                <c:order val="40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306</c:v>
                      </c:pt>
                      <c:pt idx="1">
                        <c:v>314</c:v>
                      </c:pt>
                      <c:pt idx="2">
                        <c:v>322</c:v>
                      </c:pt>
                      <c:pt idx="3">
                        <c:v>330</c:v>
                      </c:pt>
                      <c:pt idx="4">
                        <c:v>338</c:v>
                      </c:pt>
                      <c:pt idx="5">
                        <c:v>346</c:v>
                      </c:pt>
                      <c:pt idx="6">
                        <c:v>354</c:v>
                      </c:pt>
                      <c:pt idx="7">
                        <c:v>362</c:v>
                      </c:pt>
                      <c:pt idx="8">
                        <c:v>370</c:v>
                      </c:pt>
                      <c:pt idx="9">
                        <c:v>378</c:v>
                      </c:pt>
                      <c:pt idx="10">
                        <c:v>386</c:v>
                      </c:pt>
                      <c:pt idx="11">
                        <c:v>394</c:v>
                      </c:pt>
                      <c:pt idx="12">
                        <c:v>402</c:v>
                      </c:pt>
                      <c:pt idx="13">
                        <c:v>410</c:v>
                      </c:pt>
                      <c:pt idx="14">
                        <c:v>418</c:v>
                      </c:pt>
                      <c:pt idx="15">
                        <c:v>426</c:v>
                      </c:pt>
                      <c:pt idx="16">
                        <c:v>434</c:v>
                      </c:pt>
                      <c:pt idx="17">
                        <c:v>442</c:v>
                      </c:pt>
                      <c:pt idx="18">
                        <c:v>450</c:v>
                      </c:pt>
                      <c:pt idx="19">
                        <c:v>458</c:v>
                      </c:pt>
                      <c:pt idx="20">
                        <c:v>466</c:v>
                      </c:pt>
                      <c:pt idx="21">
                        <c:v>474</c:v>
                      </c:pt>
                      <c:pt idx="22">
                        <c:v>482</c:v>
                      </c:pt>
                      <c:pt idx="23">
                        <c:v>490</c:v>
                      </c:pt>
                      <c:pt idx="24">
                        <c:v>498</c:v>
                      </c:pt>
                      <c:pt idx="25">
                        <c:v>506</c:v>
                      </c:pt>
                      <c:pt idx="26">
                        <c:v>514</c:v>
                      </c:pt>
                      <c:pt idx="27">
                        <c:v>522</c:v>
                      </c:pt>
                      <c:pt idx="28">
                        <c:v>530</c:v>
                      </c:pt>
                      <c:pt idx="29">
                        <c:v>538</c:v>
                      </c:pt>
                      <c:pt idx="30">
                        <c:v>546</c:v>
                      </c:pt>
                      <c:pt idx="31">
                        <c:v>554</c:v>
                      </c:pt>
                      <c:pt idx="32">
                        <c:v>562</c:v>
                      </c:pt>
                      <c:pt idx="33">
                        <c:v>570</c:v>
                      </c:pt>
                      <c:pt idx="34">
                        <c:v>578</c:v>
                      </c:pt>
                      <c:pt idx="35">
                        <c:v>586</c:v>
                      </c:pt>
                      <c:pt idx="36">
                        <c:v>594</c:v>
                      </c:pt>
                      <c:pt idx="37">
                        <c:v>602</c:v>
                      </c:pt>
                      <c:pt idx="38">
                        <c:v>610</c:v>
                      </c:pt>
                      <c:pt idx="39">
                        <c:v>618</c:v>
                      </c:pt>
                      <c:pt idx="40">
                        <c:v>626</c:v>
                      </c:pt>
                      <c:pt idx="41">
                        <c:v>634</c:v>
                      </c:pt>
                      <c:pt idx="42">
                        <c:v>642</c:v>
                      </c:pt>
                      <c:pt idx="43">
                        <c:v>650</c:v>
                      </c:pt>
                      <c:pt idx="44">
                        <c:v>658</c:v>
                      </c:pt>
                      <c:pt idx="45">
                        <c:v>666</c:v>
                      </c:pt>
                      <c:pt idx="46">
                        <c:v>674</c:v>
                      </c:pt>
                      <c:pt idx="47">
                        <c:v>682</c:v>
                      </c:pt>
                      <c:pt idx="48">
                        <c:v>690</c:v>
                      </c:pt>
                      <c:pt idx="49">
                        <c:v>698</c:v>
                      </c:pt>
                      <c:pt idx="50">
                        <c:v>706</c:v>
                      </c:pt>
                      <c:pt idx="51">
                        <c:v>714</c:v>
                      </c:pt>
                      <c:pt idx="52">
                        <c:v>722</c:v>
                      </c:pt>
                      <c:pt idx="53">
                        <c:v>730</c:v>
                      </c:pt>
                      <c:pt idx="54">
                        <c:v>738</c:v>
                      </c:pt>
                      <c:pt idx="55">
                        <c:v>746</c:v>
                      </c:pt>
                      <c:pt idx="56">
                        <c:v>754</c:v>
                      </c:pt>
                      <c:pt idx="57">
                        <c:v>762</c:v>
                      </c:pt>
                      <c:pt idx="58">
                        <c:v>770</c:v>
                      </c:pt>
                      <c:pt idx="59">
                        <c:v>778</c:v>
                      </c:pt>
                      <c:pt idx="60">
                        <c:v>786</c:v>
                      </c:pt>
                      <c:pt idx="61">
                        <c:v>794</c:v>
                      </c:pt>
                      <c:pt idx="62">
                        <c:v>802</c:v>
                      </c:pt>
                      <c:pt idx="63">
                        <c:v>810</c:v>
                      </c:pt>
                      <c:pt idx="64">
                        <c:v>818</c:v>
                      </c:pt>
                      <c:pt idx="65">
                        <c:v>826</c:v>
                      </c:pt>
                      <c:pt idx="66">
                        <c:v>834</c:v>
                      </c:pt>
                      <c:pt idx="67">
                        <c:v>842</c:v>
                      </c:pt>
                      <c:pt idx="68">
                        <c:v>850</c:v>
                      </c:pt>
                      <c:pt idx="69">
                        <c:v>858</c:v>
                      </c:pt>
                      <c:pt idx="70">
                        <c:v>866</c:v>
                      </c:pt>
                      <c:pt idx="71">
                        <c:v>874</c:v>
                      </c:pt>
                      <c:pt idx="72">
                        <c:v>882</c:v>
                      </c:pt>
                      <c:pt idx="73">
                        <c:v>890</c:v>
                      </c:pt>
                      <c:pt idx="74">
                        <c:v>898</c:v>
                      </c:pt>
                      <c:pt idx="75">
                        <c:v>906</c:v>
                      </c:pt>
                      <c:pt idx="76">
                        <c:v>914</c:v>
                      </c:pt>
                      <c:pt idx="77">
                        <c:v>922</c:v>
                      </c:pt>
                      <c:pt idx="78">
                        <c:v>930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EVALUATION!$B$141:$CP$141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-59.157387387387388</c:v>
                      </c:pt>
                      <c:pt idx="1">
                        <c:v>-57.482912912912909</c:v>
                      </c:pt>
                      <c:pt idx="2">
                        <c:v>-55.808438438438436</c:v>
                      </c:pt>
                      <c:pt idx="3">
                        <c:v>-54.133963963963964</c:v>
                      </c:pt>
                      <c:pt idx="4" formatCode="General">
                        <c:v>-52.494700598802396</c:v>
                      </c:pt>
                      <c:pt idx="5" formatCode="General">
                        <c:v>-50.863562874251492</c:v>
                      </c:pt>
                      <c:pt idx="6" formatCode="General">
                        <c:v>-49.232425149700596</c:v>
                      </c:pt>
                      <c:pt idx="7" formatCode="General">
                        <c:v>-47.601287425149692</c:v>
                      </c:pt>
                      <c:pt idx="8" formatCode="General">
                        <c:v>-46.077035928143708</c:v>
                      </c:pt>
                      <c:pt idx="9" formatCode="General">
                        <c:v>-44.613562874251492</c:v>
                      </c:pt>
                      <c:pt idx="10" formatCode="General">
                        <c:v>-43.150089820359277</c:v>
                      </c:pt>
                      <c:pt idx="11" formatCode="General">
                        <c:v>-41.686616766467068</c:v>
                      </c:pt>
                      <c:pt idx="12" formatCode="General">
                        <c:v>-40.325059880239522</c:v>
                      </c:pt>
                      <c:pt idx="13" formatCode="General">
                        <c:v>-39.081946107784432</c:v>
                      </c:pt>
                      <c:pt idx="14" formatCode="General">
                        <c:v>-37.838832335329343</c:v>
                      </c:pt>
                      <c:pt idx="15" formatCode="General">
                        <c:v>-36.595718562874254</c:v>
                      </c:pt>
                      <c:pt idx="16" formatCode="General">
                        <c:v>-35.412514970059881</c:v>
                      </c:pt>
                      <c:pt idx="17" formatCode="General">
                        <c:v>-34.377784431137727</c:v>
                      </c:pt>
                      <c:pt idx="18" formatCode="General">
                        <c:v>-33.343053892215572</c:v>
                      </c:pt>
                      <c:pt idx="19" formatCode="General">
                        <c:v>-32.308323353293417</c:v>
                      </c:pt>
                      <c:pt idx="20" formatCode="General">
                        <c:v>-31.289491017964075</c:v>
                      </c:pt>
                      <c:pt idx="21" formatCode="General">
                        <c:v>-30.396077844311378</c:v>
                      </c:pt>
                      <c:pt idx="22" formatCode="General">
                        <c:v>-29.502664670658685</c:v>
                      </c:pt>
                      <c:pt idx="23" formatCode="General">
                        <c:v>-28.609251497005989</c:v>
                      </c:pt>
                      <c:pt idx="24" formatCode="General">
                        <c:v>-27.715838323353292</c:v>
                      </c:pt>
                      <c:pt idx="25" formatCode="General">
                        <c:v>-27.464054054054053</c:v>
                      </c:pt>
                      <c:pt idx="26" formatCode="General">
                        <c:v>-27.255045045045044</c:v>
                      </c:pt>
                      <c:pt idx="27" formatCode="General">
                        <c:v>-27.046036036036035</c:v>
                      </c:pt>
                      <c:pt idx="28" formatCode="General">
                        <c:v>-26.837027027027027</c:v>
                      </c:pt>
                      <c:pt idx="29" formatCode="General">
                        <c:v>-27.03502994011976</c:v>
                      </c:pt>
                      <c:pt idx="30" formatCode="General">
                        <c:v>-27.351197604790418</c:v>
                      </c:pt>
                      <c:pt idx="31" formatCode="General">
                        <c:v>-27.667365269461076</c:v>
                      </c:pt>
                      <c:pt idx="32" formatCode="General">
                        <c:v>-27.983532934131734</c:v>
                      </c:pt>
                      <c:pt idx="33" formatCode="General">
                        <c:v>-28.296826347305387</c:v>
                      </c:pt>
                      <c:pt idx="34" formatCode="General">
                        <c:v>-28.60820359281437</c:v>
                      </c:pt>
                      <c:pt idx="35" formatCode="General">
                        <c:v>-28.919580838323352</c:v>
                      </c:pt>
                      <c:pt idx="36" formatCode="General">
                        <c:v>-29.230958083832334</c:v>
                      </c:pt>
                      <c:pt idx="37" formatCode="General">
                        <c:v>-29.540299401197604</c:v>
                      </c:pt>
                      <c:pt idx="38" formatCode="General">
                        <c:v>-29.84688622754491</c:v>
                      </c:pt>
                      <c:pt idx="39" formatCode="General">
                        <c:v>-30.153473053892217</c:v>
                      </c:pt>
                      <c:pt idx="40" formatCode="General">
                        <c:v>-30.460059880239523</c:v>
                      </c:pt>
                      <c:pt idx="41" formatCode="General">
                        <c:v>-30.7648502994012</c:v>
                      </c:pt>
                      <c:pt idx="42" formatCode="General">
                        <c:v>-31.064251497005991</c:v>
                      </c:pt>
                      <c:pt idx="43" formatCode="General">
                        <c:v>-31.363652694610781</c:v>
                      </c:pt>
                      <c:pt idx="44" formatCode="General">
                        <c:v>-31.663053892215572</c:v>
                      </c:pt>
                      <c:pt idx="45" formatCode="General">
                        <c:v>-31.961916167664672</c:v>
                      </c:pt>
                      <c:pt idx="46" formatCode="General">
                        <c:v>-32.254131736526951</c:v>
                      </c:pt>
                      <c:pt idx="47" formatCode="General">
                        <c:v>-32.546347305389219</c:v>
                      </c:pt>
                      <c:pt idx="48" formatCode="General">
                        <c:v>-32.838562874251494</c:v>
                      </c:pt>
                      <c:pt idx="49" formatCode="General">
                        <c:v>-33.130778443113769</c:v>
                      </c:pt>
                      <c:pt idx="50" formatCode="General">
                        <c:v>-33.403235955056175</c:v>
                      </c:pt>
                      <c:pt idx="51" formatCode="General">
                        <c:v>-33.673498127340821</c:v>
                      </c:pt>
                      <c:pt idx="52" formatCode="General">
                        <c:v>-33.943760299625467</c:v>
                      </c:pt>
                      <c:pt idx="53" formatCode="General">
                        <c:v>-34.214022471910113</c:v>
                      </c:pt>
                      <c:pt idx="54" formatCode="General">
                        <c:v>-34.484284644194759</c:v>
                      </c:pt>
                      <c:pt idx="55" formatCode="General">
                        <c:v>-34.754546816479397</c:v>
                      </c:pt>
                      <c:pt idx="56" formatCode="General">
                        <c:v>-35.024808988764043</c:v>
                      </c:pt>
                      <c:pt idx="57" formatCode="General">
                        <c:v>-35.295071161048689</c:v>
                      </c:pt>
                      <c:pt idx="58" formatCode="General">
                        <c:v>-35.565333333333335</c:v>
                      </c:pt>
                      <c:pt idx="59" formatCode="General">
                        <c:v>-35.835595505617981</c:v>
                      </c:pt>
                      <c:pt idx="60" formatCode="General">
                        <c:v>-36.10585767790262</c:v>
                      </c:pt>
                      <c:pt idx="61" formatCode="General">
                        <c:v>-36.376119850187266</c:v>
                      </c:pt>
                      <c:pt idx="62" formatCode="General">
                        <c:v>-36.646382022471911</c:v>
                      </c:pt>
                      <c:pt idx="63" formatCode="General">
                        <c:v>-36.916644194756557</c:v>
                      </c:pt>
                      <c:pt idx="64" formatCode="General">
                        <c:v>-37.186906367041203</c:v>
                      </c:pt>
                      <c:pt idx="65" formatCode="General">
                        <c:v>-37.457168539325849</c:v>
                      </c:pt>
                      <c:pt idx="66" formatCode="General">
                        <c:v>-37.717880149812736</c:v>
                      </c:pt>
                      <c:pt idx="67" formatCode="General">
                        <c:v>-37.943198501872665</c:v>
                      </c:pt>
                      <c:pt idx="68" formatCode="General">
                        <c:v>-38.168516853932587</c:v>
                      </c:pt>
                      <c:pt idx="69" formatCode="General">
                        <c:v>-38.393835205992509</c:v>
                      </c:pt>
                      <c:pt idx="70" formatCode="General">
                        <c:v>-38.619153558052439</c:v>
                      </c:pt>
                      <c:pt idx="71" formatCode="General">
                        <c:v>-38.844471910112361</c:v>
                      </c:pt>
                      <c:pt idx="72" formatCode="General">
                        <c:v>-39.06979026217229</c:v>
                      </c:pt>
                      <c:pt idx="73" formatCode="General">
                        <c:v>-39.295108614232213</c:v>
                      </c:pt>
                      <c:pt idx="74" formatCode="General">
                        <c:v>-39.520426966292135</c:v>
                      </c:pt>
                      <c:pt idx="75" formatCode="General">
                        <c:v>-39.745745318352064</c:v>
                      </c:pt>
                      <c:pt idx="76" formatCode="General">
                        <c:v>-39.971063670411986</c:v>
                      </c:pt>
                      <c:pt idx="77" formatCode="General">
                        <c:v>-40.196382022471909</c:v>
                      </c:pt>
                      <c:pt idx="78" formatCode="General">
                        <c:v>-40.421700374531838</c:v>
                      </c:pt>
                      <c:pt idx="79" formatCode="General">
                        <c:v>-40.64701872659176</c:v>
                      </c:pt>
                      <c:pt idx="80" formatCode="General">
                        <c:v>-40.87233707865169</c:v>
                      </c:pt>
                      <c:pt idx="81" formatCode="General">
                        <c:v>-41.097655430711612</c:v>
                      </c:pt>
                      <c:pt idx="82" formatCode="General">
                        <c:v>-41.322973782771534</c:v>
                      </c:pt>
                      <c:pt idx="83" formatCode="General">
                        <c:v>-41.521441441441439</c:v>
                      </c:pt>
                      <c:pt idx="84" formatCode="General">
                        <c:v>-41.695615615615615</c:v>
                      </c:pt>
                      <c:pt idx="85" formatCode="General">
                        <c:v>-41.869789789789792</c:v>
                      </c:pt>
                      <c:pt idx="86" formatCode="General">
                        <c:v>-42.043963963963961</c:v>
                      </c:pt>
                      <c:pt idx="87" formatCode="General">
                        <c:v>-36.080475247524753</c:v>
                      </c:pt>
                      <c:pt idx="88" formatCode="General">
                        <c:v>-36.193346534653465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E-022F-4A2F-976F-7C3C2CD148C5}"/>
                  </c:ext>
                </c:extLst>
              </c15:ser>
            </c15:filteredScatterSeries>
            <c15:filteredScatterSeries>
              <c15:ser>
                <c:idx val="41"/>
                <c:order val="42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306</c:v>
                      </c:pt>
                      <c:pt idx="1">
                        <c:v>314</c:v>
                      </c:pt>
                      <c:pt idx="2">
                        <c:v>322</c:v>
                      </c:pt>
                      <c:pt idx="3">
                        <c:v>330</c:v>
                      </c:pt>
                      <c:pt idx="4">
                        <c:v>338</c:v>
                      </c:pt>
                      <c:pt idx="5">
                        <c:v>346</c:v>
                      </c:pt>
                      <c:pt idx="6">
                        <c:v>354</c:v>
                      </c:pt>
                      <c:pt idx="7">
                        <c:v>362</c:v>
                      </c:pt>
                      <c:pt idx="8">
                        <c:v>370</c:v>
                      </c:pt>
                      <c:pt idx="9">
                        <c:v>378</c:v>
                      </c:pt>
                      <c:pt idx="10">
                        <c:v>386</c:v>
                      </c:pt>
                      <c:pt idx="11">
                        <c:v>394</c:v>
                      </c:pt>
                      <c:pt idx="12">
                        <c:v>402</c:v>
                      </c:pt>
                      <c:pt idx="13">
                        <c:v>410</c:v>
                      </c:pt>
                      <c:pt idx="14">
                        <c:v>418</c:v>
                      </c:pt>
                      <c:pt idx="15">
                        <c:v>426</c:v>
                      </c:pt>
                      <c:pt idx="16">
                        <c:v>434</c:v>
                      </c:pt>
                      <c:pt idx="17">
                        <c:v>442</c:v>
                      </c:pt>
                      <c:pt idx="18">
                        <c:v>450</c:v>
                      </c:pt>
                      <c:pt idx="19">
                        <c:v>458</c:v>
                      </c:pt>
                      <c:pt idx="20">
                        <c:v>466</c:v>
                      </c:pt>
                      <c:pt idx="21">
                        <c:v>474</c:v>
                      </c:pt>
                      <c:pt idx="22">
                        <c:v>482</c:v>
                      </c:pt>
                      <c:pt idx="23">
                        <c:v>490</c:v>
                      </c:pt>
                      <c:pt idx="24">
                        <c:v>498</c:v>
                      </c:pt>
                      <c:pt idx="25">
                        <c:v>506</c:v>
                      </c:pt>
                      <c:pt idx="26">
                        <c:v>514</c:v>
                      </c:pt>
                      <c:pt idx="27">
                        <c:v>522</c:v>
                      </c:pt>
                      <c:pt idx="28">
                        <c:v>530</c:v>
                      </c:pt>
                      <c:pt idx="29">
                        <c:v>538</c:v>
                      </c:pt>
                      <c:pt idx="30">
                        <c:v>546</c:v>
                      </c:pt>
                      <c:pt idx="31">
                        <c:v>554</c:v>
                      </c:pt>
                      <c:pt idx="32">
                        <c:v>562</c:v>
                      </c:pt>
                      <c:pt idx="33">
                        <c:v>570</c:v>
                      </c:pt>
                      <c:pt idx="34">
                        <c:v>578</c:v>
                      </c:pt>
                      <c:pt idx="35">
                        <c:v>586</c:v>
                      </c:pt>
                      <c:pt idx="36">
                        <c:v>594</c:v>
                      </c:pt>
                      <c:pt idx="37">
                        <c:v>602</c:v>
                      </c:pt>
                      <c:pt idx="38">
                        <c:v>610</c:v>
                      </c:pt>
                      <c:pt idx="39">
                        <c:v>618</c:v>
                      </c:pt>
                      <c:pt idx="40">
                        <c:v>626</c:v>
                      </c:pt>
                      <c:pt idx="41">
                        <c:v>634</c:v>
                      </c:pt>
                      <c:pt idx="42">
                        <c:v>642</c:v>
                      </c:pt>
                      <c:pt idx="43">
                        <c:v>650</c:v>
                      </c:pt>
                      <c:pt idx="44">
                        <c:v>658</c:v>
                      </c:pt>
                      <c:pt idx="45">
                        <c:v>666</c:v>
                      </c:pt>
                      <c:pt idx="46">
                        <c:v>674</c:v>
                      </c:pt>
                      <c:pt idx="47">
                        <c:v>682</c:v>
                      </c:pt>
                      <c:pt idx="48">
                        <c:v>690</c:v>
                      </c:pt>
                      <c:pt idx="49">
                        <c:v>698</c:v>
                      </c:pt>
                      <c:pt idx="50">
                        <c:v>706</c:v>
                      </c:pt>
                      <c:pt idx="51">
                        <c:v>714</c:v>
                      </c:pt>
                      <c:pt idx="52">
                        <c:v>722</c:v>
                      </c:pt>
                      <c:pt idx="53">
                        <c:v>730</c:v>
                      </c:pt>
                      <c:pt idx="54">
                        <c:v>738</c:v>
                      </c:pt>
                      <c:pt idx="55">
                        <c:v>746</c:v>
                      </c:pt>
                      <c:pt idx="56">
                        <c:v>754</c:v>
                      </c:pt>
                      <c:pt idx="57">
                        <c:v>762</c:v>
                      </c:pt>
                      <c:pt idx="58">
                        <c:v>770</c:v>
                      </c:pt>
                      <c:pt idx="59">
                        <c:v>778</c:v>
                      </c:pt>
                      <c:pt idx="60">
                        <c:v>786</c:v>
                      </c:pt>
                      <c:pt idx="61">
                        <c:v>794</c:v>
                      </c:pt>
                      <c:pt idx="62">
                        <c:v>802</c:v>
                      </c:pt>
                      <c:pt idx="63">
                        <c:v>810</c:v>
                      </c:pt>
                      <c:pt idx="64">
                        <c:v>818</c:v>
                      </c:pt>
                      <c:pt idx="65">
                        <c:v>826</c:v>
                      </c:pt>
                      <c:pt idx="66">
                        <c:v>834</c:v>
                      </c:pt>
                      <c:pt idx="67">
                        <c:v>842</c:v>
                      </c:pt>
                      <c:pt idx="68">
                        <c:v>850</c:v>
                      </c:pt>
                      <c:pt idx="69">
                        <c:v>858</c:v>
                      </c:pt>
                      <c:pt idx="70">
                        <c:v>866</c:v>
                      </c:pt>
                      <c:pt idx="71">
                        <c:v>874</c:v>
                      </c:pt>
                      <c:pt idx="72">
                        <c:v>882</c:v>
                      </c:pt>
                      <c:pt idx="73">
                        <c:v>890</c:v>
                      </c:pt>
                      <c:pt idx="74">
                        <c:v>898</c:v>
                      </c:pt>
                      <c:pt idx="75">
                        <c:v>906</c:v>
                      </c:pt>
                      <c:pt idx="76">
                        <c:v>914</c:v>
                      </c:pt>
                      <c:pt idx="77">
                        <c:v>922</c:v>
                      </c:pt>
                      <c:pt idx="78">
                        <c:v>930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EVALUATION!$B$143:$CP$143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-21.943243243243245</c:v>
                      </c:pt>
                      <c:pt idx="1">
                        <c:v>-21.741441441441442</c:v>
                      </c:pt>
                      <c:pt idx="2">
                        <c:v>-21.539639639639642</c:v>
                      </c:pt>
                      <c:pt idx="3">
                        <c:v>-21.337837837837839</c:v>
                      </c:pt>
                      <c:pt idx="4" formatCode="General">
                        <c:v>-21.317514970059882</c:v>
                      </c:pt>
                      <c:pt idx="5" formatCode="General">
                        <c:v>-21.339071856287426</c:v>
                      </c:pt>
                      <c:pt idx="6" formatCode="General">
                        <c:v>-21.360628742514972</c:v>
                      </c:pt>
                      <c:pt idx="7" formatCode="General">
                        <c:v>-21.382185628742516</c:v>
                      </c:pt>
                      <c:pt idx="8" formatCode="General">
                        <c:v>-21.452604790419162</c:v>
                      </c:pt>
                      <c:pt idx="9" formatCode="General">
                        <c:v>-21.550808383233534</c:v>
                      </c:pt>
                      <c:pt idx="10" formatCode="General">
                        <c:v>-21.649011976047905</c:v>
                      </c:pt>
                      <c:pt idx="11" formatCode="General">
                        <c:v>-21.747215568862277</c:v>
                      </c:pt>
                      <c:pt idx="12" formatCode="General">
                        <c:v>-21.843203592814373</c:v>
                      </c:pt>
                      <c:pt idx="13" formatCode="General">
                        <c:v>-21.936616766467068</c:v>
                      </c:pt>
                      <c:pt idx="14" formatCode="General">
                        <c:v>-22.030029940119761</c:v>
                      </c:pt>
                      <c:pt idx="15" formatCode="General">
                        <c:v>-22.123443113772456</c:v>
                      </c:pt>
                      <c:pt idx="16" formatCode="General">
                        <c:v>-22.209970059880241</c:v>
                      </c:pt>
                      <c:pt idx="17" formatCode="General">
                        <c:v>-22.279431137724551</c:v>
                      </c:pt>
                      <c:pt idx="18" formatCode="General">
                        <c:v>-22.348892215568863</c:v>
                      </c:pt>
                      <c:pt idx="19" formatCode="General">
                        <c:v>-22.418353293413173</c:v>
                      </c:pt>
                      <c:pt idx="20" formatCode="General">
                        <c:v>-22.488353293413173</c:v>
                      </c:pt>
                      <c:pt idx="21" formatCode="General">
                        <c:v>-22.562604790419162</c:v>
                      </c:pt>
                      <c:pt idx="22" formatCode="General">
                        <c:v>-22.63685628742515</c:v>
                      </c:pt>
                      <c:pt idx="23" formatCode="General">
                        <c:v>-22.711107784431139</c:v>
                      </c:pt>
                      <c:pt idx="24" formatCode="General">
                        <c:v>-22.785359281437124</c:v>
                      </c:pt>
                      <c:pt idx="25" formatCode="General">
                        <c:v>-22.846306306306307</c:v>
                      </c:pt>
                      <c:pt idx="26" formatCode="General">
                        <c:v>-22.906366366366367</c:v>
                      </c:pt>
                      <c:pt idx="27" formatCode="General">
                        <c:v>-22.966426426426427</c:v>
                      </c:pt>
                      <c:pt idx="28" formatCode="General">
                        <c:v>-23.026486486486487</c:v>
                      </c:pt>
                      <c:pt idx="29" formatCode="General">
                        <c:v>-23.130958083832336</c:v>
                      </c:pt>
                      <c:pt idx="30" formatCode="General">
                        <c:v>-23.248323353293415</c:v>
                      </c:pt>
                      <c:pt idx="31" formatCode="General">
                        <c:v>-23.36568862275449</c:v>
                      </c:pt>
                      <c:pt idx="32" formatCode="General">
                        <c:v>-23.483053892215569</c:v>
                      </c:pt>
                      <c:pt idx="33" formatCode="General">
                        <c:v>-23.60185628742515</c:v>
                      </c:pt>
                      <c:pt idx="34" formatCode="General">
                        <c:v>-23.721616766467065</c:v>
                      </c:pt>
                      <c:pt idx="35" formatCode="General">
                        <c:v>-23.841377245508983</c:v>
                      </c:pt>
                      <c:pt idx="36" formatCode="General">
                        <c:v>-23.961137724550898</c:v>
                      </c:pt>
                      <c:pt idx="37" formatCode="General">
                        <c:v>-24.078862275449104</c:v>
                      </c:pt>
                      <c:pt idx="38" formatCode="General">
                        <c:v>-24.193832335329343</c:v>
                      </c:pt>
                      <c:pt idx="39" formatCode="General">
                        <c:v>-24.308802395209582</c:v>
                      </c:pt>
                      <c:pt idx="40" formatCode="General">
                        <c:v>-24.423772455089821</c:v>
                      </c:pt>
                      <c:pt idx="41" formatCode="General">
                        <c:v>-24.53874251497006</c:v>
                      </c:pt>
                      <c:pt idx="42" formatCode="General">
                        <c:v>-24.653712574850299</c:v>
                      </c:pt>
                      <c:pt idx="43" formatCode="General">
                        <c:v>-24.768682634730538</c:v>
                      </c:pt>
                      <c:pt idx="44" formatCode="General">
                        <c:v>-24.883652694610777</c:v>
                      </c:pt>
                      <c:pt idx="45" formatCode="General">
                        <c:v>-24.998622754491016</c:v>
                      </c:pt>
                      <c:pt idx="46" formatCode="General">
                        <c:v>-25.113592814371255</c:v>
                      </c:pt>
                      <c:pt idx="47" formatCode="General">
                        <c:v>-25.228562874251494</c:v>
                      </c:pt>
                      <c:pt idx="48" formatCode="General">
                        <c:v>-25.343532934131737</c:v>
                      </c:pt>
                      <c:pt idx="49" formatCode="General">
                        <c:v>-25.458502994011976</c:v>
                      </c:pt>
                      <c:pt idx="50" formatCode="General">
                        <c:v>-25.567617977528091</c:v>
                      </c:pt>
                      <c:pt idx="51" formatCode="General">
                        <c:v>-25.676082397003746</c:v>
                      </c:pt>
                      <c:pt idx="52" formatCode="General">
                        <c:v>-25.784546816479402</c:v>
                      </c:pt>
                      <c:pt idx="53" formatCode="General">
                        <c:v>-25.893011235955058</c:v>
                      </c:pt>
                      <c:pt idx="54" formatCode="General">
                        <c:v>-26.001475655430713</c:v>
                      </c:pt>
                      <c:pt idx="55" formatCode="General">
                        <c:v>-26.109940074906369</c:v>
                      </c:pt>
                      <c:pt idx="56" formatCode="General">
                        <c:v>-26.218404494382021</c:v>
                      </c:pt>
                      <c:pt idx="57" formatCode="General">
                        <c:v>-26.326868913857677</c:v>
                      </c:pt>
                      <c:pt idx="58" formatCode="General">
                        <c:v>-26.435333333333332</c:v>
                      </c:pt>
                      <c:pt idx="59" formatCode="General">
                        <c:v>-26.543797752808988</c:v>
                      </c:pt>
                      <c:pt idx="60" formatCode="General">
                        <c:v>-26.652262172284644</c:v>
                      </c:pt>
                      <c:pt idx="61" formatCode="General">
                        <c:v>-26.760726591760299</c:v>
                      </c:pt>
                      <c:pt idx="62" formatCode="General">
                        <c:v>-26.869191011235955</c:v>
                      </c:pt>
                      <c:pt idx="63" formatCode="General">
                        <c:v>-26.977655430711611</c:v>
                      </c:pt>
                      <c:pt idx="64" formatCode="General">
                        <c:v>-27.086119850187266</c:v>
                      </c:pt>
                      <c:pt idx="65" formatCode="General">
                        <c:v>-27.194584269662922</c:v>
                      </c:pt>
                      <c:pt idx="66" formatCode="General">
                        <c:v>-27.301902621722849</c:v>
                      </c:pt>
                      <c:pt idx="67" formatCode="General">
                        <c:v>-27.404973782771538</c:v>
                      </c:pt>
                      <c:pt idx="68" formatCode="General">
                        <c:v>-27.508044943820227</c:v>
                      </c:pt>
                      <c:pt idx="69" formatCode="General">
                        <c:v>-27.611116104868916</c:v>
                      </c:pt>
                      <c:pt idx="70" formatCode="General">
                        <c:v>-27.714187265917605</c:v>
                      </c:pt>
                      <c:pt idx="71" formatCode="General">
                        <c:v>-27.817258426966294</c:v>
                      </c:pt>
                      <c:pt idx="72" formatCode="General">
                        <c:v>-27.920329588014983</c:v>
                      </c:pt>
                      <c:pt idx="73" formatCode="General">
                        <c:v>-28.023400749063672</c:v>
                      </c:pt>
                      <c:pt idx="74" formatCode="General">
                        <c:v>-28.126471910112361</c:v>
                      </c:pt>
                      <c:pt idx="75" formatCode="General">
                        <c:v>-28.22954307116105</c:v>
                      </c:pt>
                      <c:pt idx="76" formatCode="General">
                        <c:v>-28.332614232209739</c:v>
                      </c:pt>
                      <c:pt idx="77" formatCode="General">
                        <c:v>-28.435685393258428</c:v>
                      </c:pt>
                      <c:pt idx="78" formatCode="General">
                        <c:v>-28.538756554307117</c:v>
                      </c:pt>
                      <c:pt idx="79" formatCode="General">
                        <c:v>-28.641827715355806</c:v>
                      </c:pt>
                      <c:pt idx="80" formatCode="General">
                        <c:v>-28.744898876404495</c:v>
                      </c:pt>
                      <c:pt idx="81" formatCode="General">
                        <c:v>-28.847970037453184</c:v>
                      </c:pt>
                      <c:pt idx="82" formatCode="General">
                        <c:v>-28.951041198501873</c:v>
                      </c:pt>
                      <c:pt idx="83" formatCode="General">
                        <c:v>-29.051396396396395</c:v>
                      </c:pt>
                      <c:pt idx="84" formatCode="General">
                        <c:v>-29.149294294294293</c:v>
                      </c:pt>
                      <c:pt idx="85" formatCode="General">
                        <c:v>-29.247192192192191</c:v>
                      </c:pt>
                      <c:pt idx="86" formatCode="General">
                        <c:v>-29.345090090090089</c:v>
                      </c:pt>
                      <c:pt idx="87" formatCode="General">
                        <c:v>-44.975564356435648</c:v>
                      </c:pt>
                      <c:pt idx="88" formatCode="General">
                        <c:v>-45.122099009900992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F-022F-4A2F-976F-7C3C2CD148C5}"/>
                  </c:ext>
                </c:extLst>
              </c15:ser>
            </c15:filteredScatterSeries>
            <c15:filteredScatterSeries>
              <c15:ser>
                <c:idx val="42"/>
                <c:order val="43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306</c:v>
                      </c:pt>
                      <c:pt idx="1">
                        <c:v>314</c:v>
                      </c:pt>
                      <c:pt idx="2">
                        <c:v>322</c:v>
                      </c:pt>
                      <c:pt idx="3">
                        <c:v>330</c:v>
                      </c:pt>
                      <c:pt idx="4">
                        <c:v>338</c:v>
                      </c:pt>
                      <c:pt idx="5">
                        <c:v>346</c:v>
                      </c:pt>
                      <c:pt idx="6">
                        <c:v>354</c:v>
                      </c:pt>
                      <c:pt idx="7">
                        <c:v>362</c:v>
                      </c:pt>
                      <c:pt idx="8">
                        <c:v>370</c:v>
                      </c:pt>
                      <c:pt idx="9">
                        <c:v>378</c:v>
                      </c:pt>
                      <c:pt idx="10">
                        <c:v>386</c:v>
                      </c:pt>
                      <c:pt idx="11">
                        <c:v>394</c:v>
                      </c:pt>
                      <c:pt idx="12">
                        <c:v>402</c:v>
                      </c:pt>
                      <c:pt idx="13">
                        <c:v>410</c:v>
                      </c:pt>
                      <c:pt idx="14">
                        <c:v>418</c:v>
                      </c:pt>
                      <c:pt idx="15">
                        <c:v>426</c:v>
                      </c:pt>
                      <c:pt idx="16">
                        <c:v>434</c:v>
                      </c:pt>
                      <c:pt idx="17">
                        <c:v>442</c:v>
                      </c:pt>
                      <c:pt idx="18">
                        <c:v>450</c:v>
                      </c:pt>
                      <c:pt idx="19">
                        <c:v>458</c:v>
                      </c:pt>
                      <c:pt idx="20">
                        <c:v>466</c:v>
                      </c:pt>
                      <c:pt idx="21">
                        <c:v>474</c:v>
                      </c:pt>
                      <c:pt idx="22">
                        <c:v>482</c:v>
                      </c:pt>
                      <c:pt idx="23">
                        <c:v>490</c:v>
                      </c:pt>
                      <c:pt idx="24">
                        <c:v>498</c:v>
                      </c:pt>
                      <c:pt idx="25">
                        <c:v>506</c:v>
                      </c:pt>
                      <c:pt idx="26">
                        <c:v>514</c:v>
                      </c:pt>
                      <c:pt idx="27">
                        <c:v>522</c:v>
                      </c:pt>
                      <c:pt idx="28">
                        <c:v>530</c:v>
                      </c:pt>
                      <c:pt idx="29">
                        <c:v>538</c:v>
                      </c:pt>
                      <c:pt idx="30">
                        <c:v>546</c:v>
                      </c:pt>
                      <c:pt idx="31">
                        <c:v>554</c:v>
                      </c:pt>
                      <c:pt idx="32">
                        <c:v>562</c:v>
                      </c:pt>
                      <c:pt idx="33">
                        <c:v>570</c:v>
                      </c:pt>
                      <c:pt idx="34">
                        <c:v>578</c:v>
                      </c:pt>
                      <c:pt idx="35">
                        <c:v>586</c:v>
                      </c:pt>
                      <c:pt idx="36">
                        <c:v>594</c:v>
                      </c:pt>
                      <c:pt idx="37">
                        <c:v>602</c:v>
                      </c:pt>
                      <c:pt idx="38">
                        <c:v>610</c:v>
                      </c:pt>
                      <c:pt idx="39">
                        <c:v>618</c:v>
                      </c:pt>
                      <c:pt idx="40">
                        <c:v>626</c:v>
                      </c:pt>
                      <c:pt idx="41">
                        <c:v>634</c:v>
                      </c:pt>
                      <c:pt idx="42">
                        <c:v>642</c:v>
                      </c:pt>
                      <c:pt idx="43">
                        <c:v>650</c:v>
                      </c:pt>
                      <c:pt idx="44">
                        <c:v>658</c:v>
                      </c:pt>
                      <c:pt idx="45">
                        <c:v>666</c:v>
                      </c:pt>
                      <c:pt idx="46">
                        <c:v>674</c:v>
                      </c:pt>
                      <c:pt idx="47">
                        <c:v>682</c:v>
                      </c:pt>
                      <c:pt idx="48">
                        <c:v>690</c:v>
                      </c:pt>
                      <c:pt idx="49">
                        <c:v>698</c:v>
                      </c:pt>
                      <c:pt idx="50">
                        <c:v>706</c:v>
                      </c:pt>
                      <c:pt idx="51">
                        <c:v>714</c:v>
                      </c:pt>
                      <c:pt idx="52">
                        <c:v>722</c:v>
                      </c:pt>
                      <c:pt idx="53">
                        <c:v>730</c:v>
                      </c:pt>
                      <c:pt idx="54">
                        <c:v>738</c:v>
                      </c:pt>
                      <c:pt idx="55">
                        <c:v>746</c:v>
                      </c:pt>
                      <c:pt idx="56">
                        <c:v>754</c:v>
                      </c:pt>
                      <c:pt idx="57">
                        <c:v>762</c:v>
                      </c:pt>
                      <c:pt idx="58">
                        <c:v>770</c:v>
                      </c:pt>
                      <c:pt idx="59">
                        <c:v>778</c:v>
                      </c:pt>
                      <c:pt idx="60">
                        <c:v>786</c:v>
                      </c:pt>
                      <c:pt idx="61">
                        <c:v>794</c:v>
                      </c:pt>
                      <c:pt idx="62">
                        <c:v>802</c:v>
                      </c:pt>
                      <c:pt idx="63">
                        <c:v>810</c:v>
                      </c:pt>
                      <c:pt idx="64">
                        <c:v>818</c:v>
                      </c:pt>
                      <c:pt idx="65">
                        <c:v>826</c:v>
                      </c:pt>
                      <c:pt idx="66">
                        <c:v>834</c:v>
                      </c:pt>
                      <c:pt idx="67">
                        <c:v>842</c:v>
                      </c:pt>
                      <c:pt idx="68">
                        <c:v>850</c:v>
                      </c:pt>
                      <c:pt idx="69">
                        <c:v>858</c:v>
                      </c:pt>
                      <c:pt idx="70">
                        <c:v>866</c:v>
                      </c:pt>
                      <c:pt idx="71">
                        <c:v>874</c:v>
                      </c:pt>
                      <c:pt idx="72">
                        <c:v>882</c:v>
                      </c:pt>
                      <c:pt idx="73">
                        <c:v>890</c:v>
                      </c:pt>
                      <c:pt idx="74">
                        <c:v>898</c:v>
                      </c:pt>
                      <c:pt idx="75">
                        <c:v>906</c:v>
                      </c:pt>
                      <c:pt idx="76">
                        <c:v>914</c:v>
                      </c:pt>
                      <c:pt idx="77">
                        <c:v>922</c:v>
                      </c:pt>
                      <c:pt idx="78">
                        <c:v>930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EVALUATION!$B$144:$CP$144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-21.943243243243245</c:v>
                      </c:pt>
                      <c:pt idx="1">
                        <c:v>-21.741441441441442</c:v>
                      </c:pt>
                      <c:pt idx="2">
                        <c:v>-21.539639639639642</c:v>
                      </c:pt>
                      <c:pt idx="3">
                        <c:v>-21.337837837837839</c:v>
                      </c:pt>
                      <c:pt idx="4" formatCode="General">
                        <c:v>-21.317514970059882</c:v>
                      </c:pt>
                      <c:pt idx="5" formatCode="General">
                        <c:v>-21.339071856287426</c:v>
                      </c:pt>
                      <c:pt idx="6" formatCode="General">
                        <c:v>-21.360628742514972</c:v>
                      </c:pt>
                      <c:pt idx="7" formatCode="General">
                        <c:v>-21.382185628742516</c:v>
                      </c:pt>
                      <c:pt idx="8" formatCode="General">
                        <c:v>-21.452604790419162</c:v>
                      </c:pt>
                      <c:pt idx="9" formatCode="General">
                        <c:v>-21.550808383233534</c:v>
                      </c:pt>
                      <c:pt idx="10" formatCode="General">
                        <c:v>-21.649011976047905</c:v>
                      </c:pt>
                      <c:pt idx="11" formatCode="General">
                        <c:v>-21.747215568862277</c:v>
                      </c:pt>
                      <c:pt idx="12" formatCode="General">
                        <c:v>-21.843203592814373</c:v>
                      </c:pt>
                      <c:pt idx="13" formatCode="General">
                        <c:v>-21.936616766467068</c:v>
                      </c:pt>
                      <c:pt idx="14" formatCode="General">
                        <c:v>-22.030029940119761</c:v>
                      </c:pt>
                      <c:pt idx="15" formatCode="General">
                        <c:v>-22.123443113772456</c:v>
                      </c:pt>
                      <c:pt idx="16" formatCode="General">
                        <c:v>-22.209970059880241</c:v>
                      </c:pt>
                      <c:pt idx="17" formatCode="General">
                        <c:v>-22.279431137724551</c:v>
                      </c:pt>
                      <c:pt idx="18" formatCode="General">
                        <c:v>-22.348892215568863</c:v>
                      </c:pt>
                      <c:pt idx="19" formatCode="General">
                        <c:v>-22.418353293413173</c:v>
                      </c:pt>
                      <c:pt idx="20" formatCode="General">
                        <c:v>-22.488353293413173</c:v>
                      </c:pt>
                      <c:pt idx="21" formatCode="General">
                        <c:v>-22.562604790419162</c:v>
                      </c:pt>
                      <c:pt idx="22" formatCode="General">
                        <c:v>-22.63685628742515</c:v>
                      </c:pt>
                      <c:pt idx="23" formatCode="General">
                        <c:v>-22.711107784431139</c:v>
                      </c:pt>
                      <c:pt idx="24" formatCode="General">
                        <c:v>-22.785359281437124</c:v>
                      </c:pt>
                      <c:pt idx="25" formatCode="General">
                        <c:v>-22.846306306306307</c:v>
                      </c:pt>
                      <c:pt idx="26" formatCode="General">
                        <c:v>-22.906366366366367</c:v>
                      </c:pt>
                      <c:pt idx="27" formatCode="General">
                        <c:v>-22.966426426426427</c:v>
                      </c:pt>
                      <c:pt idx="28" formatCode="General">
                        <c:v>-23.026486486486487</c:v>
                      </c:pt>
                      <c:pt idx="29" formatCode="General">
                        <c:v>-23.130958083832336</c:v>
                      </c:pt>
                      <c:pt idx="30" formatCode="General">
                        <c:v>-23.248323353293415</c:v>
                      </c:pt>
                      <c:pt idx="31" formatCode="General">
                        <c:v>-23.36568862275449</c:v>
                      </c:pt>
                      <c:pt idx="32" formatCode="General">
                        <c:v>-23.483053892215569</c:v>
                      </c:pt>
                      <c:pt idx="33" formatCode="General">
                        <c:v>-23.60185628742515</c:v>
                      </c:pt>
                      <c:pt idx="34" formatCode="General">
                        <c:v>-23.721616766467065</c:v>
                      </c:pt>
                      <c:pt idx="35" formatCode="General">
                        <c:v>-23.841377245508983</c:v>
                      </c:pt>
                      <c:pt idx="36" formatCode="General">
                        <c:v>-23.961137724550898</c:v>
                      </c:pt>
                      <c:pt idx="37" formatCode="General">
                        <c:v>-24.078862275449104</c:v>
                      </c:pt>
                      <c:pt idx="38" formatCode="General">
                        <c:v>-24.193832335329343</c:v>
                      </c:pt>
                      <c:pt idx="39" formatCode="General">
                        <c:v>-24.308802395209582</c:v>
                      </c:pt>
                      <c:pt idx="40" formatCode="General">
                        <c:v>-24.423772455089821</c:v>
                      </c:pt>
                      <c:pt idx="41" formatCode="General">
                        <c:v>-24.53874251497006</c:v>
                      </c:pt>
                      <c:pt idx="42" formatCode="General">
                        <c:v>-24.653712574850299</c:v>
                      </c:pt>
                      <c:pt idx="43" formatCode="General">
                        <c:v>-24.768682634730538</c:v>
                      </c:pt>
                      <c:pt idx="44" formatCode="General">
                        <c:v>-24.883652694610777</c:v>
                      </c:pt>
                      <c:pt idx="45" formatCode="General">
                        <c:v>-24.998622754491016</c:v>
                      </c:pt>
                      <c:pt idx="46" formatCode="General">
                        <c:v>-25.113592814371255</c:v>
                      </c:pt>
                      <c:pt idx="47" formatCode="General">
                        <c:v>-25.228562874251494</c:v>
                      </c:pt>
                      <c:pt idx="48" formatCode="General">
                        <c:v>-25.343532934131737</c:v>
                      </c:pt>
                      <c:pt idx="49" formatCode="General">
                        <c:v>-25.458502994011976</c:v>
                      </c:pt>
                      <c:pt idx="50" formatCode="General">
                        <c:v>-25.567617977528091</c:v>
                      </c:pt>
                      <c:pt idx="51" formatCode="General">
                        <c:v>-25.676082397003746</c:v>
                      </c:pt>
                      <c:pt idx="52" formatCode="General">
                        <c:v>-25.784546816479402</c:v>
                      </c:pt>
                      <c:pt idx="53" formatCode="General">
                        <c:v>-25.893011235955058</c:v>
                      </c:pt>
                      <c:pt idx="54" formatCode="General">
                        <c:v>-26.001475655430713</c:v>
                      </c:pt>
                      <c:pt idx="55" formatCode="General">
                        <c:v>-26.109940074906369</c:v>
                      </c:pt>
                      <c:pt idx="56" formatCode="General">
                        <c:v>-26.218404494382021</c:v>
                      </c:pt>
                      <c:pt idx="57" formatCode="General">
                        <c:v>-26.326868913857677</c:v>
                      </c:pt>
                      <c:pt idx="58" formatCode="General">
                        <c:v>-26.435333333333332</c:v>
                      </c:pt>
                      <c:pt idx="59" formatCode="General">
                        <c:v>-26.543797752808988</c:v>
                      </c:pt>
                      <c:pt idx="60" formatCode="General">
                        <c:v>-26.652262172284644</c:v>
                      </c:pt>
                      <c:pt idx="61" formatCode="General">
                        <c:v>-26.760726591760299</c:v>
                      </c:pt>
                      <c:pt idx="62" formatCode="General">
                        <c:v>-26.869191011235955</c:v>
                      </c:pt>
                      <c:pt idx="63" formatCode="General">
                        <c:v>-26.977655430711611</c:v>
                      </c:pt>
                      <c:pt idx="64" formatCode="General">
                        <c:v>-27.086119850187266</c:v>
                      </c:pt>
                      <c:pt idx="65" formatCode="General">
                        <c:v>-27.194584269662922</c:v>
                      </c:pt>
                      <c:pt idx="66" formatCode="General">
                        <c:v>-27.301902621722849</c:v>
                      </c:pt>
                      <c:pt idx="67" formatCode="General">
                        <c:v>-27.404973782771538</c:v>
                      </c:pt>
                      <c:pt idx="68" formatCode="General">
                        <c:v>-27.508044943820227</c:v>
                      </c:pt>
                      <c:pt idx="69" formatCode="General">
                        <c:v>-27.611116104868916</c:v>
                      </c:pt>
                      <c:pt idx="70" formatCode="General">
                        <c:v>-27.714187265917605</c:v>
                      </c:pt>
                      <c:pt idx="71" formatCode="General">
                        <c:v>-27.817258426966294</c:v>
                      </c:pt>
                      <c:pt idx="72" formatCode="General">
                        <c:v>-27.920329588014983</c:v>
                      </c:pt>
                      <c:pt idx="73" formatCode="General">
                        <c:v>-28.023400749063672</c:v>
                      </c:pt>
                      <c:pt idx="74" formatCode="General">
                        <c:v>-28.126471910112361</c:v>
                      </c:pt>
                      <c:pt idx="75" formatCode="General">
                        <c:v>-28.22954307116105</c:v>
                      </c:pt>
                      <c:pt idx="76" formatCode="General">
                        <c:v>-28.332614232209739</c:v>
                      </c:pt>
                      <c:pt idx="77" formatCode="General">
                        <c:v>-28.435685393258428</c:v>
                      </c:pt>
                      <c:pt idx="78" formatCode="General">
                        <c:v>-28.538756554307117</c:v>
                      </c:pt>
                      <c:pt idx="79" formatCode="General">
                        <c:v>-28.641827715355806</c:v>
                      </c:pt>
                      <c:pt idx="80" formatCode="General">
                        <c:v>-28.744898876404495</c:v>
                      </c:pt>
                      <c:pt idx="81" formatCode="General">
                        <c:v>-28.847970037453184</c:v>
                      </c:pt>
                      <c:pt idx="82" formatCode="General">
                        <c:v>-28.951041198501873</c:v>
                      </c:pt>
                      <c:pt idx="83" formatCode="General">
                        <c:v>-29.051396396396395</c:v>
                      </c:pt>
                      <c:pt idx="84" formatCode="General">
                        <c:v>-29.149294294294293</c:v>
                      </c:pt>
                      <c:pt idx="85" formatCode="General">
                        <c:v>-29.247192192192191</c:v>
                      </c:pt>
                      <c:pt idx="86" formatCode="General">
                        <c:v>-29.345090090090089</c:v>
                      </c:pt>
                      <c:pt idx="87" formatCode="General">
                        <c:v>-7.3468118811881187</c:v>
                      </c:pt>
                      <c:pt idx="88" formatCode="General">
                        <c:v>-7.3646336633663365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0-022F-4A2F-976F-7C3C2CD148C5}"/>
                  </c:ext>
                </c:extLst>
              </c15:ser>
            </c15:filteredScatterSeries>
            <c15:filteredScatterSeries>
              <c15:ser>
                <c:idx val="43"/>
                <c:order val="44"/>
                <c:spPr>
                  <a:ln>
                    <a:prstDash val="sysDash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306</c:v>
                      </c:pt>
                      <c:pt idx="1">
                        <c:v>314</c:v>
                      </c:pt>
                      <c:pt idx="2">
                        <c:v>322</c:v>
                      </c:pt>
                      <c:pt idx="3">
                        <c:v>330</c:v>
                      </c:pt>
                      <c:pt idx="4">
                        <c:v>338</c:v>
                      </c:pt>
                      <c:pt idx="5">
                        <c:v>346</c:v>
                      </c:pt>
                      <c:pt idx="6">
                        <c:v>354</c:v>
                      </c:pt>
                      <c:pt idx="7">
                        <c:v>362</c:v>
                      </c:pt>
                      <c:pt idx="8">
                        <c:v>370</c:v>
                      </c:pt>
                      <c:pt idx="9">
                        <c:v>378</c:v>
                      </c:pt>
                      <c:pt idx="10">
                        <c:v>386</c:v>
                      </c:pt>
                      <c:pt idx="11">
                        <c:v>394</c:v>
                      </c:pt>
                      <c:pt idx="12">
                        <c:v>402</c:v>
                      </c:pt>
                      <c:pt idx="13">
                        <c:v>410</c:v>
                      </c:pt>
                      <c:pt idx="14">
                        <c:v>418</c:v>
                      </c:pt>
                      <c:pt idx="15">
                        <c:v>426</c:v>
                      </c:pt>
                      <c:pt idx="16">
                        <c:v>434</c:v>
                      </c:pt>
                      <c:pt idx="17">
                        <c:v>442</c:v>
                      </c:pt>
                      <c:pt idx="18">
                        <c:v>450</c:v>
                      </c:pt>
                      <c:pt idx="19">
                        <c:v>458</c:v>
                      </c:pt>
                      <c:pt idx="20">
                        <c:v>466</c:v>
                      </c:pt>
                      <c:pt idx="21">
                        <c:v>474</c:v>
                      </c:pt>
                      <c:pt idx="22">
                        <c:v>482</c:v>
                      </c:pt>
                      <c:pt idx="23">
                        <c:v>490</c:v>
                      </c:pt>
                      <c:pt idx="24">
                        <c:v>498</c:v>
                      </c:pt>
                      <c:pt idx="25">
                        <c:v>506</c:v>
                      </c:pt>
                      <c:pt idx="26">
                        <c:v>514</c:v>
                      </c:pt>
                      <c:pt idx="27">
                        <c:v>522</c:v>
                      </c:pt>
                      <c:pt idx="28">
                        <c:v>530</c:v>
                      </c:pt>
                      <c:pt idx="29">
                        <c:v>538</c:v>
                      </c:pt>
                      <c:pt idx="30">
                        <c:v>546</c:v>
                      </c:pt>
                      <c:pt idx="31">
                        <c:v>554</c:v>
                      </c:pt>
                      <c:pt idx="32">
                        <c:v>562</c:v>
                      </c:pt>
                      <c:pt idx="33">
                        <c:v>570</c:v>
                      </c:pt>
                      <c:pt idx="34">
                        <c:v>578</c:v>
                      </c:pt>
                      <c:pt idx="35">
                        <c:v>586</c:v>
                      </c:pt>
                      <c:pt idx="36">
                        <c:v>594</c:v>
                      </c:pt>
                      <c:pt idx="37">
                        <c:v>602</c:v>
                      </c:pt>
                      <c:pt idx="38">
                        <c:v>610</c:v>
                      </c:pt>
                      <c:pt idx="39">
                        <c:v>618</c:v>
                      </c:pt>
                      <c:pt idx="40">
                        <c:v>626</c:v>
                      </c:pt>
                      <c:pt idx="41">
                        <c:v>634</c:v>
                      </c:pt>
                      <c:pt idx="42">
                        <c:v>642</c:v>
                      </c:pt>
                      <c:pt idx="43">
                        <c:v>650</c:v>
                      </c:pt>
                      <c:pt idx="44">
                        <c:v>658</c:v>
                      </c:pt>
                      <c:pt idx="45">
                        <c:v>666</c:v>
                      </c:pt>
                      <c:pt idx="46">
                        <c:v>674</c:v>
                      </c:pt>
                      <c:pt idx="47">
                        <c:v>682</c:v>
                      </c:pt>
                      <c:pt idx="48">
                        <c:v>690</c:v>
                      </c:pt>
                      <c:pt idx="49">
                        <c:v>698</c:v>
                      </c:pt>
                      <c:pt idx="50">
                        <c:v>706</c:v>
                      </c:pt>
                      <c:pt idx="51">
                        <c:v>714</c:v>
                      </c:pt>
                      <c:pt idx="52">
                        <c:v>722</c:v>
                      </c:pt>
                      <c:pt idx="53">
                        <c:v>730</c:v>
                      </c:pt>
                      <c:pt idx="54">
                        <c:v>738</c:v>
                      </c:pt>
                      <c:pt idx="55">
                        <c:v>746</c:v>
                      </c:pt>
                      <c:pt idx="56">
                        <c:v>754</c:v>
                      </c:pt>
                      <c:pt idx="57">
                        <c:v>762</c:v>
                      </c:pt>
                      <c:pt idx="58">
                        <c:v>770</c:v>
                      </c:pt>
                      <c:pt idx="59">
                        <c:v>778</c:v>
                      </c:pt>
                      <c:pt idx="60">
                        <c:v>786</c:v>
                      </c:pt>
                      <c:pt idx="61">
                        <c:v>794</c:v>
                      </c:pt>
                      <c:pt idx="62">
                        <c:v>802</c:v>
                      </c:pt>
                      <c:pt idx="63">
                        <c:v>810</c:v>
                      </c:pt>
                      <c:pt idx="64">
                        <c:v>818</c:v>
                      </c:pt>
                      <c:pt idx="65">
                        <c:v>826</c:v>
                      </c:pt>
                      <c:pt idx="66">
                        <c:v>834</c:v>
                      </c:pt>
                      <c:pt idx="67">
                        <c:v>842</c:v>
                      </c:pt>
                      <c:pt idx="68">
                        <c:v>850</c:v>
                      </c:pt>
                      <c:pt idx="69">
                        <c:v>858</c:v>
                      </c:pt>
                      <c:pt idx="70">
                        <c:v>866</c:v>
                      </c:pt>
                      <c:pt idx="71">
                        <c:v>874</c:v>
                      </c:pt>
                      <c:pt idx="72">
                        <c:v>882</c:v>
                      </c:pt>
                      <c:pt idx="73">
                        <c:v>890</c:v>
                      </c:pt>
                      <c:pt idx="74">
                        <c:v>898</c:v>
                      </c:pt>
                      <c:pt idx="75">
                        <c:v>906</c:v>
                      </c:pt>
                      <c:pt idx="76">
                        <c:v>914</c:v>
                      </c:pt>
                      <c:pt idx="77">
                        <c:v>922</c:v>
                      </c:pt>
                      <c:pt idx="78">
                        <c:v>930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EVALUATION!$B$145:$CP$145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-21.943243243243245</c:v>
                      </c:pt>
                      <c:pt idx="1">
                        <c:v>-21.741441441441442</c:v>
                      </c:pt>
                      <c:pt idx="2">
                        <c:v>-21.539639639639642</c:v>
                      </c:pt>
                      <c:pt idx="3">
                        <c:v>-21.337837837837839</c:v>
                      </c:pt>
                      <c:pt idx="4" formatCode="General">
                        <c:v>-21.317514970059882</c:v>
                      </c:pt>
                      <c:pt idx="5" formatCode="General">
                        <c:v>-21.339071856287426</c:v>
                      </c:pt>
                      <c:pt idx="6" formatCode="General">
                        <c:v>-21.360628742514972</c:v>
                      </c:pt>
                      <c:pt idx="7" formatCode="General">
                        <c:v>-21.382185628742516</c:v>
                      </c:pt>
                      <c:pt idx="8" formatCode="General">
                        <c:v>-21.452604790419162</c:v>
                      </c:pt>
                      <c:pt idx="9" formatCode="General">
                        <c:v>-21.550808383233534</c:v>
                      </c:pt>
                      <c:pt idx="10" formatCode="General">
                        <c:v>-21.649011976047905</c:v>
                      </c:pt>
                      <c:pt idx="11" formatCode="General">
                        <c:v>-21.747215568862277</c:v>
                      </c:pt>
                      <c:pt idx="12" formatCode="General">
                        <c:v>-21.843203592814373</c:v>
                      </c:pt>
                      <c:pt idx="13" formatCode="General">
                        <c:v>-21.936616766467068</c:v>
                      </c:pt>
                      <c:pt idx="14" formatCode="General">
                        <c:v>-22.030029940119761</c:v>
                      </c:pt>
                      <c:pt idx="15" formatCode="General">
                        <c:v>-22.123443113772456</c:v>
                      </c:pt>
                      <c:pt idx="16" formatCode="General">
                        <c:v>-22.209970059880241</c:v>
                      </c:pt>
                      <c:pt idx="17" formatCode="General">
                        <c:v>-22.279431137724551</c:v>
                      </c:pt>
                      <c:pt idx="18" formatCode="General">
                        <c:v>-22.348892215568863</c:v>
                      </c:pt>
                      <c:pt idx="19" formatCode="General">
                        <c:v>-22.418353293413173</c:v>
                      </c:pt>
                      <c:pt idx="20" formatCode="General">
                        <c:v>-22.488353293413173</c:v>
                      </c:pt>
                      <c:pt idx="21" formatCode="General">
                        <c:v>-22.562604790419162</c:v>
                      </c:pt>
                      <c:pt idx="22" formatCode="General">
                        <c:v>-22.63685628742515</c:v>
                      </c:pt>
                      <c:pt idx="23" formatCode="General">
                        <c:v>-22.711107784431139</c:v>
                      </c:pt>
                      <c:pt idx="24" formatCode="General">
                        <c:v>-22.785359281437124</c:v>
                      </c:pt>
                      <c:pt idx="25" formatCode="General">
                        <c:v>-22.846306306306307</c:v>
                      </c:pt>
                      <c:pt idx="26" formatCode="General">
                        <c:v>-22.906366366366367</c:v>
                      </c:pt>
                      <c:pt idx="27" formatCode="General">
                        <c:v>-22.966426426426427</c:v>
                      </c:pt>
                      <c:pt idx="28" formatCode="General">
                        <c:v>-23.026486486486487</c:v>
                      </c:pt>
                      <c:pt idx="29" formatCode="General">
                        <c:v>-23.130958083832336</c:v>
                      </c:pt>
                      <c:pt idx="30" formatCode="General">
                        <c:v>-23.248323353293415</c:v>
                      </c:pt>
                      <c:pt idx="31" formatCode="General">
                        <c:v>-23.36568862275449</c:v>
                      </c:pt>
                      <c:pt idx="32" formatCode="General">
                        <c:v>-23.483053892215569</c:v>
                      </c:pt>
                      <c:pt idx="33" formatCode="General">
                        <c:v>-23.60185628742515</c:v>
                      </c:pt>
                      <c:pt idx="34" formatCode="General">
                        <c:v>-23.721616766467065</c:v>
                      </c:pt>
                      <c:pt idx="35" formatCode="General">
                        <c:v>-23.841377245508983</c:v>
                      </c:pt>
                      <c:pt idx="36" formatCode="General">
                        <c:v>-23.961137724550898</c:v>
                      </c:pt>
                      <c:pt idx="37" formatCode="General">
                        <c:v>-24.078862275449104</c:v>
                      </c:pt>
                      <c:pt idx="38" formatCode="General">
                        <c:v>-24.193832335329343</c:v>
                      </c:pt>
                      <c:pt idx="39" formatCode="General">
                        <c:v>-24.308802395209582</c:v>
                      </c:pt>
                      <c:pt idx="40" formatCode="General">
                        <c:v>-24.423772455089821</c:v>
                      </c:pt>
                      <c:pt idx="41" formatCode="General">
                        <c:v>-24.53874251497006</c:v>
                      </c:pt>
                      <c:pt idx="42" formatCode="General">
                        <c:v>-24.653712574850299</c:v>
                      </c:pt>
                      <c:pt idx="43" formatCode="General">
                        <c:v>-24.768682634730538</c:v>
                      </c:pt>
                      <c:pt idx="44" formatCode="General">
                        <c:v>-24.883652694610777</c:v>
                      </c:pt>
                      <c:pt idx="45" formatCode="General">
                        <c:v>-24.998622754491016</c:v>
                      </c:pt>
                      <c:pt idx="46" formatCode="General">
                        <c:v>-25.113592814371255</c:v>
                      </c:pt>
                      <c:pt idx="47" formatCode="General">
                        <c:v>-25.228562874251494</c:v>
                      </c:pt>
                      <c:pt idx="48" formatCode="General">
                        <c:v>-25.343532934131737</c:v>
                      </c:pt>
                      <c:pt idx="49" formatCode="General">
                        <c:v>-25.458502994011976</c:v>
                      </c:pt>
                      <c:pt idx="50" formatCode="General">
                        <c:v>-25.567617977528091</c:v>
                      </c:pt>
                      <c:pt idx="51" formatCode="General">
                        <c:v>-25.676082397003746</c:v>
                      </c:pt>
                      <c:pt idx="52" formatCode="General">
                        <c:v>-25.784546816479402</c:v>
                      </c:pt>
                      <c:pt idx="53" formatCode="General">
                        <c:v>-25.893011235955058</c:v>
                      </c:pt>
                      <c:pt idx="54" formatCode="General">
                        <c:v>-26.001475655430713</c:v>
                      </c:pt>
                      <c:pt idx="55" formatCode="General">
                        <c:v>-26.109940074906369</c:v>
                      </c:pt>
                      <c:pt idx="56" formatCode="General">
                        <c:v>-26.218404494382021</c:v>
                      </c:pt>
                      <c:pt idx="57" formatCode="General">
                        <c:v>-26.326868913857677</c:v>
                      </c:pt>
                      <c:pt idx="58" formatCode="General">
                        <c:v>-26.435333333333332</c:v>
                      </c:pt>
                      <c:pt idx="59" formatCode="General">
                        <c:v>-26.543797752808988</c:v>
                      </c:pt>
                      <c:pt idx="60" formatCode="General">
                        <c:v>-26.652262172284644</c:v>
                      </c:pt>
                      <c:pt idx="61" formatCode="General">
                        <c:v>-26.760726591760299</c:v>
                      </c:pt>
                      <c:pt idx="62" formatCode="General">
                        <c:v>-26.869191011235955</c:v>
                      </c:pt>
                      <c:pt idx="63" formatCode="General">
                        <c:v>-26.977655430711611</c:v>
                      </c:pt>
                      <c:pt idx="64" formatCode="General">
                        <c:v>-27.086119850187266</c:v>
                      </c:pt>
                      <c:pt idx="65" formatCode="General">
                        <c:v>-27.194584269662922</c:v>
                      </c:pt>
                      <c:pt idx="66" formatCode="General">
                        <c:v>-27.301902621722849</c:v>
                      </c:pt>
                      <c:pt idx="67" formatCode="General">
                        <c:v>-27.404973782771538</c:v>
                      </c:pt>
                      <c:pt idx="68" formatCode="General">
                        <c:v>-27.508044943820227</c:v>
                      </c:pt>
                      <c:pt idx="69" formatCode="General">
                        <c:v>-27.611116104868916</c:v>
                      </c:pt>
                      <c:pt idx="70" formatCode="General">
                        <c:v>-27.714187265917605</c:v>
                      </c:pt>
                      <c:pt idx="71" formatCode="General">
                        <c:v>-27.817258426966294</c:v>
                      </c:pt>
                      <c:pt idx="72" formatCode="General">
                        <c:v>-27.920329588014983</c:v>
                      </c:pt>
                      <c:pt idx="73" formatCode="General">
                        <c:v>-28.023400749063672</c:v>
                      </c:pt>
                      <c:pt idx="74" formatCode="General">
                        <c:v>-28.126471910112361</c:v>
                      </c:pt>
                      <c:pt idx="75" formatCode="General">
                        <c:v>-28.22954307116105</c:v>
                      </c:pt>
                      <c:pt idx="76" formatCode="General">
                        <c:v>-28.332614232209739</c:v>
                      </c:pt>
                      <c:pt idx="77" formatCode="General">
                        <c:v>-28.435685393258428</c:v>
                      </c:pt>
                      <c:pt idx="78" formatCode="General">
                        <c:v>-28.538756554307117</c:v>
                      </c:pt>
                      <c:pt idx="79" formatCode="General">
                        <c:v>-28.641827715355806</c:v>
                      </c:pt>
                      <c:pt idx="80" formatCode="General">
                        <c:v>-28.744898876404495</c:v>
                      </c:pt>
                      <c:pt idx="81" formatCode="General">
                        <c:v>-28.847970037453184</c:v>
                      </c:pt>
                      <c:pt idx="82" formatCode="General">
                        <c:v>-28.951041198501873</c:v>
                      </c:pt>
                      <c:pt idx="83" formatCode="General">
                        <c:v>-29.051396396396395</c:v>
                      </c:pt>
                      <c:pt idx="84" formatCode="General">
                        <c:v>-29.149294294294293</c:v>
                      </c:pt>
                      <c:pt idx="85" formatCode="General">
                        <c:v>-29.247192192192191</c:v>
                      </c:pt>
                      <c:pt idx="86" formatCode="General">
                        <c:v>-29.345090090090089</c:v>
                      </c:pt>
                      <c:pt idx="87" formatCode="General">
                        <c:v>-8.1209504950495059</c:v>
                      </c:pt>
                      <c:pt idx="88" formatCode="General">
                        <c:v>-8.1466930693069308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1-022F-4A2F-976F-7C3C2CD148C5}"/>
                  </c:ext>
                </c:extLst>
              </c15:ser>
            </c15:filteredScatterSeries>
            <c15:filteredScatterSeries>
              <c15:ser>
                <c:idx val="44"/>
                <c:order val="45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306</c:v>
                      </c:pt>
                      <c:pt idx="1">
                        <c:v>314</c:v>
                      </c:pt>
                      <c:pt idx="2">
                        <c:v>322</c:v>
                      </c:pt>
                      <c:pt idx="3">
                        <c:v>330</c:v>
                      </c:pt>
                      <c:pt idx="4">
                        <c:v>338</c:v>
                      </c:pt>
                      <c:pt idx="5">
                        <c:v>346</c:v>
                      </c:pt>
                      <c:pt idx="6">
                        <c:v>354</c:v>
                      </c:pt>
                      <c:pt idx="7">
                        <c:v>362</c:v>
                      </c:pt>
                      <c:pt idx="8">
                        <c:v>370</c:v>
                      </c:pt>
                      <c:pt idx="9">
                        <c:v>378</c:v>
                      </c:pt>
                      <c:pt idx="10">
                        <c:v>386</c:v>
                      </c:pt>
                      <c:pt idx="11">
                        <c:v>394</c:v>
                      </c:pt>
                      <c:pt idx="12">
                        <c:v>402</c:v>
                      </c:pt>
                      <c:pt idx="13">
                        <c:v>410</c:v>
                      </c:pt>
                      <c:pt idx="14">
                        <c:v>418</c:v>
                      </c:pt>
                      <c:pt idx="15">
                        <c:v>426</c:v>
                      </c:pt>
                      <c:pt idx="16">
                        <c:v>434</c:v>
                      </c:pt>
                      <c:pt idx="17">
                        <c:v>442</c:v>
                      </c:pt>
                      <c:pt idx="18">
                        <c:v>450</c:v>
                      </c:pt>
                      <c:pt idx="19">
                        <c:v>458</c:v>
                      </c:pt>
                      <c:pt idx="20">
                        <c:v>466</c:v>
                      </c:pt>
                      <c:pt idx="21">
                        <c:v>474</c:v>
                      </c:pt>
                      <c:pt idx="22">
                        <c:v>482</c:v>
                      </c:pt>
                      <c:pt idx="23">
                        <c:v>490</c:v>
                      </c:pt>
                      <c:pt idx="24">
                        <c:v>498</c:v>
                      </c:pt>
                      <c:pt idx="25">
                        <c:v>506</c:v>
                      </c:pt>
                      <c:pt idx="26">
                        <c:v>514</c:v>
                      </c:pt>
                      <c:pt idx="27">
                        <c:v>522</c:v>
                      </c:pt>
                      <c:pt idx="28">
                        <c:v>530</c:v>
                      </c:pt>
                      <c:pt idx="29">
                        <c:v>538</c:v>
                      </c:pt>
                      <c:pt idx="30">
                        <c:v>546</c:v>
                      </c:pt>
                      <c:pt idx="31">
                        <c:v>554</c:v>
                      </c:pt>
                      <c:pt idx="32">
                        <c:v>562</c:v>
                      </c:pt>
                      <c:pt idx="33">
                        <c:v>570</c:v>
                      </c:pt>
                      <c:pt idx="34">
                        <c:v>578</c:v>
                      </c:pt>
                      <c:pt idx="35">
                        <c:v>586</c:v>
                      </c:pt>
                      <c:pt idx="36">
                        <c:v>594</c:v>
                      </c:pt>
                      <c:pt idx="37">
                        <c:v>602</c:v>
                      </c:pt>
                      <c:pt idx="38">
                        <c:v>610</c:v>
                      </c:pt>
                      <c:pt idx="39">
                        <c:v>618</c:v>
                      </c:pt>
                      <c:pt idx="40">
                        <c:v>626</c:v>
                      </c:pt>
                      <c:pt idx="41">
                        <c:v>634</c:v>
                      </c:pt>
                      <c:pt idx="42">
                        <c:v>642</c:v>
                      </c:pt>
                      <c:pt idx="43">
                        <c:v>650</c:v>
                      </c:pt>
                      <c:pt idx="44">
                        <c:v>658</c:v>
                      </c:pt>
                      <c:pt idx="45">
                        <c:v>666</c:v>
                      </c:pt>
                      <c:pt idx="46">
                        <c:v>674</c:v>
                      </c:pt>
                      <c:pt idx="47">
                        <c:v>682</c:v>
                      </c:pt>
                      <c:pt idx="48">
                        <c:v>690</c:v>
                      </c:pt>
                      <c:pt idx="49">
                        <c:v>698</c:v>
                      </c:pt>
                      <c:pt idx="50">
                        <c:v>706</c:v>
                      </c:pt>
                      <c:pt idx="51">
                        <c:v>714</c:v>
                      </c:pt>
                      <c:pt idx="52">
                        <c:v>722</c:v>
                      </c:pt>
                      <c:pt idx="53">
                        <c:v>730</c:v>
                      </c:pt>
                      <c:pt idx="54">
                        <c:v>738</c:v>
                      </c:pt>
                      <c:pt idx="55">
                        <c:v>746</c:v>
                      </c:pt>
                      <c:pt idx="56">
                        <c:v>754</c:v>
                      </c:pt>
                      <c:pt idx="57">
                        <c:v>762</c:v>
                      </c:pt>
                      <c:pt idx="58">
                        <c:v>770</c:v>
                      </c:pt>
                      <c:pt idx="59">
                        <c:v>778</c:v>
                      </c:pt>
                      <c:pt idx="60">
                        <c:v>786</c:v>
                      </c:pt>
                      <c:pt idx="61">
                        <c:v>794</c:v>
                      </c:pt>
                      <c:pt idx="62">
                        <c:v>802</c:v>
                      </c:pt>
                      <c:pt idx="63">
                        <c:v>810</c:v>
                      </c:pt>
                      <c:pt idx="64">
                        <c:v>818</c:v>
                      </c:pt>
                      <c:pt idx="65">
                        <c:v>826</c:v>
                      </c:pt>
                      <c:pt idx="66">
                        <c:v>834</c:v>
                      </c:pt>
                      <c:pt idx="67">
                        <c:v>842</c:v>
                      </c:pt>
                      <c:pt idx="68">
                        <c:v>850</c:v>
                      </c:pt>
                      <c:pt idx="69">
                        <c:v>858</c:v>
                      </c:pt>
                      <c:pt idx="70">
                        <c:v>866</c:v>
                      </c:pt>
                      <c:pt idx="71">
                        <c:v>874</c:v>
                      </c:pt>
                      <c:pt idx="72">
                        <c:v>882</c:v>
                      </c:pt>
                      <c:pt idx="73">
                        <c:v>890</c:v>
                      </c:pt>
                      <c:pt idx="74">
                        <c:v>898</c:v>
                      </c:pt>
                      <c:pt idx="75">
                        <c:v>906</c:v>
                      </c:pt>
                      <c:pt idx="76">
                        <c:v>914</c:v>
                      </c:pt>
                      <c:pt idx="77">
                        <c:v>922</c:v>
                      </c:pt>
                      <c:pt idx="78">
                        <c:v>930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EVALUATION!$B$146:$CP$146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-15.512792792792792</c:v>
                      </c:pt>
                      <c:pt idx="1">
                        <c:v>-15.013093093093092</c:v>
                      </c:pt>
                      <c:pt idx="2">
                        <c:v>-14.513393393393393</c:v>
                      </c:pt>
                      <c:pt idx="3">
                        <c:v>-14.013693693693693</c:v>
                      </c:pt>
                      <c:pt idx="4" formatCode="General">
                        <c:v>-13.456826347305389</c:v>
                      </c:pt>
                      <c:pt idx="5" formatCode="General">
                        <c:v>-12.886766467065867</c:v>
                      </c:pt>
                      <c:pt idx="6" formatCode="General">
                        <c:v>-12.316706586826346</c:v>
                      </c:pt>
                      <c:pt idx="7" formatCode="General">
                        <c:v>-11.746646706586823</c:v>
                      </c:pt>
                      <c:pt idx="8" formatCode="General">
                        <c:v>-11.204988023952094</c:v>
                      </c:pt>
                      <c:pt idx="9" formatCode="General">
                        <c:v>-10.679479041916167</c:v>
                      </c:pt>
                      <c:pt idx="10" formatCode="General">
                        <c:v>-10.153970059880239</c:v>
                      </c:pt>
                      <c:pt idx="11" formatCode="General">
                        <c:v>-9.628461077844312</c:v>
                      </c:pt>
                      <c:pt idx="12" formatCode="General">
                        <c:v>-9.1539101796407198</c:v>
                      </c:pt>
                      <c:pt idx="13" formatCode="General">
                        <c:v>-8.7385808383233528</c:v>
                      </c:pt>
                      <c:pt idx="14" formatCode="General">
                        <c:v>-8.3232514970059874</c:v>
                      </c:pt>
                      <c:pt idx="15" formatCode="General">
                        <c:v>-7.9079221556886221</c:v>
                      </c:pt>
                      <c:pt idx="16" formatCode="General">
                        <c:v>-7.5390748502994009</c:v>
                      </c:pt>
                      <c:pt idx="17" formatCode="General">
                        <c:v>-7.2854221556886225</c:v>
                      </c:pt>
                      <c:pt idx="18" formatCode="General">
                        <c:v>-7.031769461077845</c:v>
                      </c:pt>
                      <c:pt idx="19" formatCode="General">
                        <c:v>-6.7781167664670665</c:v>
                      </c:pt>
                      <c:pt idx="20" formatCode="General">
                        <c:v>-6.5428413173652693</c:v>
                      </c:pt>
                      <c:pt idx="21" formatCode="General">
                        <c:v>-6.4525419161676645</c:v>
                      </c:pt>
                      <c:pt idx="22" formatCode="General">
                        <c:v>-6.3622425149700597</c:v>
                      </c:pt>
                      <c:pt idx="23" formatCode="General">
                        <c:v>-6.2719431137724548</c:v>
                      </c:pt>
                      <c:pt idx="24" formatCode="General">
                        <c:v>-6.18164371257485</c:v>
                      </c:pt>
                      <c:pt idx="25" formatCode="General">
                        <c:v>-6.3239729729729737</c:v>
                      </c:pt>
                      <c:pt idx="26" formatCode="General">
                        <c:v>-6.4818108108108117</c:v>
                      </c:pt>
                      <c:pt idx="27" formatCode="General">
                        <c:v>-6.6396486486486497</c:v>
                      </c:pt>
                      <c:pt idx="28" formatCode="General">
                        <c:v>-6.7974864864864877</c:v>
                      </c:pt>
                      <c:pt idx="29" formatCode="General">
                        <c:v>-6.8348562874251497</c:v>
                      </c:pt>
                      <c:pt idx="30" formatCode="General">
                        <c:v>-6.8372514970059886</c:v>
                      </c:pt>
                      <c:pt idx="31" formatCode="General">
                        <c:v>-6.8396467065868265</c:v>
                      </c:pt>
                      <c:pt idx="32" formatCode="General">
                        <c:v>-6.8420419161676644</c:v>
                      </c:pt>
                      <c:pt idx="33" formatCode="General">
                        <c:v>-6.8517664670658682</c:v>
                      </c:pt>
                      <c:pt idx="34" formatCode="General">
                        <c:v>-6.866377245508982</c:v>
                      </c:pt>
                      <c:pt idx="35" formatCode="General">
                        <c:v>-6.8809880239520957</c:v>
                      </c:pt>
                      <c:pt idx="36" formatCode="General">
                        <c:v>-6.8955988023952095</c:v>
                      </c:pt>
                      <c:pt idx="37" formatCode="General">
                        <c:v>-6.911838323353293</c:v>
                      </c:pt>
                      <c:pt idx="38" formatCode="General">
                        <c:v>-6.930281437125748</c:v>
                      </c:pt>
                      <c:pt idx="39" formatCode="General">
                        <c:v>-6.9487245508982038</c:v>
                      </c:pt>
                      <c:pt idx="40" formatCode="General">
                        <c:v>-6.9671676646706588</c:v>
                      </c:pt>
                      <c:pt idx="41" formatCode="General">
                        <c:v>-6.9858502994011973</c:v>
                      </c:pt>
                      <c:pt idx="42" formatCode="General">
                        <c:v>-7.0052514970059878</c:v>
                      </c:pt>
                      <c:pt idx="43" formatCode="General">
                        <c:v>-7.0246526946107783</c:v>
                      </c:pt>
                      <c:pt idx="44" formatCode="General">
                        <c:v>-7.0440538922155689</c:v>
                      </c:pt>
                      <c:pt idx="45" formatCode="General">
                        <c:v>-7.0634550898203594</c:v>
                      </c:pt>
                      <c:pt idx="46" formatCode="General">
                        <c:v>-7.0828562874251499</c:v>
                      </c:pt>
                      <c:pt idx="47" formatCode="General">
                        <c:v>-7.1022574850299405</c:v>
                      </c:pt>
                      <c:pt idx="48" formatCode="General">
                        <c:v>-7.1216586826347301</c:v>
                      </c:pt>
                      <c:pt idx="49" formatCode="General">
                        <c:v>-7.1410598802395207</c:v>
                      </c:pt>
                      <c:pt idx="50" formatCode="General">
                        <c:v>-7.1602584269662923</c:v>
                      </c:pt>
                      <c:pt idx="51" formatCode="General">
                        <c:v>-7.1794344569288393</c:v>
                      </c:pt>
                      <c:pt idx="52" formatCode="General">
                        <c:v>-7.1986104868913854</c:v>
                      </c:pt>
                      <c:pt idx="53" formatCode="General">
                        <c:v>-7.2177865168539324</c:v>
                      </c:pt>
                      <c:pt idx="54" formatCode="General">
                        <c:v>-7.2369625468164793</c:v>
                      </c:pt>
                      <c:pt idx="55" formatCode="General">
                        <c:v>-7.2561385767790263</c:v>
                      </c:pt>
                      <c:pt idx="56" formatCode="General">
                        <c:v>-7.2753146067415733</c:v>
                      </c:pt>
                      <c:pt idx="57" formatCode="General">
                        <c:v>-7.2944906367041202</c:v>
                      </c:pt>
                      <c:pt idx="58" formatCode="General">
                        <c:v>-7.3136666666666663</c:v>
                      </c:pt>
                      <c:pt idx="59" formatCode="General">
                        <c:v>-7.3328426966292133</c:v>
                      </c:pt>
                      <c:pt idx="60" formatCode="General">
                        <c:v>-7.3520187265917603</c:v>
                      </c:pt>
                      <c:pt idx="61" formatCode="General">
                        <c:v>-7.3711947565543072</c:v>
                      </c:pt>
                      <c:pt idx="62" formatCode="General">
                        <c:v>-7.3903707865168542</c:v>
                      </c:pt>
                      <c:pt idx="63" formatCode="General">
                        <c:v>-7.4095468164794012</c:v>
                      </c:pt>
                      <c:pt idx="64" formatCode="General">
                        <c:v>-7.4287228464419481</c:v>
                      </c:pt>
                      <c:pt idx="65" formatCode="General">
                        <c:v>-7.4478988764044942</c:v>
                      </c:pt>
                      <c:pt idx="66" formatCode="General">
                        <c:v>-7.4668456928838953</c:v>
                      </c:pt>
                      <c:pt idx="67" formatCode="General">
                        <c:v>-7.484943071161049</c:v>
                      </c:pt>
                      <c:pt idx="68" formatCode="General">
                        <c:v>-7.5030404494382026</c:v>
                      </c:pt>
                      <c:pt idx="69" formatCode="General">
                        <c:v>-7.5211378277153562</c:v>
                      </c:pt>
                      <c:pt idx="70" formatCode="General">
                        <c:v>-7.5392352059925098</c:v>
                      </c:pt>
                      <c:pt idx="71" formatCode="General">
                        <c:v>-7.5573325842696626</c:v>
                      </c:pt>
                      <c:pt idx="72" formatCode="General">
                        <c:v>-7.5754299625468162</c:v>
                      </c:pt>
                      <c:pt idx="73" formatCode="General">
                        <c:v>-7.5935273408239699</c:v>
                      </c:pt>
                      <c:pt idx="74" formatCode="General">
                        <c:v>-7.6116247191011235</c:v>
                      </c:pt>
                      <c:pt idx="75" formatCode="General">
                        <c:v>-7.6297220973782771</c:v>
                      </c:pt>
                      <c:pt idx="76" formatCode="General">
                        <c:v>-7.6478194756554307</c:v>
                      </c:pt>
                      <c:pt idx="77" formatCode="General">
                        <c:v>-7.6659168539325844</c:v>
                      </c:pt>
                      <c:pt idx="78" formatCode="General">
                        <c:v>-7.684014232209738</c:v>
                      </c:pt>
                      <c:pt idx="79" formatCode="General">
                        <c:v>-7.7021116104868916</c:v>
                      </c:pt>
                      <c:pt idx="80" formatCode="General">
                        <c:v>-7.7202089887640444</c:v>
                      </c:pt>
                      <c:pt idx="81" formatCode="General">
                        <c:v>-7.738306367041198</c:v>
                      </c:pt>
                      <c:pt idx="82" formatCode="General">
                        <c:v>-7.7564037453183516</c:v>
                      </c:pt>
                      <c:pt idx="83" formatCode="General">
                        <c:v>-7.7739234234234234</c:v>
                      </c:pt>
                      <c:pt idx="84" formatCode="General">
                        <c:v>-7.7909204204204201</c:v>
                      </c:pt>
                      <c:pt idx="85" formatCode="General">
                        <c:v>-7.8079174174174168</c:v>
                      </c:pt>
                      <c:pt idx="86" formatCode="General">
                        <c:v>-7.8249144144144145</c:v>
                      </c:pt>
                      <c:pt idx="87" formatCode="General">
                        <c:v>-28.733663366336632</c:v>
                      </c:pt>
                      <c:pt idx="88" formatCode="General">
                        <c:v>-28.828712871287127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2-022F-4A2F-976F-7C3C2CD148C5}"/>
                  </c:ext>
                </c:extLst>
              </c15:ser>
            </c15:filteredScatterSeries>
            <c15:filteredScatterSeries>
              <c15:ser>
                <c:idx val="45"/>
                <c:order val="46"/>
                <c:spPr>
                  <a:ln>
                    <a:solidFill>
                      <a:srgbClr val="00B050"/>
                    </a:solidFill>
                    <a:prstDash val="sysDash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306</c:v>
                      </c:pt>
                      <c:pt idx="1">
                        <c:v>314</c:v>
                      </c:pt>
                      <c:pt idx="2">
                        <c:v>322</c:v>
                      </c:pt>
                      <c:pt idx="3">
                        <c:v>330</c:v>
                      </c:pt>
                      <c:pt idx="4">
                        <c:v>338</c:v>
                      </c:pt>
                      <c:pt idx="5">
                        <c:v>346</c:v>
                      </c:pt>
                      <c:pt idx="6">
                        <c:v>354</c:v>
                      </c:pt>
                      <c:pt idx="7">
                        <c:v>362</c:v>
                      </c:pt>
                      <c:pt idx="8">
                        <c:v>370</c:v>
                      </c:pt>
                      <c:pt idx="9">
                        <c:v>378</c:v>
                      </c:pt>
                      <c:pt idx="10">
                        <c:v>386</c:v>
                      </c:pt>
                      <c:pt idx="11">
                        <c:v>394</c:v>
                      </c:pt>
                      <c:pt idx="12">
                        <c:v>402</c:v>
                      </c:pt>
                      <c:pt idx="13">
                        <c:v>410</c:v>
                      </c:pt>
                      <c:pt idx="14">
                        <c:v>418</c:v>
                      </c:pt>
                      <c:pt idx="15">
                        <c:v>426</c:v>
                      </c:pt>
                      <c:pt idx="16">
                        <c:v>434</c:v>
                      </c:pt>
                      <c:pt idx="17">
                        <c:v>442</c:v>
                      </c:pt>
                      <c:pt idx="18">
                        <c:v>450</c:v>
                      </c:pt>
                      <c:pt idx="19">
                        <c:v>458</c:v>
                      </c:pt>
                      <c:pt idx="20">
                        <c:v>466</c:v>
                      </c:pt>
                      <c:pt idx="21">
                        <c:v>474</c:v>
                      </c:pt>
                      <c:pt idx="22">
                        <c:v>482</c:v>
                      </c:pt>
                      <c:pt idx="23">
                        <c:v>490</c:v>
                      </c:pt>
                      <c:pt idx="24">
                        <c:v>498</c:v>
                      </c:pt>
                      <c:pt idx="25">
                        <c:v>506</c:v>
                      </c:pt>
                      <c:pt idx="26">
                        <c:v>514</c:v>
                      </c:pt>
                      <c:pt idx="27">
                        <c:v>522</c:v>
                      </c:pt>
                      <c:pt idx="28">
                        <c:v>530</c:v>
                      </c:pt>
                      <c:pt idx="29">
                        <c:v>538</c:v>
                      </c:pt>
                      <c:pt idx="30">
                        <c:v>546</c:v>
                      </c:pt>
                      <c:pt idx="31">
                        <c:v>554</c:v>
                      </c:pt>
                      <c:pt idx="32">
                        <c:v>562</c:v>
                      </c:pt>
                      <c:pt idx="33">
                        <c:v>570</c:v>
                      </c:pt>
                      <c:pt idx="34">
                        <c:v>578</c:v>
                      </c:pt>
                      <c:pt idx="35">
                        <c:v>586</c:v>
                      </c:pt>
                      <c:pt idx="36">
                        <c:v>594</c:v>
                      </c:pt>
                      <c:pt idx="37">
                        <c:v>602</c:v>
                      </c:pt>
                      <c:pt idx="38">
                        <c:v>610</c:v>
                      </c:pt>
                      <c:pt idx="39">
                        <c:v>618</c:v>
                      </c:pt>
                      <c:pt idx="40">
                        <c:v>626</c:v>
                      </c:pt>
                      <c:pt idx="41">
                        <c:v>634</c:v>
                      </c:pt>
                      <c:pt idx="42">
                        <c:v>642</c:v>
                      </c:pt>
                      <c:pt idx="43">
                        <c:v>650</c:v>
                      </c:pt>
                      <c:pt idx="44">
                        <c:v>658</c:v>
                      </c:pt>
                      <c:pt idx="45">
                        <c:v>666</c:v>
                      </c:pt>
                      <c:pt idx="46">
                        <c:v>674</c:v>
                      </c:pt>
                      <c:pt idx="47">
                        <c:v>682</c:v>
                      </c:pt>
                      <c:pt idx="48">
                        <c:v>690</c:v>
                      </c:pt>
                      <c:pt idx="49">
                        <c:v>698</c:v>
                      </c:pt>
                      <c:pt idx="50">
                        <c:v>706</c:v>
                      </c:pt>
                      <c:pt idx="51">
                        <c:v>714</c:v>
                      </c:pt>
                      <c:pt idx="52">
                        <c:v>722</c:v>
                      </c:pt>
                      <c:pt idx="53">
                        <c:v>730</c:v>
                      </c:pt>
                      <c:pt idx="54">
                        <c:v>738</c:v>
                      </c:pt>
                      <c:pt idx="55">
                        <c:v>746</c:v>
                      </c:pt>
                      <c:pt idx="56">
                        <c:v>754</c:v>
                      </c:pt>
                      <c:pt idx="57">
                        <c:v>762</c:v>
                      </c:pt>
                      <c:pt idx="58">
                        <c:v>770</c:v>
                      </c:pt>
                      <c:pt idx="59">
                        <c:v>778</c:v>
                      </c:pt>
                      <c:pt idx="60">
                        <c:v>786</c:v>
                      </c:pt>
                      <c:pt idx="61">
                        <c:v>794</c:v>
                      </c:pt>
                      <c:pt idx="62">
                        <c:v>802</c:v>
                      </c:pt>
                      <c:pt idx="63">
                        <c:v>810</c:v>
                      </c:pt>
                      <c:pt idx="64">
                        <c:v>818</c:v>
                      </c:pt>
                      <c:pt idx="65">
                        <c:v>826</c:v>
                      </c:pt>
                      <c:pt idx="66">
                        <c:v>834</c:v>
                      </c:pt>
                      <c:pt idx="67">
                        <c:v>842</c:v>
                      </c:pt>
                      <c:pt idx="68">
                        <c:v>850</c:v>
                      </c:pt>
                      <c:pt idx="69">
                        <c:v>858</c:v>
                      </c:pt>
                      <c:pt idx="70">
                        <c:v>866</c:v>
                      </c:pt>
                      <c:pt idx="71">
                        <c:v>874</c:v>
                      </c:pt>
                      <c:pt idx="72">
                        <c:v>882</c:v>
                      </c:pt>
                      <c:pt idx="73">
                        <c:v>890</c:v>
                      </c:pt>
                      <c:pt idx="74">
                        <c:v>898</c:v>
                      </c:pt>
                      <c:pt idx="75">
                        <c:v>906</c:v>
                      </c:pt>
                      <c:pt idx="76">
                        <c:v>914</c:v>
                      </c:pt>
                      <c:pt idx="77">
                        <c:v>922</c:v>
                      </c:pt>
                      <c:pt idx="78">
                        <c:v>930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EVALUATION!$B$147:$CP$147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-18.877657657657657</c:v>
                      </c:pt>
                      <c:pt idx="1">
                        <c:v>-18.875255255255254</c:v>
                      </c:pt>
                      <c:pt idx="2">
                        <c:v>-18.872852852852855</c:v>
                      </c:pt>
                      <c:pt idx="3">
                        <c:v>-18.870450450450452</c:v>
                      </c:pt>
                      <c:pt idx="4" formatCode="General">
                        <c:v>-18.875838323353292</c:v>
                      </c:pt>
                      <c:pt idx="5" formatCode="General">
                        <c:v>-18.883023952095808</c:v>
                      </c:pt>
                      <c:pt idx="6" formatCode="General">
                        <c:v>-18.890209580838324</c:v>
                      </c:pt>
                      <c:pt idx="7" formatCode="General">
                        <c:v>-18.897395209580836</c:v>
                      </c:pt>
                      <c:pt idx="8" formatCode="General">
                        <c:v>-18.906107784431136</c:v>
                      </c:pt>
                      <c:pt idx="9" formatCode="General">
                        <c:v>-18.915688622754491</c:v>
                      </c:pt>
                      <c:pt idx="10" formatCode="General">
                        <c:v>-18.925269461077846</c:v>
                      </c:pt>
                      <c:pt idx="11" formatCode="General">
                        <c:v>-18.934850299401198</c:v>
                      </c:pt>
                      <c:pt idx="12" formatCode="General">
                        <c:v>-18.945538922155688</c:v>
                      </c:pt>
                      <c:pt idx="13" formatCode="General">
                        <c:v>-18.957514970059879</c:v>
                      </c:pt>
                      <c:pt idx="14" formatCode="General">
                        <c:v>-18.969491017964071</c:v>
                      </c:pt>
                      <c:pt idx="15" formatCode="General">
                        <c:v>-18.981467065868262</c:v>
                      </c:pt>
                      <c:pt idx="16" formatCode="General">
                        <c:v>-18.993443113772454</c:v>
                      </c:pt>
                      <c:pt idx="17" formatCode="General">
                        <c:v>-19.005419161676645</c:v>
                      </c:pt>
                      <c:pt idx="18" formatCode="General">
                        <c:v>-19.017395209580837</c:v>
                      </c:pt>
                      <c:pt idx="19" formatCode="General">
                        <c:v>-19.029371257485028</c:v>
                      </c:pt>
                      <c:pt idx="20" formatCode="General">
                        <c:v>-19.040808383233532</c:v>
                      </c:pt>
                      <c:pt idx="21" formatCode="General">
                        <c:v>-19.047994011976048</c:v>
                      </c:pt>
                      <c:pt idx="22" formatCode="General">
                        <c:v>-19.055179640718563</c:v>
                      </c:pt>
                      <c:pt idx="23" formatCode="General">
                        <c:v>-19.062365269461079</c:v>
                      </c:pt>
                      <c:pt idx="24" formatCode="General">
                        <c:v>-19.069550898203595</c:v>
                      </c:pt>
                      <c:pt idx="25" formatCode="General">
                        <c:v>-19.045225225225227</c:v>
                      </c:pt>
                      <c:pt idx="26" formatCode="General">
                        <c:v>-19.018798798798798</c:v>
                      </c:pt>
                      <c:pt idx="27" formatCode="General">
                        <c:v>-18.992372372372373</c:v>
                      </c:pt>
                      <c:pt idx="28" formatCode="General">
                        <c:v>-18.965945945945947</c:v>
                      </c:pt>
                      <c:pt idx="29" formatCode="General">
                        <c:v>-18.972994011976049</c:v>
                      </c:pt>
                      <c:pt idx="30" formatCode="General">
                        <c:v>-18.989760479041916</c:v>
                      </c:pt>
                      <c:pt idx="31" formatCode="General">
                        <c:v>-19.006526946107787</c:v>
                      </c:pt>
                      <c:pt idx="32" formatCode="General">
                        <c:v>-19.023293413173654</c:v>
                      </c:pt>
                      <c:pt idx="33" formatCode="General">
                        <c:v>-19.040059880239522</c:v>
                      </c:pt>
                      <c:pt idx="34" formatCode="General">
                        <c:v>-19.056826347305389</c:v>
                      </c:pt>
                      <c:pt idx="35" formatCode="General">
                        <c:v>-19.07359281437126</c:v>
                      </c:pt>
                      <c:pt idx="36" formatCode="General">
                        <c:v>-19.090359281437127</c:v>
                      </c:pt>
                      <c:pt idx="37" formatCode="General">
                        <c:v>-19.107125748502995</c:v>
                      </c:pt>
                      <c:pt idx="38" formatCode="General">
                        <c:v>-19.123892215568866</c:v>
                      </c:pt>
                      <c:pt idx="39" formatCode="General">
                        <c:v>-19.140658682634733</c:v>
                      </c:pt>
                      <c:pt idx="40" formatCode="General">
                        <c:v>-19.1574251497006</c:v>
                      </c:pt>
                      <c:pt idx="41" formatCode="General">
                        <c:v>-19.174191616766468</c:v>
                      </c:pt>
                      <c:pt idx="42" formatCode="General">
                        <c:v>-19.190958083832335</c:v>
                      </c:pt>
                      <c:pt idx="43" formatCode="General">
                        <c:v>-19.207724550898202</c:v>
                      </c:pt>
                      <c:pt idx="44" formatCode="General">
                        <c:v>-19.22449101796407</c:v>
                      </c:pt>
                      <c:pt idx="45" formatCode="General">
                        <c:v>-19.241257485029937</c:v>
                      </c:pt>
                      <c:pt idx="46" formatCode="General">
                        <c:v>-19.258023952095808</c:v>
                      </c:pt>
                      <c:pt idx="47" formatCode="General">
                        <c:v>-19.274790419161675</c:v>
                      </c:pt>
                      <c:pt idx="48" formatCode="General">
                        <c:v>-19.291556886227543</c:v>
                      </c:pt>
                      <c:pt idx="49" formatCode="General">
                        <c:v>-19.30832335329341</c:v>
                      </c:pt>
                      <c:pt idx="50" formatCode="General">
                        <c:v>-19.324022471910112</c:v>
                      </c:pt>
                      <c:pt idx="51" formatCode="General">
                        <c:v>-19.33960299625468</c:v>
                      </c:pt>
                      <c:pt idx="52" formatCode="General">
                        <c:v>-19.355183520599251</c:v>
                      </c:pt>
                      <c:pt idx="53" formatCode="General">
                        <c:v>-19.370764044943819</c:v>
                      </c:pt>
                      <c:pt idx="54" formatCode="General">
                        <c:v>-19.38634456928839</c:v>
                      </c:pt>
                      <c:pt idx="55" formatCode="General">
                        <c:v>-19.401925093632958</c:v>
                      </c:pt>
                      <c:pt idx="56" formatCode="General">
                        <c:v>-19.417505617977529</c:v>
                      </c:pt>
                      <c:pt idx="57" formatCode="General">
                        <c:v>-19.433086142322097</c:v>
                      </c:pt>
                      <c:pt idx="58" formatCode="General">
                        <c:v>-19.448666666666668</c:v>
                      </c:pt>
                      <c:pt idx="59" formatCode="General">
                        <c:v>-19.464247191011236</c:v>
                      </c:pt>
                      <c:pt idx="60" formatCode="General">
                        <c:v>-19.479827715355807</c:v>
                      </c:pt>
                      <c:pt idx="61" formatCode="General">
                        <c:v>-19.495408239700375</c:v>
                      </c:pt>
                      <c:pt idx="62" formatCode="General">
                        <c:v>-19.510988764044942</c:v>
                      </c:pt>
                      <c:pt idx="63" formatCode="General">
                        <c:v>-19.526569288389513</c:v>
                      </c:pt>
                      <c:pt idx="64" formatCode="General">
                        <c:v>-19.542149812734081</c:v>
                      </c:pt>
                      <c:pt idx="65" formatCode="General">
                        <c:v>-19.557730337078652</c:v>
                      </c:pt>
                      <c:pt idx="66" formatCode="General">
                        <c:v>-19.573183520599251</c:v>
                      </c:pt>
                      <c:pt idx="67" formatCode="General">
                        <c:v>-19.58816479400749</c:v>
                      </c:pt>
                      <c:pt idx="68" formatCode="General">
                        <c:v>-19.603146067415732</c:v>
                      </c:pt>
                      <c:pt idx="69" formatCode="General">
                        <c:v>-19.618127340823971</c:v>
                      </c:pt>
                      <c:pt idx="70" formatCode="General">
                        <c:v>-19.63310861423221</c:v>
                      </c:pt>
                      <c:pt idx="71" formatCode="General">
                        <c:v>-19.648089887640449</c:v>
                      </c:pt>
                      <c:pt idx="72" formatCode="General">
                        <c:v>-19.663071161048691</c:v>
                      </c:pt>
                      <c:pt idx="73" formatCode="General">
                        <c:v>-19.67805243445693</c:v>
                      </c:pt>
                      <c:pt idx="74" formatCode="General">
                        <c:v>-19.693033707865169</c:v>
                      </c:pt>
                      <c:pt idx="75" formatCode="General">
                        <c:v>-19.708014981273408</c:v>
                      </c:pt>
                      <c:pt idx="76" formatCode="General">
                        <c:v>-19.722996254681647</c:v>
                      </c:pt>
                      <c:pt idx="77" formatCode="General">
                        <c:v>-19.737977528089889</c:v>
                      </c:pt>
                      <c:pt idx="78" formatCode="General">
                        <c:v>-19.752958801498128</c:v>
                      </c:pt>
                      <c:pt idx="79" formatCode="General">
                        <c:v>-19.767940074906367</c:v>
                      </c:pt>
                      <c:pt idx="80" formatCode="General">
                        <c:v>-19.782921348314606</c:v>
                      </c:pt>
                      <c:pt idx="81" formatCode="General">
                        <c:v>-19.797902621722848</c:v>
                      </c:pt>
                      <c:pt idx="82" formatCode="General">
                        <c:v>-19.812883895131087</c:v>
                      </c:pt>
                      <c:pt idx="83" formatCode="General">
                        <c:v>-19.827252252252254</c:v>
                      </c:pt>
                      <c:pt idx="84" formatCode="General">
                        <c:v>-19.841066066066066</c:v>
                      </c:pt>
                      <c:pt idx="85" formatCode="General">
                        <c:v>-19.854879879879881</c:v>
                      </c:pt>
                      <c:pt idx="86" formatCode="General">
                        <c:v>-19.868693693693693</c:v>
                      </c:pt>
                      <c:pt idx="87" formatCode="General">
                        <c:v>-28.733663366336632</c:v>
                      </c:pt>
                      <c:pt idx="88" formatCode="General">
                        <c:v>-28.828712871287127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3-022F-4A2F-976F-7C3C2CD148C5}"/>
                  </c:ext>
                </c:extLst>
              </c15:ser>
            </c15:filteredScatterSeries>
            <c15:filteredScatterSeries>
              <c15:ser>
                <c:idx val="46"/>
                <c:order val="47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306</c:v>
                      </c:pt>
                      <c:pt idx="1">
                        <c:v>314</c:v>
                      </c:pt>
                      <c:pt idx="2">
                        <c:v>322</c:v>
                      </c:pt>
                      <c:pt idx="3">
                        <c:v>330</c:v>
                      </c:pt>
                      <c:pt idx="4">
                        <c:v>338</c:v>
                      </c:pt>
                      <c:pt idx="5">
                        <c:v>346</c:v>
                      </c:pt>
                      <c:pt idx="6">
                        <c:v>354</c:v>
                      </c:pt>
                      <c:pt idx="7">
                        <c:v>362</c:v>
                      </c:pt>
                      <c:pt idx="8">
                        <c:v>370</c:v>
                      </c:pt>
                      <c:pt idx="9">
                        <c:v>378</c:v>
                      </c:pt>
                      <c:pt idx="10">
                        <c:v>386</c:v>
                      </c:pt>
                      <c:pt idx="11">
                        <c:v>394</c:v>
                      </c:pt>
                      <c:pt idx="12">
                        <c:v>402</c:v>
                      </c:pt>
                      <c:pt idx="13">
                        <c:v>410</c:v>
                      </c:pt>
                      <c:pt idx="14">
                        <c:v>418</c:v>
                      </c:pt>
                      <c:pt idx="15">
                        <c:v>426</c:v>
                      </c:pt>
                      <c:pt idx="16">
                        <c:v>434</c:v>
                      </c:pt>
                      <c:pt idx="17">
                        <c:v>442</c:v>
                      </c:pt>
                      <c:pt idx="18">
                        <c:v>450</c:v>
                      </c:pt>
                      <c:pt idx="19">
                        <c:v>458</c:v>
                      </c:pt>
                      <c:pt idx="20">
                        <c:v>466</c:v>
                      </c:pt>
                      <c:pt idx="21">
                        <c:v>474</c:v>
                      </c:pt>
                      <c:pt idx="22">
                        <c:v>482</c:v>
                      </c:pt>
                      <c:pt idx="23">
                        <c:v>490</c:v>
                      </c:pt>
                      <c:pt idx="24">
                        <c:v>498</c:v>
                      </c:pt>
                      <c:pt idx="25">
                        <c:v>506</c:v>
                      </c:pt>
                      <c:pt idx="26">
                        <c:v>514</c:v>
                      </c:pt>
                      <c:pt idx="27">
                        <c:v>522</c:v>
                      </c:pt>
                      <c:pt idx="28">
                        <c:v>530</c:v>
                      </c:pt>
                      <c:pt idx="29">
                        <c:v>538</c:v>
                      </c:pt>
                      <c:pt idx="30">
                        <c:v>546</c:v>
                      </c:pt>
                      <c:pt idx="31">
                        <c:v>554</c:v>
                      </c:pt>
                      <c:pt idx="32">
                        <c:v>562</c:v>
                      </c:pt>
                      <c:pt idx="33">
                        <c:v>570</c:v>
                      </c:pt>
                      <c:pt idx="34">
                        <c:v>578</c:v>
                      </c:pt>
                      <c:pt idx="35">
                        <c:v>586</c:v>
                      </c:pt>
                      <c:pt idx="36">
                        <c:v>594</c:v>
                      </c:pt>
                      <c:pt idx="37">
                        <c:v>602</c:v>
                      </c:pt>
                      <c:pt idx="38">
                        <c:v>610</c:v>
                      </c:pt>
                      <c:pt idx="39">
                        <c:v>618</c:v>
                      </c:pt>
                      <c:pt idx="40">
                        <c:v>626</c:v>
                      </c:pt>
                      <c:pt idx="41">
                        <c:v>634</c:v>
                      </c:pt>
                      <c:pt idx="42">
                        <c:v>642</c:v>
                      </c:pt>
                      <c:pt idx="43">
                        <c:v>650</c:v>
                      </c:pt>
                      <c:pt idx="44">
                        <c:v>658</c:v>
                      </c:pt>
                      <c:pt idx="45">
                        <c:v>666</c:v>
                      </c:pt>
                      <c:pt idx="46">
                        <c:v>674</c:v>
                      </c:pt>
                      <c:pt idx="47">
                        <c:v>682</c:v>
                      </c:pt>
                      <c:pt idx="48">
                        <c:v>690</c:v>
                      </c:pt>
                      <c:pt idx="49">
                        <c:v>698</c:v>
                      </c:pt>
                      <c:pt idx="50">
                        <c:v>706</c:v>
                      </c:pt>
                      <c:pt idx="51">
                        <c:v>714</c:v>
                      </c:pt>
                      <c:pt idx="52">
                        <c:v>722</c:v>
                      </c:pt>
                      <c:pt idx="53">
                        <c:v>730</c:v>
                      </c:pt>
                      <c:pt idx="54">
                        <c:v>738</c:v>
                      </c:pt>
                      <c:pt idx="55">
                        <c:v>746</c:v>
                      </c:pt>
                      <c:pt idx="56">
                        <c:v>754</c:v>
                      </c:pt>
                      <c:pt idx="57">
                        <c:v>762</c:v>
                      </c:pt>
                      <c:pt idx="58">
                        <c:v>770</c:v>
                      </c:pt>
                      <c:pt idx="59">
                        <c:v>778</c:v>
                      </c:pt>
                      <c:pt idx="60">
                        <c:v>786</c:v>
                      </c:pt>
                      <c:pt idx="61">
                        <c:v>794</c:v>
                      </c:pt>
                      <c:pt idx="62">
                        <c:v>802</c:v>
                      </c:pt>
                      <c:pt idx="63">
                        <c:v>810</c:v>
                      </c:pt>
                      <c:pt idx="64">
                        <c:v>818</c:v>
                      </c:pt>
                      <c:pt idx="65">
                        <c:v>826</c:v>
                      </c:pt>
                      <c:pt idx="66">
                        <c:v>834</c:v>
                      </c:pt>
                      <c:pt idx="67">
                        <c:v>842</c:v>
                      </c:pt>
                      <c:pt idx="68">
                        <c:v>850</c:v>
                      </c:pt>
                      <c:pt idx="69">
                        <c:v>858</c:v>
                      </c:pt>
                      <c:pt idx="70">
                        <c:v>866</c:v>
                      </c:pt>
                      <c:pt idx="71">
                        <c:v>874</c:v>
                      </c:pt>
                      <c:pt idx="72">
                        <c:v>882</c:v>
                      </c:pt>
                      <c:pt idx="73">
                        <c:v>890</c:v>
                      </c:pt>
                      <c:pt idx="74">
                        <c:v>898</c:v>
                      </c:pt>
                      <c:pt idx="75">
                        <c:v>906</c:v>
                      </c:pt>
                      <c:pt idx="76">
                        <c:v>914</c:v>
                      </c:pt>
                      <c:pt idx="77">
                        <c:v>922</c:v>
                      </c:pt>
                      <c:pt idx="78">
                        <c:v>930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EVALUATION!$B$148:$CP$148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-59.157387387387388</c:v>
                      </c:pt>
                      <c:pt idx="1">
                        <c:v>-57.482912912912909</c:v>
                      </c:pt>
                      <c:pt idx="2">
                        <c:v>-55.808438438438436</c:v>
                      </c:pt>
                      <c:pt idx="3">
                        <c:v>-54.133963963963964</c:v>
                      </c:pt>
                      <c:pt idx="4" formatCode="General">
                        <c:v>-52.494700598802396</c:v>
                      </c:pt>
                      <c:pt idx="5" formatCode="General">
                        <c:v>-50.863562874251492</c:v>
                      </c:pt>
                      <c:pt idx="6" formatCode="General">
                        <c:v>-49.232425149700596</c:v>
                      </c:pt>
                      <c:pt idx="7" formatCode="General">
                        <c:v>-47.601287425149692</c:v>
                      </c:pt>
                      <c:pt idx="8" formatCode="General">
                        <c:v>-46.077035928143708</c:v>
                      </c:pt>
                      <c:pt idx="9" formatCode="General">
                        <c:v>-44.613562874251492</c:v>
                      </c:pt>
                      <c:pt idx="10" formatCode="General">
                        <c:v>-43.150089820359277</c:v>
                      </c:pt>
                      <c:pt idx="11" formatCode="General">
                        <c:v>-41.686616766467068</c:v>
                      </c:pt>
                      <c:pt idx="12" formatCode="General">
                        <c:v>-40.325059880239522</c:v>
                      </c:pt>
                      <c:pt idx="13" formatCode="General">
                        <c:v>-39.081946107784432</c:v>
                      </c:pt>
                      <c:pt idx="14" formatCode="General">
                        <c:v>-37.838832335329343</c:v>
                      </c:pt>
                      <c:pt idx="15" formatCode="General">
                        <c:v>-36.595718562874254</c:v>
                      </c:pt>
                      <c:pt idx="16" formatCode="General">
                        <c:v>-35.412514970059881</c:v>
                      </c:pt>
                      <c:pt idx="17" formatCode="General">
                        <c:v>-34.377784431137727</c:v>
                      </c:pt>
                      <c:pt idx="18" formatCode="General">
                        <c:v>-33.343053892215572</c:v>
                      </c:pt>
                      <c:pt idx="19" formatCode="General">
                        <c:v>-32.308323353293417</c:v>
                      </c:pt>
                      <c:pt idx="20" formatCode="General">
                        <c:v>-31.289491017964075</c:v>
                      </c:pt>
                      <c:pt idx="21" formatCode="General">
                        <c:v>-30.396077844311378</c:v>
                      </c:pt>
                      <c:pt idx="22" formatCode="General">
                        <c:v>-29.502664670658685</c:v>
                      </c:pt>
                      <c:pt idx="23" formatCode="General">
                        <c:v>-28.609251497005989</c:v>
                      </c:pt>
                      <c:pt idx="24" formatCode="General">
                        <c:v>-27.715838323353292</c:v>
                      </c:pt>
                      <c:pt idx="25" formatCode="General">
                        <c:v>-27.464054054054053</c:v>
                      </c:pt>
                      <c:pt idx="26" formatCode="General">
                        <c:v>-27.255045045045044</c:v>
                      </c:pt>
                      <c:pt idx="27" formatCode="General">
                        <c:v>-27.046036036036035</c:v>
                      </c:pt>
                      <c:pt idx="28" formatCode="General">
                        <c:v>-26.837027027027027</c:v>
                      </c:pt>
                      <c:pt idx="29" formatCode="General">
                        <c:v>-27.03502994011976</c:v>
                      </c:pt>
                      <c:pt idx="30" formatCode="General">
                        <c:v>-27.351197604790418</c:v>
                      </c:pt>
                      <c:pt idx="31" formatCode="General">
                        <c:v>-27.667365269461076</c:v>
                      </c:pt>
                      <c:pt idx="32" formatCode="General">
                        <c:v>-27.983532934131734</c:v>
                      </c:pt>
                      <c:pt idx="33" formatCode="General">
                        <c:v>-28.296826347305387</c:v>
                      </c:pt>
                      <c:pt idx="34" formatCode="General">
                        <c:v>-28.60820359281437</c:v>
                      </c:pt>
                      <c:pt idx="35" formatCode="General">
                        <c:v>-28.919580838323352</c:v>
                      </c:pt>
                      <c:pt idx="36" formatCode="General">
                        <c:v>-29.230958083832334</c:v>
                      </c:pt>
                      <c:pt idx="37" formatCode="General">
                        <c:v>-29.540299401197604</c:v>
                      </c:pt>
                      <c:pt idx="38" formatCode="General">
                        <c:v>-29.84688622754491</c:v>
                      </c:pt>
                      <c:pt idx="39" formatCode="General">
                        <c:v>-30.153473053892217</c:v>
                      </c:pt>
                      <c:pt idx="40" formatCode="General">
                        <c:v>-30.460059880239523</c:v>
                      </c:pt>
                      <c:pt idx="41" formatCode="General">
                        <c:v>-30.7648502994012</c:v>
                      </c:pt>
                      <c:pt idx="42" formatCode="General">
                        <c:v>-31.064251497005991</c:v>
                      </c:pt>
                      <c:pt idx="43" formatCode="General">
                        <c:v>-31.363652694610781</c:v>
                      </c:pt>
                      <c:pt idx="44" formatCode="General">
                        <c:v>-31.663053892215572</c:v>
                      </c:pt>
                      <c:pt idx="45" formatCode="General">
                        <c:v>-31.961916167664672</c:v>
                      </c:pt>
                      <c:pt idx="46" formatCode="General">
                        <c:v>-32.254131736526951</c:v>
                      </c:pt>
                      <c:pt idx="47" formatCode="General">
                        <c:v>-32.546347305389219</c:v>
                      </c:pt>
                      <c:pt idx="48" formatCode="General">
                        <c:v>-32.838562874251494</c:v>
                      </c:pt>
                      <c:pt idx="49" formatCode="General">
                        <c:v>-33.130778443113769</c:v>
                      </c:pt>
                      <c:pt idx="50" formatCode="General">
                        <c:v>-33.403235955056175</c:v>
                      </c:pt>
                      <c:pt idx="51" formatCode="General">
                        <c:v>-33.673498127340821</c:v>
                      </c:pt>
                      <c:pt idx="52" formatCode="General">
                        <c:v>-33.943760299625467</c:v>
                      </c:pt>
                      <c:pt idx="53" formatCode="General">
                        <c:v>-34.214022471910113</c:v>
                      </c:pt>
                      <c:pt idx="54" formatCode="General">
                        <c:v>-34.484284644194759</c:v>
                      </c:pt>
                      <c:pt idx="55" formatCode="General">
                        <c:v>-34.754546816479397</c:v>
                      </c:pt>
                      <c:pt idx="56" formatCode="General">
                        <c:v>-35.024808988764043</c:v>
                      </c:pt>
                      <c:pt idx="57" formatCode="General">
                        <c:v>-35.295071161048689</c:v>
                      </c:pt>
                      <c:pt idx="58" formatCode="General">
                        <c:v>-35.565333333333335</c:v>
                      </c:pt>
                      <c:pt idx="59" formatCode="General">
                        <c:v>-35.835595505617981</c:v>
                      </c:pt>
                      <c:pt idx="60" formatCode="General">
                        <c:v>-36.10585767790262</c:v>
                      </c:pt>
                      <c:pt idx="61" formatCode="General">
                        <c:v>-36.376119850187266</c:v>
                      </c:pt>
                      <c:pt idx="62" formatCode="General">
                        <c:v>-36.646382022471911</c:v>
                      </c:pt>
                      <c:pt idx="63" formatCode="General">
                        <c:v>-36.916644194756557</c:v>
                      </c:pt>
                      <c:pt idx="64" formatCode="General">
                        <c:v>-37.186906367041203</c:v>
                      </c:pt>
                      <c:pt idx="65" formatCode="General">
                        <c:v>-37.457168539325849</c:v>
                      </c:pt>
                      <c:pt idx="66" formatCode="General">
                        <c:v>-37.717880149812736</c:v>
                      </c:pt>
                      <c:pt idx="67" formatCode="General">
                        <c:v>-37.943198501872665</c:v>
                      </c:pt>
                      <c:pt idx="68" formatCode="General">
                        <c:v>-38.168516853932587</c:v>
                      </c:pt>
                      <c:pt idx="69" formatCode="General">
                        <c:v>-38.393835205992509</c:v>
                      </c:pt>
                      <c:pt idx="70" formatCode="General">
                        <c:v>-38.619153558052439</c:v>
                      </c:pt>
                      <c:pt idx="71" formatCode="General">
                        <c:v>-38.844471910112361</c:v>
                      </c:pt>
                      <c:pt idx="72" formatCode="General">
                        <c:v>-39.06979026217229</c:v>
                      </c:pt>
                      <c:pt idx="73" formatCode="General">
                        <c:v>-39.295108614232213</c:v>
                      </c:pt>
                      <c:pt idx="74" formatCode="General">
                        <c:v>-39.520426966292135</c:v>
                      </c:pt>
                      <c:pt idx="75" formatCode="General">
                        <c:v>-39.745745318352064</c:v>
                      </c:pt>
                      <c:pt idx="76" formatCode="General">
                        <c:v>-39.971063670411986</c:v>
                      </c:pt>
                      <c:pt idx="77" formatCode="General">
                        <c:v>-40.196382022471909</c:v>
                      </c:pt>
                      <c:pt idx="78" formatCode="General">
                        <c:v>-40.421700374531838</c:v>
                      </c:pt>
                      <c:pt idx="79" formatCode="General">
                        <c:v>-40.64701872659176</c:v>
                      </c:pt>
                      <c:pt idx="80" formatCode="General">
                        <c:v>-40.87233707865169</c:v>
                      </c:pt>
                      <c:pt idx="81" formatCode="General">
                        <c:v>-41.097655430711612</c:v>
                      </c:pt>
                      <c:pt idx="82" formatCode="General">
                        <c:v>-41.322973782771534</c:v>
                      </c:pt>
                      <c:pt idx="83" formatCode="General">
                        <c:v>-41.521441441441439</c:v>
                      </c:pt>
                      <c:pt idx="84" formatCode="General">
                        <c:v>-41.695615615615615</c:v>
                      </c:pt>
                      <c:pt idx="85" formatCode="General">
                        <c:v>-41.869789789789792</c:v>
                      </c:pt>
                      <c:pt idx="86" formatCode="General">
                        <c:v>-42.043963963963961</c:v>
                      </c:pt>
                      <c:pt idx="87" formatCode="General">
                        <c:v>-28.733663366336632</c:v>
                      </c:pt>
                      <c:pt idx="88" formatCode="General">
                        <c:v>-28.828712871287127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4-022F-4A2F-976F-7C3C2CD148C5}"/>
                  </c:ext>
                </c:extLst>
              </c15:ser>
            </c15:filteredScatterSeries>
            <c15:filteredScatterSeries>
              <c15:ser>
                <c:idx val="47"/>
                <c:order val="48"/>
                <c:spPr>
                  <a:ln>
                    <a:solidFill>
                      <a:srgbClr val="00B050"/>
                    </a:solidFill>
                    <a:prstDash val="dash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306</c:v>
                      </c:pt>
                      <c:pt idx="1">
                        <c:v>314</c:v>
                      </c:pt>
                      <c:pt idx="2">
                        <c:v>322</c:v>
                      </c:pt>
                      <c:pt idx="3">
                        <c:v>330</c:v>
                      </c:pt>
                      <c:pt idx="4">
                        <c:v>338</c:v>
                      </c:pt>
                      <c:pt idx="5">
                        <c:v>346</c:v>
                      </c:pt>
                      <c:pt idx="6">
                        <c:v>354</c:v>
                      </c:pt>
                      <c:pt idx="7">
                        <c:v>362</c:v>
                      </c:pt>
                      <c:pt idx="8">
                        <c:v>370</c:v>
                      </c:pt>
                      <c:pt idx="9">
                        <c:v>378</c:v>
                      </c:pt>
                      <c:pt idx="10">
                        <c:v>386</c:v>
                      </c:pt>
                      <c:pt idx="11">
                        <c:v>394</c:v>
                      </c:pt>
                      <c:pt idx="12">
                        <c:v>402</c:v>
                      </c:pt>
                      <c:pt idx="13">
                        <c:v>410</c:v>
                      </c:pt>
                      <c:pt idx="14">
                        <c:v>418</c:v>
                      </c:pt>
                      <c:pt idx="15">
                        <c:v>426</c:v>
                      </c:pt>
                      <c:pt idx="16">
                        <c:v>434</c:v>
                      </c:pt>
                      <c:pt idx="17">
                        <c:v>442</c:v>
                      </c:pt>
                      <c:pt idx="18">
                        <c:v>450</c:v>
                      </c:pt>
                      <c:pt idx="19">
                        <c:v>458</c:v>
                      </c:pt>
                      <c:pt idx="20">
                        <c:v>466</c:v>
                      </c:pt>
                      <c:pt idx="21">
                        <c:v>474</c:v>
                      </c:pt>
                      <c:pt idx="22">
                        <c:v>482</c:v>
                      </c:pt>
                      <c:pt idx="23">
                        <c:v>490</c:v>
                      </c:pt>
                      <c:pt idx="24">
                        <c:v>498</c:v>
                      </c:pt>
                      <c:pt idx="25">
                        <c:v>506</c:v>
                      </c:pt>
                      <c:pt idx="26">
                        <c:v>514</c:v>
                      </c:pt>
                      <c:pt idx="27">
                        <c:v>522</c:v>
                      </c:pt>
                      <c:pt idx="28">
                        <c:v>530</c:v>
                      </c:pt>
                      <c:pt idx="29">
                        <c:v>538</c:v>
                      </c:pt>
                      <c:pt idx="30">
                        <c:v>546</c:v>
                      </c:pt>
                      <c:pt idx="31">
                        <c:v>554</c:v>
                      </c:pt>
                      <c:pt idx="32">
                        <c:v>562</c:v>
                      </c:pt>
                      <c:pt idx="33">
                        <c:v>570</c:v>
                      </c:pt>
                      <c:pt idx="34">
                        <c:v>578</c:v>
                      </c:pt>
                      <c:pt idx="35">
                        <c:v>586</c:v>
                      </c:pt>
                      <c:pt idx="36">
                        <c:v>594</c:v>
                      </c:pt>
                      <c:pt idx="37">
                        <c:v>602</c:v>
                      </c:pt>
                      <c:pt idx="38">
                        <c:v>610</c:v>
                      </c:pt>
                      <c:pt idx="39">
                        <c:v>618</c:v>
                      </c:pt>
                      <c:pt idx="40">
                        <c:v>626</c:v>
                      </c:pt>
                      <c:pt idx="41">
                        <c:v>634</c:v>
                      </c:pt>
                      <c:pt idx="42">
                        <c:v>642</c:v>
                      </c:pt>
                      <c:pt idx="43">
                        <c:v>650</c:v>
                      </c:pt>
                      <c:pt idx="44">
                        <c:v>658</c:v>
                      </c:pt>
                      <c:pt idx="45">
                        <c:v>666</c:v>
                      </c:pt>
                      <c:pt idx="46">
                        <c:v>674</c:v>
                      </c:pt>
                      <c:pt idx="47">
                        <c:v>682</c:v>
                      </c:pt>
                      <c:pt idx="48">
                        <c:v>690</c:v>
                      </c:pt>
                      <c:pt idx="49">
                        <c:v>698</c:v>
                      </c:pt>
                      <c:pt idx="50">
                        <c:v>706</c:v>
                      </c:pt>
                      <c:pt idx="51">
                        <c:v>714</c:v>
                      </c:pt>
                      <c:pt idx="52">
                        <c:v>722</c:v>
                      </c:pt>
                      <c:pt idx="53">
                        <c:v>730</c:v>
                      </c:pt>
                      <c:pt idx="54">
                        <c:v>738</c:v>
                      </c:pt>
                      <c:pt idx="55">
                        <c:v>746</c:v>
                      </c:pt>
                      <c:pt idx="56">
                        <c:v>754</c:v>
                      </c:pt>
                      <c:pt idx="57">
                        <c:v>762</c:v>
                      </c:pt>
                      <c:pt idx="58">
                        <c:v>770</c:v>
                      </c:pt>
                      <c:pt idx="59">
                        <c:v>778</c:v>
                      </c:pt>
                      <c:pt idx="60">
                        <c:v>786</c:v>
                      </c:pt>
                      <c:pt idx="61">
                        <c:v>794</c:v>
                      </c:pt>
                      <c:pt idx="62">
                        <c:v>802</c:v>
                      </c:pt>
                      <c:pt idx="63">
                        <c:v>810</c:v>
                      </c:pt>
                      <c:pt idx="64">
                        <c:v>818</c:v>
                      </c:pt>
                      <c:pt idx="65">
                        <c:v>826</c:v>
                      </c:pt>
                      <c:pt idx="66">
                        <c:v>834</c:v>
                      </c:pt>
                      <c:pt idx="67">
                        <c:v>842</c:v>
                      </c:pt>
                      <c:pt idx="68">
                        <c:v>850</c:v>
                      </c:pt>
                      <c:pt idx="69">
                        <c:v>858</c:v>
                      </c:pt>
                      <c:pt idx="70">
                        <c:v>866</c:v>
                      </c:pt>
                      <c:pt idx="71">
                        <c:v>874</c:v>
                      </c:pt>
                      <c:pt idx="72">
                        <c:v>882</c:v>
                      </c:pt>
                      <c:pt idx="73">
                        <c:v>890</c:v>
                      </c:pt>
                      <c:pt idx="74">
                        <c:v>898</c:v>
                      </c:pt>
                      <c:pt idx="75">
                        <c:v>906</c:v>
                      </c:pt>
                      <c:pt idx="76">
                        <c:v>914</c:v>
                      </c:pt>
                      <c:pt idx="77">
                        <c:v>922</c:v>
                      </c:pt>
                      <c:pt idx="78">
                        <c:v>930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EVALUATION!$B$149:$CP$149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-15.512792792792792</c:v>
                      </c:pt>
                      <c:pt idx="1">
                        <c:v>-15.013093093093092</c:v>
                      </c:pt>
                      <c:pt idx="2">
                        <c:v>-14.513393393393393</c:v>
                      </c:pt>
                      <c:pt idx="3">
                        <c:v>-14.013693693693693</c:v>
                      </c:pt>
                      <c:pt idx="4" formatCode="General">
                        <c:v>-13.456826347305389</c:v>
                      </c:pt>
                      <c:pt idx="5" formatCode="General">
                        <c:v>-12.886766467065867</c:v>
                      </c:pt>
                      <c:pt idx="6" formatCode="General">
                        <c:v>-12.316706586826346</c:v>
                      </c:pt>
                      <c:pt idx="7" formatCode="General">
                        <c:v>-11.746646706586823</c:v>
                      </c:pt>
                      <c:pt idx="8" formatCode="General">
                        <c:v>-11.204988023952094</c:v>
                      </c:pt>
                      <c:pt idx="9" formatCode="General">
                        <c:v>-10.679479041916167</c:v>
                      </c:pt>
                      <c:pt idx="10" formatCode="General">
                        <c:v>-10.153970059880239</c:v>
                      </c:pt>
                      <c:pt idx="11" formatCode="General">
                        <c:v>-9.628461077844312</c:v>
                      </c:pt>
                      <c:pt idx="12" formatCode="General">
                        <c:v>-9.1539101796407198</c:v>
                      </c:pt>
                      <c:pt idx="13" formatCode="General">
                        <c:v>-8.7385808383233528</c:v>
                      </c:pt>
                      <c:pt idx="14" formatCode="General">
                        <c:v>-8.3232514970059874</c:v>
                      </c:pt>
                      <c:pt idx="15" formatCode="General">
                        <c:v>-7.9079221556886221</c:v>
                      </c:pt>
                      <c:pt idx="16" formatCode="General">
                        <c:v>-7.5390748502994009</c:v>
                      </c:pt>
                      <c:pt idx="17" formatCode="General">
                        <c:v>-7.2854221556886225</c:v>
                      </c:pt>
                      <c:pt idx="18" formatCode="General">
                        <c:v>-7.031769461077845</c:v>
                      </c:pt>
                      <c:pt idx="19" formatCode="General">
                        <c:v>-6.7781167664670665</c:v>
                      </c:pt>
                      <c:pt idx="20" formatCode="General">
                        <c:v>-6.5428413173652693</c:v>
                      </c:pt>
                      <c:pt idx="21" formatCode="General">
                        <c:v>-6.4525419161676645</c:v>
                      </c:pt>
                      <c:pt idx="22" formatCode="General">
                        <c:v>-6.3622425149700597</c:v>
                      </c:pt>
                      <c:pt idx="23" formatCode="General">
                        <c:v>-6.2719431137724548</c:v>
                      </c:pt>
                      <c:pt idx="24" formatCode="General">
                        <c:v>-6.18164371257485</c:v>
                      </c:pt>
                      <c:pt idx="25" formatCode="General">
                        <c:v>-6.3239729729729737</c:v>
                      </c:pt>
                      <c:pt idx="26" formatCode="General">
                        <c:v>-6.4818108108108117</c:v>
                      </c:pt>
                      <c:pt idx="27" formatCode="General">
                        <c:v>-6.6396486486486497</c:v>
                      </c:pt>
                      <c:pt idx="28" formatCode="General">
                        <c:v>-6.7974864864864877</c:v>
                      </c:pt>
                      <c:pt idx="29" formatCode="General">
                        <c:v>-6.8348562874251497</c:v>
                      </c:pt>
                      <c:pt idx="30" formatCode="General">
                        <c:v>-6.8372514970059886</c:v>
                      </c:pt>
                      <c:pt idx="31" formatCode="General">
                        <c:v>-6.8396467065868265</c:v>
                      </c:pt>
                      <c:pt idx="32" formatCode="General">
                        <c:v>-6.8420419161676644</c:v>
                      </c:pt>
                      <c:pt idx="33" formatCode="General">
                        <c:v>-6.8517664670658682</c:v>
                      </c:pt>
                      <c:pt idx="34" formatCode="General">
                        <c:v>-6.866377245508982</c:v>
                      </c:pt>
                      <c:pt idx="35" formatCode="General">
                        <c:v>-6.8809880239520957</c:v>
                      </c:pt>
                      <c:pt idx="36" formatCode="General">
                        <c:v>-6.8955988023952095</c:v>
                      </c:pt>
                      <c:pt idx="37" formatCode="General">
                        <c:v>-6.911838323353293</c:v>
                      </c:pt>
                      <c:pt idx="38" formatCode="General">
                        <c:v>-6.930281437125748</c:v>
                      </c:pt>
                      <c:pt idx="39" formatCode="General">
                        <c:v>-6.9487245508982038</c:v>
                      </c:pt>
                      <c:pt idx="40" formatCode="General">
                        <c:v>-6.9671676646706588</c:v>
                      </c:pt>
                      <c:pt idx="41" formatCode="General">
                        <c:v>-6.9858502994011973</c:v>
                      </c:pt>
                      <c:pt idx="42" formatCode="General">
                        <c:v>-7.0052514970059878</c:v>
                      </c:pt>
                      <c:pt idx="43" formatCode="General">
                        <c:v>-7.0246526946107783</c:v>
                      </c:pt>
                      <c:pt idx="44" formatCode="General">
                        <c:v>-7.0440538922155689</c:v>
                      </c:pt>
                      <c:pt idx="45" formatCode="General">
                        <c:v>-7.0634550898203594</c:v>
                      </c:pt>
                      <c:pt idx="46" formatCode="General">
                        <c:v>-7.0828562874251499</c:v>
                      </c:pt>
                      <c:pt idx="47" formatCode="General">
                        <c:v>-7.1022574850299405</c:v>
                      </c:pt>
                      <c:pt idx="48" formatCode="General">
                        <c:v>-7.1216586826347301</c:v>
                      </c:pt>
                      <c:pt idx="49" formatCode="General">
                        <c:v>-7.1410598802395207</c:v>
                      </c:pt>
                      <c:pt idx="50" formatCode="General">
                        <c:v>-7.1602584269662923</c:v>
                      </c:pt>
                      <c:pt idx="51" formatCode="General">
                        <c:v>-7.1794344569288393</c:v>
                      </c:pt>
                      <c:pt idx="52" formatCode="General">
                        <c:v>-7.1986104868913854</c:v>
                      </c:pt>
                      <c:pt idx="53" formatCode="General">
                        <c:v>-7.2177865168539324</c:v>
                      </c:pt>
                      <c:pt idx="54" formatCode="General">
                        <c:v>-7.2369625468164793</c:v>
                      </c:pt>
                      <c:pt idx="55" formatCode="General">
                        <c:v>-7.2561385767790263</c:v>
                      </c:pt>
                      <c:pt idx="56" formatCode="General">
                        <c:v>-7.2753146067415733</c:v>
                      </c:pt>
                      <c:pt idx="57" formatCode="General">
                        <c:v>-7.2944906367041202</c:v>
                      </c:pt>
                      <c:pt idx="58" formatCode="General">
                        <c:v>-7.3136666666666663</c:v>
                      </c:pt>
                      <c:pt idx="59" formatCode="General">
                        <c:v>-7.3328426966292133</c:v>
                      </c:pt>
                      <c:pt idx="60" formatCode="General">
                        <c:v>-7.3520187265917603</c:v>
                      </c:pt>
                      <c:pt idx="61" formatCode="General">
                        <c:v>-7.3711947565543072</c:v>
                      </c:pt>
                      <c:pt idx="62" formatCode="General">
                        <c:v>-7.3903707865168542</c:v>
                      </c:pt>
                      <c:pt idx="63" formatCode="General">
                        <c:v>-7.4095468164794012</c:v>
                      </c:pt>
                      <c:pt idx="64" formatCode="General">
                        <c:v>-7.4287228464419481</c:v>
                      </c:pt>
                      <c:pt idx="65" formatCode="General">
                        <c:v>-7.4478988764044942</c:v>
                      </c:pt>
                      <c:pt idx="66" formatCode="General">
                        <c:v>-7.4668456928838953</c:v>
                      </c:pt>
                      <c:pt idx="67" formatCode="General">
                        <c:v>-7.484943071161049</c:v>
                      </c:pt>
                      <c:pt idx="68" formatCode="General">
                        <c:v>-7.5030404494382026</c:v>
                      </c:pt>
                      <c:pt idx="69" formatCode="General">
                        <c:v>-7.5211378277153562</c:v>
                      </c:pt>
                      <c:pt idx="70" formatCode="General">
                        <c:v>-7.5392352059925098</c:v>
                      </c:pt>
                      <c:pt idx="71" formatCode="General">
                        <c:v>-7.5573325842696626</c:v>
                      </c:pt>
                      <c:pt idx="72" formatCode="General">
                        <c:v>-7.5754299625468162</c:v>
                      </c:pt>
                      <c:pt idx="73" formatCode="General">
                        <c:v>-7.5935273408239699</c:v>
                      </c:pt>
                      <c:pt idx="74" formatCode="General">
                        <c:v>-7.6116247191011235</c:v>
                      </c:pt>
                      <c:pt idx="75" formatCode="General">
                        <c:v>-7.6297220973782771</c:v>
                      </c:pt>
                      <c:pt idx="76" formatCode="General">
                        <c:v>-7.6478194756554307</c:v>
                      </c:pt>
                      <c:pt idx="77" formatCode="General">
                        <c:v>-7.6659168539325844</c:v>
                      </c:pt>
                      <c:pt idx="78" formatCode="General">
                        <c:v>-7.684014232209738</c:v>
                      </c:pt>
                      <c:pt idx="79" formatCode="General">
                        <c:v>-7.7021116104868916</c:v>
                      </c:pt>
                      <c:pt idx="80" formatCode="General">
                        <c:v>-7.7202089887640444</c:v>
                      </c:pt>
                      <c:pt idx="81" formatCode="General">
                        <c:v>-7.738306367041198</c:v>
                      </c:pt>
                      <c:pt idx="82" formatCode="General">
                        <c:v>-7.7564037453183516</c:v>
                      </c:pt>
                      <c:pt idx="83" formatCode="General">
                        <c:v>-7.7739234234234234</c:v>
                      </c:pt>
                      <c:pt idx="84" formatCode="General">
                        <c:v>-7.7909204204204201</c:v>
                      </c:pt>
                      <c:pt idx="85" formatCode="General">
                        <c:v>-7.8079174174174168</c:v>
                      </c:pt>
                      <c:pt idx="86" formatCode="General">
                        <c:v>-7.8249144144144145</c:v>
                      </c:pt>
                      <c:pt idx="87" formatCode="General">
                        <c:v>-28.733663366336632</c:v>
                      </c:pt>
                      <c:pt idx="88" formatCode="General">
                        <c:v>-28.828712871287127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5-022F-4A2F-976F-7C3C2CD148C5}"/>
                  </c:ext>
                </c:extLst>
              </c15:ser>
            </c15:filteredScatterSeries>
            <c15:filteredScatterSeries>
              <c15:ser>
                <c:idx val="48"/>
                <c:order val="49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306</c:v>
                      </c:pt>
                      <c:pt idx="1">
                        <c:v>314</c:v>
                      </c:pt>
                      <c:pt idx="2">
                        <c:v>322</c:v>
                      </c:pt>
                      <c:pt idx="3">
                        <c:v>330</c:v>
                      </c:pt>
                      <c:pt idx="4">
                        <c:v>338</c:v>
                      </c:pt>
                      <c:pt idx="5">
                        <c:v>346</c:v>
                      </c:pt>
                      <c:pt idx="6">
                        <c:v>354</c:v>
                      </c:pt>
                      <c:pt idx="7">
                        <c:v>362</c:v>
                      </c:pt>
                      <c:pt idx="8">
                        <c:v>370</c:v>
                      </c:pt>
                      <c:pt idx="9">
                        <c:v>378</c:v>
                      </c:pt>
                      <c:pt idx="10">
                        <c:v>386</c:v>
                      </c:pt>
                      <c:pt idx="11">
                        <c:v>394</c:v>
                      </c:pt>
                      <c:pt idx="12">
                        <c:v>402</c:v>
                      </c:pt>
                      <c:pt idx="13">
                        <c:v>410</c:v>
                      </c:pt>
                      <c:pt idx="14">
                        <c:v>418</c:v>
                      </c:pt>
                      <c:pt idx="15">
                        <c:v>426</c:v>
                      </c:pt>
                      <c:pt idx="16">
                        <c:v>434</c:v>
                      </c:pt>
                      <c:pt idx="17">
                        <c:v>442</c:v>
                      </c:pt>
                      <c:pt idx="18">
                        <c:v>450</c:v>
                      </c:pt>
                      <c:pt idx="19">
                        <c:v>458</c:v>
                      </c:pt>
                      <c:pt idx="20">
                        <c:v>466</c:v>
                      </c:pt>
                      <c:pt idx="21">
                        <c:v>474</c:v>
                      </c:pt>
                      <c:pt idx="22">
                        <c:v>482</c:v>
                      </c:pt>
                      <c:pt idx="23">
                        <c:v>490</c:v>
                      </c:pt>
                      <c:pt idx="24">
                        <c:v>498</c:v>
                      </c:pt>
                      <c:pt idx="25">
                        <c:v>506</c:v>
                      </c:pt>
                      <c:pt idx="26">
                        <c:v>514</c:v>
                      </c:pt>
                      <c:pt idx="27">
                        <c:v>522</c:v>
                      </c:pt>
                      <c:pt idx="28">
                        <c:v>530</c:v>
                      </c:pt>
                      <c:pt idx="29">
                        <c:v>538</c:v>
                      </c:pt>
                      <c:pt idx="30">
                        <c:v>546</c:v>
                      </c:pt>
                      <c:pt idx="31">
                        <c:v>554</c:v>
                      </c:pt>
                      <c:pt idx="32">
                        <c:v>562</c:v>
                      </c:pt>
                      <c:pt idx="33">
                        <c:v>570</c:v>
                      </c:pt>
                      <c:pt idx="34">
                        <c:v>578</c:v>
                      </c:pt>
                      <c:pt idx="35">
                        <c:v>586</c:v>
                      </c:pt>
                      <c:pt idx="36">
                        <c:v>594</c:v>
                      </c:pt>
                      <c:pt idx="37">
                        <c:v>602</c:v>
                      </c:pt>
                      <c:pt idx="38">
                        <c:v>610</c:v>
                      </c:pt>
                      <c:pt idx="39">
                        <c:v>618</c:v>
                      </c:pt>
                      <c:pt idx="40">
                        <c:v>626</c:v>
                      </c:pt>
                      <c:pt idx="41">
                        <c:v>634</c:v>
                      </c:pt>
                      <c:pt idx="42">
                        <c:v>642</c:v>
                      </c:pt>
                      <c:pt idx="43">
                        <c:v>650</c:v>
                      </c:pt>
                      <c:pt idx="44">
                        <c:v>658</c:v>
                      </c:pt>
                      <c:pt idx="45">
                        <c:v>666</c:v>
                      </c:pt>
                      <c:pt idx="46">
                        <c:v>674</c:v>
                      </c:pt>
                      <c:pt idx="47">
                        <c:v>682</c:v>
                      </c:pt>
                      <c:pt idx="48">
                        <c:v>690</c:v>
                      </c:pt>
                      <c:pt idx="49">
                        <c:v>698</c:v>
                      </c:pt>
                      <c:pt idx="50">
                        <c:v>706</c:v>
                      </c:pt>
                      <c:pt idx="51">
                        <c:v>714</c:v>
                      </c:pt>
                      <c:pt idx="52">
                        <c:v>722</c:v>
                      </c:pt>
                      <c:pt idx="53">
                        <c:v>730</c:v>
                      </c:pt>
                      <c:pt idx="54">
                        <c:v>738</c:v>
                      </c:pt>
                      <c:pt idx="55">
                        <c:v>746</c:v>
                      </c:pt>
                      <c:pt idx="56">
                        <c:v>754</c:v>
                      </c:pt>
                      <c:pt idx="57">
                        <c:v>762</c:v>
                      </c:pt>
                      <c:pt idx="58">
                        <c:v>770</c:v>
                      </c:pt>
                      <c:pt idx="59">
                        <c:v>778</c:v>
                      </c:pt>
                      <c:pt idx="60">
                        <c:v>786</c:v>
                      </c:pt>
                      <c:pt idx="61">
                        <c:v>794</c:v>
                      </c:pt>
                      <c:pt idx="62">
                        <c:v>802</c:v>
                      </c:pt>
                      <c:pt idx="63">
                        <c:v>810</c:v>
                      </c:pt>
                      <c:pt idx="64">
                        <c:v>818</c:v>
                      </c:pt>
                      <c:pt idx="65">
                        <c:v>826</c:v>
                      </c:pt>
                      <c:pt idx="66">
                        <c:v>834</c:v>
                      </c:pt>
                      <c:pt idx="67">
                        <c:v>842</c:v>
                      </c:pt>
                      <c:pt idx="68">
                        <c:v>850</c:v>
                      </c:pt>
                      <c:pt idx="69">
                        <c:v>858</c:v>
                      </c:pt>
                      <c:pt idx="70">
                        <c:v>866</c:v>
                      </c:pt>
                      <c:pt idx="71">
                        <c:v>874</c:v>
                      </c:pt>
                      <c:pt idx="72">
                        <c:v>882</c:v>
                      </c:pt>
                      <c:pt idx="73">
                        <c:v>890</c:v>
                      </c:pt>
                      <c:pt idx="74">
                        <c:v>898</c:v>
                      </c:pt>
                      <c:pt idx="75">
                        <c:v>906</c:v>
                      </c:pt>
                      <c:pt idx="76">
                        <c:v>914</c:v>
                      </c:pt>
                      <c:pt idx="77">
                        <c:v>922</c:v>
                      </c:pt>
                      <c:pt idx="78">
                        <c:v>930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EVALUATION!$B$150:$CP$150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-21.943243243243245</c:v>
                      </c:pt>
                      <c:pt idx="1">
                        <c:v>-21.741441441441442</c:v>
                      </c:pt>
                      <c:pt idx="2">
                        <c:v>-21.539639639639642</c:v>
                      </c:pt>
                      <c:pt idx="3">
                        <c:v>-21.337837837837839</c:v>
                      </c:pt>
                      <c:pt idx="4" formatCode="General">
                        <c:v>-21.317514970059882</c:v>
                      </c:pt>
                      <c:pt idx="5" formatCode="General">
                        <c:v>-21.339071856287426</c:v>
                      </c:pt>
                      <c:pt idx="6" formatCode="General">
                        <c:v>-21.360628742514972</c:v>
                      </c:pt>
                      <c:pt idx="7" formatCode="General">
                        <c:v>-21.382185628742516</c:v>
                      </c:pt>
                      <c:pt idx="8" formatCode="General">
                        <c:v>-21.452604790419162</c:v>
                      </c:pt>
                      <c:pt idx="9" formatCode="General">
                        <c:v>-21.550808383233534</c:v>
                      </c:pt>
                      <c:pt idx="10" formatCode="General">
                        <c:v>-21.649011976047905</c:v>
                      </c:pt>
                      <c:pt idx="11" formatCode="General">
                        <c:v>-21.747215568862277</c:v>
                      </c:pt>
                      <c:pt idx="12" formatCode="General">
                        <c:v>-21.843203592814373</c:v>
                      </c:pt>
                      <c:pt idx="13" formatCode="General">
                        <c:v>-21.936616766467068</c:v>
                      </c:pt>
                      <c:pt idx="14" formatCode="General">
                        <c:v>-22.030029940119761</c:v>
                      </c:pt>
                      <c:pt idx="15" formatCode="General">
                        <c:v>-22.123443113772456</c:v>
                      </c:pt>
                      <c:pt idx="16" formatCode="General">
                        <c:v>-22.209970059880241</c:v>
                      </c:pt>
                      <c:pt idx="17" formatCode="General">
                        <c:v>-22.279431137724551</c:v>
                      </c:pt>
                      <c:pt idx="18" formatCode="General">
                        <c:v>-22.348892215568863</c:v>
                      </c:pt>
                      <c:pt idx="19" formatCode="General">
                        <c:v>-22.418353293413173</c:v>
                      </c:pt>
                      <c:pt idx="20" formatCode="General">
                        <c:v>-22.488353293413173</c:v>
                      </c:pt>
                      <c:pt idx="21" formatCode="General">
                        <c:v>-22.562604790419162</c:v>
                      </c:pt>
                      <c:pt idx="22" formatCode="General">
                        <c:v>-22.63685628742515</c:v>
                      </c:pt>
                      <c:pt idx="23" formatCode="General">
                        <c:v>-22.711107784431139</c:v>
                      </c:pt>
                      <c:pt idx="24" formatCode="General">
                        <c:v>-22.785359281437124</c:v>
                      </c:pt>
                      <c:pt idx="25" formatCode="General">
                        <c:v>-22.846306306306307</c:v>
                      </c:pt>
                      <c:pt idx="26" formatCode="General">
                        <c:v>-22.906366366366367</c:v>
                      </c:pt>
                      <c:pt idx="27" formatCode="General">
                        <c:v>-22.966426426426427</c:v>
                      </c:pt>
                      <c:pt idx="28" formatCode="General">
                        <c:v>-23.026486486486487</c:v>
                      </c:pt>
                      <c:pt idx="29" formatCode="General">
                        <c:v>-23.130958083832336</c:v>
                      </c:pt>
                      <c:pt idx="30" formatCode="General">
                        <c:v>-23.248323353293415</c:v>
                      </c:pt>
                      <c:pt idx="31" formatCode="General">
                        <c:v>-23.36568862275449</c:v>
                      </c:pt>
                      <c:pt idx="32" formatCode="General">
                        <c:v>-23.483053892215569</c:v>
                      </c:pt>
                      <c:pt idx="33" formatCode="General">
                        <c:v>-23.60185628742515</c:v>
                      </c:pt>
                      <c:pt idx="34" formatCode="General">
                        <c:v>-23.721616766467065</c:v>
                      </c:pt>
                      <c:pt idx="35" formatCode="General">
                        <c:v>-23.841377245508983</c:v>
                      </c:pt>
                      <c:pt idx="36" formatCode="General">
                        <c:v>-23.961137724550898</c:v>
                      </c:pt>
                      <c:pt idx="37" formatCode="General">
                        <c:v>-24.078862275449104</c:v>
                      </c:pt>
                      <c:pt idx="38" formatCode="General">
                        <c:v>-24.193832335329343</c:v>
                      </c:pt>
                      <c:pt idx="39" formatCode="General">
                        <c:v>-24.308802395209582</c:v>
                      </c:pt>
                      <c:pt idx="40" formatCode="General">
                        <c:v>-24.423772455089821</c:v>
                      </c:pt>
                      <c:pt idx="41" formatCode="General">
                        <c:v>-24.53874251497006</c:v>
                      </c:pt>
                      <c:pt idx="42" formatCode="General">
                        <c:v>-24.653712574850299</c:v>
                      </c:pt>
                      <c:pt idx="43" formatCode="General">
                        <c:v>-24.768682634730538</c:v>
                      </c:pt>
                      <c:pt idx="44" formatCode="General">
                        <c:v>-24.883652694610777</c:v>
                      </c:pt>
                      <c:pt idx="45" formatCode="General">
                        <c:v>-24.998622754491016</c:v>
                      </c:pt>
                      <c:pt idx="46" formatCode="General">
                        <c:v>-25.113592814371255</c:v>
                      </c:pt>
                      <c:pt idx="47" formatCode="General">
                        <c:v>-25.228562874251494</c:v>
                      </c:pt>
                      <c:pt idx="48" formatCode="General">
                        <c:v>-25.343532934131737</c:v>
                      </c:pt>
                      <c:pt idx="49" formatCode="General">
                        <c:v>-25.458502994011976</c:v>
                      </c:pt>
                      <c:pt idx="50" formatCode="General">
                        <c:v>-25.567617977528091</c:v>
                      </c:pt>
                      <c:pt idx="51" formatCode="General">
                        <c:v>-25.676082397003746</c:v>
                      </c:pt>
                      <c:pt idx="52" formatCode="General">
                        <c:v>-25.784546816479402</c:v>
                      </c:pt>
                      <c:pt idx="53" formatCode="General">
                        <c:v>-25.893011235955058</c:v>
                      </c:pt>
                      <c:pt idx="54" formatCode="General">
                        <c:v>-26.001475655430713</c:v>
                      </c:pt>
                      <c:pt idx="55" formatCode="General">
                        <c:v>-26.109940074906369</c:v>
                      </c:pt>
                      <c:pt idx="56" formatCode="General">
                        <c:v>-26.218404494382021</c:v>
                      </c:pt>
                      <c:pt idx="57" formatCode="General">
                        <c:v>-26.326868913857677</c:v>
                      </c:pt>
                      <c:pt idx="58" formatCode="General">
                        <c:v>-26.435333333333332</c:v>
                      </c:pt>
                      <c:pt idx="59" formatCode="General">
                        <c:v>-26.543797752808988</c:v>
                      </c:pt>
                      <c:pt idx="60" formatCode="General">
                        <c:v>-26.652262172284644</c:v>
                      </c:pt>
                      <c:pt idx="61" formatCode="General">
                        <c:v>-26.760726591760299</c:v>
                      </c:pt>
                      <c:pt idx="62" formatCode="General">
                        <c:v>-26.869191011235955</c:v>
                      </c:pt>
                      <c:pt idx="63" formatCode="General">
                        <c:v>-26.977655430711611</c:v>
                      </c:pt>
                      <c:pt idx="64" formatCode="General">
                        <c:v>-27.086119850187266</c:v>
                      </c:pt>
                      <c:pt idx="65" formatCode="General">
                        <c:v>-27.194584269662922</c:v>
                      </c:pt>
                      <c:pt idx="66" formatCode="General">
                        <c:v>-27.301902621722849</c:v>
                      </c:pt>
                      <c:pt idx="67" formatCode="General">
                        <c:v>-27.404973782771538</c:v>
                      </c:pt>
                      <c:pt idx="68" formatCode="General">
                        <c:v>-27.508044943820227</c:v>
                      </c:pt>
                      <c:pt idx="69" formatCode="General">
                        <c:v>-27.611116104868916</c:v>
                      </c:pt>
                      <c:pt idx="70" formatCode="General">
                        <c:v>-27.714187265917605</c:v>
                      </c:pt>
                      <c:pt idx="71" formatCode="General">
                        <c:v>-27.817258426966294</c:v>
                      </c:pt>
                      <c:pt idx="72" formatCode="General">
                        <c:v>-27.920329588014983</c:v>
                      </c:pt>
                      <c:pt idx="73" formatCode="General">
                        <c:v>-28.023400749063672</c:v>
                      </c:pt>
                      <c:pt idx="74" formatCode="General">
                        <c:v>-28.126471910112361</c:v>
                      </c:pt>
                      <c:pt idx="75" formatCode="General">
                        <c:v>-28.22954307116105</c:v>
                      </c:pt>
                      <c:pt idx="76" formatCode="General">
                        <c:v>-28.332614232209739</c:v>
                      </c:pt>
                      <c:pt idx="77" formatCode="General">
                        <c:v>-28.435685393258428</c:v>
                      </c:pt>
                      <c:pt idx="78" formatCode="General">
                        <c:v>-28.538756554307117</c:v>
                      </c:pt>
                      <c:pt idx="79" formatCode="General">
                        <c:v>-28.641827715355806</c:v>
                      </c:pt>
                      <c:pt idx="80" formatCode="General">
                        <c:v>-28.744898876404495</c:v>
                      </c:pt>
                      <c:pt idx="81" formatCode="General">
                        <c:v>-28.847970037453184</c:v>
                      </c:pt>
                      <c:pt idx="82" formatCode="General">
                        <c:v>-28.951041198501873</c:v>
                      </c:pt>
                      <c:pt idx="83" formatCode="General">
                        <c:v>-29.051396396396395</c:v>
                      </c:pt>
                      <c:pt idx="84" formatCode="General">
                        <c:v>-29.149294294294293</c:v>
                      </c:pt>
                      <c:pt idx="85" formatCode="General">
                        <c:v>-29.247192192192191</c:v>
                      </c:pt>
                      <c:pt idx="86" formatCode="General">
                        <c:v>-29.345090090090089</c:v>
                      </c:pt>
                      <c:pt idx="87" formatCode="General">
                        <c:v>-7.3468118811881187</c:v>
                      </c:pt>
                      <c:pt idx="88" formatCode="General">
                        <c:v>-7.3646336633663365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6-022F-4A2F-976F-7C3C2CD148C5}"/>
                  </c:ext>
                </c:extLst>
              </c15:ser>
            </c15:filteredScatterSeries>
            <c15:filteredScatterSeries>
              <c15:ser>
                <c:idx val="49"/>
                <c:order val="50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306</c:v>
                      </c:pt>
                      <c:pt idx="1">
                        <c:v>314</c:v>
                      </c:pt>
                      <c:pt idx="2">
                        <c:v>322</c:v>
                      </c:pt>
                      <c:pt idx="3">
                        <c:v>330</c:v>
                      </c:pt>
                      <c:pt idx="4">
                        <c:v>338</c:v>
                      </c:pt>
                      <c:pt idx="5">
                        <c:v>346</c:v>
                      </c:pt>
                      <c:pt idx="6">
                        <c:v>354</c:v>
                      </c:pt>
                      <c:pt idx="7">
                        <c:v>362</c:v>
                      </c:pt>
                      <c:pt idx="8">
                        <c:v>370</c:v>
                      </c:pt>
                      <c:pt idx="9">
                        <c:v>378</c:v>
                      </c:pt>
                      <c:pt idx="10">
                        <c:v>386</c:v>
                      </c:pt>
                      <c:pt idx="11">
                        <c:v>394</c:v>
                      </c:pt>
                      <c:pt idx="12">
                        <c:v>402</c:v>
                      </c:pt>
                      <c:pt idx="13">
                        <c:v>410</c:v>
                      </c:pt>
                      <c:pt idx="14">
                        <c:v>418</c:v>
                      </c:pt>
                      <c:pt idx="15">
                        <c:v>426</c:v>
                      </c:pt>
                      <c:pt idx="16">
                        <c:v>434</c:v>
                      </c:pt>
                      <c:pt idx="17">
                        <c:v>442</c:v>
                      </c:pt>
                      <c:pt idx="18">
                        <c:v>450</c:v>
                      </c:pt>
                      <c:pt idx="19">
                        <c:v>458</c:v>
                      </c:pt>
                      <c:pt idx="20">
                        <c:v>466</c:v>
                      </c:pt>
                      <c:pt idx="21">
                        <c:v>474</c:v>
                      </c:pt>
                      <c:pt idx="22">
                        <c:v>482</c:v>
                      </c:pt>
                      <c:pt idx="23">
                        <c:v>490</c:v>
                      </c:pt>
                      <c:pt idx="24">
                        <c:v>498</c:v>
                      </c:pt>
                      <c:pt idx="25">
                        <c:v>506</c:v>
                      </c:pt>
                      <c:pt idx="26">
                        <c:v>514</c:v>
                      </c:pt>
                      <c:pt idx="27">
                        <c:v>522</c:v>
                      </c:pt>
                      <c:pt idx="28">
                        <c:v>530</c:v>
                      </c:pt>
                      <c:pt idx="29">
                        <c:v>538</c:v>
                      </c:pt>
                      <c:pt idx="30">
                        <c:v>546</c:v>
                      </c:pt>
                      <c:pt idx="31">
                        <c:v>554</c:v>
                      </c:pt>
                      <c:pt idx="32">
                        <c:v>562</c:v>
                      </c:pt>
                      <c:pt idx="33">
                        <c:v>570</c:v>
                      </c:pt>
                      <c:pt idx="34">
                        <c:v>578</c:v>
                      </c:pt>
                      <c:pt idx="35">
                        <c:v>586</c:v>
                      </c:pt>
                      <c:pt idx="36">
                        <c:v>594</c:v>
                      </c:pt>
                      <c:pt idx="37">
                        <c:v>602</c:v>
                      </c:pt>
                      <c:pt idx="38">
                        <c:v>610</c:v>
                      </c:pt>
                      <c:pt idx="39">
                        <c:v>618</c:v>
                      </c:pt>
                      <c:pt idx="40">
                        <c:v>626</c:v>
                      </c:pt>
                      <c:pt idx="41">
                        <c:v>634</c:v>
                      </c:pt>
                      <c:pt idx="42">
                        <c:v>642</c:v>
                      </c:pt>
                      <c:pt idx="43">
                        <c:v>650</c:v>
                      </c:pt>
                      <c:pt idx="44">
                        <c:v>658</c:v>
                      </c:pt>
                      <c:pt idx="45">
                        <c:v>666</c:v>
                      </c:pt>
                      <c:pt idx="46">
                        <c:v>674</c:v>
                      </c:pt>
                      <c:pt idx="47">
                        <c:v>682</c:v>
                      </c:pt>
                      <c:pt idx="48">
                        <c:v>690</c:v>
                      </c:pt>
                      <c:pt idx="49">
                        <c:v>698</c:v>
                      </c:pt>
                      <c:pt idx="50">
                        <c:v>706</c:v>
                      </c:pt>
                      <c:pt idx="51">
                        <c:v>714</c:v>
                      </c:pt>
                      <c:pt idx="52">
                        <c:v>722</c:v>
                      </c:pt>
                      <c:pt idx="53">
                        <c:v>730</c:v>
                      </c:pt>
                      <c:pt idx="54">
                        <c:v>738</c:v>
                      </c:pt>
                      <c:pt idx="55">
                        <c:v>746</c:v>
                      </c:pt>
                      <c:pt idx="56">
                        <c:v>754</c:v>
                      </c:pt>
                      <c:pt idx="57">
                        <c:v>762</c:v>
                      </c:pt>
                      <c:pt idx="58">
                        <c:v>770</c:v>
                      </c:pt>
                      <c:pt idx="59">
                        <c:v>778</c:v>
                      </c:pt>
                      <c:pt idx="60">
                        <c:v>786</c:v>
                      </c:pt>
                      <c:pt idx="61">
                        <c:v>794</c:v>
                      </c:pt>
                      <c:pt idx="62">
                        <c:v>802</c:v>
                      </c:pt>
                      <c:pt idx="63">
                        <c:v>810</c:v>
                      </c:pt>
                      <c:pt idx="64">
                        <c:v>818</c:v>
                      </c:pt>
                      <c:pt idx="65">
                        <c:v>826</c:v>
                      </c:pt>
                      <c:pt idx="66">
                        <c:v>834</c:v>
                      </c:pt>
                      <c:pt idx="67">
                        <c:v>842</c:v>
                      </c:pt>
                      <c:pt idx="68">
                        <c:v>850</c:v>
                      </c:pt>
                      <c:pt idx="69">
                        <c:v>858</c:v>
                      </c:pt>
                      <c:pt idx="70">
                        <c:v>866</c:v>
                      </c:pt>
                      <c:pt idx="71">
                        <c:v>874</c:v>
                      </c:pt>
                      <c:pt idx="72">
                        <c:v>882</c:v>
                      </c:pt>
                      <c:pt idx="73">
                        <c:v>890</c:v>
                      </c:pt>
                      <c:pt idx="74">
                        <c:v>898</c:v>
                      </c:pt>
                      <c:pt idx="75">
                        <c:v>906</c:v>
                      </c:pt>
                      <c:pt idx="76">
                        <c:v>914</c:v>
                      </c:pt>
                      <c:pt idx="77">
                        <c:v>922</c:v>
                      </c:pt>
                      <c:pt idx="78">
                        <c:v>930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EVALUATION!$B$151:$CP$151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7-022F-4A2F-976F-7C3C2CD148C5}"/>
                  </c:ext>
                </c:extLst>
              </c15:ser>
            </c15:filteredScatterSeries>
            <c15:filteredScatterSeries>
              <c15:ser>
                <c:idx val="50"/>
                <c:order val="51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306</c:v>
                      </c:pt>
                      <c:pt idx="1">
                        <c:v>314</c:v>
                      </c:pt>
                      <c:pt idx="2">
                        <c:v>322</c:v>
                      </c:pt>
                      <c:pt idx="3">
                        <c:v>330</c:v>
                      </c:pt>
                      <c:pt idx="4">
                        <c:v>338</c:v>
                      </c:pt>
                      <c:pt idx="5">
                        <c:v>346</c:v>
                      </c:pt>
                      <c:pt idx="6">
                        <c:v>354</c:v>
                      </c:pt>
                      <c:pt idx="7">
                        <c:v>362</c:v>
                      </c:pt>
                      <c:pt idx="8">
                        <c:v>370</c:v>
                      </c:pt>
                      <c:pt idx="9">
                        <c:v>378</c:v>
                      </c:pt>
                      <c:pt idx="10">
                        <c:v>386</c:v>
                      </c:pt>
                      <c:pt idx="11">
                        <c:v>394</c:v>
                      </c:pt>
                      <c:pt idx="12">
                        <c:v>402</c:v>
                      </c:pt>
                      <c:pt idx="13">
                        <c:v>410</c:v>
                      </c:pt>
                      <c:pt idx="14">
                        <c:v>418</c:v>
                      </c:pt>
                      <c:pt idx="15">
                        <c:v>426</c:v>
                      </c:pt>
                      <c:pt idx="16">
                        <c:v>434</c:v>
                      </c:pt>
                      <c:pt idx="17">
                        <c:v>442</c:v>
                      </c:pt>
                      <c:pt idx="18">
                        <c:v>450</c:v>
                      </c:pt>
                      <c:pt idx="19">
                        <c:v>458</c:v>
                      </c:pt>
                      <c:pt idx="20">
                        <c:v>466</c:v>
                      </c:pt>
                      <c:pt idx="21">
                        <c:v>474</c:v>
                      </c:pt>
                      <c:pt idx="22">
                        <c:v>482</c:v>
                      </c:pt>
                      <c:pt idx="23">
                        <c:v>490</c:v>
                      </c:pt>
                      <c:pt idx="24">
                        <c:v>498</c:v>
                      </c:pt>
                      <c:pt idx="25">
                        <c:v>506</c:v>
                      </c:pt>
                      <c:pt idx="26">
                        <c:v>514</c:v>
                      </c:pt>
                      <c:pt idx="27">
                        <c:v>522</c:v>
                      </c:pt>
                      <c:pt idx="28">
                        <c:v>530</c:v>
                      </c:pt>
                      <c:pt idx="29">
                        <c:v>538</c:v>
                      </c:pt>
                      <c:pt idx="30">
                        <c:v>546</c:v>
                      </c:pt>
                      <c:pt idx="31">
                        <c:v>554</c:v>
                      </c:pt>
                      <c:pt idx="32">
                        <c:v>562</c:v>
                      </c:pt>
                      <c:pt idx="33">
                        <c:v>570</c:v>
                      </c:pt>
                      <c:pt idx="34">
                        <c:v>578</c:v>
                      </c:pt>
                      <c:pt idx="35">
                        <c:v>586</c:v>
                      </c:pt>
                      <c:pt idx="36">
                        <c:v>594</c:v>
                      </c:pt>
                      <c:pt idx="37">
                        <c:v>602</c:v>
                      </c:pt>
                      <c:pt idx="38">
                        <c:v>610</c:v>
                      </c:pt>
                      <c:pt idx="39">
                        <c:v>618</c:v>
                      </c:pt>
                      <c:pt idx="40">
                        <c:v>626</c:v>
                      </c:pt>
                      <c:pt idx="41">
                        <c:v>634</c:v>
                      </c:pt>
                      <c:pt idx="42">
                        <c:v>642</c:v>
                      </c:pt>
                      <c:pt idx="43">
                        <c:v>650</c:v>
                      </c:pt>
                      <c:pt idx="44">
                        <c:v>658</c:v>
                      </c:pt>
                      <c:pt idx="45">
                        <c:v>666</c:v>
                      </c:pt>
                      <c:pt idx="46">
                        <c:v>674</c:v>
                      </c:pt>
                      <c:pt idx="47">
                        <c:v>682</c:v>
                      </c:pt>
                      <c:pt idx="48">
                        <c:v>690</c:v>
                      </c:pt>
                      <c:pt idx="49">
                        <c:v>698</c:v>
                      </c:pt>
                      <c:pt idx="50">
                        <c:v>706</c:v>
                      </c:pt>
                      <c:pt idx="51">
                        <c:v>714</c:v>
                      </c:pt>
                      <c:pt idx="52">
                        <c:v>722</c:v>
                      </c:pt>
                      <c:pt idx="53">
                        <c:v>730</c:v>
                      </c:pt>
                      <c:pt idx="54">
                        <c:v>738</c:v>
                      </c:pt>
                      <c:pt idx="55">
                        <c:v>746</c:v>
                      </c:pt>
                      <c:pt idx="56">
                        <c:v>754</c:v>
                      </c:pt>
                      <c:pt idx="57">
                        <c:v>762</c:v>
                      </c:pt>
                      <c:pt idx="58">
                        <c:v>770</c:v>
                      </c:pt>
                      <c:pt idx="59">
                        <c:v>778</c:v>
                      </c:pt>
                      <c:pt idx="60">
                        <c:v>786</c:v>
                      </c:pt>
                      <c:pt idx="61">
                        <c:v>794</c:v>
                      </c:pt>
                      <c:pt idx="62">
                        <c:v>802</c:v>
                      </c:pt>
                      <c:pt idx="63">
                        <c:v>810</c:v>
                      </c:pt>
                      <c:pt idx="64">
                        <c:v>818</c:v>
                      </c:pt>
                      <c:pt idx="65">
                        <c:v>826</c:v>
                      </c:pt>
                      <c:pt idx="66">
                        <c:v>834</c:v>
                      </c:pt>
                      <c:pt idx="67">
                        <c:v>842</c:v>
                      </c:pt>
                      <c:pt idx="68">
                        <c:v>850</c:v>
                      </c:pt>
                      <c:pt idx="69">
                        <c:v>858</c:v>
                      </c:pt>
                      <c:pt idx="70">
                        <c:v>866</c:v>
                      </c:pt>
                      <c:pt idx="71">
                        <c:v>874</c:v>
                      </c:pt>
                      <c:pt idx="72">
                        <c:v>882</c:v>
                      </c:pt>
                      <c:pt idx="73">
                        <c:v>890</c:v>
                      </c:pt>
                      <c:pt idx="74">
                        <c:v>898</c:v>
                      </c:pt>
                      <c:pt idx="75">
                        <c:v>906</c:v>
                      </c:pt>
                      <c:pt idx="76">
                        <c:v>914</c:v>
                      </c:pt>
                      <c:pt idx="77">
                        <c:v>922</c:v>
                      </c:pt>
                      <c:pt idx="78">
                        <c:v>930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EVALUATION!$B$152:$CP$152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8-022F-4A2F-976F-7C3C2CD148C5}"/>
                  </c:ext>
                </c:extLst>
              </c15:ser>
            </c15:filteredScatterSeries>
            <c15:filteredScatterSeries>
              <c15:ser>
                <c:idx val="51"/>
                <c:order val="52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306</c:v>
                      </c:pt>
                      <c:pt idx="1">
                        <c:v>314</c:v>
                      </c:pt>
                      <c:pt idx="2">
                        <c:v>322</c:v>
                      </c:pt>
                      <c:pt idx="3">
                        <c:v>330</c:v>
                      </c:pt>
                      <c:pt idx="4">
                        <c:v>338</c:v>
                      </c:pt>
                      <c:pt idx="5">
                        <c:v>346</c:v>
                      </c:pt>
                      <c:pt idx="6">
                        <c:v>354</c:v>
                      </c:pt>
                      <c:pt idx="7">
                        <c:v>362</c:v>
                      </c:pt>
                      <c:pt idx="8">
                        <c:v>370</c:v>
                      </c:pt>
                      <c:pt idx="9">
                        <c:v>378</c:v>
                      </c:pt>
                      <c:pt idx="10">
                        <c:v>386</c:v>
                      </c:pt>
                      <c:pt idx="11">
                        <c:v>394</c:v>
                      </c:pt>
                      <c:pt idx="12">
                        <c:v>402</c:v>
                      </c:pt>
                      <c:pt idx="13">
                        <c:v>410</c:v>
                      </c:pt>
                      <c:pt idx="14">
                        <c:v>418</c:v>
                      </c:pt>
                      <c:pt idx="15">
                        <c:v>426</c:v>
                      </c:pt>
                      <c:pt idx="16">
                        <c:v>434</c:v>
                      </c:pt>
                      <c:pt idx="17">
                        <c:v>442</c:v>
                      </c:pt>
                      <c:pt idx="18">
                        <c:v>450</c:v>
                      </c:pt>
                      <c:pt idx="19">
                        <c:v>458</c:v>
                      </c:pt>
                      <c:pt idx="20">
                        <c:v>466</c:v>
                      </c:pt>
                      <c:pt idx="21">
                        <c:v>474</c:v>
                      </c:pt>
                      <c:pt idx="22">
                        <c:v>482</c:v>
                      </c:pt>
                      <c:pt idx="23">
                        <c:v>490</c:v>
                      </c:pt>
                      <c:pt idx="24">
                        <c:v>498</c:v>
                      </c:pt>
                      <c:pt idx="25">
                        <c:v>506</c:v>
                      </c:pt>
                      <c:pt idx="26">
                        <c:v>514</c:v>
                      </c:pt>
                      <c:pt idx="27">
                        <c:v>522</c:v>
                      </c:pt>
                      <c:pt idx="28">
                        <c:v>530</c:v>
                      </c:pt>
                      <c:pt idx="29">
                        <c:v>538</c:v>
                      </c:pt>
                      <c:pt idx="30">
                        <c:v>546</c:v>
                      </c:pt>
                      <c:pt idx="31">
                        <c:v>554</c:v>
                      </c:pt>
                      <c:pt idx="32">
                        <c:v>562</c:v>
                      </c:pt>
                      <c:pt idx="33">
                        <c:v>570</c:v>
                      </c:pt>
                      <c:pt idx="34">
                        <c:v>578</c:v>
                      </c:pt>
                      <c:pt idx="35">
                        <c:v>586</c:v>
                      </c:pt>
                      <c:pt idx="36">
                        <c:v>594</c:v>
                      </c:pt>
                      <c:pt idx="37">
                        <c:v>602</c:v>
                      </c:pt>
                      <c:pt idx="38">
                        <c:v>610</c:v>
                      </c:pt>
                      <c:pt idx="39">
                        <c:v>618</c:v>
                      </c:pt>
                      <c:pt idx="40">
                        <c:v>626</c:v>
                      </c:pt>
                      <c:pt idx="41">
                        <c:v>634</c:v>
                      </c:pt>
                      <c:pt idx="42">
                        <c:v>642</c:v>
                      </c:pt>
                      <c:pt idx="43">
                        <c:v>650</c:v>
                      </c:pt>
                      <c:pt idx="44">
                        <c:v>658</c:v>
                      </c:pt>
                      <c:pt idx="45">
                        <c:v>666</c:v>
                      </c:pt>
                      <c:pt idx="46">
                        <c:v>674</c:v>
                      </c:pt>
                      <c:pt idx="47">
                        <c:v>682</c:v>
                      </c:pt>
                      <c:pt idx="48">
                        <c:v>690</c:v>
                      </c:pt>
                      <c:pt idx="49">
                        <c:v>698</c:v>
                      </c:pt>
                      <c:pt idx="50">
                        <c:v>706</c:v>
                      </c:pt>
                      <c:pt idx="51">
                        <c:v>714</c:v>
                      </c:pt>
                      <c:pt idx="52">
                        <c:v>722</c:v>
                      </c:pt>
                      <c:pt idx="53">
                        <c:v>730</c:v>
                      </c:pt>
                      <c:pt idx="54">
                        <c:v>738</c:v>
                      </c:pt>
                      <c:pt idx="55">
                        <c:v>746</c:v>
                      </c:pt>
                      <c:pt idx="56">
                        <c:v>754</c:v>
                      </c:pt>
                      <c:pt idx="57">
                        <c:v>762</c:v>
                      </c:pt>
                      <c:pt idx="58">
                        <c:v>770</c:v>
                      </c:pt>
                      <c:pt idx="59">
                        <c:v>778</c:v>
                      </c:pt>
                      <c:pt idx="60">
                        <c:v>786</c:v>
                      </c:pt>
                      <c:pt idx="61">
                        <c:v>794</c:v>
                      </c:pt>
                      <c:pt idx="62">
                        <c:v>802</c:v>
                      </c:pt>
                      <c:pt idx="63">
                        <c:v>810</c:v>
                      </c:pt>
                      <c:pt idx="64">
                        <c:v>818</c:v>
                      </c:pt>
                      <c:pt idx="65">
                        <c:v>826</c:v>
                      </c:pt>
                      <c:pt idx="66">
                        <c:v>834</c:v>
                      </c:pt>
                      <c:pt idx="67">
                        <c:v>842</c:v>
                      </c:pt>
                      <c:pt idx="68">
                        <c:v>850</c:v>
                      </c:pt>
                      <c:pt idx="69">
                        <c:v>858</c:v>
                      </c:pt>
                      <c:pt idx="70">
                        <c:v>866</c:v>
                      </c:pt>
                      <c:pt idx="71">
                        <c:v>874</c:v>
                      </c:pt>
                      <c:pt idx="72">
                        <c:v>882</c:v>
                      </c:pt>
                      <c:pt idx="73">
                        <c:v>890</c:v>
                      </c:pt>
                      <c:pt idx="74">
                        <c:v>898</c:v>
                      </c:pt>
                      <c:pt idx="75">
                        <c:v>906</c:v>
                      </c:pt>
                      <c:pt idx="76">
                        <c:v>914</c:v>
                      </c:pt>
                      <c:pt idx="77">
                        <c:v>922</c:v>
                      </c:pt>
                      <c:pt idx="78">
                        <c:v>930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EVALUATION!$B$153:$CP$153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9-022F-4A2F-976F-7C3C2CD148C5}"/>
                  </c:ext>
                </c:extLst>
              </c15:ser>
            </c15:filteredScatterSeries>
            <c15:filteredScatterSeries>
              <c15:ser>
                <c:idx val="52"/>
                <c:order val="53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306</c:v>
                      </c:pt>
                      <c:pt idx="1">
                        <c:v>314</c:v>
                      </c:pt>
                      <c:pt idx="2">
                        <c:v>322</c:v>
                      </c:pt>
                      <c:pt idx="3">
                        <c:v>330</c:v>
                      </c:pt>
                      <c:pt idx="4">
                        <c:v>338</c:v>
                      </c:pt>
                      <c:pt idx="5">
                        <c:v>346</c:v>
                      </c:pt>
                      <c:pt idx="6">
                        <c:v>354</c:v>
                      </c:pt>
                      <c:pt idx="7">
                        <c:v>362</c:v>
                      </c:pt>
                      <c:pt idx="8">
                        <c:v>370</c:v>
                      </c:pt>
                      <c:pt idx="9">
                        <c:v>378</c:v>
                      </c:pt>
                      <c:pt idx="10">
                        <c:v>386</c:v>
                      </c:pt>
                      <c:pt idx="11">
                        <c:v>394</c:v>
                      </c:pt>
                      <c:pt idx="12">
                        <c:v>402</c:v>
                      </c:pt>
                      <c:pt idx="13">
                        <c:v>410</c:v>
                      </c:pt>
                      <c:pt idx="14">
                        <c:v>418</c:v>
                      </c:pt>
                      <c:pt idx="15">
                        <c:v>426</c:v>
                      </c:pt>
                      <c:pt idx="16">
                        <c:v>434</c:v>
                      </c:pt>
                      <c:pt idx="17">
                        <c:v>442</c:v>
                      </c:pt>
                      <c:pt idx="18">
                        <c:v>450</c:v>
                      </c:pt>
                      <c:pt idx="19">
                        <c:v>458</c:v>
                      </c:pt>
                      <c:pt idx="20">
                        <c:v>466</c:v>
                      </c:pt>
                      <c:pt idx="21">
                        <c:v>474</c:v>
                      </c:pt>
                      <c:pt idx="22">
                        <c:v>482</c:v>
                      </c:pt>
                      <c:pt idx="23">
                        <c:v>490</c:v>
                      </c:pt>
                      <c:pt idx="24">
                        <c:v>498</c:v>
                      </c:pt>
                      <c:pt idx="25">
                        <c:v>506</c:v>
                      </c:pt>
                      <c:pt idx="26">
                        <c:v>514</c:v>
                      </c:pt>
                      <c:pt idx="27">
                        <c:v>522</c:v>
                      </c:pt>
                      <c:pt idx="28">
                        <c:v>530</c:v>
                      </c:pt>
                      <c:pt idx="29">
                        <c:v>538</c:v>
                      </c:pt>
                      <c:pt idx="30">
                        <c:v>546</c:v>
                      </c:pt>
                      <c:pt idx="31">
                        <c:v>554</c:v>
                      </c:pt>
                      <c:pt idx="32">
                        <c:v>562</c:v>
                      </c:pt>
                      <c:pt idx="33">
                        <c:v>570</c:v>
                      </c:pt>
                      <c:pt idx="34">
                        <c:v>578</c:v>
                      </c:pt>
                      <c:pt idx="35">
                        <c:v>586</c:v>
                      </c:pt>
                      <c:pt idx="36">
                        <c:v>594</c:v>
                      </c:pt>
                      <c:pt idx="37">
                        <c:v>602</c:v>
                      </c:pt>
                      <c:pt idx="38">
                        <c:v>610</c:v>
                      </c:pt>
                      <c:pt idx="39">
                        <c:v>618</c:v>
                      </c:pt>
                      <c:pt idx="40">
                        <c:v>626</c:v>
                      </c:pt>
                      <c:pt idx="41">
                        <c:v>634</c:v>
                      </c:pt>
                      <c:pt idx="42">
                        <c:v>642</c:v>
                      </c:pt>
                      <c:pt idx="43">
                        <c:v>650</c:v>
                      </c:pt>
                      <c:pt idx="44">
                        <c:v>658</c:v>
                      </c:pt>
                      <c:pt idx="45">
                        <c:v>666</c:v>
                      </c:pt>
                      <c:pt idx="46">
                        <c:v>674</c:v>
                      </c:pt>
                      <c:pt idx="47">
                        <c:v>682</c:v>
                      </c:pt>
                      <c:pt idx="48">
                        <c:v>690</c:v>
                      </c:pt>
                      <c:pt idx="49">
                        <c:v>698</c:v>
                      </c:pt>
                      <c:pt idx="50">
                        <c:v>706</c:v>
                      </c:pt>
                      <c:pt idx="51">
                        <c:v>714</c:v>
                      </c:pt>
                      <c:pt idx="52">
                        <c:v>722</c:v>
                      </c:pt>
                      <c:pt idx="53">
                        <c:v>730</c:v>
                      </c:pt>
                      <c:pt idx="54">
                        <c:v>738</c:v>
                      </c:pt>
                      <c:pt idx="55">
                        <c:v>746</c:v>
                      </c:pt>
                      <c:pt idx="56">
                        <c:v>754</c:v>
                      </c:pt>
                      <c:pt idx="57">
                        <c:v>762</c:v>
                      </c:pt>
                      <c:pt idx="58">
                        <c:v>770</c:v>
                      </c:pt>
                      <c:pt idx="59">
                        <c:v>778</c:v>
                      </c:pt>
                      <c:pt idx="60">
                        <c:v>786</c:v>
                      </c:pt>
                      <c:pt idx="61">
                        <c:v>794</c:v>
                      </c:pt>
                      <c:pt idx="62">
                        <c:v>802</c:v>
                      </c:pt>
                      <c:pt idx="63">
                        <c:v>810</c:v>
                      </c:pt>
                      <c:pt idx="64">
                        <c:v>818</c:v>
                      </c:pt>
                      <c:pt idx="65">
                        <c:v>826</c:v>
                      </c:pt>
                      <c:pt idx="66">
                        <c:v>834</c:v>
                      </c:pt>
                      <c:pt idx="67">
                        <c:v>842</c:v>
                      </c:pt>
                      <c:pt idx="68">
                        <c:v>850</c:v>
                      </c:pt>
                      <c:pt idx="69">
                        <c:v>858</c:v>
                      </c:pt>
                      <c:pt idx="70">
                        <c:v>866</c:v>
                      </c:pt>
                      <c:pt idx="71">
                        <c:v>874</c:v>
                      </c:pt>
                      <c:pt idx="72">
                        <c:v>882</c:v>
                      </c:pt>
                      <c:pt idx="73">
                        <c:v>890</c:v>
                      </c:pt>
                      <c:pt idx="74">
                        <c:v>898</c:v>
                      </c:pt>
                      <c:pt idx="75">
                        <c:v>906</c:v>
                      </c:pt>
                      <c:pt idx="76">
                        <c:v>914</c:v>
                      </c:pt>
                      <c:pt idx="77">
                        <c:v>922</c:v>
                      </c:pt>
                      <c:pt idx="78">
                        <c:v>930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EVALUATION!$B$154:$CP$154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A-022F-4A2F-976F-7C3C2CD148C5}"/>
                  </c:ext>
                </c:extLst>
              </c15:ser>
            </c15:filteredScatterSeries>
          </c:ext>
        </c:extLst>
      </c:scatterChart>
      <c:valAx>
        <c:axId val="938785983"/>
        <c:scaling>
          <c:orientation val="minMax"/>
          <c:max val="1000"/>
          <c:min val="3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38775583"/>
        <c:crosses val="autoZero"/>
        <c:crossBetween val="midCat"/>
        <c:majorUnit val="100"/>
      </c:valAx>
      <c:valAx>
        <c:axId val="938775583"/>
        <c:scaling>
          <c:orientation val="minMax"/>
          <c:max val="-20"/>
          <c:min val="-3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38785983"/>
        <c:crosses val="autoZero"/>
        <c:crossBetween val="midCat"/>
      </c:valAx>
    </c:plotArea>
    <c:plotVisOnly val="0"/>
    <c:dispBlanksAs val="gap"/>
    <c:showDLblsOverMax val="0"/>
    <c:extLst/>
  </c:chart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1" i="1" u="none" strike="noStrike" kern="1200" spc="0" baseline="0">
                <a:solidFill>
                  <a:srgbClr val="FFC000"/>
                </a:solidFill>
                <a:latin typeface="+mn-lt"/>
                <a:ea typeface="+mn-ea"/>
                <a:cs typeface="+mn-cs"/>
              </a:defRPr>
            </a:pPr>
            <a:r>
              <a:rPr lang="en-US" sz="2000" b="1" i="1">
                <a:solidFill>
                  <a:srgbClr val="FFC000"/>
                </a:solidFill>
              </a:rPr>
              <a:t>GeSe</a:t>
            </a:r>
          </a:p>
        </c:rich>
      </c:tx>
      <c:layout>
        <c:manualLayout>
          <c:xMode val="edge"/>
          <c:yMode val="edge"/>
          <c:x val="0.45923209945810856"/>
          <c:y val="0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3565836995543892"/>
          <c:y val="0.10656915812117258"/>
          <c:w val="0.79872285919300678"/>
          <c:h val="0.79349420735008158"/>
        </c:manualLayout>
      </c:layout>
      <c:scatterChart>
        <c:scatterStyle val="smoothMarker"/>
        <c:varyColors val="0"/>
        <c:ser>
          <c:idx val="54"/>
          <c:order val="2"/>
          <c:spPr>
            <a:ln w="19050" cap="rnd">
              <a:solidFill>
                <a:srgbClr val="FFC000"/>
              </a:solidFill>
              <a:round/>
            </a:ln>
            <a:effectLst/>
          </c:spPr>
          <c:marker>
            <c:symbol val="none"/>
          </c:marker>
          <c:dPt>
            <c:idx val="1"/>
            <c:bubble3D val="0"/>
            <c:extLst>
              <c:ext xmlns:c16="http://schemas.microsoft.com/office/drawing/2014/chart" uri="{C3380CC4-5D6E-409C-BE32-E72D297353CC}">
                <c16:uniqueId val="{00000000-60C8-4A98-A947-234019680B74}"/>
              </c:ext>
            </c:extLst>
          </c:dPt>
          <c:xVal>
            <c:numRef>
              <c:f>EVALUATION!$B$100:$CP$100</c:f>
              <c:numCache>
                <c:formatCode>0</c:formatCode>
                <c:ptCount val="93"/>
                <c:pt idx="0">
                  <c:v>306</c:v>
                </c:pt>
                <c:pt idx="1">
                  <c:v>314</c:v>
                </c:pt>
                <c:pt idx="2">
                  <c:v>322</c:v>
                </c:pt>
                <c:pt idx="3">
                  <c:v>330</c:v>
                </c:pt>
                <c:pt idx="4">
                  <c:v>338</c:v>
                </c:pt>
                <c:pt idx="5">
                  <c:v>346</c:v>
                </c:pt>
                <c:pt idx="6">
                  <c:v>354</c:v>
                </c:pt>
                <c:pt idx="7">
                  <c:v>362</c:v>
                </c:pt>
                <c:pt idx="8">
                  <c:v>370</c:v>
                </c:pt>
                <c:pt idx="9">
                  <c:v>378</c:v>
                </c:pt>
                <c:pt idx="10">
                  <c:v>386</c:v>
                </c:pt>
                <c:pt idx="11">
                  <c:v>394</c:v>
                </c:pt>
                <c:pt idx="12">
                  <c:v>402</c:v>
                </c:pt>
                <c:pt idx="13">
                  <c:v>410</c:v>
                </c:pt>
                <c:pt idx="14">
                  <c:v>418</c:v>
                </c:pt>
                <c:pt idx="15">
                  <c:v>426</c:v>
                </c:pt>
                <c:pt idx="16">
                  <c:v>434</c:v>
                </c:pt>
                <c:pt idx="17">
                  <c:v>442</c:v>
                </c:pt>
                <c:pt idx="18">
                  <c:v>450</c:v>
                </c:pt>
                <c:pt idx="19">
                  <c:v>458</c:v>
                </c:pt>
                <c:pt idx="20">
                  <c:v>466</c:v>
                </c:pt>
                <c:pt idx="21">
                  <c:v>474</c:v>
                </c:pt>
                <c:pt idx="22">
                  <c:v>482</c:v>
                </c:pt>
                <c:pt idx="23">
                  <c:v>490</c:v>
                </c:pt>
                <c:pt idx="24">
                  <c:v>498</c:v>
                </c:pt>
                <c:pt idx="25">
                  <c:v>506</c:v>
                </c:pt>
                <c:pt idx="26">
                  <c:v>514</c:v>
                </c:pt>
                <c:pt idx="27">
                  <c:v>522</c:v>
                </c:pt>
                <c:pt idx="28">
                  <c:v>530</c:v>
                </c:pt>
                <c:pt idx="29">
                  <c:v>538</c:v>
                </c:pt>
                <c:pt idx="30">
                  <c:v>546</c:v>
                </c:pt>
                <c:pt idx="31">
                  <c:v>554</c:v>
                </c:pt>
                <c:pt idx="32">
                  <c:v>562</c:v>
                </c:pt>
                <c:pt idx="33">
                  <c:v>570</c:v>
                </c:pt>
                <c:pt idx="34">
                  <c:v>578</c:v>
                </c:pt>
                <c:pt idx="35">
                  <c:v>586</c:v>
                </c:pt>
                <c:pt idx="36">
                  <c:v>594</c:v>
                </c:pt>
                <c:pt idx="37">
                  <c:v>602</c:v>
                </c:pt>
                <c:pt idx="38">
                  <c:v>610</c:v>
                </c:pt>
                <c:pt idx="39">
                  <c:v>618</c:v>
                </c:pt>
                <c:pt idx="40">
                  <c:v>626</c:v>
                </c:pt>
                <c:pt idx="41">
                  <c:v>634</c:v>
                </c:pt>
                <c:pt idx="42">
                  <c:v>642</c:v>
                </c:pt>
                <c:pt idx="43">
                  <c:v>650</c:v>
                </c:pt>
                <c:pt idx="44">
                  <c:v>658</c:v>
                </c:pt>
                <c:pt idx="45">
                  <c:v>666</c:v>
                </c:pt>
                <c:pt idx="46">
                  <c:v>674</c:v>
                </c:pt>
                <c:pt idx="47">
                  <c:v>682</c:v>
                </c:pt>
                <c:pt idx="48">
                  <c:v>690</c:v>
                </c:pt>
                <c:pt idx="49">
                  <c:v>698</c:v>
                </c:pt>
                <c:pt idx="50">
                  <c:v>706</c:v>
                </c:pt>
                <c:pt idx="51">
                  <c:v>714</c:v>
                </c:pt>
                <c:pt idx="52">
                  <c:v>722</c:v>
                </c:pt>
                <c:pt idx="53">
                  <c:v>730</c:v>
                </c:pt>
                <c:pt idx="54">
                  <c:v>738</c:v>
                </c:pt>
                <c:pt idx="55">
                  <c:v>746</c:v>
                </c:pt>
                <c:pt idx="56">
                  <c:v>754</c:v>
                </c:pt>
                <c:pt idx="57">
                  <c:v>762</c:v>
                </c:pt>
                <c:pt idx="58">
                  <c:v>770</c:v>
                </c:pt>
                <c:pt idx="59">
                  <c:v>778</c:v>
                </c:pt>
                <c:pt idx="60">
                  <c:v>786</c:v>
                </c:pt>
                <c:pt idx="61">
                  <c:v>794</c:v>
                </c:pt>
                <c:pt idx="62">
                  <c:v>802</c:v>
                </c:pt>
                <c:pt idx="63">
                  <c:v>810</c:v>
                </c:pt>
                <c:pt idx="64">
                  <c:v>818</c:v>
                </c:pt>
                <c:pt idx="65">
                  <c:v>826</c:v>
                </c:pt>
                <c:pt idx="66">
                  <c:v>834</c:v>
                </c:pt>
                <c:pt idx="67">
                  <c:v>842</c:v>
                </c:pt>
                <c:pt idx="68">
                  <c:v>850</c:v>
                </c:pt>
                <c:pt idx="69">
                  <c:v>858</c:v>
                </c:pt>
                <c:pt idx="70">
                  <c:v>866</c:v>
                </c:pt>
                <c:pt idx="71">
                  <c:v>874</c:v>
                </c:pt>
                <c:pt idx="72">
                  <c:v>882</c:v>
                </c:pt>
                <c:pt idx="73">
                  <c:v>890</c:v>
                </c:pt>
                <c:pt idx="74">
                  <c:v>898</c:v>
                </c:pt>
                <c:pt idx="75">
                  <c:v>906</c:v>
                </c:pt>
                <c:pt idx="76">
                  <c:v>914</c:v>
                </c:pt>
                <c:pt idx="77">
                  <c:v>922</c:v>
                </c:pt>
                <c:pt idx="78">
                  <c:v>930</c:v>
                </c:pt>
                <c:pt idx="79">
                  <c:v>938</c:v>
                </c:pt>
                <c:pt idx="80">
                  <c:v>946</c:v>
                </c:pt>
                <c:pt idx="81">
                  <c:v>954</c:v>
                </c:pt>
                <c:pt idx="82">
                  <c:v>962</c:v>
                </c:pt>
                <c:pt idx="83">
                  <c:v>970</c:v>
                </c:pt>
                <c:pt idx="84">
                  <c:v>978</c:v>
                </c:pt>
                <c:pt idx="85">
                  <c:v>986</c:v>
                </c:pt>
                <c:pt idx="86">
                  <c:v>994</c:v>
                </c:pt>
              </c:numCache>
            </c:numRef>
          </c:xVal>
          <c:yVal>
            <c:numRef>
              <c:f>EVALUATION!$B$103:$CP$103</c:f>
              <c:numCache>
                <c:formatCode>0</c:formatCode>
                <c:ptCount val="93"/>
                <c:pt idx="0">
                  <c:v>-36.591171171171169</c:v>
                </c:pt>
                <c:pt idx="1">
                  <c:v>-35.925705705705703</c:v>
                </c:pt>
                <c:pt idx="2">
                  <c:v>-35.260240240240236</c:v>
                </c:pt>
                <c:pt idx="3">
                  <c:v>-34.594774774774777</c:v>
                </c:pt>
                <c:pt idx="4" formatCode="General">
                  <c:v>-34.041856287425148</c:v>
                </c:pt>
                <c:pt idx="5" formatCode="General">
                  <c:v>-33.514910179640715</c:v>
                </c:pt>
                <c:pt idx="6" formatCode="General">
                  <c:v>-32.987964071856283</c:v>
                </c:pt>
                <c:pt idx="7" formatCode="General">
                  <c:v>-32.46101796407185</c:v>
                </c:pt>
                <c:pt idx="8" formatCode="General">
                  <c:v>-31.996676646706582</c:v>
                </c:pt>
                <c:pt idx="9" formatCode="General">
                  <c:v>-31.567934131736521</c:v>
                </c:pt>
                <c:pt idx="10" formatCode="General">
                  <c:v>-31.139191616766464</c:v>
                </c:pt>
                <c:pt idx="11" formatCode="General">
                  <c:v>-30.710449101796403</c:v>
                </c:pt>
                <c:pt idx="12" formatCode="General">
                  <c:v>-30.316158682634729</c:v>
                </c:pt>
                <c:pt idx="13" formatCode="General">
                  <c:v>-29.961907185628743</c:v>
                </c:pt>
                <c:pt idx="14" formatCode="General">
                  <c:v>-29.607655688622753</c:v>
                </c:pt>
                <c:pt idx="15" formatCode="General">
                  <c:v>-29.253404191616767</c:v>
                </c:pt>
                <c:pt idx="16" formatCode="General">
                  <c:v>-28.916230538922157</c:v>
                </c:pt>
                <c:pt idx="17" formatCode="General">
                  <c:v>-28.62138023952096</c:v>
                </c:pt>
                <c:pt idx="18" formatCode="General">
                  <c:v>-28.326529940119762</c:v>
                </c:pt>
                <c:pt idx="19" formatCode="General">
                  <c:v>-28.031679640718565</c:v>
                </c:pt>
                <c:pt idx="20" formatCode="General">
                  <c:v>-27.742407185628743</c:v>
                </c:pt>
                <c:pt idx="21" formatCode="General">
                  <c:v>-27.4971377245509</c:v>
                </c:pt>
                <c:pt idx="22" formatCode="General">
                  <c:v>-27.251868263473057</c:v>
                </c:pt>
                <c:pt idx="23" formatCode="General">
                  <c:v>-27.00659880239521</c:v>
                </c:pt>
                <c:pt idx="24" formatCode="General">
                  <c:v>-26.761329341317367</c:v>
                </c:pt>
                <c:pt idx="25" formatCode="General">
                  <c:v>-26.724603603603605</c:v>
                </c:pt>
                <c:pt idx="26" formatCode="General">
                  <c:v>-26.701780780780783</c:v>
                </c:pt>
                <c:pt idx="27" formatCode="General">
                  <c:v>-26.678957957957962</c:v>
                </c:pt>
                <c:pt idx="28" formatCode="General">
                  <c:v>-26.656135135135138</c:v>
                </c:pt>
                <c:pt idx="29" formatCode="General">
                  <c:v>-26.760892215568866</c:v>
                </c:pt>
                <c:pt idx="30" formatCode="General">
                  <c:v>-26.902688622754493</c:v>
                </c:pt>
                <c:pt idx="31" formatCode="General">
                  <c:v>-27.04448502994012</c:v>
                </c:pt>
                <c:pt idx="32" formatCode="General">
                  <c:v>-27.186281437125746</c:v>
                </c:pt>
                <c:pt idx="33" formatCode="General">
                  <c:v>-27.324556886227544</c:v>
                </c:pt>
                <c:pt idx="34" formatCode="General">
                  <c:v>-27.460485029940116</c:v>
                </c:pt>
                <c:pt idx="35" formatCode="General">
                  <c:v>-27.596413173652692</c:v>
                </c:pt>
                <c:pt idx="36" formatCode="General">
                  <c:v>-27.732341317365268</c:v>
                </c:pt>
                <c:pt idx="37" formatCode="General">
                  <c:v>-27.868269461077844</c:v>
                </c:pt>
                <c:pt idx="38" formatCode="General">
                  <c:v>-28.00419760479042</c:v>
                </c:pt>
                <c:pt idx="39" formatCode="General">
                  <c:v>-28.140125748502992</c:v>
                </c:pt>
                <c:pt idx="40" formatCode="General">
                  <c:v>-28.276053892215568</c:v>
                </c:pt>
                <c:pt idx="41" formatCode="General">
                  <c:v>-28.411982035928144</c:v>
                </c:pt>
                <c:pt idx="42" formatCode="General">
                  <c:v>-28.54791017964072</c:v>
                </c:pt>
                <c:pt idx="43" formatCode="General">
                  <c:v>-28.683838323353296</c:v>
                </c:pt>
                <c:pt idx="44" formatCode="General">
                  <c:v>-28.819766467065868</c:v>
                </c:pt>
                <c:pt idx="45" formatCode="General">
                  <c:v>-28.955694610778444</c:v>
                </c:pt>
                <c:pt idx="46" formatCode="General">
                  <c:v>-29.09162275449102</c:v>
                </c:pt>
                <c:pt idx="47" formatCode="General">
                  <c:v>-29.227550898203596</c:v>
                </c:pt>
                <c:pt idx="48" formatCode="General">
                  <c:v>-29.363479041916172</c:v>
                </c:pt>
                <c:pt idx="49" formatCode="General">
                  <c:v>-29.499407185628744</c:v>
                </c:pt>
                <c:pt idx="50" formatCode="General">
                  <c:v>-29.627876404494383</c:v>
                </c:pt>
                <c:pt idx="51" formatCode="General">
                  <c:v>-29.755516853932587</c:v>
                </c:pt>
                <c:pt idx="52" formatCode="General">
                  <c:v>-29.88315730337079</c:v>
                </c:pt>
                <c:pt idx="53" formatCode="General">
                  <c:v>-30.01079775280899</c:v>
                </c:pt>
                <c:pt idx="54" formatCode="General">
                  <c:v>-30.138438202247194</c:v>
                </c:pt>
                <c:pt idx="55" formatCode="General">
                  <c:v>-30.266078651685394</c:v>
                </c:pt>
                <c:pt idx="56" formatCode="General">
                  <c:v>-30.393719101123597</c:v>
                </c:pt>
                <c:pt idx="57" formatCode="General">
                  <c:v>-30.521359550561801</c:v>
                </c:pt>
                <c:pt idx="58" formatCode="General">
                  <c:v>-30.649000000000001</c:v>
                </c:pt>
                <c:pt idx="59" formatCode="General">
                  <c:v>-30.776640449438204</c:v>
                </c:pt>
                <c:pt idx="60" formatCode="General">
                  <c:v>-30.904280898876408</c:v>
                </c:pt>
                <c:pt idx="61" formatCode="General">
                  <c:v>-31.031921348314608</c:v>
                </c:pt>
                <c:pt idx="62" formatCode="General">
                  <c:v>-31.159561797752811</c:v>
                </c:pt>
                <c:pt idx="63" formatCode="General">
                  <c:v>-31.287202247191011</c:v>
                </c:pt>
                <c:pt idx="64" formatCode="General">
                  <c:v>-31.414842696629215</c:v>
                </c:pt>
                <c:pt idx="65" formatCode="General">
                  <c:v>-31.542483146067418</c:v>
                </c:pt>
                <c:pt idx="66" formatCode="General">
                  <c:v>-31.668748314606741</c:v>
                </c:pt>
                <c:pt idx="67" formatCode="General">
                  <c:v>-31.789916853932585</c:v>
                </c:pt>
                <c:pt idx="68" formatCode="General">
                  <c:v>-31.911085393258428</c:v>
                </c:pt>
                <c:pt idx="69" formatCode="General">
                  <c:v>-32.032253932584268</c:v>
                </c:pt>
                <c:pt idx="70" formatCode="General">
                  <c:v>-32.153422471910112</c:v>
                </c:pt>
                <c:pt idx="71" formatCode="General">
                  <c:v>-32.274591011235955</c:v>
                </c:pt>
                <c:pt idx="72" formatCode="General">
                  <c:v>-32.395759550561799</c:v>
                </c:pt>
                <c:pt idx="73" formatCode="General">
                  <c:v>-32.516928089887642</c:v>
                </c:pt>
                <c:pt idx="74" formatCode="General">
                  <c:v>-32.638096629213486</c:v>
                </c:pt>
                <c:pt idx="75" formatCode="General">
                  <c:v>-32.759265168539329</c:v>
                </c:pt>
                <c:pt idx="76" formatCode="General">
                  <c:v>-32.880433707865166</c:v>
                </c:pt>
                <c:pt idx="77" formatCode="General">
                  <c:v>-33.001602247191009</c:v>
                </c:pt>
                <c:pt idx="78" formatCode="General">
                  <c:v>-33.122770786516853</c:v>
                </c:pt>
                <c:pt idx="79" formatCode="General">
                  <c:v>-33.243939325842696</c:v>
                </c:pt>
                <c:pt idx="80" formatCode="General">
                  <c:v>-33.36510786516854</c:v>
                </c:pt>
                <c:pt idx="81" formatCode="General">
                  <c:v>-33.486276404494383</c:v>
                </c:pt>
                <c:pt idx="82" formatCode="General">
                  <c:v>-33.607444943820227</c:v>
                </c:pt>
                <c:pt idx="83" formatCode="General">
                  <c:v>-33.725610778443112</c:v>
                </c:pt>
                <c:pt idx="84" formatCode="General">
                  <c:v>-33.84105988023952</c:v>
                </c:pt>
                <c:pt idx="85" formatCode="General">
                  <c:v>-33.956508982035928</c:v>
                </c:pt>
                <c:pt idx="86" formatCode="General">
                  <c:v>-34.071958083832335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60C8-4A98-A947-234019680B74}"/>
            </c:ext>
          </c:extLst>
        </c:ser>
        <c:ser>
          <c:idx val="35"/>
          <c:order val="37"/>
          <c:spPr>
            <a:ln>
              <a:solidFill>
                <a:srgbClr val="FFC000"/>
              </a:solidFill>
              <a:prstDash val="sysDash"/>
            </a:ln>
          </c:spPr>
          <c:marker>
            <c:symbol val="none"/>
          </c:marker>
          <c:xVal>
            <c:numRef>
              <c:f>EVALUATION!$B$100:$CP$100</c:f>
              <c:numCache>
                <c:formatCode>0</c:formatCode>
                <c:ptCount val="93"/>
                <c:pt idx="0">
                  <c:v>306</c:v>
                </c:pt>
                <c:pt idx="1">
                  <c:v>314</c:v>
                </c:pt>
                <c:pt idx="2">
                  <c:v>322</c:v>
                </c:pt>
                <c:pt idx="3">
                  <c:v>330</c:v>
                </c:pt>
                <c:pt idx="4">
                  <c:v>338</c:v>
                </c:pt>
                <c:pt idx="5">
                  <c:v>346</c:v>
                </c:pt>
                <c:pt idx="6">
                  <c:v>354</c:v>
                </c:pt>
                <c:pt idx="7">
                  <c:v>362</c:v>
                </c:pt>
                <c:pt idx="8">
                  <c:v>370</c:v>
                </c:pt>
                <c:pt idx="9">
                  <c:v>378</c:v>
                </c:pt>
                <c:pt idx="10">
                  <c:v>386</c:v>
                </c:pt>
                <c:pt idx="11">
                  <c:v>394</c:v>
                </c:pt>
                <c:pt idx="12">
                  <c:v>402</c:v>
                </c:pt>
                <c:pt idx="13">
                  <c:v>410</c:v>
                </c:pt>
                <c:pt idx="14">
                  <c:v>418</c:v>
                </c:pt>
                <c:pt idx="15">
                  <c:v>426</c:v>
                </c:pt>
                <c:pt idx="16">
                  <c:v>434</c:v>
                </c:pt>
                <c:pt idx="17">
                  <c:v>442</c:v>
                </c:pt>
                <c:pt idx="18">
                  <c:v>450</c:v>
                </c:pt>
                <c:pt idx="19">
                  <c:v>458</c:v>
                </c:pt>
                <c:pt idx="20">
                  <c:v>466</c:v>
                </c:pt>
                <c:pt idx="21">
                  <c:v>474</c:v>
                </c:pt>
                <c:pt idx="22">
                  <c:v>482</c:v>
                </c:pt>
                <c:pt idx="23">
                  <c:v>490</c:v>
                </c:pt>
                <c:pt idx="24">
                  <c:v>498</c:v>
                </c:pt>
                <c:pt idx="25">
                  <c:v>506</c:v>
                </c:pt>
                <c:pt idx="26">
                  <c:v>514</c:v>
                </c:pt>
                <c:pt idx="27">
                  <c:v>522</c:v>
                </c:pt>
                <c:pt idx="28">
                  <c:v>530</c:v>
                </c:pt>
                <c:pt idx="29">
                  <c:v>538</c:v>
                </c:pt>
                <c:pt idx="30">
                  <c:v>546</c:v>
                </c:pt>
                <c:pt idx="31">
                  <c:v>554</c:v>
                </c:pt>
                <c:pt idx="32">
                  <c:v>562</c:v>
                </c:pt>
                <c:pt idx="33">
                  <c:v>570</c:v>
                </c:pt>
                <c:pt idx="34">
                  <c:v>578</c:v>
                </c:pt>
                <c:pt idx="35">
                  <c:v>586</c:v>
                </c:pt>
                <c:pt idx="36">
                  <c:v>594</c:v>
                </c:pt>
                <c:pt idx="37">
                  <c:v>602</c:v>
                </c:pt>
                <c:pt idx="38">
                  <c:v>610</c:v>
                </c:pt>
                <c:pt idx="39">
                  <c:v>618</c:v>
                </c:pt>
                <c:pt idx="40">
                  <c:v>626</c:v>
                </c:pt>
                <c:pt idx="41">
                  <c:v>634</c:v>
                </c:pt>
                <c:pt idx="42">
                  <c:v>642</c:v>
                </c:pt>
                <c:pt idx="43">
                  <c:v>650</c:v>
                </c:pt>
                <c:pt idx="44">
                  <c:v>658</c:v>
                </c:pt>
                <c:pt idx="45">
                  <c:v>666</c:v>
                </c:pt>
                <c:pt idx="46">
                  <c:v>674</c:v>
                </c:pt>
                <c:pt idx="47">
                  <c:v>682</c:v>
                </c:pt>
                <c:pt idx="48">
                  <c:v>690</c:v>
                </c:pt>
                <c:pt idx="49">
                  <c:v>698</c:v>
                </c:pt>
                <c:pt idx="50">
                  <c:v>706</c:v>
                </c:pt>
                <c:pt idx="51">
                  <c:v>714</c:v>
                </c:pt>
                <c:pt idx="52">
                  <c:v>722</c:v>
                </c:pt>
                <c:pt idx="53">
                  <c:v>730</c:v>
                </c:pt>
                <c:pt idx="54">
                  <c:v>738</c:v>
                </c:pt>
                <c:pt idx="55">
                  <c:v>746</c:v>
                </c:pt>
                <c:pt idx="56">
                  <c:v>754</c:v>
                </c:pt>
                <c:pt idx="57">
                  <c:v>762</c:v>
                </c:pt>
                <c:pt idx="58">
                  <c:v>770</c:v>
                </c:pt>
                <c:pt idx="59">
                  <c:v>778</c:v>
                </c:pt>
                <c:pt idx="60">
                  <c:v>786</c:v>
                </c:pt>
                <c:pt idx="61">
                  <c:v>794</c:v>
                </c:pt>
                <c:pt idx="62">
                  <c:v>802</c:v>
                </c:pt>
                <c:pt idx="63">
                  <c:v>810</c:v>
                </c:pt>
                <c:pt idx="64">
                  <c:v>818</c:v>
                </c:pt>
                <c:pt idx="65">
                  <c:v>826</c:v>
                </c:pt>
                <c:pt idx="66">
                  <c:v>834</c:v>
                </c:pt>
                <c:pt idx="67">
                  <c:v>842</c:v>
                </c:pt>
                <c:pt idx="68">
                  <c:v>850</c:v>
                </c:pt>
                <c:pt idx="69">
                  <c:v>858</c:v>
                </c:pt>
                <c:pt idx="70">
                  <c:v>866</c:v>
                </c:pt>
                <c:pt idx="71">
                  <c:v>874</c:v>
                </c:pt>
                <c:pt idx="72">
                  <c:v>882</c:v>
                </c:pt>
                <c:pt idx="73">
                  <c:v>890</c:v>
                </c:pt>
                <c:pt idx="74">
                  <c:v>898</c:v>
                </c:pt>
                <c:pt idx="75">
                  <c:v>906</c:v>
                </c:pt>
                <c:pt idx="76">
                  <c:v>914</c:v>
                </c:pt>
                <c:pt idx="77">
                  <c:v>922</c:v>
                </c:pt>
                <c:pt idx="78">
                  <c:v>930</c:v>
                </c:pt>
                <c:pt idx="79">
                  <c:v>938</c:v>
                </c:pt>
                <c:pt idx="80">
                  <c:v>946</c:v>
                </c:pt>
                <c:pt idx="81">
                  <c:v>954</c:v>
                </c:pt>
                <c:pt idx="82">
                  <c:v>962</c:v>
                </c:pt>
                <c:pt idx="83">
                  <c:v>970</c:v>
                </c:pt>
                <c:pt idx="84">
                  <c:v>978</c:v>
                </c:pt>
                <c:pt idx="85">
                  <c:v>986</c:v>
                </c:pt>
                <c:pt idx="86">
                  <c:v>994</c:v>
                </c:pt>
              </c:numCache>
            </c:numRef>
          </c:xVal>
          <c:yVal>
            <c:numRef>
              <c:f>EVALUATION!$B$138:$CP$138</c:f>
              <c:numCache>
                <c:formatCode>0</c:formatCode>
                <c:ptCount val="93"/>
                <c:pt idx="0">
                  <c:v>-37.456036036036032</c:v>
                </c:pt>
                <c:pt idx="1">
                  <c:v>-36.754534534534535</c:v>
                </c:pt>
                <c:pt idx="2">
                  <c:v>-36.053033033033032</c:v>
                </c:pt>
                <c:pt idx="3">
                  <c:v>-35.351531531531528</c:v>
                </c:pt>
                <c:pt idx="4" formatCode="General">
                  <c:v>-34.77434131736527</c:v>
                </c:pt>
                <c:pt idx="5" formatCode="General">
                  <c:v>-34.225838323353294</c:v>
                </c:pt>
                <c:pt idx="6" formatCode="General">
                  <c:v>-33.677335329341318</c:v>
                </c:pt>
                <c:pt idx="7" formatCode="General">
                  <c:v>-33.128832335329342</c:v>
                </c:pt>
                <c:pt idx="8" formatCode="General">
                  <c:v>-32.657592814371256</c:v>
                </c:pt>
                <c:pt idx="9" formatCode="General">
                  <c:v>-32.230287425149697</c:v>
                </c:pt>
                <c:pt idx="10" formatCode="General">
                  <c:v>-31.802982035928146</c:v>
                </c:pt>
                <c:pt idx="11" formatCode="General">
                  <c:v>-31.375676646706587</c:v>
                </c:pt>
                <c:pt idx="12" formatCode="General">
                  <c:v>-30.997113772455091</c:v>
                </c:pt>
                <c:pt idx="13" formatCode="General">
                  <c:v>-30.675197604790419</c:v>
                </c:pt>
                <c:pt idx="14" formatCode="General">
                  <c:v>-30.353281437125748</c:v>
                </c:pt>
                <c:pt idx="15" formatCode="General">
                  <c:v>-30.031365269461077</c:v>
                </c:pt>
                <c:pt idx="16" formatCode="General">
                  <c:v>-29.749044910179641</c:v>
                </c:pt>
                <c:pt idx="17" formatCode="General">
                  <c:v>-29.564853293413172</c:v>
                </c:pt>
                <c:pt idx="18" formatCode="General">
                  <c:v>-29.380661676646707</c:v>
                </c:pt>
                <c:pt idx="19" formatCode="General">
                  <c:v>-29.196470059880241</c:v>
                </c:pt>
                <c:pt idx="20" formatCode="General">
                  <c:v>-29.031194610778446</c:v>
                </c:pt>
                <c:pt idx="21" formatCode="General">
                  <c:v>-29.015146706586826</c:v>
                </c:pt>
                <c:pt idx="22" formatCode="General">
                  <c:v>-28.99909880239521</c:v>
                </c:pt>
                <c:pt idx="23" formatCode="General">
                  <c:v>-28.983050898203594</c:v>
                </c:pt>
                <c:pt idx="24" formatCode="General">
                  <c:v>-28.967002994011978</c:v>
                </c:pt>
                <c:pt idx="25" formatCode="General">
                  <c:v>-29.170279279279281</c:v>
                </c:pt>
                <c:pt idx="26" formatCode="General">
                  <c:v>-29.388177177177177</c:v>
                </c:pt>
                <c:pt idx="27" formatCode="General">
                  <c:v>-29.606075075075076</c:v>
                </c:pt>
                <c:pt idx="28" formatCode="General">
                  <c:v>-29.823972972972971</c:v>
                </c:pt>
                <c:pt idx="29" formatCode="General">
                  <c:v>-29.965814371257483</c:v>
                </c:pt>
                <c:pt idx="30" formatCode="General">
                  <c:v>-30.085574850299402</c:v>
                </c:pt>
                <c:pt idx="31" formatCode="General">
                  <c:v>-30.205335329341317</c:v>
                </c:pt>
                <c:pt idx="32" formatCode="General">
                  <c:v>-30.325095808383235</c:v>
                </c:pt>
                <c:pt idx="33" formatCode="General">
                  <c:v>-30.453622754491018</c:v>
                </c:pt>
                <c:pt idx="34" formatCode="General">
                  <c:v>-30.587994011976047</c:v>
                </c:pt>
                <c:pt idx="35" formatCode="General">
                  <c:v>-30.722365269461079</c:v>
                </c:pt>
                <c:pt idx="36" formatCode="General">
                  <c:v>-30.856736526946108</c:v>
                </c:pt>
                <c:pt idx="37" formatCode="General">
                  <c:v>-30.990700598802395</c:v>
                </c:pt>
                <c:pt idx="38" formatCode="General">
                  <c:v>-31.12411377245509</c:v>
                </c:pt>
                <c:pt idx="39" formatCode="General">
                  <c:v>-31.257526946107784</c:v>
                </c:pt>
                <c:pt idx="40" formatCode="General">
                  <c:v>-31.390940119760479</c:v>
                </c:pt>
                <c:pt idx="41" formatCode="General">
                  <c:v>-31.524592814371257</c:v>
                </c:pt>
                <c:pt idx="42" formatCode="General">
                  <c:v>-31.658964071856285</c:v>
                </c:pt>
                <c:pt idx="43" formatCode="General">
                  <c:v>-31.793335329341318</c:v>
                </c:pt>
                <c:pt idx="44" formatCode="General">
                  <c:v>-31.927706586826346</c:v>
                </c:pt>
                <c:pt idx="45" formatCode="General">
                  <c:v>-32.062077844311375</c:v>
                </c:pt>
                <c:pt idx="46" formatCode="General">
                  <c:v>-32.196449101796411</c:v>
                </c:pt>
                <c:pt idx="47" formatCode="General">
                  <c:v>-32.330820359281439</c:v>
                </c:pt>
                <c:pt idx="48" formatCode="General">
                  <c:v>-32.465191616766468</c:v>
                </c:pt>
                <c:pt idx="49" formatCode="General">
                  <c:v>-32.599562874251497</c:v>
                </c:pt>
                <c:pt idx="50" formatCode="General">
                  <c:v>-32.727876404494381</c:v>
                </c:pt>
                <c:pt idx="51" formatCode="General">
                  <c:v>-32.855516853932585</c:v>
                </c:pt>
                <c:pt idx="52" formatCode="General">
                  <c:v>-32.983157303370788</c:v>
                </c:pt>
                <c:pt idx="53" formatCode="General">
                  <c:v>-33.110797752808992</c:v>
                </c:pt>
                <c:pt idx="54" formatCode="General">
                  <c:v>-33.238438202247195</c:v>
                </c:pt>
                <c:pt idx="55" formatCode="General">
                  <c:v>-33.366078651685392</c:v>
                </c:pt>
                <c:pt idx="56" formatCode="General">
                  <c:v>-33.493719101123595</c:v>
                </c:pt>
                <c:pt idx="57" formatCode="General">
                  <c:v>-33.621359550561799</c:v>
                </c:pt>
                <c:pt idx="58" formatCode="General">
                  <c:v>-33.749000000000002</c:v>
                </c:pt>
                <c:pt idx="59" formatCode="General">
                  <c:v>-33.876640449438206</c:v>
                </c:pt>
                <c:pt idx="60" formatCode="General">
                  <c:v>-34.004280898876409</c:v>
                </c:pt>
                <c:pt idx="61" formatCode="General">
                  <c:v>-34.131921348314606</c:v>
                </c:pt>
                <c:pt idx="62" formatCode="General">
                  <c:v>-34.259561797752809</c:v>
                </c:pt>
                <c:pt idx="63" formatCode="General">
                  <c:v>-34.387202247191013</c:v>
                </c:pt>
                <c:pt idx="64" formatCode="General">
                  <c:v>-34.514842696629216</c:v>
                </c:pt>
                <c:pt idx="65" formatCode="General">
                  <c:v>-34.64248314606742</c:v>
                </c:pt>
                <c:pt idx="66" formatCode="General">
                  <c:v>-34.768748314606746</c:v>
                </c:pt>
                <c:pt idx="67" formatCode="General">
                  <c:v>-34.88991685393259</c:v>
                </c:pt>
                <c:pt idx="68" formatCode="General">
                  <c:v>-35.011085393258426</c:v>
                </c:pt>
                <c:pt idx="69" formatCode="General">
                  <c:v>-35.13225393258427</c:v>
                </c:pt>
                <c:pt idx="70" formatCode="General">
                  <c:v>-35.253422471910113</c:v>
                </c:pt>
                <c:pt idx="71" formatCode="General">
                  <c:v>-35.374591011235957</c:v>
                </c:pt>
                <c:pt idx="72" formatCode="General">
                  <c:v>-35.4957595505618</c:v>
                </c:pt>
                <c:pt idx="73" formatCode="General">
                  <c:v>-35.616928089887644</c:v>
                </c:pt>
                <c:pt idx="74" formatCode="General">
                  <c:v>-35.738096629213487</c:v>
                </c:pt>
                <c:pt idx="75" formatCode="General">
                  <c:v>-35.859265168539331</c:v>
                </c:pt>
                <c:pt idx="76" formatCode="General">
                  <c:v>-35.980433707865167</c:v>
                </c:pt>
                <c:pt idx="77" formatCode="General">
                  <c:v>-36.101602247191011</c:v>
                </c:pt>
                <c:pt idx="78" formatCode="General">
                  <c:v>-36.222770786516854</c:v>
                </c:pt>
                <c:pt idx="79" formatCode="General">
                  <c:v>-36.343939325842697</c:v>
                </c:pt>
                <c:pt idx="80" formatCode="General">
                  <c:v>-36.465107865168541</c:v>
                </c:pt>
                <c:pt idx="81" formatCode="General">
                  <c:v>-36.586276404494384</c:v>
                </c:pt>
                <c:pt idx="82" formatCode="General">
                  <c:v>-36.707444943820228</c:v>
                </c:pt>
                <c:pt idx="83" formatCode="General">
                  <c:v>-36.825319819819818</c:v>
                </c:pt>
                <c:pt idx="84" formatCode="General">
                  <c:v>-36.940214714714713</c:v>
                </c:pt>
                <c:pt idx="85" formatCode="General">
                  <c:v>-37.055109609609609</c:v>
                </c:pt>
                <c:pt idx="86" formatCode="General">
                  <c:v>-37.170004504504504</c:v>
                </c:pt>
                <c:pt idx="87" formatCode="General">
                  <c:v>-8.1209504950495059</c:v>
                </c:pt>
                <c:pt idx="88" formatCode="General">
                  <c:v>-8.1466930693069308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60C8-4A98-A947-234019680B74}"/>
            </c:ext>
          </c:extLst>
        </c:ser>
        <c:ser>
          <c:idx val="53"/>
          <c:order val="54"/>
          <c:tx>
            <c:v>temp</c:v>
          </c:tx>
          <c:spPr>
            <a:ln>
              <a:solidFill>
                <a:schemeClr val="tx1"/>
              </a:solidFill>
            </a:ln>
          </c:spPr>
          <c:marker>
            <c:symbol val="none"/>
          </c:marker>
          <c:xVal>
            <c:numRef>
              <c:f>EVALUATION!$A$98:$A$99</c:f>
              <c:numCache>
                <c:formatCode>General</c:formatCode>
                <c:ptCount val="2"/>
                <c:pt idx="0">
                  <c:v>700</c:v>
                </c:pt>
                <c:pt idx="1">
                  <c:v>700</c:v>
                </c:pt>
              </c:numCache>
            </c:numRef>
          </c:xVal>
          <c:yVal>
            <c:numRef>
              <c:f>EVALUATION!$B$98:$B$99</c:f>
              <c:numCache>
                <c:formatCode>0</c:formatCode>
                <c:ptCount val="2"/>
                <c:pt idx="0">
                  <c:v>-184.14450450450451</c:v>
                </c:pt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60C8-4A98-A947-234019680B7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38785983"/>
        <c:axId val="938775583"/>
        <c:extLst>
          <c:ext xmlns:c15="http://schemas.microsoft.com/office/drawing/2012/chart" uri="{02D57815-91ED-43cb-92C2-25804820EDAC}">
            <c15:filteredScatterSeries>
              <c15:ser>
                <c:idx val="0"/>
                <c:order val="0"/>
                <c:spPr>
                  <a:ln w="19050" cap="rnd">
                    <a:solidFill>
                      <a:srgbClr val="FF0000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306</c:v>
                      </c:pt>
                      <c:pt idx="1">
                        <c:v>314</c:v>
                      </c:pt>
                      <c:pt idx="2">
                        <c:v>322</c:v>
                      </c:pt>
                      <c:pt idx="3">
                        <c:v>330</c:v>
                      </c:pt>
                      <c:pt idx="4">
                        <c:v>338</c:v>
                      </c:pt>
                      <c:pt idx="5">
                        <c:v>346</c:v>
                      </c:pt>
                      <c:pt idx="6">
                        <c:v>354</c:v>
                      </c:pt>
                      <c:pt idx="7">
                        <c:v>362</c:v>
                      </c:pt>
                      <c:pt idx="8">
                        <c:v>370</c:v>
                      </c:pt>
                      <c:pt idx="9">
                        <c:v>378</c:v>
                      </c:pt>
                      <c:pt idx="10">
                        <c:v>386</c:v>
                      </c:pt>
                      <c:pt idx="11">
                        <c:v>394</c:v>
                      </c:pt>
                      <c:pt idx="12">
                        <c:v>402</c:v>
                      </c:pt>
                      <c:pt idx="13">
                        <c:v>410</c:v>
                      </c:pt>
                      <c:pt idx="14">
                        <c:v>418</c:v>
                      </c:pt>
                      <c:pt idx="15">
                        <c:v>426</c:v>
                      </c:pt>
                      <c:pt idx="16">
                        <c:v>434</c:v>
                      </c:pt>
                      <c:pt idx="17">
                        <c:v>442</c:v>
                      </c:pt>
                      <c:pt idx="18">
                        <c:v>450</c:v>
                      </c:pt>
                      <c:pt idx="19">
                        <c:v>458</c:v>
                      </c:pt>
                      <c:pt idx="20">
                        <c:v>466</c:v>
                      </c:pt>
                      <c:pt idx="21">
                        <c:v>474</c:v>
                      </c:pt>
                      <c:pt idx="22">
                        <c:v>482</c:v>
                      </c:pt>
                      <c:pt idx="23">
                        <c:v>490</c:v>
                      </c:pt>
                      <c:pt idx="24">
                        <c:v>498</c:v>
                      </c:pt>
                      <c:pt idx="25">
                        <c:v>506</c:v>
                      </c:pt>
                      <c:pt idx="26">
                        <c:v>514</c:v>
                      </c:pt>
                      <c:pt idx="27">
                        <c:v>522</c:v>
                      </c:pt>
                      <c:pt idx="28">
                        <c:v>530</c:v>
                      </c:pt>
                      <c:pt idx="29">
                        <c:v>538</c:v>
                      </c:pt>
                      <c:pt idx="30">
                        <c:v>546</c:v>
                      </c:pt>
                      <c:pt idx="31">
                        <c:v>554</c:v>
                      </c:pt>
                      <c:pt idx="32">
                        <c:v>562</c:v>
                      </c:pt>
                      <c:pt idx="33">
                        <c:v>570</c:v>
                      </c:pt>
                      <c:pt idx="34">
                        <c:v>578</c:v>
                      </c:pt>
                      <c:pt idx="35">
                        <c:v>586</c:v>
                      </c:pt>
                      <c:pt idx="36">
                        <c:v>594</c:v>
                      </c:pt>
                      <c:pt idx="37">
                        <c:v>602</c:v>
                      </c:pt>
                      <c:pt idx="38">
                        <c:v>610</c:v>
                      </c:pt>
                      <c:pt idx="39">
                        <c:v>618</c:v>
                      </c:pt>
                      <c:pt idx="40">
                        <c:v>626</c:v>
                      </c:pt>
                      <c:pt idx="41">
                        <c:v>634</c:v>
                      </c:pt>
                      <c:pt idx="42">
                        <c:v>642</c:v>
                      </c:pt>
                      <c:pt idx="43">
                        <c:v>650</c:v>
                      </c:pt>
                      <c:pt idx="44">
                        <c:v>658</c:v>
                      </c:pt>
                      <c:pt idx="45">
                        <c:v>666</c:v>
                      </c:pt>
                      <c:pt idx="46">
                        <c:v>674</c:v>
                      </c:pt>
                      <c:pt idx="47">
                        <c:v>682</c:v>
                      </c:pt>
                      <c:pt idx="48">
                        <c:v>690</c:v>
                      </c:pt>
                      <c:pt idx="49">
                        <c:v>698</c:v>
                      </c:pt>
                      <c:pt idx="50">
                        <c:v>706</c:v>
                      </c:pt>
                      <c:pt idx="51">
                        <c:v>714</c:v>
                      </c:pt>
                      <c:pt idx="52">
                        <c:v>722</c:v>
                      </c:pt>
                      <c:pt idx="53">
                        <c:v>730</c:v>
                      </c:pt>
                      <c:pt idx="54">
                        <c:v>738</c:v>
                      </c:pt>
                      <c:pt idx="55">
                        <c:v>746</c:v>
                      </c:pt>
                      <c:pt idx="56">
                        <c:v>754</c:v>
                      </c:pt>
                      <c:pt idx="57">
                        <c:v>762</c:v>
                      </c:pt>
                      <c:pt idx="58">
                        <c:v>770</c:v>
                      </c:pt>
                      <c:pt idx="59">
                        <c:v>778</c:v>
                      </c:pt>
                      <c:pt idx="60">
                        <c:v>786</c:v>
                      </c:pt>
                      <c:pt idx="61">
                        <c:v>794</c:v>
                      </c:pt>
                      <c:pt idx="62">
                        <c:v>802</c:v>
                      </c:pt>
                      <c:pt idx="63">
                        <c:v>810</c:v>
                      </c:pt>
                      <c:pt idx="64">
                        <c:v>818</c:v>
                      </c:pt>
                      <c:pt idx="65">
                        <c:v>826</c:v>
                      </c:pt>
                      <c:pt idx="66">
                        <c:v>834</c:v>
                      </c:pt>
                      <c:pt idx="67">
                        <c:v>842</c:v>
                      </c:pt>
                      <c:pt idx="68">
                        <c:v>850</c:v>
                      </c:pt>
                      <c:pt idx="69">
                        <c:v>858</c:v>
                      </c:pt>
                      <c:pt idx="70">
                        <c:v>866</c:v>
                      </c:pt>
                      <c:pt idx="71">
                        <c:v>874</c:v>
                      </c:pt>
                      <c:pt idx="72">
                        <c:v>882</c:v>
                      </c:pt>
                      <c:pt idx="73">
                        <c:v>890</c:v>
                      </c:pt>
                      <c:pt idx="74">
                        <c:v>898</c:v>
                      </c:pt>
                      <c:pt idx="75">
                        <c:v>906</c:v>
                      </c:pt>
                      <c:pt idx="76">
                        <c:v>914</c:v>
                      </c:pt>
                      <c:pt idx="77">
                        <c:v>922</c:v>
                      </c:pt>
                      <c:pt idx="78">
                        <c:v>930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EVALUATION!$B$101:$CP$101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-15.118108108108107</c:v>
                      </c:pt>
                      <c:pt idx="1">
                        <c:v>-14.88027027027027</c:v>
                      </c:pt>
                      <c:pt idx="2">
                        <c:v>-14.642432432432432</c:v>
                      </c:pt>
                      <c:pt idx="3">
                        <c:v>-14.404594594594593</c:v>
                      </c:pt>
                      <c:pt idx="4" formatCode="General">
                        <c:v>-13.959101796407184</c:v>
                      </c:pt>
                      <c:pt idx="5" formatCode="General">
                        <c:v>-13.46568862275449</c:v>
                      </c:pt>
                      <c:pt idx="6" formatCode="General">
                        <c:v>-12.972275449101796</c:v>
                      </c:pt>
                      <c:pt idx="7" formatCode="General">
                        <c:v>-12.478862275449101</c:v>
                      </c:pt>
                      <c:pt idx="8" formatCode="General">
                        <c:v>-11.950329341317365</c:v>
                      </c:pt>
                      <c:pt idx="9" formatCode="General">
                        <c:v>-11.40182634730539</c:v>
                      </c:pt>
                      <c:pt idx="10" formatCode="General">
                        <c:v>-10.853323353293414</c:v>
                      </c:pt>
                      <c:pt idx="11" formatCode="General">
                        <c:v>-10.304820359281438</c:v>
                      </c:pt>
                      <c:pt idx="12" formatCode="General">
                        <c:v>-9.7896616766467073</c:v>
                      </c:pt>
                      <c:pt idx="13" formatCode="General">
                        <c:v>-9.3132544910179647</c:v>
                      </c:pt>
                      <c:pt idx="14" formatCode="General">
                        <c:v>-8.836847305389222</c:v>
                      </c:pt>
                      <c:pt idx="15" formatCode="General">
                        <c:v>-8.3604401197604794</c:v>
                      </c:pt>
                      <c:pt idx="16" formatCode="General">
                        <c:v>-7.9011107784431145</c:v>
                      </c:pt>
                      <c:pt idx="17" formatCode="General">
                        <c:v>-7.4841047904191624</c:v>
                      </c:pt>
                      <c:pt idx="18" formatCode="General">
                        <c:v>-7.0670988023952104</c:v>
                      </c:pt>
                      <c:pt idx="19" formatCode="General">
                        <c:v>-6.6500928143712592</c:v>
                      </c:pt>
                      <c:pt idx="20" formatCode="General">
                        <c:v>-6.2383952095808395</c:v>
                      </c:pt>
                      <c:pt idx="21" formatCode="General">
                        <c:v>-5.8685748502994022</c:v>
                      </c:pt>
                      <c:pt idx="22" formatCode="General">
                        <c:v>-5.4987544910179649</c:v>
                      </c:pt>
                      <c:pt idx="23" formatCode="General">
                        <c:v>-5.1289341317365267</c:v>
                      </c:pt>
                      <c:pt idx="24" formatCode="General">
                        <c:v>-4.7591137724550894</c:v>
                      </c:pt>
                      <c:pt idx="25" formatCode="General">
                        <c:v>-4.6019909909909904</c:v>
                      </c:pt>
                      <c:pt idx="26" formatCode="General">
                        <c:v>-4.4590480480480474</c:v>
                      </c:pt>
                      <c:pt idx="27" formatCode="General">
                        <c:v>-4.3161051051051045</c:v>
                      </c:pt>
                      <c:pt idx="28" formatCode="General">
                        <c:v>-4.1731621621621615</c:v>
                      </c:pt>
                      <c:pt idx="29" formatCode="General">
                        <c:v>-4.1562215568862273</c:v>
                      </c:pt>
                      <c:pt idx="30" formatCode="General">
                        <c:v>-4.1758622754491022</c:v>
                      </c:pt>
                      <c:pt idx="31" formatCode="General">
                        <c:v>-4.1955029940119761</c:v>
                      </c:pt>
                      <c:pt idx="32" formatCode="General">
                        <c:v>-4.2151437125748501</c:v>
                      </c:pt>
                      <c:pt idx="33" formatCode="General">
                        <c:v>-4.2348562874251492</c:v>
                      </c:pt>
                      <c:pt idx="34" formatCode="General">
                        <c:v>-4.2546167664670653</c:v>
                      </c:pt>
                      <c:pt idx="35" formatCode="General">
                        <c:v>-4.2743772455089815</c:v>
                      </c:pt>
                      <c:pt idx="36" formatCode="General">
                        <c:v>-4.2941377245508976</c:v>
                      </c:pt>
                      <c:pt idx="37" formatCode="General">
                        <c:v>-4.3138982035928146</c:v>
                      </c:pt>
                      <c:pt idx="38" formatCode="General">
                        <c:v>-4.3336586826347308</c:v>
                      </c:pt>
                      <c:pt idx="39" formatCode="General">
                        <c:v>-4.3534191616766469</c:v>
                      </c:pt>
                      <c:pt idx="40" formatCode="General">
                        <c:v>-4.373179640718563</c:v>
                      </c:pt>
                      <c:pt idx="41" formatCode="General">
                        <c:v>-4.3929401197604792</c:v>
                      </c:pt>
                      <c:pt idx="42" formatCode="General">
                        <c:v>-4.4127005988023953</c:v>
                      </c:pt>
                      <c:pt idx="43" formatCode="General">
                        <c:v>-4.4324610778443114</c:v>
                      </c:pt>
                      <c:pt idx="44" formatCode="General">
                        <c:v>-4.4522215568862276</c:v>
                      </c:pt>
                      <c:pt idx="45" formatCode="General">
                        <c:v>-4.4719820359281437</c:v>
                      </c:pt>
                      <c:pt idx="46" formatCode="General">
                        <c:v>-4.4917425149700598</c:v>
                      </c:pt>
                      <c:pt idx="47" formatCode="General">
                        <c:v>-4.511502994011976</c:v>
                      </c:pt>
                      <c:pt idx="48" formatCode="General">
                        <c:v>-4.5312634730538921</c:v>
                      </c:pt>
                      <c:pt idx="49" formatCode="General">
                        <c:v>-4.5510239520958082</c:v>
                      </c:pt>
                      <c:pt idx="50" formatCode="General">
                        <c:v>-4.5702584269662925</c:v>
                      </c:pt>
                      <c:pt idx="51" formatCode="General">
                        <c:v>-4.5894344569288394</c:v>
                      </c:pt>
                      <c:pt idx="52" formatCode="General">
                        <c:v>-4.6086104868913855</c:v>
                      </c:pt>
                      <c:pt idx="53" formatCode="General">
                        <c:v>-4.6277865168539325</c:v>
                      </c:pt>
                      <c:pt idx="54" formatCode="General">
                        <c:v>-4.6469625468164795</c:v>
                      </c:pt>
                      <c:pt idx="55" formatCode="General">
                        <c:v>-4.6661385767790264</c:v>
                      </c:pt>
                      <c:pt idx="56" formatCode="General">
                        <c:v>-4.6853146067415734</c:v>
                      </c:pt>
                      <c:pt idx="57" formatCode="General">
                        <c:v>-4.7044906367041204</c:v>
                      </c:pt>
                      <c:pt idx="58" formatCode="General">
                        <c:v>-4.7236666666666665</c:v>
                      </c:pt>
                      <c:pt idx="59" formatCode="General">
                        <c:v>-4.7428426966292134</c:v>
                      </c:pt>
                      <c:pt idx="60" formatCode="General">
                        <c:v>-4.7620187265917604</c:v>
                      </c:pt>
                      <c:pt idx="61" formatCode="General">
                        <c:v>-4.7811947565543074</c:v>
                      </c:pt>
                      <c:pt idx="62" formatCode="General">
                        <c:v>-4.8003707865168543</c:v>
                      </c:pt>
                      <c:pt idx="63" formatCode="General">
                        <c:v>-4.8195468164794013</c:v>
                      </c:pt>
                      <c:pt idx="64" formatCode="General">
                        <c:v>-4.8387228464419483</c:v>
                      </c:pt>
                      <c:pt idx="65" formatCode="General">
                        <c:v>-4.8578988764044944</c:v>
                      </c:pt>
                      <c:pt idx="66" formatCode="General">
                        <c:v>-4.8768456928838955</c:v>
                      </c:pt>
                      <c:pt idx="67" formatCode="General">
                        <c:v>-4.8949430711610491</c:v>
                      </c:pt>
                      <c:pt idx="68" formatCode="General">
                        <c:v>-4.9130404494382027</c:v>
                      </c:pt>
                      <c:pt idx="69" formatCode="General">
                        <c:v>-4.9311378277153564</c:v>
                      </c:pt>
                      <c:pt idx="70" formatCode="General">
                        <c:v>-4.94923520599251</c:v>
                      </c:pt>
                      <c:pt idx="71" formatCode="General">
                        <c:v>-4.9673325842696627</c:v>
                      </c:pt>
                      <c:pt idx="72" formatCode="General">
                        <c:v>-4.9854299625468164</c:v>
                      </c:pt>
                      <c:pt idx="73" formatCode="General">
                        <c:v>-5.00352734082397</c:v>
                      </c:pt>
                      <c:pt idx="74" formatCode="General">
                        <c:v>-5.0216247191011236</c:v>
                      </c:pt>
                      <c:pt idx="75" formatCode="General">
                        <c:v>-5.0397220973782773</c:v>
                      </c:pt>
                      <c:pt idx="76" formatCode="General">
                        <c:v>-5.0578194756554309</c:v>
                      </c:pt>
                      <c:pt idx="77" formatCode="General">
                        <c:v>-5.0759168539325845</c:v>
                      </c:pt>
                      <c:pt idx="78" formatCode="General">
                        <c:v>-5.0940142322097381</c:v>
                      </c:pt>
                      <c:pt idx="79" formatCode="General">
                        <c:v>-5.1121116104868918</c:v>
                      </c:pt>
                      <c:pt idx="80" formatCode="General">
                        <c:v>-5.1302089887640445</c:v>
                      </c:pt>
                      <c:pt idx="81" formatCode="General">
                        <c:v>-5.1483063670411982</c:v>
                      </c:pt>
                      <c:pt idx="82" formatCode="General">
                        <c:v>-5.1664037453183518</c:v>
                      </c:pt>
                      <c:pt idx="83" formatCode="General">
                        <c:v>-5.1840538922155686</c:v>
                      </c:pt>
                      <c:pt idx="84" formatCode="General">
                        <c:v>-5.2012994011976046</c:v>
                      </c:pt>
                      <c:pt idx="85" formatCode="General">
                        <c:v>-5.2185449101796406</c:v>
                      </c:pt>
                      <c:pt idx="86" formatCode="General">
                        <c:v>-5.2357904191616766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4-60C8-4A98-A947-234019680B74}"/>
                  </c:ext>
                </c:extLst>
              </c15:ser>
            </c15:filteredScatterSeries>
            <c15:filteredScatterSeries>
              <c15:ser>
                <c:idx val="39"/>
                <c:order val="1"/>
                <c:spPr>
                  <a:ln w="19050" cap="rnd">
                    <a:solidFill>
                      <a:srgbClr val="FF0000"/>
                    </a:solidFill>
                    <a:prstDash val="sysDash"/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306</c:v>
                      </c:pt>
                      <c:pt idx="1">
                        <c:v>314</c:v>
                      </c:pt>
                      <c:pt idx="2">
                        <c:v>322</c:v>
                      </c:pt>
                      <c:pt idx="3">
                        <c:v>330</c:v>
                      </c:pt>
                      <c:pt idx="4">
                        <c:v>338</c:v>
                      </c:pt>
                      <c:pt idx="5">
                        <c:v>346</c:v>
                      </c:pt>
                      <c:pt idx="6">
                        <c:v>354</c:v>
                      </c:pt>
                      <c:pt idx="7">
                        <c:v>362</c:v>
                      </c:pt>
                      <c:pt idx="8">
                        <c:v>370</c:v>
                      </c:pt>
                      <c:pt idx="9">
                        <c:v>378</c:v>
                      </c:pt>
                      <c:pt idx="10">
                        <c:v>386</c:v>
                      </c:pt>
                      <c:pt idx="11">
                        <c:v>394</c:v>
                      </c:pt>
                      <c:pt idx="12">
                        <c:v>402</c:v>
                      </c:pt>
                      <c:pt idx="13">
                        <c:v>410</c:v>
                      </c:pt>
                      <c:pt idx="14">
                        <c:v>418</c:v>
                      </c:pt>
                      <c:pt idx="15">
                        <c:v>426</c:v>
                      </c:pt>
                      <c:pt idx="16">
                        <c:v>434</c:v>
                      </c:pt>
                      <c:pt idx="17">
                        <c:v>442</c:v>
                      </c:pt>
                      <c:pt idx="18">
                        <c:v>450</c:v>
                      </c:pt>
                      <c:pt idx="19">
                        <c:v>458</c:v>
                      </c:pt>
                      <c:pt idx="20">
                        <c:v>466</c:v>
                      </c:pt>
                      <c:pt idx="21">
                        <c:v>474</c:v>
                      </c:pt>
                      <c:pt idx="22">
                        <c:v>482</c:v>
                      </c:pt>
                      <c:pt idx="23">
                        <c:v>490</c:v>
                      </c:pt>
                      <c:pt idx="24">
                        <c:v>498</c:v>
                      </c:pt>
                      <c:pt idx="25">
                        <c:v>506</c:v>
                      </c:pt>
                      <c:pt idx="26">
                        <c:v>514</c:v>
                      </c:pt>
                      <c:pt idx="27">
                        <c:v>522</c:v>
                      </c:pt>
                      <c:pt idx="28">
                        <c:v>530</c:v>
                      </c:pt>
                      <c:pt idx="29">
                        <c:v>538</c:v>
                      </c:pt>
                      <c:pt idx="30">
                        <c:v>546</c:v>
                      </c:pt>
                      <c:pt idx="31">
                        <c:v>554</c:v>
                      </c:pt>
                      <c:pt idx="32">
                        <c:v>562</c:v>
                      </c:pt>
                      <c:pt idx="33">
                        <c:v>570</c:v>
                      </c:pt>
                      <c:pt idx="34">
                        <c:v>578</c:v>
                      </c:pt>
                      <c:pt idx="35">
                        <c:v>586</c:v>
                      </c:pt>
                      <c:pt idx="36">
                        <c:v>594</c:v>
                      </c:pt>
                      <c:pt idx="37">
                        <c:v>602</c:v>
                      </c:pt>
                      <c:pt idx="38">
                        <c:v>610</c:v>
                      </c:pt>
                      <c:pt idx="39">
                        <c:v>618</c:v>
                      </c:pt>
                      <c:pt idx="40">
                        <c:v>626</c:v>
                      </c:pt>
                      <c:pt idx="41">
                        <c:v>634</c:v>
                      </c:pt>
                      <c:pt idx="42">
                        <c:v>642</c:v>
                      </c:pt>
                      <c:pt idx="43">
                        <c:v>650</c:v>
                      </c:pt>
                      <c:pt idx="44">
                        <c:v>658</c:v>
                      </c:pt>
                      <c:pt idx="45">
                        <c:v>666</c:v>
                      </c:pt>
                      <c:pt idx="46">
                        <c:v>674</c:v>
                      </c:pt>
                      <c:pt idx="47">
                        <c:v>682</c:v>
                      </c:pt>
                      <c:pt idx="48">
                        <c:v>690</c:v>
                      </c:pt>
                      <c:pt idx="49">
                        <c:v>698</c:v>
                      </c:pt>
                      <c:pt idx="50">
                        <c:v>706</c:v>
                      </c:pt>
                      <c:pt idx="51">
                        <c:v>714</c:v>
                      </c:pt>
                      <c:pt idx="52">
                        <c:v>722</c:v>
                      </c:pt>
                      <c:pt idx="53">
                        <c:v>730</c:v>
                      </c:pt>
                      <c:pt idx="54">
                        <c:v>738</c:v>
                      </c:pt>
                      <c:pt idx="55">
                        <c:v>746</c:v>
                      </c:pt>
                      <c:pt idx="56">
                        <c:v>754</c:v>
                      </c:pt>
                      <c:pt idx="57">
                        <c:v>762</c:v>
                      </c:pt>
                      <c:pt idx="58">
                        <c:v>770</c:v>
                      </c:pt>
                      <c:pt idx="59">
                        <c:v>778</c:v>
                      </c:pt>
                      <c:pt idx="60">
                        <c:v>786</c:v>
                      </c:pt>
                      <c:pt idx="61">
                        <c:v>794</c:v>
                      </c:pt>
                      <c:pt idx="62">
                        <c:v>802</c:v>
                      </c:pt>
                      <c:pt idx="63">
                        <c:v>810</c:v>
                      </c:pt>
                      <c:pt idx="64">
                        <c:v>818</c:v>
                      </c:pt>
                      <c:pt idx="65">
                        <c:v>826</c:v>
                      </c:pt>
                      <c:pt idx="66">
                        <c:v>834</c:v>
                      </c:pt>
                      <c:pt idx="67">
                        <c:v>842</c:v>
                      </c:pt>
                      <c:pt idx="68">
                        <c:v>850</c:v>
                      </c:pt>
                      <c:pt idx="69">
                        <c:v>858</c:v>
                      </c:pt>
                      <c:pt idx="70">
                        <c:v>866</c:v>
                      </c:pt>
                      <c:pt idx="71">
                        <c:v>874</c:v>
                      </c:pt>
                      <c:pt idx="72">
                        <c:v>882</c:v>
                      </c:pt>
                      <c:pt idx="73">
                        <c:v>890</c:v>
                      </c:pt>
                      <c:pt idx="74">
                        <c:v>898</c:v>
                      </c:pt>
                      <c:pt idx="75">
                        <c:v>906</c:v>
                      </c:pt>
                      <c:pt idx="76">
                        <c:v>914</c:v>
                      </c:pt>
                      <c:pt idx="77">
                        <c:v>922</c:v>
                      </c:pt>
                      <c:pt idx="78">
                        <c:v>930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EVALUATION!$B$102:$CP$102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-15.118108108108107</c:v>
                      </c:pt>
                      <c:pt idx="1">
                        <c:v>-14.88027027027027</c:v>
                      </c:pt>
                      <c:pt idx="2">
                        <c:v>-14.642432432432432</c:v>
                      </c:pt>
                      <c:pt idx="3">
                        <c:v>-14.404594594594593</c:v>
                      </c:pt>
                      <c:pt idx="4" formatCode="General">
                        <c:v>-13.959101796407184</c:v>
                      </c:pt>
                      <c:pt idx="5" formatCode="General">
                        <c:v>-13.46568862275449</c:v>
                      </c:pt>
                      <c:pt idx="6" formatCode="General">
                        <c:v>-12.972275449101796</c:v>
                      </c:pt>
                      <c:pt idx="7" formatCode="General">
                        <c:v>-12.478862275449101</c:v>
                      </c:pt>
                      <c:pt idx="8" formatCode="General">
                        <c:v>-11.950329341317365</c:v>
                      </c:pt>
                      <c:pt idx="9" formatCode="General">
                        <c:v>-11.40182634730539</c:v>
                      </c:pt>
                      <c:pt idx="10" formatCode="General">
                        <c:v>-10.853323353293414</c:v>
                      </c:pt>
                      <c:pt idx="11" formatCode="General">
                        <c:v>-10.304820359281438</c:v>
                      </c:pt>
                      <c:pt idx="12" formatCode="General">
                        <c:v>-9.7896616766467073</c:v>
                      </c:pt>
                      <c:pt idx="13" formatCode="General">
                        <c:v>-9.3132544910179647</c:v>
                      </c:pt>
                      <c:pt idx="14" formatCode="General">
                        <c:v>-8.836847305389222</c:v>
                      </c:pt>
                      <c:pt idx="15" formatCode="General">
                        <c:v>-8.3604401197604794</c:v>
                      </c:pt>
                      <c:pt idx="16" formatCode="General">
                        <c:v>-7.9011107784431145</c:v>
                      </c:pt>
                      <c:pt idx="17" formatCode="General">
                        <c:v>-7.4841047904191624</c:v>
                      </c:pt>
                      <c:pt idx="18" formatCode="General">
                        <c:v>-7.0670988023952104</c:v>
                      </c:pt>
                      <c:pt idx="19" formatCode="General">
                        <c:v>-6.6500928143712592</c:v>
                      </c:pt>
                      <c:pt idx="20" formatCode="General">
                        <c:v>-6.2383952095808395</c:v>
                      </c:pt>
                      <c:pt idx="21" formatCode="General">
                        <c:v>-5.8685748502994022</c:v>
                      </c:pt>
                      <c:pt idx="22" formatCode="General">
                        <c:v>-5.4987544910179649</c:v>
                      </c:pt>
                      <c:pt idx="23" formatCode="General">
                        <c:v>-5.1289341317365267</c:v>
                      </c:pt>
                      <c:pt idx="24" formatCode="General">
                        <c:v>-4.7591137724550894</c:v>
                      </c:pt>
                      <c:pt idx="25" formatCode="General">
                        <c:v>-4.6019909909909904</c:v>
                      </c:pt>
                      <c:pt idx="26" formatCode="General">
                        <c:v>-4.4590480480480474</c:v>
                      </c:pt>
                      <c:pt idx="27" formatCode="General">
                        <c:v>-4.3161051051051045</c:v>
                      </c:pt>
                      <c:pt idx="28" formatCode="General">
                        <c:v>-4.1731621621621615</c:v>
                      </c:pt>
                      <c:pt idx="29" formatCode="General">
                        <c:v>-4.1562215568862273</c:v>
                      </c:pt>
                      <c:pt idx="30" formatCode="General">
                        <c:v>-4.1758622754491022</c:v>
                      </c:pt>
                      <c:pt idx="31" formatCode="General">
                        <c:v>-4.1955029940119761</c:v>
                      </c:pt>
                      <c:pt idx="32" formatCode="General">
                        <c:v>-4.2151437125748501</c:v>
                      </c:pt>
                      <c:pt idx="33" formatCode="General">
                        <c:v>-4.2348562874251492</c:v>
                      </c:pt>
                      <c:pt idx="34" formatCode="General">
                        <c:v>-4.2546167664670653</c:v>
                      </c:pt>
                      <c:pt idx="35" formatCode="General">
                        <c:v>-4.2743772455089815</c:v>
                      </c:pt>
                      <c:pt idx="36" formatCode="General">
                        <c:v>-4.2941377245508976</c:v>
                      </c:pt>
                      <c:pt idx="37" formatCode="General">
                        <c:v>-4.3138982035928146</c:v>
                      </c:pt>
                      <c:pt idx="38" formatCode="General">
                        <c:v>-4.3336586826347308</c:v>
                      </c:pt>
                      <c:pt idx="39" formatCode="General">
                        <c:v>-4.3534191616766469</c:v>
                      </c:pt>
                      <c:pt idx="40" formatCode="General">
                        <c:v>-4.373179640718563</c:v>
                      </c:pt>
                      <c:pt idx="41" formatCode="General">
                        <c:v>-4.3929401197604792</c:v>
                      </c:pt>
                      <c:pt idx="42" formatCode="General">
                        <c:v>-4.4127005988023953</c:v>
                      </c:pt>
                      <c:pt idx="43" formatCode="General">
                        <c:v>-4.4324610778443114</c:v>
                      </c:pt>
                      <c:pt idx="44" formatCode="General">
                        <c:v>-4.4522215568862276</c:v>
                      </c:pt>
                      <c:pt idx="45" formatCode="General">
                        <c:v>-4.4719820359281437</c:v>
                      </c:pt>
                      <c:pt idx="46" formatCode="General">
                        <c:v>-4.4917425149700598</c:v>
                      </c:pt>
                      <c:pt idx="47" formatCode="General">
                        <c:v>-4.511502994011976</c:v>
                      </c:pt>
                      <c:pt idx="48" formatCode="General">
                        <c:v>-4.5312634730538921</c:v>
                      </c:pt>
                      <c:pt idx="49" formatCode="General">
                        <c:v>-4.5510239520958082</c:v>
                      </c:pt>
                      <c:pt idx="50" formatCode="General">
                        <c:v>-4.5702584269662925</c:v>
                      </c:pt>
                      <c:pt idx="51" formatCode="General">
                        <c:v>-4.5894344569288394</c:v>
                      </c:pt>
                      <c:pt idx="52" formatCode="General">
                        <c:v>-4.6086104868913855</c:v>
                      </c:pt>
                      <c:pt idx="53" formatCode="General">
                        <c:v>-4.6277865168539325</c:v>
                      </c:pt>
                      <c:pt idx="54" formatCode="General">
                        <c:v>-4.6469625468164795</c:v>
                      </c:pt>
                      <c:pt idx="55" formatCode="General">
                        <c:v>-4.6661385767790264</c:v>
                      </c:pt>
                      <c:pt idx="56" formatCode="General">
                        <c:v>-4.6853146067415734</c:v>
                      </c:pt>
                      <c:pt idx="57" formatCode="General">
                        <c:v>-4.7044906367041204</c:v>
                      </c:pt>
                      <c:pt idx="58" formatCode="General">
                        <c:v>-4.7236666666666665</c:v>
                      </c:pt>
                      <c:pt idx="59" formatCode="General">
                        <c:v>-4.7428426966292134</c:v>
                      </c:pt>
                      <c:pt idx="60" formatCode="General">
                        <c:v>-4.7620187265917604</c:v>
                      </c:pt>
                      <c:pt idx="61" formatCode="General">
                        <c:v>-4.7811947565543074</c:v>
                      </c:pt>
                      <c:pt idx="62" formatCode="General">
                        <c:v>-4.8003707865168543</c:v>
                      </c:pt>
                      <c:pt idx="63" formatCode="General">
                        <c:v>-4.8195468164794013</c:v>
                      </c:pt>
                      <c:pt idx="64" formatCode="General">
                        <c:v>-4.8387228464419483</c:v>
                      </c:pt>
                      <c:pt idx="65" formatCode="General">
                        <c:v>-4.8578988764044944</c:v>
                      </c:pt>
                      <c:pt idx="66" formatCode="General">
                        <c:v>-4.8768456928838955</c:v>
                      </c:pt>
                      <c:pt idx="67" formatCode="General">
                        <c:v>-4.8949430711610491</c:v>
                      </c:pt>
                      <c:pt idx="68" formatCode="General">
                        <c:v>-4.9130404494382027</c:v>
                      </c:pt>
                      <c:pt idx="69" formatCode="General">
                        <c:v>-4.9311378277153564</c:v>
                      </c:pt>
                      <c:pt idx="70" formatCode="General">
                        <c:v>-4.94923520599251</c:v>
                      </c:pt>
                      <c:pt idx="71" formatCode="General">
                        <c:v>-4.9673325842696627</c:v>
                      </c:pt>
                      <c:pt idx="72" formatCode="General">
                        <c:v>-4.9854299625468164</c:v>
                      </c:pt>
                      <c:pt idx="73" formatCode="General">
                        <c:v>-5.00352734082397</c:v>
                      </c:pt>
                      <c:pt idx="74" formatCode="General">
                        <c:v>-5.0216247191011236</c:v>
                      </c:pt>
                      <c:pt idx="75" formatCode="General">
                        <c:v>-5.0397220973782773</c:v>
                      </c:pt>
                      <c:pt idx="76" formatCode="General">
                        <c:v>-5.0578194756554309</c:v>
                      </c:pt>
                      <c:pt idx="77" formatCode="General">
                        <c:v>-5.0759168539325845</c:v>
                      </c:pt>
                      <c:pt idx="78" formatCode="General">
                        <c:v>-5.0940142322097381</c:v>
                      </c:pt>
                      <c:pt idx="79" formatCode="General">
                        <c:v>-5.1121116104868918</c:v>
                      </c:pt>
                      <c:pt idx="80" formatCode="General">
                        <c:v>-5.1302089887640445</c:v>
                      </c:pt>
                      <c:pt idx="81" formatCode="General">
                        <c:v>-5.1483063670411982</c:v>
                      </c:pt>
                      <c:pt idx="82" formatCode="General">
                        <c:v>-5.1664037453183518</c:v>
                      </c:pt>
                      <c:pt idx="83" formatCode="General">
                        <c:v>-5.1840538922155686</c:v>
                      </c:pt>
                      <c:pt idx="84" formatCode="General">
                        <c:v>-5.2012994011976046</c:v>
                      </c:pt>
                      <c:pt idx="85" formatCode="General">
                        <c:v>-5.2185449101796406</c:v>
                      </c:pt>
                      <c:pt idx="86" formatCode="General">
                        <c:v>-5.2357904191616766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5-60C8-4A98-A947-234019680B74}"/>
                  </c:ext>
                </c:extLst>
              </c15:ser>
            </c15:filteredScatterSeries>
            <c15:filteredScatterSeries>
              <c15:ser>
                <c:idx val="1"/>
                <c:order val="3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306</c:v>
                      </c:pt>
                      <c:pt idx="1">
                        <c:v>314</c:v>
                      </c:pt>
                      <c:pt idx="2">
                        <c:v>322</c:v>
                      </c:pt>
                      <c:pt idx="3">
                        <c:v>330</c:v>
                      </c:pt>
                      <c:pt idx="4">
                        <c:v>338</c:v>
                      </c:pt>
                      <c:pt idx="5">
                        <c:v>346</c:v>
                      </c:pt>
                      <c:pt idx="6">
                        <c:v>354</c:v>
                      </c:pt>
                      <c:pt idx="7">
                        <c:v>362</c:v>
                      </c:pt>
                      <c:pt idx="8">
                        <c:v>370</c:v>
                      </c:pt>
                      <c:pt idx="9">
                        <c:v>378</c:v>
                      </c:pt>
                      <c:pt idx="10">
                        <c:v>386</c:v>
                      </c:pt>
                      <c:pt idx="11">
                        <c:v>394</c:v>
                      </c:pt>
                      <c:pt idx="12">
                        <c:v>402</c:v>
                      </c:pt>
                      <c:pt idx="13">
                        <c:v>410</c:v>
                      </c:pt>
                      <c:pt idx="14">
                        <c:v>418</c:v>
                      </c:pt>
                      <c:pt idx="15">
                        <c:v>426</c:v>
                      </c:pt>
                      <c:pt idx="16">
                        <c:v>434</c:v>
                      </c:pt>
                      <c:pt idx="17">
                        <c:v>442</c:v>
                      </c:pt>
                      <c:pt idx="18">
                        <c:v>450</c:v>
                      </c:pt>
                      <c:pt idx="19">
                        <c:v>458</c:v>
                      </c:pt>
                      <c:pt idx="20">
                        <c:v>466</c:v>
                      </c:pt>
                      <c:pt idx="21">
                        <c:v>474</c:v>
                      </c:pt>
                      <c:pt idx="22">
                        <c:v>482</c:v>
                      </c:pt>
                      <c:pt idx="23">
                        <c:v>490</c:v>
                      </c:pt>
                      <c:pt idx="24">
                        <c:v>498</c:v>
                      </c:pt>
                      <c:pt idx="25">
                        <c:v>506</c:v>
                      </c:pt>
                      <c:pt idx="26">
                        <c:v>514</c:v>
                      </c:pt>
                      <c:pt idx="27">
                        <c:v>522</c:v>
                      </c:pt>
                      <c:pt idx="28">
                        <c:v>530</c:v>
                      </c:pt>
                      <c:pt idx="29">
                        <c:v>538</c:v>
                      </c:pt>
                      <c:pt idx="30">
                        <c:v>546</c:v>
                      </c:pt>
                      <c:pt idx="31">
                        <c:v>554</c:v>
                      </c:pt>
                      <c:pt idx="32">
                        <c:v>562</c:v>
                      </c:pt>
                      <c:pt idx="33">
                        <c:v>570</c:v>
                      </c:pt>
                      <c:pt idx="34">
                        <c:v>578</c:v>
                      </c:pt>
                      <c:pt idx="35">
                        <c:v>586</c:v>
                      </c:pt>
                      <c:pt idx="36">
                        <c:v>594</c:v>
                      </c:pt>
                      <c:pt idx="37">
                        <c:v>602</c:v>
                      </c:pt>
                      <c:pt idx="38">
                        <c:v>610</c:v>
                      </c:pt>
                      <c:pt idx="39">
                        <c:v>618</c:v>
                      </c:pt>
                      <c:pt idx="40">
                        <c:v>626</c:v>
                      </c:pt>
                      <c:pt idx="41">
                        <c:v>634</c:v>
                      </c:pt>
                      <c:pt idx="42">
                        <c:v>642</c:v>
                      </c:pt>
                      <c:pt idx="43">
                        <c:v>650</c:v>
                      </c:pt>
                      <c:pt idx="44">
                        <c:v>658</c:v>
                      </c:pt>
                      <c:pt idx="45">
                        <c:v>666</c:v>
                      </c:pt>
                      <c:pt idx="46">
                        <c:v>674</c:v>
                      </c:pt>
                      <c:pt idx="47">
                        <c:v>682</c:v>
                      </c:pt>
                      <c:pt idx="48">
                        <c:v>690</c:v>
                      </c:pt>
                      <c:pt idx="49">
                        <c:v>698</c:v>
                      </c:pt>
                      <c:pt idx="50">
                        <c:v>706</c:v>
                      </c:pt>
                      <c:pt idx="51">
                        <c:v>714</c:v>
                      </c:pt>
                      <c:pt idx="52">
                        <c:v>722</c:v>
                      </c:pt>
                      <c:pt idx="53">
                        <c:v>730</c:v>
                      </c:pt>
                      <c:pt idx="54">
                        <c:v>738</c:v>
                      </c:pt>
                      <c:pt idx="55">
                        <c:v>746</c:v>
                      </c:pt>
                      <c:pt idx="56">
                        <c:v>754</c:v>
                      </c:pt>
                      <c:pt idx="57">
                        <c:v>762</c:v>
                      </c:pt>
                      <c:pt idx="58">
                        <c:v>770</c:v>
                      </c:pt>
                      <c:pt idx="59">
                        <c:v>778</c:v>
                      </c:pt>
                      <c:pt idx="60">
                        <c:v>786</c:v>
                      </c:pt>
                      <c:pt idx="61">
                        <c:v>794</c:v>
                      </c:pt>
                      <c:pt idx="62">
                        <c:v>802</c:v>
                      </c:pt>
                      <c:pt idx="63">
                        <c:v>810</c:v>
                      </c:pt>
                      <c:pt idx="64">
                        <c:v>818</c:v>
                      </c:pt>
                      <c:pt idx="65">
                        <c:v>826</c:v>
                      </c:pt>
                      <c:pt idx="66">
                        <c:v>834</c:v>
                      </c:pt>
                      <c:pt idx="67">
                        <c:v>842</c:v>
                      </c:pt>
                      <c:pt idx="68">
                        <c:v>850</c:v>
                      </c:pt>
                      <c:pt idx="69">
                        <c:v>858</c:v>
                      </c:pt>
                      <c:pt idx="70">
                        <c:v>866</c:v>
                      </c:pt>
                      <c:pt idx="71">
                        <c:v>874</c:v>
                      </c:pt>
                      <c:pt idx="72">
                        <c:v>882</c:v>
                      </c:pt>
                      <c:pt idx="73">
                        <c:v>890</c:v>
                      </c:pt>
                      <c:pt idx="74">
                        <c:v>898</c:v>
                      </c:pt>
                      <c:pt idx="75">
                        <c:v>906</c:v>
                      </c:pt>
                      <c:pt idx="76">
                        <c:v>914</c:v>
                      </c:pt>
                      <c:pt idx="77">
                        <c:v>922</c:v>
                      </c:pt>
                      <c:pt idx="78">
                        <c:v>930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EVALUATION!$B$104:$CP$104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-59.678288288288286</c:v>
                      </c:pt>
                      <c:pt idx="1">
                        <c:v>-58.332942942942942</c:v>
                      </c:pt>
                      <c:pt idx="2">
                        <c:v>-56.987597597597599</c:v>
                      </c:pt>
                      <c:pt idx="3">
                        <c:v>-55.642252252252256</c:v>
                      </c:pt>
                      <c:pt idx="4" formatCode="General">
                        <c:v>-54.130868263473054</c:v>
                      </c:pt>
                      <c:pt idx="5" formatCode="General">
                        <c:v>-52.581167664670659</c:v>
                      </c:pt>
                      <c:pt idx="6" formatCode="General">
                        <c:v>-51.031467065868263</c:v>
                      </c:pt>
                      <c:pt idx="7" formatCode="General">
                        <c:v>-49.481766467065867</c:v>
                      </c:pt>
                      <c:pt idx="8" formatCode="General">
                        <c:v>-47.964131736526944</c:v>
                      </c:pt>
                      <c:pt idx="9" formatCode="General">
                        <c:v>-46.464730538922154</c:v>
                      </c:pt>
                      <c:pt idx="10" formatCode="General">
                        <c:v>-44.965329341317364</c:v>
                      </c:pt>
                      <c:pt idx="11" formatCode="General">
                        <c:v>-43.465928143712574</c:v>
                      </c:pt>
                      <c:pt idx="12" formatCode="General">
                        <c:v>-42.064011976047901</c:v>
                      </c:pt>
                      <c:pt idx="13" formatCode="General">
                        <c:v>-40.775389221556885</c:v>
                      </c:pt>
                      <c:pt idx="14" formatCode="General">
                        <c:v>-39.48676646706587</c:v>
                      </c:pt>
                      <c:pt idx="15" formatCode="General">
                        <c:v>-38.198143712574847</c:v>
                      </c:pt>
                      <c:pt idx="16" formatCode="General">
                        <c:v>-36.957724550898206</c:v>
                      </c:pt>
                      <c:pt idx="17" formatCode="General">
                        <c:v>-35.836766467065871</c:v>
                      </c:pt>
                      <c:pt idx="18" formatCode="General">
                        <c:v>-34.715808383233536</c:v>
                      </c:pt>
                      <c:pt idx="19" formatCode="General">
                        <c:v>-33.594850299401202</c:v>
                      </c:pt>
                      <c:pt idx="20" formatCode="General">
                        <c:v>-32.488982035928146</c:v>
                      </c:pt>
                      <c:pt idx="21" formatCode="General">
                        <c:v>-31.502155688622757</c:v>
                      </c:pt>
                      <c:pt idx="22" formatCode="General">
                        <c:v>-30.515329341317369</c:v>
                      </c:pt>
                      <c:pt idx="23" formatCode="General">
                        <c:v>-29.528502994011976</c:v>
                      </c:pt>
                      <c:pt idx="24" formatCode="General">
                        <c:v>-28.541676646706588</c:v>
                      </c:pt>
                      <c:pt idx="25" formatCode="General">
                        <c:v>-27.788558558558559</c:v>
                      </c:pt>
                      <c:pt idx="26" formatCode="General">
                        <c:v>-27.051021021021018</c:v>
                      </c:pt>
                      <c:pt idx="27" formatCode="General">
                        <c:v>-26.313483483483481</c:v>
                      </c:pt>
                      <c:pt idx="28" formatCode="General">
                        <c:v>-25.575945945945943</c:v>
                      </c:pt>
                      <c:pt idx="29" formatCode="General">
                        <c:v>-25.655029940119761</c:v>
                      </c:pt>
                      <c:pt idx="30" formatCode="General">
                        <c:v>-25.971197604790419</c:v>
                      </c:pt>
                      <c:pt idx="31" formatCode="General">
                        <c:v>-26.287365269461077</c:v>
                      </c:pt>
                      <c:pt idx="32" formatCode="General">
                        <c:v>-26.603532934131735</c:v>
                      </c:pt>
                      <c:pt idx="33" formatCode="General">
                        <c:v>-26.911437125748503</c:v>
                      </c:pt>
                      <c:pt idx="34" formatCode="General">
                        <c:v>-27.213832335329339</c:v>
                      </c:pt>
                      <c:pt idx="35" formatCode="General">
                        <c:v>-27.51622754491018</c:v>
                      </c:pt>
                      <c:pt idx="36" formatCode="General">
                        <c:v>-27.818622754491017</c:v>
                      </c:pt>
                      <c:pt idx="37" formatCode="General">
                        <c:v>-28.121017964071857</c:v>
                      </c:pt>
                      <c:pt idx="38" formatCode="General">
                        <c:v>-28.423413173652694</c:v>
                      </c:pt>
                      <c:pt idx="39" formatCode="General">
                        <c:v>-28.725808383233534</c:v>
                      </c:pt>
                      <c:pt idx="40" formatCode="General">
                        <c:v>-29.028203592814371</c:v>
                      </c:pt>
                      <c:pt idx="41" formatCode="General">
                        <c:v>-29.330598802395212</c:v>
                      </c:pt>
                      <c:pt idx="42" formatCode="General">
                        <c:v>-29.632994011976049</c:v>
                      </c:pt>
                      <c:pt idx="43" formatCode="General">
                        <c:v>-29.935389221556889</c:v>
                      </c:pt>
                      <c:pt idx="44" formatCode="General">
                        <c:v>-30.237784431137726</c:v>
                      </c:pt>
                      <c:pt idx="45" formatCode="General">
                        <c:v>-30.540179640718566</c:v>
                      </c:pt>
                      <c:pt idx="46" formatCode="General">
                        <c:v>-30.842574850299403</c:v>
                      </c:pt>
                      <c:pt idx="47" formatCode="General">
                        <c:v>-31.144970059880244</c:v>
                      </c:pt>
                      <c:pt idx="48" formatCode="General">
                        <c:v>-31.447365269461081</c:v>
                      </c:pt>
                      <c:pt idx="49" formatCode="General">
                        <c:v>-31.749760479041917</c:v>
                      </c:pt>
                      <c:pt idx="50" formatCode="General">
                        <c:v>-32.022696629213485</c:v>
                      </c:pt>
                      <c:pt idx="51" formatCode="General">
                        <c:v>-32.292359550561798</c:v>
                      </c:pt>
                      <c:pt idx="52" formatCode="General">
                        <c:v>-32.562022471910112</c:v>
                      </c:pt>
                      <c:pt idx="53" formatCode="General">
                        <c:v>-32.831685393258432</c:v>
                      </c:pt>
                      <c:pt idx="54" formatCode="General">
                        <c:v>-33.101348314606746</c:v>
                      </c:pt>
                      <c:pt idx="55" formatCode="General">
                        <c:v>-33.371011235955059</c:v>
                      </c:pt>
                      <c:pt idx="56" formatCode="General">
                        <c:v>-33.640674157303373</c:v>
                      </c:pt>
                      <c:pt idx="57" formatCode="General">
                        <c:v>-33.910337078651686</c:v>
                      </c:pt>
                      <c:pt idx="58" formatCode="General">
                        <c:v>-34.18</c:v>
                      </c:pt>
                      <c:pt idx="59" formatCode="General">
                        <c:v>-34.44966292134832</c:v>
                      </c:pt>
                      <c:pt idx="60" formatCode="General">
                        <c:v>-34.719325842696634</c:v>
                      </c:pt>
                      <c:pt idx="61" formatCode="General">
                        <c:v>-34.988988764044947</c:v>
                      </c:pt>
                      <c:pt idx="62" formatCode="General">
                        <c:v>-35.258651685393261</c:v>
                      </c:pt>
                      <c:pt idx="63" formatCode="General">
                        <c:v>-35.528314606741574</c:v>
                      </c:pt>
                      <c:pt idx="64" formatCode="General">
                        <c:v>-35.797977528089888</c:v>
                      </c:pt>
                      <c:pt idx="65" formatCode="General">
                        <c:v>-36.067640449438201</c:v>
                      </c:pt>
                      <c:pt idx="66" formatCode="General">
                        <c:v>-36.328007490636708</c:v>
                      </c:pt>
                      <c:pt idx="67" formatCode="General">
                        <c:v>-36.553925093632962</c:v>
                      </c:pt>
                      <c:pt idx="68" formatCode="General">
                        <c:v>-36.779842696629217</c:v>
                      </c:pt>
                      <c:pt idx="69" formatCode="General">
                        <c:v>-37.005760299625472</c:v>
                      </c:pt>
                      <c:pt idx="70" formatCode="General">
                        <c:v>-37.231677902621726</c:v>
                      </c:pt>
                      <c:pt idx="71" formatCode="General">
                        <c:v>-37.457595505617981</c:v>
                      </c:pt>
                      <c:pt idx="72" formatCode="General">
                        <c:v>-37.683513108614235</c:v>
                      </c:pt>
                      <c:pt idx="73" formatCode="General">
                        <c:v>-37.90943071161049</c:v>
                      </c:pt>
                      <c:pt idx="74" formatCode="General">
                        <c:v>-38.135348314606745</c:v>
                      </c:pt>
                      <c:pt idx="75" formatCode="General">
                        <c:v>-38.361265917602999</c:v>
                      </c:pt>
                      <c:pt idx="76" formatCode="General">
                        <c:v>-38.587183520599254</c:v>
                      </c:pt>
                      <c:pt idx="77" formatCode="General">
                        <c:v>-38.813101123595509</c:v>
                      </c:pt>
                      <c:pt idx="78" formatCode="General">
                        <c:v>-39.039018726591763</c:v>
                      </c:pt>
                      <c:pt idx="79" formatCode="General">
                        <c:v>-39.264936329588011</c:v>
                      </c:pt>
                      <c:pt idx="80" formatCode="General">
                        <c:v>-39.490853932584265</c:v>
                      </c:pt>
                      <c:pt idx="81" formatCode="General">
                        <c:v>-39.71677153558052</c:v>
                      </c:pt>
                      <c:pt idx="82" formatCode="General">
                        <c:v>-39.942689138576775</c:v>
                      </c:pt>
                      <c:pt idx="83" formatCode="General">
                        <c:v>-40.151856287425147</c:v>
                      </c:pt>
                      <c:pt idx="84" formatCode="General">
                        <c:v>-40.345868263473051</c:v>
                      </c:pt>
                      <c:pt idx="85" formatCode="General">
                        <c:v>-40.539880239520954</c:v>
                      </c:pt>
                      <c:pt idx="86" formatCode="General">
                        <c:v>-40.733892215568858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6-60C8-4A98-A947-234019680B74}"/>
                  </c:ext>
                </c:extLst>
              </c15:ser>
            </c15:filteredScatterSeries>
            <c15:filteredScatterSeries>
              <c15:ser>
                <c:idx val="2"/>
                <c:order val="4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306</c:v>
                      </c:pt>
                      <c:pt idx="1">
                        <c:v>314</c:v>
                      </c:pt>
                      <c:pt idx="2">
                        <c:v>322</c:v>
                      </c:pt>
                      <c:pt idx="3">
                        <c:v>330</c:v>
                      </c:pt>
                      <c:pt idx="4">
                        <c:v>338</c:v>
                      </c:pt>
                      <c:pt idx="5">
                        <c:v>346</c:v>
                      </c:pt>
                      <c:pt idx="6">
                        <c:v>354</c:v>
                      </c:pt>
                      <c:pt idx="7">
                        <c:v>362</c:v>
                      </c:pt>
                      <c:pt idx="8">
                        <c:v>370</c:v>
                      </c:pt>
                      <c:pt idx="9">
                        <c:v>378</c:v>
                      </c:pt>
                      <c:pt idx="10">
                        <c:v>386</c:v>
                      </c:pt>
                      <c:pt idx="11">
                        <c:v>394</c:v>
                      </c:pt>
                      <c:pt idx="12">
                        <c:v>402</c:v>
                      </c:pt>
                      <c:pt idx="13">
                        <c:v>410</c:v>
                      </c:pt>
                      <c:pt idx="14">
                        <c:v>418</c:v>
                      </c:pt>
                      <c:pt idx="15">
                        <c:v>426</c:v>
                      </c:pt>
                      <c:pt idx="16">
                        <c:v>434</c:v>
                      </c:pt>
                      <c:pt idx="17">
                        <c:v>442</c:v>
                      </c:pt>
                      <c:pt idx="18">
                        <c:v>450</c:v>
                      </c:pt>
                      <c:pt idx="19">
                        <c:v>458</c:v>
                      </c:pt>
                      <c:pt idx="20">
                        <c:v>466</c:v>
                      </c:pt>
                      <c:pt idx="21">
                        <c:v>474</c:v>
                      </c:pt>
                      <c:pt idx="22">
                        <c:v>482</c:v>
                      </c:pt>
                      <c:pt idx="23">
                        <c:v>490</c:v>
                      </c:pt>
                      <c:pt idx="24">
                        <c:v>498</c:v>
                      </c:pt>
                      <c:pt idx="25">
                        <c:v>506</c:v>
                      </c:pt>
                      <c:pt idx="26">
                        <c:v>514</c:v>
                      </c:pt>
                      <c:pt idx="27">
                        <c:v>522</c:v>
                      </c:pt>
                      <c:pt idx="28">
                        <c:v>530</c:v>
                      </c:pt>
                      <c:pt idx="29">
                        <c:v>538</c:v>
                      </c:pt>
                      <c:pt idx="30">
                        <c:v>546</c:v>
                      </c:pt>
                      <c:pt idx="31">
                        <c:v>554</c:v>
                      </c:pt>
                      <c:pt idx="32">
                        <c:v>562</c:v>
                      </c:pt>
                      <c:pt idx="33">
                        <c:v>570</c:v>
                      </c:pt>
                      <c:pt idx="34">
                        <c:v>578</c:v>
                      </c:pt>
                      <c:pt idx="35">
                        <c:v>586</c:v>
                      </c:pt>
                      <c:pt idx="36">
                        <c:v>594</c:v>
                      </c:pt>
                      <c:pt idx="37">
                        <c:v>602</c:v>
                      </c:pt>
                      <c:pt idx="38">
                        <c:v>610</c:v>
                      </c:pt>
                      <c:pt idx="39">
                        <c:v>618</c:v>
                      </c:pt>
                      <c:pt idx="40">
                        <c:v>626</c:v>
                      </c:pt>
                      <c:pt idx="41">
                        <c:v>634</c:v>
                      </c:pt>
                      <c:pt idx="42">
                        <c:v>642</c:v>
                      </c:pt>
                      <c:pt idx="43">
                        <c:v>650</c:v>
                      </c:pt>
                      <c:pt idx="44">
                        <c:v>658</c:v>
                      </c:pt>
                      <c:pt idx="45">
                        <c:v>666</c:v>
                      </c:pt>
                      <c:pt idx="46">
                        <c:v>674</c:v>
                      </c:pt>
                      <c:pt idx="47">
                        <c:v>682</c:v>
                      </c:pt>
                      <c:pt idx="48">
                        <c:v>690</c:v>
                      </c:pt>
                      <c:pt idx="49">
                        <c:v>698</c:v>
                      </c:pt>
                      <c:pt idx="50">
                        <c:v>706</c:v>
                      </c:pt>
                      <c:pt idx="51">
                        <c:v>714</c:v>
                      </c:pt>
                      <c:pt idx="52">
                        <c:v>722</c:v>
                      </c:pt>
                      <c:pt idx="53">
                        <c:v>730</c:v>
                      </c:pt>
                      <c:pt idx="54">
                        <c:v>738</c:v>
                      </c:pt>
                      <c:pt idx="55">
                        <c:v>746</c:v>
                      </c:pt>
                      <c:pt idx="56">
                        <c:v>754</c:v>
                      </c:pt>
                      <c:pt idx="57">
                        <c:v>762</c:v>
                      </c:pt>
                      <c:pt idx="58">
                        <c:v>770</c:v>
                      </c:pt>
                      <c:pt idx="59">
                        <c:v>778</c:v>
                      </c:pt>
                      <c:pt idx="60">
                        <c:v>786</c:v>
                      </c:pt>
                      <c:pt idx="61">
                        <c:v>794</c:v>
                      </c:pt>
                      <c:pt idx="62">
                        <c:v>802</c:v>
                      </c:pt>
                      <c:pt idx="63">
                        <c:v>810</c:v>
                      </c:pt>
                      <c:pt idx="64">
                        <c:v>818</c:v>
                      </c:pt>
                      <c:pt idx="65">
                        <c:v>826</c:v>
                      </c:pt>
                      <c:pt idx="66">
                        <c:v>834</c:v>
                      </c:pt>
                      <c:pt idx="67">
                        <c:v>842</c:v>
                      </c:pt>
                      <c:pt idx="68">
                        <c:v>850</c:v>
                      </c:pt>
                      <c:pt idx="69">
                        <c:v>858</c:v>
                      </c:pt>
                      <c:pt idx="70">
                        <c:v>866</c:v>
                      </c:pt>
                      <c:pt idx="71">
                        <c:v>874</c:v>
                      </c:pt>
                      <c:pt idx="72">
                        <c:v>882</c:v>
                      </c:pt>
                      <c:pt idx="73">
                        <c:v>890</c:v>
                      </c:pt>
                      <c:pt idx="74">
                        <c:v>898</c:v>
                      </c:pt>
                      <c:pt idx="75">
                        <c:v>906</c:v>
                      </c:pt>
                      <c:pt idx="76">
                        <c:v>914</c:v>
                      </c:pt>
                      <c:pt idx="77">
                        <c:v>922</c:v>
                      </c:pt>
                      <c:pt idx="78">
                        <c:v>930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EVALUATION!$B$105:$CP$105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-15.118108108108107</c:v>
                      </c:pt>
                      <c:pt idx="1">
                        <c:v>-14.88027027027027</c:v>
                      </c:pt>
                      <c:pt idx="2">
                        <c:v>-14.642432432432432</c:v>
                      </c:pt>
                      <c:pt idx="3">
                        <c:v>-14.404594594594593</c:v>
                      </c:pt>
                      <c:pt idx="4" formatCode="General">
                        <c:v>-13.959101796407184</c:v>
                      </c:pt>
                      <c:pt idx="5" formatCode="General">
                        <c:v>-13.46568862275449</c:v>
                      </c:pt>
                      <c:pt idx="6" formatCode="General">
                        <c:v>-12.972275449101796</c:v>
                      </c:pt>
                      <c:pt idx="7" formatCode="General">
                        <c:v>-12.478862275449101</c:v>
                      </c:pt>
                      <c:pt idx="8" formatCode="General">
                        <c:v>-11.950329341317365</c:v>
                      </c:pt>
                      <c:pt idx="9" formatCode="General">
                        <c:v>-11.40182634730539</c:v>
                      </c:pt>
                      <c:pt idx="10" formatCode="General">
                        <c:v>-10.853323353293414</c:v>
                      </c:pt>
                      <c:pt idx="11" formatCode="General">
                        <c:v>-10.304820359281438</c:v>
                      </c:pt>
                      <c:pt idx="12" formatCode="General">
                        <c:v>-9.7896616766467073</c:v>
                      </c:pt>
                      <c:pt idx="13" formatCode="General">
                        <c:v>-9.3132544910179647</c:v>
                      </c:pt>
                      <c:pt idx="14" formatCode="General">
                        <c:v>-8.836847305389222</c:v>
                      </c:pt>
                      <c:pt idx="15" formatCode="General">
                        <c:v>-8.3604401197604794</c:v>
                      </c:pt>
                      <c:pt idx="16" formatCode="General">
                        <c:v>-7.9011107784431145</c:v>
                      </c:pt>
                      <c:pt idx="17" formatCode="General">
                        <c:v>-7.4841047904191624</c:v>
                      </c:pt>
                      <c:pt idx="18" formatCode="General">
                        <c:v>-7.0670988023952104</c:v>
                      </c:pt>
                      <c:pt idx="19" formatCode="General">
                        <c:v>-6.6500928143712592</c:v>
                      </c:pt>
                      <c:pt idx="20" formatCode="General">
                        <c:v>-6.2383952095808395</c:v>
                      </c:pt>
                      <c:pt idx="21" formatCode="General">
                        <c:v>-5.8685748502994022</c:v>
                      </c:pt>
                      <c:pt idx="22" formatCode="General">
                        <c:v>-5.4987544910179649</c:v>
                      </c:pt>
                      <c:pt idx="23" formatCode="General">
                        <c:v>-5.1289341317365267</c:v>
                      </c:pt>
                      <c:pt idx="24" formatCode="General">
                        <c:v>-4.7591137724550894</c:v>
                      </c:pt>
                      <c:pt idx="25" formatCode="General">
                        <c:v>-4.6019909909909904</c:v>
                      </c:pt>
                      <c:pt idx="26" formatCode="General">
                        <c:v>-4.4590480480480474</c:v>
                      </c:pt>
                      <c:pt idx="27" formatCode="General">
                        <c:v>-4.3161051051051045</c:v>
                      </c:pt>
                      <c:pt idx="28" formatCode="General">
                        <c:v>-4.1731621621621615</c:v>
                      </c:pt>
                      <c:pt idx="29" formatCode="General">
                        <c:v>-4.1562215568862273</c:v>
                      </c:pt>
                      <c:pt idx="30" formatCode="General">
                        <c:v>-4.1758622754491022</c:v>
                      </c:pt>
                      <c:pt idx="31" formatCode="General">
                        <c:v>-4.1955029940119761</c:v>
                      </c:pt>
                      <c:pt idx="32" formatCode="General">
                        <c:v>-4.2151437125748501</c:v>
                      </c:pt>
                      <c:pt idx="33" formatCode="General">
                        <c:v>-4.2348562874251492</c:v>
                      </c:pt>
                      <c:pt idx="34" formatCode="General">
                        <c:v>-4.2546167664670653</c:v>
                      </c:pt>
                      <c:pt idx="35" formatCode="General">
                        <c:v>-4.2743772455089815</c:v>
                      </c:pt>
                      <c:pt idx="36" formatCode="General">
                        <c:v>-4.2941377245508976</c:v>
                      </c:pt>
                      <c:pt idx="37" formatCode="General">
                        <c:v>-4.3138982035928146</c:v>
                      </c:pt>
                      <c:pt idx="38" formatCode="General">
                        <c:v>-4.3336586826347308</c:v>
                      </c:pt>
                      <c:pt idx="39" formatCode="General">
                        <c:v>-4.3534191616766469</c:v>
                      </c:pt>
                      <c:pt idx="40" formatCode="General">
                        <c:v>-4.373179640718563</c:v>
                      </c:pt>
                      <c:pt idx="41" formatCode="General">
                        <c:v>-4.3929401197604792</c:v>
                      </c:pt>
                      <c:pt idx="42" formatCode="General">
                        <c:v>-4.4127005988023953</c:v>
                      </c:pt>
                      <c:pt idx="43" formatCode="General">
                        <c:v>-4.4324610778443114</c:v>
                      </c:pt>
                      <c:pt idx="44" formatCode="General">
                        <c:v>-4.4522215568862276</c:v>
                      </c:pt>
                      <c:pt idx="45" formatCode="General">
                        <c:v>-4.4719820359281437</c:v>
                      </c:pt>
                      <c:pt idx="46" formatCode="General">
                        <c:v>-4.4917425149700598</c:v>
                      </c:pt>
                      <c:pt idx="47" formatCode="General">
                        <c:v>-4.511502994011976</c:v>
                      </c:pt>
                      <c:pt idx="48" formatCode="General">
                        <c:v>-4.5312634730538921</c:v>
                      </c:pt>
                      <c:pt idx="49" formatCode="General">
                        <c:v>-4.5510239520958082</c:v>
                      </c:pt>
                      <c:pt idx="50" formatCode="General">
                        <c:v>-4.5702584269662925</c:v>
                      </c:pt>
                      <c:pt idx="51" formatCode="General">
                        <c:v>-4.5894344569288394</c:v>
                      </c:pt>
                      <c:pt idx="52" formatCode="General">
                        <c:v>-4.6086104868913855</c:v>
                      </c:pt>
                      <c:pt idx="53" formatCode="General">
                        <c:v>-4.6277865168539325</c:v>
                      </c:pt>
                      <c:pt idx="54" formatCode="General">
                        <c:v>-4.6469625468164795</c:v>
                      </c:pt>
                      <c:pt idx="55" formatCode="General">
                        <c:v>-4.6661385767790264</c:v>
                      </c:pt>
                      <c:pt idx="56" formatCode="General">
                        <c:v>-4.6853146067415734</c:v>
                      </c:pt>
                      <c:pt idx="57" formatCode="General">
                        <c:v>-4.7044906367041204</c:v>
                      </c:pt>
                      <c:pt idx="58" formatCode="General">
                        <c:v>-4.7236666666666665</c:v>
                      </c:pt>
                      <c:pt idx="59" formatCode="General">
                        <c:v>-4.7428426966292134</c:v>
                      </c:pt>
                      <c:pt idx="60" formatCode="General">
                        <c:v>-4.7620187265917604</c:v>
                      </c:pt>
                      <c:pt idx="61" formatCode="General">
                        <c:v>-4.7811947565543074</c:v>
                      </c:pt>
                      <c:pt idx="62" formatCode="General">
                        <c:v>-4.8003707865168543</c:v>
                      </c:pt>
                      <c:pt idx="63" formatCode="General">
                        <c:v>-4.8195468164794013</c:v>
                      </c:pt>
                      <c:pt idx="64" formatCode="General">
                        <c:v>-4.8387228464419483</c:v>
                      </c:pt>
                      <c:pt idx="65" formatCode="General">
                        <c:v>-4.8578988764044944</c:v>
                      </c:pt>
                      <c:pt idx="66" formatCode="General">
                        <c:v>-4.8768456928838955</c:v>
                      </c:pt>
                      <c:pt idx="67" formatCode="General">
                        <c:v>-4.8949430711610491</c:v>
                      </c:pt>
                      <c:pt idx="68" formatCode="General">
                        <c:v>-4.9130404494382027</c:v>
                      </c:pt>
                      <c:pt idx="69" formatCode="General">
                        <c:v>-4.9311378277153564</c:v>
                      </c:pt>
                      <c:pt idx="70" formatCode="General">
                        <c:v>-4.94923520599251</c:v>
                      </c:pt>
                      <c:pt idx="71" formatCode="General">
                        <c:v>-4.9673325842696627</c:v>
                      </c:pt>
                      <c:pt idx="72" formatCode="General">
                        <c:v>-4.9854299625468164</c:v>
                      </c:pt>
                      <c:pt idx="73" formatCode="General">
                        <c:v>-5.00352734082397</c:v>
                      </c:pt>
                      <c:pt idx="74" formatCode="General">
                        <c:v>-5.0216247191011236</c:v>
                      </c:pt>
                      <c:pt idx="75" formatCode="General">
                        <c:v>-5.0397220973782773</c:v>
                      </c:pt>
                      <c:pt idx="76" formatCode="General">
                        <c:v>-5.0578194756554309</c:v>
                      </c:pt>
                      <c:pt idx="77" formatCode="General">
                        <c:v>-5.0759168539325845</c:v>
                      </c:pt>
                      <c:pt idx="78" formatCode="General">
                        <c:v>-5.0940142322097381</c:v>
                      </c:pt>
                      <c:pt idx="79" formatCode="General">
                        <c:v>-5.1121116104868918</c:v>
                      </c:pt>
                      <c:pt idx="80" formatCode="General">
                        <c:v>-5.1302089887640445</c:v>
                      </c:pt>
                      <c:pt idx="81" formatCode="General">
                        <c:v>-5.1483063670411982</c:v>
                      </c:pt>
                      <c:pt idx="82" formatCode="General">
                        <c:v>-5.1664037453183518</c:v>
                      </c:pt>
                      <c:pt idx="83" formatCode="General">
                        <c:v>-5.1840538922155686</c:v>
                      </c:pt>
                      <c:pt idx="84" formatCode="General">
                        <c:v>-5.2012994011976046</c:v>
                      </c:pt>
                      <c:pt idx="85" formatCode="General">
                        <c:v>-5.2185449101796406</c:v>
                      </c:pt>
                      <c:pt idx="86" formatCode="General">
                        <c:v>-5.2357904191616766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60C8-4A98-A947-234019680B74}"/>
                  </c:ext>
                </c:extLst>
              </c15:ser>
            </c15:filteredScatterSeries>
            <c15:filteredScatterSeries>
              <c15:ser>
                <c:idx val="3"/>
                <c:order val="5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306</c:v>
                      </c:pt>
                      <c:pt idx="1">
                        <c:v>314</c:v>
                      </c:pt>
                      <c:pt idx="2">
                        <c:v>322</c:v>
                      </c:pt>
                      <c:pt idx="3">
                        <c:v>330</c:v>
                      </c:pt>
                      <c:pt idx="4">
                        <c:v>338</c:v>
                      </c:pt>
                      <c:pt idx="5">
                        <c:v>346</c:v>
                      </c:pt>
                      <c:pt idx="6">
                        <c:v>354</c:v>
                      </c:pt>
                      <c:pt idx="7">
                        <c:v>362</c:v>
                      </c:pt>
                      <c:pt idx="8">
                        <c:v>370</c:v>
                      </c:pt>
                      <c:pt idx="9">
                        <c:v>378</c:v>
                      </c:pt>
                      <c:pt idx="10">
                        <c:v>386</c:v>
                      </c:pt>
                      <c:pt idx="11">
                        <c:v>394</c:v>
                      </c:pt>
                      <c:pt idx="12">
                        <c:v>402</c:v>
                      </c:pt>
                      <c:pt idx="13">
                        <c:v>410</c:v>
                      </c:pt>
                      <c:pt idx="14">
                        <c:v>418</c:v>
                      </c:pt>
                      <c:pt idx="15">
                        <c:v>426</c:v>
                      </c:pt>
                      <c:pt idx="16">
                        <c:v>434</c:v>
                      </c:pt>
                      <c:pt idx="17">
                        <c:v>442</c:v>
                      </c:pt>
                      <c:pt idx="18">
                        <c:v>450</c:v>
                      </c:pt>
                      <c:pt idx="19">
                        <c:v>458</c:v>
                      </c:pt>
                      <c:pt idx="20">
                        <c:v>466</c:v>
                      </c:pt>
                      <c:pt idx="21">
                        <c:v>474</c:v>
                      </c:pt>
                      <c:pt idx="22">
                        <c:v>482</c:v>
                      </c:pt>
                      <c:pt idx="23">
                        <c:v>490</c:v>
                      </c:pt>
                      <c:pt idx="24">
                        <c:v>498</c:v>
                      </c:pt>
                      <c:pt idx="25">
                        <c:v>506</c:v>
                      </c:pt>
                      <c:pt idx="26">
                        <c:v>514</c:v>
                      </c:pt>
                      <c:pt idx="27">
                        <c:v>522</c:v>
                      </c:pt>
                      <c:pt idx="28">
                        <c:v>530</c:v>
                      </c:pt>
                      <c:pt idx="29">
                        <c:v>538</c:v>
                      </c:pt>
                      <c:pt idx="30">
                        <c:v>546</c:v>
                      </c:pt>
                      <c:pt idx="31">
                        <c:v>554</c:v>
                      </c:pt>
                      <c:pt idx="32">
                        <c:v>562</c:v>
                      </c:pt>
                      <c:pt idx="33">
                        <c:v>570</c:v>
                      </c:pt>
                      <c:pt idx="34">
                        <c:v>578</c:v>
                      </c:pt>
                      <c:pt idx="35">
                        <c:v>586</c:v>
                      </c:pt>
                      <c:pt idx="36">
                        <c:v>594</c:v>
                      </c:pt>
                      <c:pt idx="37">
                        <c:v>602</c:v>
                      </c:pt>
                      <c:pt idx="38">
                        <c:v>610</c:v>
                      </c:pt>
                      <c:pt idx="39">
                        <c:v>618</c:v>
                      </c:pt>
                      <c:pt idx="40">
                        <c:v>626</c:v>
                      </c:pt>
                      <c:pt idx="41">
                        <c:v>634</c:v>
                      </c:pt>
                      <c:pt idx="42">
                        <c:v>642</c:v>
                      </c:pt>
                      <c:pt idx="43">
                        <c:v>650</c:v>
                      </c:pt>
                      <c:pt idx="44">
                        <c:v>658</c:v>
                      </c:pt>
                      <c:pt idx="45">
                        <c:v>666</c:v>
                      </c:pt>
                      <c:pt idx="46">
                        <c:v>674</c:v>
                      </c:pt>
                      <c:pt idx="47">
                        <c:v>682</c:v>
                      </c:pt>
                      <c:pt idx="48">
                        <c:v>690</c:v>
                      </c:pt>
                      <c:pt idx="49">
                        <c:v>698</c:v>
                      </c:pt>
                      <c:pt idx="50">
                        <c:v>706</c:v>
                      </c:pt>
                      <c:pt idx="51">
                        <c:v>714</c:v>
                      </c:pt>
                      <c:pt idx="52">
                        <c:v>722</c:v>
                      </c:pt>
                      <c:pt idx="53">
                        <c:v>730</c:v>
                      </c:pt>
                      <c:pt idx="54">
                        <c:v>738</c:v>
                      </c:pt>
                      <c:pt idx="55">
                        <c:v>746</c:v>
                      </c:pt>
                      <c:pt idx="56">
                        <c:v>754</c:v>
                      </c:pt>
                      <c:pt idx="57">
                        <c:v>762</c:v>
                      </c:pt>
                      <c:pt idx="58">
                        <c:v>770</c:v>
                      </c:pt>
                      <c:pt idx="59">
                        <c:v>778</c:v>
                      </c:pt>
                      <c:pt idx="60">
                        <c:v>786</c:v>
                      </c:pt>
                      <c:pt idx="61">
                        <c:v>794</c:v>
                      </c:pt>
                      <c:pt idx="62">
                        <c:v>802</c:v>
                      </c:pt>
                      <c:pt idx="63">
                        <c:v>810</c:v>
                      </c:pt>
                      <c:pt idx="64">
                        <c:v>818</c:v>
                      </c:pt>
                      <c:pt idx="65">
                        <c:v>826</c:v>
                      </c:pt>
                      <c:pt idx="66">
                        <c:v>834</c:v>
                      </c:pt>
                      <c:pt idx="67">
                        <c:v>842</c:v>
                      </c:pt>
                      <c:pt idx="68">
                        <c:v>850</c:v>
                      </c:pt>
                      <c:pt idx="69">
                        <c:v>858</c:v>
                      </c:pt>
                      <c:pt idx="70">
                        <c:v>866</c:v>
                      </c:pt>
                      <c:pt idx="71">
                        <c:v>874</c:v>
                      </c:pt>
                      <c:pt idx="72">
                        <c:v>882</c:v>
                      </c:pt>
                      <c:pt idx="73">
                        <c:v>890</c:v>
                      </c:pt>
                      <c:pt idx="74">
                        <c:v>898</c:v>
                      </c:pt>
                      <c:pt idx="75">
                        <c:v>906</c:v>
                      </c:pt>
                      <c:pt idx="76">
                        <c:v>914</c:v>
                      </c:pt>
                      <c:pt idx="77">
                        <c:v>922</c:v>
                      </c:pt>
                      <c:pt idx="78">
                        <c:v>930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EVALUATION!$B$106:$CP$106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-21.473063063063062</c:v>
                      </c:pt>
                      <c:pt idx="1">
                        <c:v>-21.045435435435436</c:v>
                      </c:pt>
                      <c:pt idx="2">
                        <c:v>-20.617807807807807</c:v>
                      </c:pt>
                      <c:pt idx="3">
                        <c:v>-20.190180180180178</c:v>
                      </c:pt>
                      <c:pt idx="4" formatCode="General">
                        <c:v>-20.082754491017962</c:v>
                      </c:pt>
                      <c:pt idx="5" formatCode="General">
                        <c:v>-20.049221556886227</c:v>
                      </c:pt>
                      <c:pt idx="6" formatCode="General">
                        <c:v>-20.015688622754489</c:v>
                      </c:pt>
                      <c:pt idx="7" formatCode="General">
                        <c:v>-19.982155688622754</c:v>
                      </c:pt>
                      <c:pt idx="8" formatCode="General">
                        <c:v>-20.046347305389222</c:v>
                      </c:pt>
                      <c:pt idx="9" formatCode="General">
                        <c:v>-20.166107784431137</c:v>
                      </c:pt>
                      <c:pt idx="10" formatCode="General">
                        <c:v>-20.285868263473052</c:v>
                      </c:pt>
                      <c:pt idx="11" formatCode="General">
                        <c:v>-20.40562874251497</c:v>
                      </c:pt>
                      <c:pt idx="12" formatCode="General">
                        <c:v>-20.526497005988023</c:v>
                      </c:pt>
                      <c:pt idx="13" formatCode="General">
                        <c:v>-20.648652694610778</c:v>
                      </c:pt>
                      <c:pt idx="14" formatCode="General">
                        <c:v>-20.770808383233533</c:v>
                      </c:pt>
                      <c:pt idx="15" formatCode="General">
                        <c:v>-20.892964071856287</c:v>
                      </c:pt>
                      <c:pt idx="16" formatCode="General">
                        <c:v>-21.015119760479042</c:v>
                      </c:pt>
                      <c:pt idx="17" formatCode="General">
                        <c:v>-21.137275449101796</c:v>
                      </c:pt>
                      <c:pt idx="18" formatCode="General">
                        <c:v>-21.259431137724551</c:v>
                      </c:pt>
                      <c:pt idx="19" formatCode="General">
                        <c:v>-21.381586826347306</c:v>
                      </c:pt>
                      <c:pt idx="20" formatCode="General">
                        <c:v>-21.504011976047902</c:v>
                      </c:pt>
                      <c:pt idx="21" formatCode="General">
                        <c:v>-21.628562874251497</c:v>
                      </c:pt>
                      <c:pt idx="22" formatCode="General">
                        <c:v>-21.753113772455091</c:v>
                      </c:pt>
                      <c:pt idx="23" formatCode="General">
                        <c:v>-21.877664670658682</c:v>
                      </c:pt>
                      <c:pt idx="24" formatCode="General">
                        <c:v>-22.002215568862276</c:v>
                      </c:pt>
                      <c:pt idx="25" formatCode="General">
                        <c:v>-22.122612612612613</c:v>
                      </c:pt>
                      <c:pt idx="26" formatCode="General">
                        <c:v>-22.242732732732733</c:v>
                      </c:pt>
                      <c:pt idx="27" formatCode="General">
                        <c:v>-22.362852852852853</c:v>
                      </c:pt>
                      <c:pt idx="28" formatCode="General">
                        <c:v>-22.482972972972973</c:v>
                      </c:pt>
                      <c:pt idx="29" formatCode="General">
                        <c:v>-22.604670658682636</c:v>
                      </c:pt>
                      <c:pt idx="30" formatCode="General">
                        <c:v>-22.726826347305391</c:v>
                      </c:pt>
                      <c:pt idx="31" formatCode="General">
                        <c:v>-22.848982035928145</c:v>
                      </c:pt>
                      <c:pt idx="32" formatCode="General">
                        <c:v>-22.971137724550896</c:v>
                      </c:pt>
                      <c:pt idx="33" formatCode="General">
                        <c:v>-23.089700598802395</c:v>
                      </c:pt>
                      <c:pt idx="34" formatCode="General">
                        <c:v>-23.205868263473054</c:v>
                      </c:pt>
                      <c:pt idx="35" formatCode="General">
                        <c:v>-23.322035928143713</c:v>
                      </c:pt>
                      <c:pt idx="36" formatCode="General">
                        <c:v>-23.438203592814371</c:v>
                      </c:pt>
                      <c:pt idx="37" formatCode="General">
                        <c:v>-23.55437125748503</c:v>
                      </c:pt>
                      <c:pt idx="38" formatCode="General">
                        <c:v>-23.670538922155689</c:v>
                      </c:pt>
                      <c:pt idx="39" formatCode="General">
                        <c:v>-23.786706586826348</c:v>
                      </c:pt>
                      <c:pt idx="40" formatCode="General">
                        <c:v>-23.902874251497007</c:v>
                      </c:pt>
                      <c:pt idx="41" formatCode="General">
                        <c:v>-24.019041916167666</c:v>
                      </c:pt>
                      <c:pt idx="42" formatCode="General">
                        <c:v>-24.135209580838325</c:v>
                      </c:pt>
                      <c:pt idx="43" formatCode="General">
                        <c:v>-24.251377245508984</c:v>
                      </c:pt>
                      <c:pt idx="44" formatCode="General">
                        <c:v>-24.367544910179642</c:v>
                      </c:pt>
                      <c:pt idx="45" formatCode="General">
                        <c:v>-24.483712574850301</c:v>
                      </c:pt>
                      <c:pt idx="46" formatCode="General">
                        <c:v>-24.59988023952096</c:v>
                      </c:pt>
                      <c:pt idx="47" formatCode="General">
                        <c:v>-24.716047904191619</c:v>
                      </c:pt>
                      <c:pt idx="48" formatCode="General">
                        <c:v>-24.832215568862278</c:v>
                      </c:pt>
                      <c:pt idx="49" formatCode="General">
                        <c:v>-24.948383233532937</c:v>
                      </c:pt>
                      <c:pt idx="50" formatCode="General">
                        <c:v>-25.057617977528093</c:v>
                      </c:pt>
                      <c:pt idx="51" formatCode="General">
                        <c:v>-25.166082397003748</c:v>
                      </c:pt>
                      <c:pt idx="52" formatCode="General">
                        <c:v>-25.2745468164794</c:v>
                      </c:pt>
                      <c:pt idx="53" formatCode="General">
                        <c:v>-25.383011235955056</c:v>
                      </c:pt>
                      <c:pt idx="54" formatCode="General">
                        <c:v>-25.491475655430712</c:v>
                      </c:pt>
                      <c:pt idx="55" formatCode="General">
                        <c:v>-25.599940074906367</c:v>
                      </c:pt>
                      <c:pt idx="56" formatCode="General">
                        <c:v>-25.708404494382023</c:v>
                      </c:pt>
                      <c:pt idx="57" formatCode="General">
                        <c:v>-25.816868913857679</c:v>
                      </c:pt>
                      <c:pt idx="58" formatCode="General">
                        <c:v>-25.925333333333334</c:v>
                      </c:pt>
                      <c:pt idx="59" formatCode="General">
                        <c:v>-26.03379775280899</c:v>
                      </c:pt>
                      <c:pt idx="60" formatCode="General">
                        <c:v>-26.142262172284646</c:v>
                      </c:pt>
                      <c:pt idx="61" formatCode="General">
                        <c:v>-26.250726591760301</c:v>
                      </c:pt>
                      <c:pt idx="62" formatCode="General">
                        <c:v>-26.359191011235957</c:v>
                      </c:pt>
                      <c:pt idx="63" formatCode="General">
                        <c:v>-26.467655430711609</c:v>
                      </c:pt>
                      <c:pt idx="64" formatCode="General">
                        <c:v>-26.576119850187265</c:v>
                      </c:pt>
                      <c:pt idx="65" formatCode="General">
                        <c:v>-26.684584269662921</c:v>
                      </c:pt>
                      <c:pt idx="66" formatCode="General">
                        <c:v>-26.791902621722848</c:v>
                      </c:pt>
                      <c:pt idx="67" formatCode="General">
                        <c:v>-26.894973782771537</c:v>
                      </c:pt>
                      <c:pt idx="68" formatCode="General">
                        <c:v>-26.998044943820226</c:v>
                      </c:pt>
                      <c:pt idx="69" formatCode="General">
                        <c:v>-27.101116104868915</c:v>
                      </c:pt>
                      <c:pt idx="70" formatCode="General">
                        <c:v>-27.204187265917604</c:v>
                      </c:pt>
                      <c:pt idx="71" formatCode="General">
                        <c:v>-27.307258426966293</c:v>
                      </c:pt>
                      <c:pt idx="72" formatCode="General">
                        <c:v>-27.410329588014982</c:v>
                      </c:pt>
                      <c:pt idx="73" formatCode="General">
                        <c:v>-27.513400749063671</c:v>
                      </c:pt>
                      <c:pt idx="74" formatCode="General">
                        <c:v>-27.616471910112359</c:v>
                      </c:pt>
                      <c:pt idx="75" formatCode="General">
                        <c:v>-27.719543071161048</c:v>
                      </c:pt>
                      <c:pt idx="76" formatCode="General">
                        <c:v>-27.822614232209737</c:v>
                      </c:pt>
                      <c:pt idx="77" formatCode="General">
                        <c:v>-27.925685393258426</c:v>
                      </c:pt>
                      <c:pt idx="78" formatCode="General">
                        <c:v>-28.028756554307115</c:v>
                      </c:pt>
                      <c:pt idx="79" formatCode="General">
                        <c:v>-28.131827715355804</c:v>
                      </c:pt>
                      <c:pt idx="80" formatCode="General">
                        <c:v>-28.234898876404493</c:v>
                      </c:pt>
                      <c:pt idx="81" formatCode="General">
                        <c:v>-28.337970037453182</c:v>
                      </c:pt>
                      <c:pt idx="82" formatCode="General">
                        <c:v>-28.441041198501871</c:v>
                      </c:pt>
                      <c:pt idx="83" formatCode="General">
                        <c:v>-28.541556886227543</c:v>
                      </c:pt>
                      <c:pt idx="84" formatCode="General">
                        <c:v>-28.639760479041914</c:v>
                      </c:pt>
                      <c:pt idx="85" formatCode="General">
                        <c:v>-28.737964071856286</c:v>
                      </c:pt>
                      <c:pt idx="86" formatCode="General">
                        <c:v>-28.836167664670658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60C8-4A98-A947-234019680B74}"/>
                  </c:ext>
                </c:extLst>
              </c15:ser>
            </c15:filteredScatterSeries>
            <c15:filteredScatterSeries>
              <c15:ser>
                <c:idx val="4"/>
                <c:order val="6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306</c:v>
                      </c:pt>
                      <c:pt idx="1">
                        <c:v>314</c:v>
                      </c:pt>
                      <c:pt idx="2">
                        <c:v>322</c:v>
                      </c:pt>
                      <c:pt idx="3">
                        <c:v>330</c:v>
                      </c:pt>
                      <c:pt idx="4">
                        <c:v>338</c:v>
                      </c:pt>
                      <c:pt idx="5">
                        <c:v>346</c:v>
                      </c:pt>
                      <c:pt idx="6">
                        <c:v>354</c:v>
                      </c:pt>
                      <c:pt idx="7">
                        <c:v>362</c:v>
                      </c:pt>
                      <c:pt idx="8">
                        <c:v>370</c:v>
                      </c:pt>
                      <c:pt idx="9">
                        <c:v>378</c:v>
                      </c:pt>
                      <c:pt idx="10">
                        <c:v>386</c:v>
                      </c:pt>
                      <c:pt idx="11">
                        <c:v>394</c:v>
                      </c:pt>
                      <c:pt idx="12">
                        <c:v>402</c:v>
                      </c:pt>
                      <c:pt idx="13">
                        <c:v>410</c:v>
                      </c:pt>
                      <c:pt idx="14">
                        <c:v>418</c:v>
                      </c:pt>
                      <c:pt idx="15">
                        <c:v>426</c:v>
                      </c:pt>
                      <c:pt idx="16">
                        <c:v>434</c:v>
                      </c:pt>
                      <c:pt idx="17">
                        <c:v>442</c:v>
                      </c:pt>
                      <c:pt idx="18">
                        <c:v>450</c:v>
                      </c:pt>
                      <c:pt idx="19">
                        <c:v>458</c:v>
                      </c:pt>
                      <c:pt idx="20">
                        <c:v>466</c:v>
                      </c:pt>
                      <c:pt idx="21">
                        <c:v>474</c:v>
                      </c:pt>
                      <c:pt idx="22">
                        <c:v>482</c:v>
                      </c:pt>
                      <c:pt idx="23">
                        <c:v>490</c:v>
                      </c:pt>
                      <c:pt idx="24">
                        <c:v>498</c:v>
                      </c:pt>
                      <c:pt idx="25">
                        <c:v>506</c:v>
                      </c:pt>
                      <c:pt idx="26">
                        <c:v>514</c:v>
                      </c:pt>
                      <c:pt idx="27">
                        <c:v>522</c:v>
                      </c:pt>
                      <c:pt idx="28">
                        <c:v>530</c:v>
                      </c:pt>
                      <c:pt idx="29">
                        <c:v>538</c:v>
                      </c:pt>
                      <c:pt idx="30">
                        <c:v>546</c:v>
                      </c:pt>
                      <c:pt idx="31">
                        <c:v>554</c:v>
                      </c:pt>
                      <c:pt idx="32">
                        <c:v>562</c:v>
                      </c:pt>
                      <c:pt idx="33">
                        <c:v>570</c:v>
                      </c:pt>
                      <c:pt idx="34">
                        <c:v>578</c:v>
                      </c:pt>
                      <c:pt idx="35">
                        <c:v>586</c:v>
                      </c:pt>
                      <c:pt idx="36">
                        <c:v>594</c:v>
                      </c:pt>
                      <c:pt idx="37">
                        <c:v>602</c:v>
                      </c:pt>
                      <c:pt idx="38">
                        <c:v>610</c:v>
                      </c:pt>
                      <c:pt idx="39">
                        <c:v>618</c:v>
                      </c:pt>
                      <c:pt idx="40">
                        <c:v>626</c:v>
                      </c:pt>
                      <c:pt idx="41">
                        <c:v>634</c:v>
                      </c:pt>
                      <c:pt idx="42">
                        <c:v>642</c:v>
                      </c:pt>
                      <c:pt idx="43">
                        <c:v>650</c:v>
                      </c:pt>
                      <c:pt idx="44">
                        <c:v>658</c:v>
                      </c:pt>
                      <c:pt idx="45">
                        <c:v>666</c:v>
                      </c:pt>
                      <c:pt idx="46">
                        <c:v>674</c:v>
                      </c:pt>
                      <c:pt idx="47">
                        <c:v>682</c:v>
                      </c:pt>
                      <c:pt idx="48">
                        <c:v>690</c:v>
                      </c:pt>
                      <c:pt idx="49">
                        <c:v>698</c:v>
                      </c:pt>
                      <c:pt idx="50">
                        <c:v>706</c:v>
                      </c:pt>
                      <c:pt idx="51">
                        <c:v>714</c:v>
                      </c:pt>
                      <c:pt idx="52">
                        <c:v>722</c:v>
                      </c:pt>
                      <c:pt idx="53">
                        <c:v>730</c:v>
                      </c:pt>
                      <c:pt idx="54">
                        <c:v>738</c:v>
                      </c:pt>
                      <c:pt idx="55">
                        <c:v>746</c:v>
                      </c:pt>
                      <c:pt idx="56">
                        <c:v>754</c:v>
                      </c:pt>
                      <c:pt idx="57">
                        <c:v>762</c:v>
                      </c:pt>
                      <c:pt idx="58">
                        <c:v>770</c:v>
                      </c:pt>
                      <c:pt idx="59">
                        <c:v>778</c:v>
                      </c:pt>
                      <c:pt idx="60">
                        <c:v>786</c:v>
                      </c:pt>
                      <c:pt idx="61">
                        <c:v>794</c:v>
                      </c:pt>
                      <c:pt idx="62">
                        <c:v>802</c:v>
                      </c:pt>
                      <c:pt idx="63">
                        <c:v>810</c:v>
                      </c:pt>
                      <c:pt idx="64">
                        <c:v>818</c:v>
                      </c:pt>
                      <c:pt idx="65">
                        <c:v>826</c:v>
                      </c:pt>
                      <c:pt idx="66">
                        <c:v>834</c:v>
                      </c:pt>
                      <c:pt idx="67">
                        <c:v>842</c:v>
                      </c:pt>
                      <c:pt idx="68">
                        <c:v>850</c:v>
                      </c:pt>
                      <c:pt idx="69">
                        <c:v>858</c:v>
                      </c:pt>
                      <c:pt idx="70">
                        <c:v>866</c:v>
                      </c:pt>
                      <c:pt idx="71">
                        <c:v>874</c:v>
                      </c:pt>
                      <c:pt idx="72">
                        <c:v>882</c:v>
                      </c:pt>
                      <c:pt idx="73">
                        <c:v>890</c:v>
                      </c:pt>
                      <c:pt idx="74">
                        <c:v>898</c:v>
                      </c:pt>
                      <c:pt idx="75">
                        <c:v>906</c:v>
                      </c:pt>
                      <c:pt idx="76">
                        <c:v>914</c:v>
                      </c:pt>
                      <c:pt idx="77">
                        <c:v>922</c:v>
                      </c:pt>
                      <c:pt idx="78">
                        <c:v>930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EVALUATION!$B$107:$CP$107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-58.064234234234235</c:v>
                      </c:pt>
                      <c:pt idx="1">
                        <c:v>-56.971141141141139</c:v>
                      </c:pt>
                      <c:pt idx="2">
                        <c:v>-55.878048048048043</c:v>
                      </c:pt>
                      <c:pt idx="3">
                        <c:v>-54.784954954954955</c:v>
                      </c:pt>
                      <c:pt idx="4" formatCode="General">
                        <c:v>-54.124610778443113</c:v>
                      </c:pt>
                      <c:pt idx="5" formatCode="General">
                        <c:v>-53.564131736526946</c:v>
                      </c:pt>
                      <c:pt idx="6" formatCode="General">
                        <c:v>-53.003652694610771</c:v>
                      </c:pt>
                      <c:pt idx="7" formatCode="General">
                        <c:v>-52.443173652694604</c:v>
                      </c:pt>
                      <c:pt idx="8" formatCode="General">
                        <c:v>-52.043023952095801</c:v>
                      </c:pt>
                      <c:pt idx="9" formatCode="General">
                        <c:v>-51.734041916167662</c:v>
                      </c:pt>
                      <c:pt idx="10" formatCode="General">
                        <c:v>-51.425059880239516</c:v>
                      </c:pt>
                      <c:pt idx="11" formatCode="General">
                        <c:v>-51.11607784431137</c:v>
                      </c:pt>
                      <c:pt idx="12" formatCode="General">
                        <c:v>-50.842655688622749</c:v>
                      </c:pt>
                      <c:pt idx="13" formatCode="General">
                        <c:v>-50.610559880239521</c:v>
                      </c:pt>
                      <c:pt idx="14" formatCode="General">
                        <c:v>-50.378464071856285</c:v>
                      </c:pt>
                      <c:pt idx="15" formatCode="General">
                        <c:v>-50.146368263473057</c:v>
                      </c:pt>
                      <c:pt idx="16" formatCode="General">
                        <c:v>-49.931350299401196</c:v>
                      </c:pt>
                      <c:pt idx="17" formatCode="General">
                        <c:v>-49.758655688622753</c:v>
                      </c:pt>
                      <c:pt idx="18" formatCode="General">
                        <c:v>-49.58596107784431</c:v>
                      </c:pt>
                      <c:pt idx="19" formatCode="General">
                        <c:v>-49.413266467065867</c:v>
                      </c:pt>
                      <c:pt idx="20" formatCode="General">
                        <c:v>-49.246419161676648</c:v>
                      </c:pt>
                      <c:pt idx="21" formatCode="General">
                        <c:v>-49.125700598802396</c:v>
                      </c:pt>
                      <c:pt idx="22" formatCode="General">
                        <c:v>-49.004982035928144</c:v>
                      </c:pt>
                      <c:pt idx="23" formatCode="General">
                        <c:v>-48.884263473053892</c:v>
                      </c:pt>
                      <c:pt idx="24" formatCode="General">
                        <c:v>-48.76354491017964</c:v>
                      </c:pt>
                      <c:pt idx="25" formatCode="General">
                        <c:v>-48.847216216216218</c:v>
                      </c:pt>
                      <c:pt idx="26" formatCode="General">
                        <c:v>-48.944513513513513</c:v>
                      </c:pt>
                      <c:pt idx="27" formatCode="General">
                        <c:v>-49.041810810810816</c:v>
                      </c:pt>
                      <c:pt idx="28" formatCode="General">
                        <c:v>-49.139108108108111</c:v>
                      </c:pt>
                      <c:pt idx="29" formatCode="General">
                        <c:v>-49.365562874251502</c:v>
                      </c:pt>
                      <c:pt idx="30" formatCode="General">
                        <c:v>-49.62951497005988</c:v>
                      </c:pt>
                      <c:pt idx="31" formatCode="General">
                        <c:v>-49.893467065868265</c:v>
                      </c:pt>
                      <c:pt idx="32" formatCode="General">
                        <c:v>-50.157419161676643</c:v>
                      </c:pt>
                      <c:pt idx="33" formatCode="General">
                        <c:v>-50.414257485029935</c:v>
                      </c:pt>
                      <c:pt idx="34" formatCode="General">
                        <c:v>-50.666353293413174</c:v>
                      </c:pt>
                      <c:pt idx="35" formatCode="General">
                        <c:v>-50.918449101796405</c:v>
                      </c:pt>
                      <c:pt idx="36" formatCode="General">
                        <c:v>-51.170544910179636</c:v>
                      </c:pt>
                      <c:pt idx="37" formatCode="General">
                        <c:v>-51.422640718562874</c:v>
                      </c:pt>
                      <c:pt idx="38" formatCode="General">
                        <c:v>-51.674736526946106</c:v>
                      </c:pt>
                      <c:pt idx="39" formatCode="General">
                        <c:v>-51.926832335329337</c:v>
                      </c:pt>
                      <c:pt idx="40" formatCode="General">
                        <c:v>-52.178928143712575</c:v>
                      </c:pt>
                      <c:pt idx="41" formatCode="General">
                        <c:v>-52.431023952095806</c:v>
                      </c:pt>
                      <c:pt idx="42" formatCode="General">
                        <c:v>-52.683119760479038</c:v>
                      </c:pt>
                      <c:pt idx="43" formatCode="General">
                        <c:v>-52.935215568862276</c:v>
                      </c:pt>
                      <c:pt idx="44" formatCode="General">
                        <c:v>-53.187311377245507</c:v>
                      </c:pt>
                      <c:pt idx="45" formatCode="General">
                        <c:v>-53.439407185628738</c:v>
                      </c:pt>
                      <c:pt idx="46" formatCode="General">
                        <c:v>-53.691502994011977</c:v>
                      </c:pt>
                      <c:pt idx="47" formatCode="General">
                        <c:v>-53.943598802395208</c:v>
                      </c:pt>
                      <c:pt idx="48" formatCode="General">
                        <c:v>-54.195694610778446</c:v>
                      </c:pt>
                      <c:pt idx="49" formatCode="General">
                        <c:v>-54.447790419161677</c:v>
                      </c:pt>
                      <c:pt idx="50" formatCode="General">
                        <c:v>-54.685494382022469</c:v>
                      </c:pt>
                      <c:pt idx="51" formatCode="General">
                        <c:v>-54.921599250936332</c:v>
                      </c:pt>
                      <c:pt idx="52" formatCode="General">
                        <c:v>-55.157704119850187</c:v>
                      </c:pt>
                      <c:pt idx="53" formatCode="General">
                        <c:v>-55.393808988764043</c:v>
                      </c:pt>
                      <c:pt idx="54" formatCode="General">
                        <c:v>-55.629913857677906</c:v>
                      </c:pt>
                      <c:pt idx="55" formatCode="General">
                        <c:v>-55.866018726591761</c:v>
                      </c:pt>
                      <c:pt idx="56" formatCode="General">
                        <c:v>-56.102123595505617</c:v>
                      </c:pt>
                      <c:pt idx="57" formatCode="General">
                        <c:v>-56.338228464419473</c:v>
                      </c:pt>
                      <c:pt idx="58" formatCode="General">
                        <c:v>-56.574333333333335</c:v>
                      </c:pt>
                      <c:pt idx="59" formatCode="General">
                        <c:v>-56.810438202247191</c:v>
                      </c:pt>
                      <c:pt idx="60" formatCode="General">
                        <c:v>-57.046543071161047</c:v>
                      </c:pt>
                      <c:pt idx="61" formatCode="General">
                        <c:v>-57.282647940074902</c:v>
                      </c:pt>
                      <c:pt idx="62" formatCode="General">
                        <c:v>-57.518752808988765</c:v>
                      </c:pt>
                      <c:pt idx="63" formatCode="General">
                        <c:v>-57.754857677902621</c:v>
                      </c:pt>
                      <c:pt idx="64" formatCode="General">
                        <c:v>-57.990962546816476</c:v>
                      </c:pt>
                      <c:pt idx="65" formatCode="General">
                        <c:v>-58.227067415730332</c:v>
                      </c:pt>
                      <c:pt idx="66" formatCode="General">
                        <c:v>-58.460650936329586</c:v>
                      </c:pt>
                      <c:pt idx="67" formatCode="General">
                        <c:v>-58.684890636704118</c:v>
                      </c:pt>
                      <c:pt idx="68" formatCode="General">
                        <c:v>-58.909130337078651</c:v>
                      </c:pt>
                      <c:pt idx="69" formatCode="General">
                        <c:v>-59.133370037453183</c:v>
                      </c:pt>
                      <c:pt idx="70" formatCode="General">
                        <c:v>-59.357609737827715</c:v>
                      </c:pt>
                      <c:pt idx="71" formatCode="General">
                        <c:v>-59.581849438202241</c:v>
                      </c:pt>
                      <c:pt idx="72" formatCode="General">
                        <c:v>-59.806089138576773</c:v>
                      </c:pt>
                      <c:pt idx="73" formatCode="General">
                        <c:v>-60.030328838951306</c:v>
                      </c:pt>
                      <c:pt idx="74" formatCode="General">
                        <c:v>-60.254568539325838</c:v>
                      </c:pt>
                      <c:pt idx="75" formatCode="General">
                        <c:v>-60.478808239700371</c:v>
                      </c:pt>
                      <c:pt idx="76" formatCode="General">
                        <c:v>-60.703047940074903</c:v>
                      </c:pt>
                      <c:pt idx="77" formatCode="General">
                        <c:v>-60.927287640449435</c:v>
                      </c:pt>
                      <c:pt idx="78" formatCode="General">
                        <c:v>-61.151527340823968</c:v>
                      </c:pt>
                      <c:pt idx="79" formatCode="General">
                        <c:v>-61.3757670411985</c:v>
                      </c:pt>
                      <c:pt idx="80" formatCode="General">
                        <c:v>-61.600006741573026</c:v>
                      </c:pt>
                      <c:pt idx="81" formatCode="General">
                        <c:v>-61.824246441947558</c:v>
                      </c:pt>
                      <c:pt idx="82" formatCode="General">
                        <c:v>-62.048486142322091</c:v>
                      </c:pt>
                      <c:pt idx="83" formatCode="General">
                        <c:v>-62.267167664670652</c:v>
                      </c:pt>
                      <c:pt idx="84" formatCode="General">
                        <c:v>-62.480820359281431</c:v>
                      </c:pt>
                      <c:pt idx="85" formatCode="General">
                        <c:v>-62.69447305389221</c:v>
                      </c:pt>
                      <c:pt idx="86" formatCode="General">
                        <c:v>-62.908125748502989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60C8-4A98-A947-234019680B74}"/>
                  </c:ext>
                </c:extLst>
              </c15:ser>
            </c15:filteredScatterSeries>
            <c15:filteredScatterSeries>
              <c15:ser>
                <c:idx val="5"/>
                <c:order val="7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306</c:v>
                      </c:pt>
                      <c:pt idx="1">
                        <c:v>314</c:v>
                      </c:pt>
                      <c:pt idx="2">
                        <c:v>322</c:v>
                      </c:pt>
                      <c:pt idx="3">
                        <c:v>330</c:v>
                      </c:pt>
                      <c:pt idx="4">
                        <c:v>338</c:v>
                      </c:pt>
                      <c:pt idx="5">
                        <c:v>346</c:v>
                      </c:pt>
                      <c:pt idx="6">
                        <c:v>354</c:v>
                      </c:pt>
                      <c:pt idx="7">
                        <c:v>362</c:v>
                      </c:pt>
                      <c:pt idx="8">
                        <c:v>370</c:v>
                      </c:pt>
                      <c:pt idx="9">
                        <c:v>378</c:v>
                      </c:pt>
                      <c:pt idx="10">
                        <c:v>386</c:v>
                      </c:pt>
                      <c:pt idx="11">
                        <c:v>394</c:v>
                      </c:pt>
                      <c:pt idx="12">
                        <c:v>402</c:v>
                      </c:pt>
                      <c:pt idx="13">
                        <c:v>410</c:v>
                      </c:pt>
                      <c:pt idx="14">
                        <c:v>418</c:v>
                      </c:pt>
                      <c:pt idx="15">
                        <c:v>426</c:v>
                      </c:pt>
                      <c:pt idx="16">
                        <c:v>434</c:v>
                      </c:pt>
                      <c:pt idx="17">
                        <c:v>442</c:v>
                      </c:pt>
                      <c:pt idx="18">
                        <c:v>450</c:v>
                      </c:pt>
                      <c:pt idx="19">
                        <c:v>458</c:v>
                      </c:pt>
                      <c:pt idx="20">
                        <c:v>466</c:v>
                      </c:pt>
                      <c:pt idx="21">
                        <c:v>474</c:v>
                      </c:pt>
                      <c:pt idx="22">
                        <c:v>482</c:v>
                      </c:pt>
                      <c:pt idx="23">
                        <c:v>490</c:v>
                      </c:pt>
                      <c:pt idx="24">
                        <c:v>498</c:v>
                      </c:pt>
                      <c:pt idx="25">
                        <c:v>506</c:v>
                      </c:pt>
                      <c:pt idx="26">
                        <c:v>514</c:v>
                      </c:pt>
                      <c:pt idx="27">
                        <c:v>522</c:v>
                      </c:pt>
                      <c:pt idx="28">
                        <c:v>530</c:v>
                      </c:pt>
                      <c:pt idx="29">
                        <c:v>538</c:v>
                      </c:pt>
                      <c:pt idx="30">
                        <c:v>546</c:v>
                      </c:pt>
                      <c:pt idx="31">
                        <c:v>554</c:v>
                      </c:pt>
                      <c:pt idx="32">
                        <c:v>562</c:v>
                      </c:pt>
                      <c:pt idx="33">
                        <c:v>570</c:v>
                      </c:pt>
                      <c:pt idx="34">
                        <c:v>578</c:v>
                      </c:pt>
                      <c:pt idx="35">
                        <c:v>586</c:v>
                      </c:pt>
                      <c:pt idx="36">
                        <c:v>594</c:v>
                      </c:pt>
                      <c:pt idx="37">
                        <c:v>602</c:v>
                      </c:pt>
                      <c:pt idx="38">
                        <c:v>610</c:v>
                      </c:pt>
                      <c:pt idx="39">
                        <c:v>618</c:v>
                      </c:pt>
                      <c:pt idx="40">
                        <c:v>626</c:v>
                      </c:pt>
                      <c:pt idx="41">
                        <c:v>634</c:v>
                      </c:pt>
                      <c:pt idx="42">
                        <c:v>642</c:v>
                      </c:pt>
                      <c:pt idx="43">
                        <c:v>650</c:v>
                      </c:pt>
                      <c:pt idx="44">
                        <c:v>658</c:v>
                      </c:pt>
                      <c:pt idx="45">
                        <c:v>666</c:v>
                      </c:pt>
                      <c:pt idx="46">
                        <c:v>674</c:v>
                      </c:pt>
                      <c:pt idx="47">
                        <c:v>682</c:v>
                      </c:pt>
                      <c:pt idx="48">
                        <c:v>690</c:v>
                      </c:pt>
                      <c:pt idx="49">
                        <c:v>698</c:v>
                      </c:pt>
                      <c:pt idx="50">
                        <c:v>706</c:v>
                      </c:pt>
                      <c:pt idx="51">
                        <c:v>714</c:v>
                      </c:pt>
                      <c:pt idx="52">
                        <c:v>722</c:v>
                      </c:pt>
                      <c:pt idx="53">
                        <c:v>730</c:v>
                      </c:pt>
                      <c:pt idx="54">
                        <c:v>738</c:v>
                      </c:pt>
                      <c:pt idx="55">
                        <c:v>746</c:v>
                      </c:pt>
                      <c:pt idx="56">
                        <c:v>754</c:v>
                      </c:pt>
                      <c:pt idx="57">
                        <c:v>762</c:v>
                      </c:pt>
                      <c:pt idx="58">
                        <c:v>770</c:v>
                      </c:pt>
                      <c:pt idx="59">
                        <c:v>778</c:v>
                      </c:pt>
                      <c:pt idx="60">
                        <c:v>786</c:v>
                      </c:pt>
                      <c:pt idx="61">
                        <c:v>794</c:v>
                      </c:pt>
                      <c:pt idx="62">
                        <c:v>802</c:v>
                      </c:pt>
                      <c:pt idx="63">
                        <c:v>810</c:v>
                      </c:pt>
                      <c:pt idx="64">
                        <c:v>818</c:v>
                      </c:pt>
                      <c:pt idx="65">
                        <c:v>826</c:v>
                      </c:pt>
                      <c:pt idx="66">
                        <c:v>834</c:v>
                      </c:pt>
                      <c:pt idx="67">
                        <c:v>842</c:v>
                      </c:pt>
                      <c:pt idx="68">
                        <c:v>850</c:v>
                      </c:pt>
                      <c:pt idx="69">
                        <c:v>858</c:v>
                      </c:pt>
                      <c:pt idx="70">
                        <c:v>866</c:v>
                      </c:pt>
                      <c:pt idx="71">
                        <c:v>874</c:v>
                      </c:pt>
                      <c:pt idx="72">
                        <c:v>882</c:v>
                      </c:pt>
                      <c:pt idx="73">
                        <c:v>890</c:v>
                      </c:pt>
                      <c:pt idx="74">
                        <c:v>898</c:v>
                      </c:pt>
                      <c:pt idx="75">
                        <c:v>906</c:v>
                      </c:pt>
                      <c:pt idx="76">
                        <c:v>914</c:v>
                      </c:pt>
                      <c:pt idx="77">
                        <c:v>922</c:v>
                      </c:pt>
                      <c:pt idx="78">
                        <c:v>930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EVALUATION!$B$108:$CP$108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-183.77576576576575</c:v>
                      </c:pt>
                      <c:pt idx="1">
                        <c:v>-179.80219219219219</c:v>
                      </c:pt>
                      <c:pt idx="2">
                        <c:v>-175.82861861861863</c:v>
                      </c:pt>
                      <c:pt idx="3">
                        <c:v>-171.85504504504505</c:v>
                      </c:pt>
                      <c:pt idx="4" formatCode="General">
                        <c:v>-168.51000000000002</c:v>
                      </c:pt>
                      <c:pt idx="5" formatCode="General">
                        <c:v>-165.31</c:v>
                      </c:pt>
                      <c:pt idx="6" formatCode="General">
                        <c:v>-162.10999999999999</c:v>
                      </c:pt>
                      <c:pt idx="7" formatCode="General">
                        <c:v>-158.91</c:v>
                      </c:pt>
                      <c:pt idx="8" formatCode="General">
                        <c:v>-156.06730538922156</c:v>
                      </c:pt>
                      <c:pt idx="9" formatCode="General">
                        <c:v>-153.42778443113772</c:v>
                      </c:pt>
                      <c:pt idx="10" formatCode="General">
                        <c:v>-150.78826347305389</c:v>
                      </c:pt>
                      <c:pt idx="11" formatCode="General">
                        <c:v>-148.14874251497005</c:v>
                      </c:pt>
                      <c:pt idx="12" formatCode="General">
                        <c:v>-145.70751497005986</c:v>
                      </c:pt>
                      <c:pt idx="13" formatCode="General">
                        <c:v>-143.49673652694611</c:v>
                      </c:pt>
                      <c:pt idx="14" formatCode="General">
                        <c:v>-141.28595808383233</c:v>
                      </c:pt>
                      <c:pt idx="15" formatCode="General">
                        <c:v>-139.07517964071855</c:v>
                      </c:pt>
                      <c:pt idx="16" formatCode="General">
                        <c:v>-136.96080838323354</c:v>
                      </c:pt>
                      <c:pt idx="17" formatCode="General">
                        <c:v>-135.08535928143712</c:v>
                      </c:pt>
                      <c:pt idx="18" formatCode="General">
                        <c:v>-133.20991017964073</c:v>
                      </c:pt>
                      <c:pt idx="19" formatCode="General">
                        <c:v>-131.33446107784434</c:v>
                      </c:pt>
                      <c:pt idx="20" formatCode="General">
                        <c:v>-129.49</c:v>
                      </c:pt>
                      <c:pt idx="21" formatCode="General">
                        <c:v>-127.89000000000001</c:v>
                      </c:pt>
                      <c:pt idx="22" formatCode="General">
                        <c:v>-126.29000000000002</c:v>
                      </c:pt>
                      <c:pt idx="23" formatCode="General">
                        <c:v>-124.69000000000001</c:v>
                      </c:pt>
                      <c:pt idx="24" formatCode="General">
                        <c:v>-123.09</c:v>
                      </c:pt>
                      <c:pt idx="25" formatCode="General">
                        <c:v>-121.94495495495497</c:v>
                      </c:pt>
                      <c:pt idx="26" formatCode="General">
                        <c:v>-120.83024024024024</c:v>
                      </c:pt>
                      <c:pt idx="27" formatCode="General">
                        <c:v>-119.71552552552552</c:v>
                      </c:pt>
                      <c:pt idx="28" formatCode="General">
                        <c:v>-118.6008108108108</c:v>
                      </c:pt>
                      <c:pt idx="29" formatCode="General">
                        <c:v>-119.12407185628743</c:v>
                      </c:pt>
                      <c:pt idx="30" formatCode="General">
                        <c:v>-120.12287425149701</c:v>
                      </c:pt>
                      <c:pt idx="31" formatCode="General">
                        <c:v>-121.12167664670659</c:v>
                      </c:pt>
                      <c:pt idx="32" formatCode="General">
                        <c:v>-122.12047904191617</c:v>
                      </c:pt>
                      <c:pt idx="33" formatCode="General">
                        <c:v>-123.0919760479042</c:v>
                      </c:pt>
                      <c:pt idx="34" formatCode="General">
                        <c:v>-124.04526946107785</c:v>
                      </c:pt>
                      <c:pt idx="35" formatCode="General">
                        <c:v>-124.9985628742515</c:v>
                      </c:pt>
                      <c:pt idx="36" formatCode="General">
                        <c:v>-125.95185628742516</c:v>
                      </c:pt>
                      <c:pt idx="37" formatCode="General">
                        <c:v>-126.90514970059881</c:v>
                      </c:pt>
                      <c:pt idx="38" formatCode="General">
                        <c:v>-127.85844311377247</c:v>
                      </c:pt>
                      <c:pt idx="39" formatCode="General">
                        <c:v>-128.81173652694611</c:v>
                      </c:pt>
                      <c:pt idx="40" formatCode="General">
                        <c:v>-129.76502994011977</c:v>
                      </c:pt>
                      <c:pt idx="41" formatCode="General">
                        <c:v>-130.71832335329341</c:v>
                      </c:pt>
                      <c:pt idx="42" formatCode="General">
                        <c:v>-131.67161676646708</c:v>
                      </c:pt>
                      <c:pt idx="43" formatCode="General">
                        <c:v>-132.62491017964072</c:v>
                      </c:pt>
                      <c:pt idx="44" formatCode="General">
                        <c:v>-133.57820359281436</c:v>
                      </c:pt>
                      <c:pt idx="45" formatCode="General">
                        <c:v>-134.53149700598803</c:v>
                      </c:pt>
                      <c:pt idx="46" formatCode="General">
                        <c:v>-135.48479041916167</c:v>
                      </c:pt>
                      <c:pt idx="47" formatCode="General">
                        <c:v>-136.43808383233534</c:v>
                      </c:pt>
                      <c:pt idx="48" formatCode="General">
                        <c:v>-137.39137724550898</c:v>
                      </c:pt>
                      <c:pt idx="49" formatCode="General">
                        <c:v>-138.34467065868265</c:v>
                      </c:pt>
                      <c:pt idx="50" formatCode="General">
                        <c:v>-139.21824719101124</c:v>
                      </c:pt>
                      <c:pt idx="51" formatCode="General">
                        <c:v>-140.08296629213484</c:v>
                      </c:pt>
                      <c:pt idx="52" formatCode="General">
                        <c:v>-140.94768539325844</c:v>
                      </c:pt>
                      <c:pt idx="53" formatCode="General">
                        <c:v>-141.81240449438204</c:v>
                      </c:pt>
                      <c:pt idx="54" formatCode="General">
                        <c:v>-142.67712359550563</c:v>
                      </c:pt>
                      <c:pt idx="55" formatCode="General">
                        <c:v>-143.54184269662923</c:v>
                      </c:pt>
                      <c:pt idx="56" formatCode="General">
                        <c:v>-144.40656179775283</c:v>
                      </c:pt>
                      <c:pt idx="57" formatCode="General">
                        <c:v>-145.2712808988764</c:v>
                      </c:pt>
                      <c:pt idx="58" formatCode="General">
                        <c:v>-146.136</c:v>
                      </c:pt>
                      <c:pt idx="59" formatCode="General">
                        <c:v>-147.00071910112359</c:v>
                      </c:pt>
                      <c:pt idx="60" formatCode="General">
                        <c:v>-147.86543820224719</c:v>
                      </c:pt>
                      <c:pt idx="61" formatCode="General">
                        <c:v>-148.73015730337079</c:v>
                      </c:pt>
                      <c:pt idx="62" formatCode="General">
                        <c:v>-149.59487640449439</c:v>
                      </c:pt>
                      <c:pt idx="63" formatCode="General">
                        <c:v>-150.45959550561798</c:v>
                      </c:pt>
                      <c:pt idx="64" formatCode="General">
                        <c:v>-151.32431460674158</c:v>
                      </c:pt>
                      <c:pt idx="65" formatCode="General">
                        <c:v>-152.18903370786518</c:v>
                      </c:pt>
                      <c:pt idx="66" formatCode="General">
                        <c:v>-153.03172284644197</c:v>
                      </c:pt>
                      <c:pt idx="67" formatCode="General">
                        <c:v>-153.79277153558053</c:v>
                      </c:pt>
                      <c:pt idx="68" formatCode="General">
                        <c:v>-154.55382022471912</c:v>
                      </c:pt>
                      <c:pt idx="69" formatCode="General">
                        <c:v>-155.31486891385768</c:v>
                      </c:pt>
                      <c:pt idx="70" formatCode="General">
                        <c:v>-156.07591760299627</c:v>
                      </c:pt>
                      <c:pt idx="71" formatCode="General">
                        <c:v>-156.83696629213483</c:v>
                      </c:pt>
                      <c:pt idx="72" formatCode="General">
                        <c:v>-157.59801498127342</c:v>
                      </c:pt>
                      <c:pt idx="73" formatCode="General">
                        <c:v>-158.35906367041198</c:v>
                      </c:pt>
                      <c:pt idx="74" formatCode="General">
                        <c:v>-159.12011235955057</c:v>
                      </c:pt>
                      <c:pt idx="75" formatCode="General">
                        <c:v>-159.88116104868914</c:v>
                      </c:pt>
                      <c:pt idx="76" formatCode="General">
                        <c:v>-160.64220973782773</c:v>
                      </c:pt>
                      <c:pt idx="77" formatCode="General">
                        <c:v>-161.40325842696629</c:v>
                      </c:pt>
                      <c:pt idx="78" formatCode="General">
                        <c:v>-162.16430711610488</c:v>
                      </c:pt>
                      <c:pt idx="79" formatCode="General">
                        <c:v>-162.92535580524344</c:v>
                      </c:pt>
                      <c:pt idx="80" formatCode="General">
                        <c:v>-163.68640449438203</c:v>
                      </c:pt>
                      <c:pt idx="81" formatCode="General">
                        <c:v>-164.44745318352059</c:v>
                      </c:pt>
                      <c:pt idx="82" formatCode="General">
                        <c:v>-165.20850187265918</c:v>
                      </c:pt>
                      <c:pt idx="83" formatCode="General">
                        <c:v>-165.92838323353294</c:v>
                      </c:pt>
                      <c:pt idx="84" formatCode="General">
                        <c:v>-166.61101796407183</c:v>
                      </c:pt>
                      <c:pt idx="85" formatCode="General">
                        <c:v>-167.29365269461076</c:v>
                      </c:pt>
                      <c:pt idx="86" formatCode="General">
                        <c:v>-167.97628742514968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A-60C8-4A98-A947-234019680B74}"/>
                  </c:ext>
                </c:extLst>
              </c15:ser>
            </c15:filteredScatterSeries>
            <c15:filteredScatterSeries>
              <c15:ser>
                <c:idx val="6"/>
                <c:order val="8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306</c:v>
                      </c:pt>
                      <c:pt idx="1">
                        <c:v>314</c:v>
                      </c:pt>
                      <c:pt idx="2">
                        <c:v>322</c:v>
                      </c:pt>
                      <c:pt idx="3">
                        <c:v>330</c:v>
                      </c:pt>
                      <c:pt idx="4">
                        <c:v>338</c:v>
                      </c:pt>
                      <c:pt idx="5">
                        <c:v>346</c:v>
                      </c:pt>
                      <c:pt idx="6">
                        <c:v>354</c:v>
                      </c:pt>
                      <c:pt idx="7">
                        <c:v>362</c:v>
                      </c:pt>
                      <c:pt idx="8">
                        <c:v>370</c:v>
                      </c:pt>
                      <c:pt idx="9">
                        <c:v>378</c:v>
                      </c:pt>
                      <c:pt idx="10">
                        <c:v>386</c:v>
                      </c:pt>
                      <c:pt idx="11">
                        <c:v>394</c:v>
                      </c:pt>
                      <c:pt idx="12">
                        <c:v>402</c:v>
                      </c:pt>
                      <c:pt idx="13">
                        <c:v>410</c:v>
                      </c:pt>
                      <c:pt idx="14">
                        <c:v>418</c:v>
                      </c:pt>
                      <c:pt idx="15">
                        <c:v>426</c:v>
                      </c:pt>
                      <c:pt idx="16">
                        <c:v>434</c:v>
                      </c:pt>
                      <c:pt idx="17">
                        <c:v>442</c:v>
                      </c:pt>
                      <c:pt idx="18">
                        <c:v>450</c:v>
                      </c:pt>
                      <c:pt idx="19">
                        <c:v>458</c:v>
                      </c:pt>
                      <c:pt idx="20">
                        <c:v>466</c:v>
                      </c:pt>
                      <c:pt idx="21">
                        <c:v>474</c:v>
                      </c:pt>
                      <c:pt idx="22">
                        <c:v>482</c:v>
                      </c:pt>
                      <c:pt idx="23">
                        <c:v>490</c:v>
                      </c:pt>
                      <c:pt idx="24">
                        <c:v>498</c:v>
                      </c:pt>
                      <c:pt idx="25">
                        <c:v>506</c:v>
                      </c:pt>
                      <c:pt idx="26">
                        <c:v>514</c:v>
                      </c:pt>
                      <c:pt idx="27">
                        <c:v>522</c:v>
                      </c:pt>
                      <c:pt idx="28">
                        <c:v>530</c:v>
                      </c:pt>
                      <c:pt idx="29">
                        <c:v>538</c:v>
                      </c:pt>
                      <c:pt idx="30">
                        <c:v>546</c:v>
                      </c:pt>
                      <c:pt idx="31">
                        <c:v>554</c:v>
                      </c:pt>
                      <c:pt idx="32">
                        <c:v>562</c:v>
                      </c:pt>
                      <c:pt idx="33">
                        <c:v>570</c:v>
                      </c:pt>
                      <c:pt idx="34">
                        <c:v>578</c:v>
                      </c:pt>
                      <c:pt idx="35">
                        <c:v>586</c:v>
                      </c:pt>
                      <c:pt idx="36">
                        <c:v>594</c:v>
                      </c:pt>
                      <c:pt idx="37">
                        <c:v>602</c:v>
                      </c:pt>
                      <c:pt idx="38">
                        <c:v>610</c:v>
                      </c:pt>
                      <c:pt idx="39">
                        <c:v>618</c:v>
                      </c:pt>
                      <c:pt idx="40">
                        <c:v>626</c:v>
                      </c:pt>
                      <c:pt idx="41">
                        <c:v>634</c:v>
                      </c:pt>
                      <c:pt idx="42">
                        <c:v>642</c:v>
                      </c:pt>
                      <c:pt idx="43">
                        <c:v>650</c:v>
                      </c:pt>
                      <c:pt idx="44">
                        <c:v>658</c:v>
                      </c:pt>
                      <c:pt idx="45">
                        <c:v>666</c:v>
                      </c:pt>
                      <c:pt idx="46">
                        <c:v>674</c:v>
                      </c:pt>
                      <c:pt idx="47">
                        <c:v>682</c:v>
                      </c:pt>
                      <c:pt idx="48">
                        <c:v>690</c:v>
                      </c:pt>
                      <c:pt idx="49">
                        <c:v>698</c:v>
                      </c:pt>
                      <c:pt idx="50">
                        <c:v>706</c:v>
                      </c:pt>
                      <c:pt idx="51">
                        <c:v>714</c:v>
                      </c:pt>
                      <c:pt idx="52">
                        <c:v>722</c:v>
                      </c:pt>
                      <c:pt idx="53">
                        <c:v>730</c:v>
                      </c:pt>
                      <c:pt idx="54">
                        <c:v>738</c:v>
                      </c:pt>
                      <c:pt idx="55">
                        <c:v>746</c:v>
                      </c:pt>
                      <c:pt idx="56">
                        <c:v>754</c:v>
                      </c:pt>
                      <c:pt idx="57">
                        <c:v>762</c:v>
                      </c:pt>
                      <c:pt idx="58">
                        <c:v>770</c:v>
                      </c:pt>
                      <c:pt idx="59">
                        <c:v>778</c:v>
                      </c:pt>
                      <c:pt idx="60">
                        <c:v>786</c:v>
                      </c:pt>
                      <c:pt idx="61">
                        <c:v>794</c:v>
                      </c:pt>
                      <c:pt idx="62">
                        <c:v>802</c:v>
                      </c:pt>
                      <c:pt idx="63">
                        <c:v>810</c:v>
                      </c:pt>
                      <c:pt idx="64">
                        <c:v>818</c:v>
                      </c:pt>
                      <c:pt idx="65">
                        <c:v>826</c:v>
                      </c:pt>
                      <c:pt idx="66">
                        <c:v>834</c:v>
                      </c:pt>
                      <c:pt idx="67">
                        <c:v>842</c:v>
                      </c:pt>
                      <c:pt idx="68">
                        <c:v>850</c:v>
                      </c:pt>
                      <c:pt idx="69">
                        <c:v>858</c:v>
                      </c:pt>
                      <c:pt idx="70">
                        <c:v>866</c:v>
                      </c:pt>
                      <c:pt idx="71">
                        <c:v>874</c:v>
                      </c:pt>
                      <c:pt idx="72">
                        <c:v>882</c:v>
                      </c:pt>
                      <c:pt idx="73">
                        <c:v>890</c:v>
                      </c:pt>
                      <c:pt idx="74">
                        <c:v>898</c:v>
                      </c:pt>
                      <c:pt idx="75">
                        <c:v>906</c:v>
                      </c:pt>
                      <c:pt idx="76">
                        <c:v>914</c:v>
                      </c:pt>
                      <c:pt idx="77">
                        <c:v>922</c:v>
                      </c:pt>
                      <c:pt idx="78">
                        <c:v>930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EVALUATION!$B$109:$CP$109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-30.236216216216214</c:v>
                      </c:pt>
                      <c:pt idx="1">
                        <c:v>-29.760540540540539</c:v>
                      </c:pt>
                      <c:pt idx="2">
                        <c:v>-29.284864864864865</c:v>
                      </c:pt>
                      <c:pt idx="3">
                        <c:v>-28.809189189189187</c:v>
                      </c:pt>
                      <c:pt idx="4" formatCode="General">
                        <c:v>-27.918203592814368</c:v>
                      </c:pt>
                      <c:pt idx="5" formatCode="General">
                        <c:v>-26.93137724550898</c:v>
                      </c:pt>
                      <c:pt idx="6" formatCode="General">
                        <c:v>-25.944550898203591</c:v>
                      </c:pt>
                      <c:pt idx="7" formatCode="General">
                        <c:v>-24.957724550898202</c:v>
                      </c:pt>
                      <c:pt idx="8" formatCode="General">
                        <c:v>-23.900658682634731</c:v>
                      </c:pt>
                      <c:pt idx="9" formatCode="General">
                        <c:v>-22.803652694610779</c:v>
                      </c:pt>
                      <c:pt idx="10" formatCode="General">
                        <c:v>-21.706646706586827</c:v>
                      </c:pt>
                      <c:pt idx="11" formatCode="General">
                        <c:v>-20.609640718562876</c:v>
                      </c:pt>
                      <c:pt idx="12" formatCode="General">
                        <c:v>-19.579323353293415</c:v>
                      </c:pt>
                      <c:pt idx="13" formatCode="General">
                        <c:v>-18.626508982035929</c:v>
                      </c:pt>
                      <c:pt idx="14" formatCode="General">
                        <c:v>-17.673694610778444</c:v>
                      </c:pt>
                      <c:pt idx="15" formatCode="General">
                        <c:v>-16.720880239520959</c:v>
                      </c:pt>
                      <c:pt idx="16" formatCode="General">
                        <c:v>-15.802221556886229</c:v>
                      </c:pt>
                      <c:pt idx="17" formatCode="General">
                        <c:v>-14.968209580838325</c:v>
                      </c:pt>
                      <c:pt idx="18" formatCode="General">
                        <c:v>-14.134197604790421</c:v>
                      </c:pt>
                      <c:pt idx="19" formatCode="General">
                        <c:v>-13.300185628742518</c:v>
                      </c:pt>
                      <c:pt idx="20" formatCode="General">
                        <c:v>-12.476790419161679</c:v>
                      </c:pt>
                      <c:pt idx="21" formatCode="General">
                        <c:v>-11.737149700598804</c:v>
                      </c:pt>
                      <c:pt idx="22" formatCode="General">
                        <c:v>-10.99750898203593</c:v>
                      </c:pt>
                      <c:pt idx="23" formatCode="General">
                        <c:v>-10.257868263473053</c:v>
                      </c:pt>
                      <c:pt idx="24" formatCode="General">
                        <c:v>-9.5182275449101788</c:v>
                      </c:pt>
                      <c:pt idx="25" formatCode="General">
                        <c:v>-9.2039819819819808</c:v>
                      </c:pt>
                      <c:pt idx="26" formatCode="General">
                        <c:v>-8.9180960960960949</c:v>
                      </c:pt>
                      <c:pt idx="27" formatCode="General">
                        <c:v>-8.632210210210209</c:v>
                      </c:pt>
                      <c:pt idx="28" formatCode="General">
                        <c:v>-8.346324324324323</c:v>
                      </c:pt>
                      <c:pt idx="29" formatCode="General">
                        <c:v>-8.3124431137724546</c:v>
                      </c:pt>
                      <c:pt idx="30" formatCode="General">
                        <c:v>-8.3517245508982043</c:v>
                      </c:pt>
                      <c:pt idx="31" formatCode="General">
                        <c:v>-8.3910059880239523</c:v>
                      </c:pt>
                      <c:pt idx="32" formatCode="General">
                        <c:v>-8.4302874251497002</c:v>
                      </c:pt>
                      <c:pt idx="33" formatCode="General">
                        <c:v>-8.4697125748502984</c:v>
                      </c:pt>
                      <c:pt idx="34" formatCode="General">
                        <c:v>-8.5092335329341307</c:v>
                      </c:pt>
                      <c:pt idx="35" formatCode="General">
                        <c:v>-8.5487544910179629</c:v>
                      </c:pt>
                      <c:pt idx="36" formatCode="General">
                        <c:v>-8.5882754491017952</c:v>
                      </c:pt>
                      <c:pt idx="37" formatCode="General">
                        <c:v>-8.6277964071856292</c:v>
                      </c:pt>
                      <c:pt idx="38" formatCode="General">
                        <c:v>-8.6673173652694615</c:v>
                      </c:pt>
                      <c:pt idx="39" formatCode="General">
                        <c:v>-8.7068383233532938</c:v>
                      </c:pt>
                      <c:pt idx="40" formatCode="General">
                        <c:v>-8.746359281437126</c:v>
                      </c:pt>
                      <c:pt idx="41" formatCode="General">
                        <c:v>-8.7858802395209583</c:v>
                      </c:pt>
                      <c:pt idx="42" formatCode="General">
                        <c:v>-8.8254011976047906</c:v>
                      </c:pt>
                      <c:pt idx="43" formatCode="General">
                        <c:v>-8.8649221556886229</c:v>
                      </c:pt>
                      <c:pt idx="44" formatCode="General">
                        <c:v>-8.9044431137724551</c:v>
                      </c:pt>
                      <c:pt idx="45" formatCode="General">
                        <c:v>-8.9439640718562874</c:v>
                      </c:pt>
                      <c:pt idx="46" formatCode="General">
                        <c:v>-8.9834850299401197</c:v>
                      </c:pt>
                      <c:pt idx="47" formatCode="General">
                        <c:v>-9.0230059880239519</c:v>
                      </c:pt>
                      <c:pt idx="48" formatCode="General">
                        <c:v>-9.0625269461077842</c:v>
                      </c:pt>
                      <c:pt idx="49" formatCode="General">
                        <c:v>-9.1020479041916165</c:v>
                      </c:pt>
                      <c:pt idx="50" formatCode="General">
                        <c:v>-9.140516853932585</c:v>
                      </c:pt>
                      <c:pt idx="51" formatCode="General">
                        <c:v>-9.1788689138576789</c:v>
                      </c:pt>
                      <c:pt idx="52" formatCode="General">
                        <c:v>-9.2172209737827711</c:v>
                      </c:pt>
                      <c:pt idx="53" formatCode="General">
                        <c:v>-9.255573033707865</c:v>
                      </c:pt>
                      <c:pt idx="54" formatCode="General">
                        <c:v>-9.2939250936329589</c:v>
                      </c:pt>
                      <c:pt idx="55" formatCode="General">
                        <c:v>-9.3322771535580529</c:v>
                      </c:pt>
                      <c:pt idx="56" formatCode="General">
                        <c:v>-9.3706292134831468</c:v>
                      </c:pt>
                      <c:pt idx="57" formatCode="General">
                        <c:v>-9.4089812734082408</c:v>
                      </c:pt>
                      <c:pt idx="58" formatCode="General">
                        <c:v>-9.4473333333333329</c:v>
                      </c:pt>
                      <c:pt idx="59" formatCode="General">
                        <c:v>-9.4856853932584269</c:v>
                      </c:pt>
                      <c:pt idx="60" formatCode="General">
                        <c:v>-9.5240374531835208</c:v>
                      </c:pt>
                      <c:pt idx="61" formatCode="General">
                        <c:v>-9.5623895131086147</c:v>
                      </c:pt>
                      <c:pt idx="62" formatCode="General">
                        <c:v>-9.6007415730337087</c:v>
                      </c:pt>
                      <c:pt idx="63" formatCode="General">
                        <c:v>-9.6390936329588026</c:v>
                      </c:pt>
                      <c:pt idx="64" formatCode="General">
                        <c:v>-9.6774456928838966</c:v>
                      </c:pt>
                      <c:pt idx="65" formatCode="General">
                        <c:v>-9.7157977528089887</c:v>
                      </c:pt>
                      <c:pt idx="66" formatCode="General">
                        <c:v>-9.7536913857677909</c:v>
                      </c:pt>
                      <c:pt idx="67" formatCode="General">
                        <c:v>-9.7898861423220982</c:v>
                      </c:pt>
                      <c:pt idx="68" formatCode="General">
                        <c:v>-9.8260808988764055</c:v>
                      </c:pt>
                      <c:pt idx="69" formatCode="General">
                        <c:v>-9.8622756554307127</c:v>
                      </c:pt>
                      <c:pt idx="70" formatCode="General">
                        <c:v>-9.89847041198502</c:v>
                      </c:pt>
                      <c:pt idx="71" formatCode="General">
                        <c:v>-9.9346651685393255</c:v>
                      </c:pt>
                      <c:pt idx="72" formatCode="General">
                        <c:v>-9.9708599250936327</c:v>
                      </c:pt>
                      <c:pt idx="73" formatCode="General">
                        <c:v>-10.00705468164794</c:v>
                      </c:pt>
                      <c:pt idx="74" formatCode="General">
                        <c:v>-10.043249438202247</c:v>
                      </c:pt>
                      <c:pt idx="75" formatCode="General">
                        <c:v>-10.079444194756555</c:v>
                      </c:pt>
                      <c:pt idx="76" formatCode="General">
                        <c:v>-10.115638951310862</c:v>
                      </c:pt>
                      <c:pt idx="77" formatCode="General">
                        <c:v>-10.151833707865169</c:v>
                      </c:pt>
                      <c:pt idx="78" formatCode="General">
                        <c:v>-10.188028464419476</c:v>
                      </c:pt>
                      <c:pt idx="79" formatCode="General">
                        <c:v>-10.224223220973784</c:v>
                      </c:pt>
                      <c:pt idx="80" formatCode="General">
                        <c:v>-10.260417977528089</c:v>
                      </c:pt>
                      <c:pt idx="81" formatCode="General">
                        <c:v>-10.296612734082396</c:v>
                      </c:pt>
                      <c:pt idx="82" formatCode="General">
                        <c:v>-10.332807490636704</c:v>
                      </c:pt>
                      <c:pt idx="83" formatCode="General">
                        <c:v>-10.368107784431137</c:v>
                      </c:pt>
                      <c:pt idx="84" formatCode="General">
                        <c:v>-10.402598802395209</c:v>
                      </c:pt>
                      <c:pt idx="85" formatCode="General">
                        <c:v>-10.437089820359281</c:v>
                      </c:pt>
                      <c:pt idx="86" formatCode="General">
                        <c:v>-10.471580838323353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B-60C8-4A98-A947-234019680B74}"/>
                  </c:ext>
                </c:extLst>
              </c15:ser>
            </c15:filteredScatterSeries>
            <c15:filteredScatterSeries>
              <c15:ser>
                <c:idx val="7"/>
                <c:order val="9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306</c:v>
                      </c:pt>
                      <c:pt idx="1">
                        <c:v>314</c:v>
                      </c:pt>
                      <c:pt idx="2">
                        <c:v>322</c:v>
                      </c:pt>
                      <c:pt idx="3">
                        <c:v>330</c:v>
                      </c:pt>
                      <c:pt idx="4">
                        <c:v>338</c:v>
                      </c:pt>
                      <c:pt idx="5">
                        <c:v>346</c:v>
                      </c:pt>
                      <c:pt idx="6">
                        <c:v>354</c:v>
                      </c:pt>
                      <c:pt idx="7">
                        <c:v>362</c:v>
                      </c:pt>
                      <c:pt idx="8">
                        <c:v>370</c:v>
                      </c:pt>
                      <c:pt idx="9">
                        <c:v>378</c:v>
                      </c:pt>
                      <c:pt idx="10">
                        <c:v>386</c:v>
                      </c:pt>
                      <c:pt idx="11">
                        <c:v>394</c:v>
                      </c:pt>
                      <c:pt idx="12">
                        <c:v>402</c:v>
                      </c:pt>
                      <c:pt idx="13">
                        <c:v>410</c:v>
                      </c:pt>
                      <c:pt idx="14">
                        <c:v>418</c:v>
                      </c:pt>
                      <c:pt idx="15">
                        <c:v>426</c:v>
                      </c:pt>
                      <c:pt idx="16">
                        <c:v>434</c:v>
                      </c:pt>
                      <c:pt idx="17">
                        <c:v>442</c:v>
                      </c:pt>
                      <c:pt idx="18">
                        <c:v>450</c:v>
                      </c:pt>
                      <c:pt idx="19">
                        <c:v>458</c:v>
                      </c:pt>
                      <c:pt idx="20">
                        <c:v>466</c:v>
                      </c:pt>
                      <c:pt idx="21">
                        <c:v>474</c:v>
                      </c:pt>
                      <c:pt idx="22">
                        <c:v>482</c:v>
                      </c:pt>
                      <c:pt idx="23">
                        <c:v>490</c:v>
                      </c:pt>
                      <c:pt idx="24">
                        <c:v>498</c:v>
                      </c:pt>
                      <c:pt idx="25">
                        <c:v>506</c:v>
                      </c:pt>
                      <c:pt idx="26">
                        <c:v>514</c:v>
                      </c:pt>
                      <c:pt idx="27">
                        <c:v>522</c:v>
                      </c:pt>
                      <c:pt idx="28">
                        <c:v>530</c:v>
                      </c:pt>
                      <c:pt idx="29">
                        <c:v>538</c:v>
                      </c:pt>
                      <c:pt idx="30">
                        <c:v>546</c:v>
                      </c:pt>
                      <c:pt idx="31">
                        <c:v>554</c:v>
                      </c:pt>
                      <c:pt idx="32">
                        <c:v>562</c:v>
                      </c:pt>
                      <c:pt idx="33">
                        <c:v>570</c:v>
                      </c:pt>
                      <c:pt idx="34">
                        <c:v>578</c:v>
                      </c:pt>
                      <c:pt idx="35">
                        <c:v>586</c:v>
                      </c:pt>
                      <c:pt idx="36">
                        <c:v>594</c:v>
                      </c:pt>
                      <c:pt idx="37">
                        <c:v>602</c:v>
                      </c:pt>
                      <c:pt idx="38">
                        <c:v>610</c:v>
                      </c:pt>
                      <c:pt idx="39">
                        <c:v>618</c:v>
                      </c:pt>
                      <c:pt idx="40">
                        <c:v>626</c:v>
                      </c:pt>
                      <c:pt idx="41">
                        <c:v>634</c:v>
                      </c:pt>
                      <c:pt idx="42">
                        <c:v>642</c:v>
                      </c:pt>
                      <c:pt idx="43">
                        <c:v>650</c:v>
                      </c:pt>
                      <c:pt idx="44">
                        <c:v>658</c:v>
                      </c:pt>
                      <c:pt idx="45">
                        <c:v>666</c:v>
                      </c:pt>
                      <c:pt idx="46">
                        <c:v>674</c:v>
                      </c:pt>
                      <c:pt idx="47">
                        <c:v>682</c:v>
                      </c:pt>
                      <c:pt idx="48">
                        <c:v>690</c:v>
                      </c:pt>
                      <c:pt idx="49">
                        <c:v>698</c:v>
                      </c:pt>
                      <c:pt idx="50">
                        <c:v>706</c:v>
                      </c:pt>
                      <c:pt idx="51">
                        <c:v>714</c:v>
                      </c:pt>
                      <c:pt idx="52">
                        <c:v>722</c:v>
                      </c:pt>
                      <c:pt idx="53">
                        <c:v>730</c:v>
                      </c:pt>
                      <c:pt idx="54">
                        <c:v>738</c:v>
                      </c:pt>
                      <c:pt idx="55">
                        <c:v>746</c:v>
                      </c:pt>
                      <c:pt idx="56">
                        <c:v>754</c:v>
                      </c:pt>
                      <c:pt idx="57">
                        <c:v>762</c:v>
                      </c:pt>
                      <c:pt idx="58">
                        <c:v>770</c:v>
                      </c:pt>
                      <c:pt idx="59">
                        <c:v>778</c:v>
                      </c:pt>
                      <c:pt idx="60">
                        <c:v>786</c:v>
                      </c:pt>
                      <c:pt idx="61">
                        <c:v>794</c:v>
                      </c:pt>
                      <c:pt idx="62">
                        <c:v>802</c:v>
                      </c:pt>
                      <c:pt idx="63">
                        <c:v>810</c:v>
                      </c:pt>
                      <c:pt idx="64">
                        <c:v>818</c:v>
                      </c:pt>
                      <c:pt idx="65">
                        <c:v>826</c:v>
                      </c:pt>
                      <c:pt idx="66">
                        <c:v>834</c:v>
                      </c:pt>
                      <c:pt idx="67">
                        <c:v>842</c:v>
                      </c:pt>
                      <c:pt idx="68">
                        <c:v>850</c:v>
                      </c:pt>
                      <c:pt idx="69">
                        <c:v>858</c:v>
                      </c:pt>
                      <c:pt idx="70">
                        <c:v>866</c:v>
                      </c:pt>
                      <c:pt idx="71">
                        <c:v>874</c:v>
                      </c:pt>
                      <c:pt idx="72">
                        <c:v>882</c:v>
                      </c:pt>
                      <c:pt idx="73">
                        <c:v>890</c:v>
                      </c:pt>
                      <c:pt idx="74">
                        <c:v>898</c:v>
                      </c:pt>
                      <c:pt idx="75">
                        <c:v>906</c:v>
                      </c:pt>
                      <c:pt idx="76">
                        <c:v>914</c:v>
                      </c:pt>
                      <c:pt idx="77">
                        <c:v>922</c:v>
                      </c:pt>
                      <c:pt idx="78">
                        <c:v>930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EVALUATION!$B$110:$CP$110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-15.118108108108107</c:v>
                      </c:pt>
                      <c:pt idx="1">
                        <c:v>-14.88027027027027</c:v>
                      </c:pt>
                      <c:pt idx="2">
                        <c:v>-14.642432432432432</c:v>
                      </c:pt>
                      <c:pt idx="3">
                        <c:v>-14.404594594594593</c:v>
                      </c:pt>
                      <c:pt idx="4" formatCode="General">
                        <c:v>-13.959101796407184</c:v>
                      </c:pt>
                      <c:pt idx="5" formatCode="General">
                        <c:v>-13.46568862275449</c:v>
                      </c:pt>
                      <c:pt idx="6" formatCode="General">
                        <c:v>-12.972275449101796</c:v>
                      </c:pt>
                      <c:pt idx="7" formatCode="General">
                        <c:v>-12.478862275449101</c:v>
                      </c:pt>
                      <c:pt idx="8" formatCode="General">
                        <c:v>-11.950329341317365</c:v>
                      </c:pt>
                      <c:pt idx="9" formatCode="General">
                        <c:v>-11.40182634730539</c:v>
                      </c:pt>
                      <c:pt idx="10" formatCode="General">
                        <c:v>-10.853323353293414</c:v>
                      </c:pt>
                      <c:pt idx="11" formatCode="General">
                        <c:v>-10.304820359281438</c:v>
                      </c:pt>
                      <c:pt idx="12" formatCode="General">
                        <c:v>-9.7896616766467073</c:v>
                      </c:pt>
                      <c:pt idx="13" formatCode="General">
                        <c:v>-9.3132544910179647</c:v>
                      </c:pt>
                      <c:pt idx="14" formatCode="General">
                        <c:v>-8.836847305389222</c:v>
                      </c:pt>
                      <c:pt idx="15" formatCode="General">
                        <c:v>-8.3604401197604794</c:v>
                      </c:pt>
                      <c:pt idx="16" formatCode="General">
                        <c:v>-7.9011107784431145</c:v>
                      </c:pt>
                      <c:pt idx="17" formatCode="General">
                        <c:v>-7.4841047904191624</c:v>
                      </c:pt>
                      <c:pt idx="18" formatCode="General">
                        <c:v>-7.0670988023952104</c:v>
                      </c:pt>
                      <c:pt idx="19" formatCode="General">
                        <c:v>-6.6500928143712592</c:v>
                      </c:pt>
                      <c:pt idx="20" formatCode="General">
                        <c:v>-6.2383952095808395</c:v>
                      </c:pt>
                      <c:pt idx="21" formatCode="General">
                        <c:v>-5.8685748502994022</c:v>
                      </c:pt>
                      <c:pt idx="22" formatCode="General">
                        <c:v>-5.4987544910179649</c:v>
                      </c:pt>
                      <c:pt idx="23" formatCode="General">
                        <c:v>-5.1289341317365267</c:v>
                      </c:pt>
                      <c:pt idx="24" formatCode="General">
                        <c:v>-4.7591137724550894</c:v>
                      </c:pt>
                      <c:pt idx="25" formatCode="General">
                        <c:v>-4.6019909909909904</c:v>
                      </c:pt>
                      <c:pt idx="26" formatCode="General">
                        <c:v>-4.4590480480480474</c:v>
                      </c:pt>
                      <c:pt idx="27" formatCode="General">
                        <c:v>-4.3161051051051045</c:v>
                      </c:pt>
                      <c:pt idx="28" formatCode="General">
                        <c:v>-4.1731621621621615</c:v>
                      </c:pt>
                      <c:pt idx="29" formatCode="General">
                        <c:v>-4.1562215568862273</c:v>
                      </c:pt>
                      <c:pt idx="30" formatCode="General">
                        <c:v>-4.1758622754491022</c:v>
                      </c:pt>
                      <c:pt idx="31" formatCode="General">
                        <c:v>-4.1955029940119761</c:v>
                      </c:pt>
                      <c:pt idx="32" formatCode="General">
                        <c:v>-4.2151437125748501</c:v>
                      </c:pt>
                      <c:pt idx="33" formatCode="General">
                        <c:v>-4.2348562874251492</c:v>
                      </c:pt>
                      <c:pt idx="34" formatCode="General">
                        <c:v>-4.2546167664670653</c:v>
                      </c:pt>
                      <c:pt idx="35" formatCode="General">
                        <c:v>-4.2743772455089815</c:v>
                      </c:pt>
                      <c:pt idx="36" formatCode="General">
                        <c:v>-4.2941377245508976</c:v>
                      </c:pt>
                      <c:pt idx="37" formatCode="General">
                        <c:v>-4.3138982035928146</c:v>
                      </c:pt>
                      <c:pt idx="38" formatCode="General">
                        <c:v>-4.3336586826347308</c:v>
                      </c:pt>
                      <c:pt idx="39" formatCode="General">
                        <c:v>-4.3534191616766469</c:v>
                      </c:pt>
                      <c:pt idx="40" formatCode="General">
                        <c:v>-4.373179640718563</c:v>
                      </c:pt>
                      <c:pt idx="41" formatCode="General">
                        <c:v>-4.3929401197604792</c:v>
                      </c:pt>
                      <c:pt idx="42" formatCode="General">
                        <c:v>-4.4127005988023953</c:v>
                      </c:pt>
                      <c:pt idx="43" formatCode="General">
                        <c:v>-4.4324610778443114</c:v>
                      </c:pt>
                      <c:pt idx="44" formatCode="General">
                        <c:v>-4.4522215568862276</c:v>
                      </c:pt>
                      <c:pt idx="45" formatCode="General">
                        <c:v>-4.4719820359281437</c:v>
                      </c:pt>
                      <c:pt idx="46" formatCode="General">
                        <c:v>-4.4917425149700598</c:v>
                      </c:pt>
                      <c:pt idx="47" formatCode="General">
                        <c:v>-4.511502994011976</c:v>
                      </c:pt>
                      <c:pt idx="48" formatCode="General">
                        <c:v>-4.5312634730538921</c:v>
                      </c:pt>
                      <c:pt idx="49" formatCode="General">
                        <c:v>-4.5510239520958082</c:v>
                      </c:pt>
                      <c:pt idx="50" formatCode="General">
                        <c:v>-4.5702584269662925</c:v>
                      </c:pt>
                      <c:pt idx="51" formatCode="General">
                        <c:v>-4.5894344569288394</c:v>
                      </c:pt>
                      <c:pt idx="52" formatCode="General">
                        <c:v>-4.6086104868913855</c:v>
                      </c:pt>
                      <c:pt idx="53" formatCode="General">
                        <c:v>-4.6277865168539325</c:v>
                      </c:pt>
                      <c:pt idx="54" formatCode="General">
                        <c:v>-4.6469625468164795</c:v>
                      </c:pt>
                      <c:pt idx="55" formatCode="General">
                        <c:v>-4.6661385767790264</c:v>
                      </c:pt>
                      <c:pt idx="56" formatCode="General">
                        <c:v>-4.6853146067415734</c:v>
                      </c:pt>
                      <c:pt idx="57" formatCode="General">
                        <c:v>-4.7044906367041204</c:v>
                      </c:pt>
                      <c:pt idx="58" formatCode="General">
                        <c:v>-4.7236666666666665</c:v>
                      </c:pt>
                      <c:pt idx="59" formatCode="General">
                        <c:v>-4.7428426966292134</c:v>
                      </c:pt>
                      <c:pt idx="60" formatCode="General">
                        <c:v>-4.7620187265917604</c:v>
                      </c:pt>
                      <c:pt idx="61" formatCode="General">
                        <c:v>-4.7811947565543074</c:v>
                      </c:pt>
                      <c:pt idx="62" formatCode="General">
                        <c:v>-4.8003707865168543</c:v>
                      </c:pt>
                      <c:pt idx="63" formatCode="General">
                        <c:v>-4.8195468164794013</c:v>
                      </c:pt>
                      <c:pt idx="64" formatCode="General">
                        <c:v>-4.8387228464419483</c:v>
                      </c:pt>
                      <c:pt idx="65" formatCode="General">
                        <c:v>-4.8578988764044944</c:v>
                      </c:pt>
                      <c:pt idx="66" formatCode="General">
                        <c:v>-4.8768456928838955</c:v>
                      </c:pt>
                      <c:pt idx="67" formatCode="General">
                        <c:v>-4.8949430711610491</c:v>
                      </c:pt>
                      <c:pt idx="68" formatCode="General">
                        <c:v>-4.9130404494382027</c:v>
                      </c:pt>
                      <c:pt idx="69" formatCode="General">
                        <c:v>-4.9311378277153564</c:v>
                      </c:pt>
                      <c:pt idx="70" formatCode="General">
                        <c:v>-4.94923520599251</c:v>
                      </c:pt>
                      <c:pt idx="71" formatCode="General">
                        <c:v>-4.9673325842696627</c:v>
                      </c:pt>
                      <c:pt idx="72" formatCode="General">
                        <c:v>-4.9854299625468164</c:v>
                      </c:pt>
                      <c:pt idx="73" formatCode="General">
                        <c:v>-5.00352734082397</c:v>
                      </c:pt>
                      <c:pt idx="74" formatCode="General">
                        <c:v>-5.0216247191011236</c:v>
                      </c:pt>
                      <c:pt idx="75" formatCode="General">
                        <c:v>-5.0397220973782773</c:v>
                      </c:pt>
                      <c:pt idx="76" formatCode="General">
                        <c:v>-5.0578194756554309</c:v>
                      </c:pt>
                      <c:pt idx="77" formatCode="General">
                        <c:v>-5.0759168539325845</c:v>
                      </c:pt>
                      <c:pt idx="78" formatCode="General">
                        <c:v>-5.0940142322097381</c:v>
                      </c:pt>
                      <c:pt idx="79" formatCode="General">
                        <c:v>-5.1121116104868918</c:v>
                      </c:pt>
                      <c:pt idx="80" formatCode="General">
                        <c:v>-5.1302089887640445</c:v>
                      </c:pt>
                      <c:pt idx="81" formatCode="General">
                        <c:v>-5.1483063670411982</c:v>
                      </c:pt>
                      <c:pt idx="82" formatCode="General">
                        <c:v>-5.1664037453183518</c:v>
                      </c:pt>
                      <c:pt idx="83" formatCode="General">
                        <c:v>-5.1840538922155686</c:v>
                      </c:pt>
                      <c:pt idx="84" formatCode="General">
                        <c:v>-5.2012994011976046</c:v>
                      </c:pt>
                      <c:pt idx="85" formatCode="General">
                        <c:v>-5.2185449101796406</c:v>
                      </c:pt>
                      <c:pt idx="86" formatCode="General">
                        <c:v>-5.2357904191616766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C-60C8-4A98-A947-234019680B74}"/>
                  </c:ext>
                </c:extLst>
              </c15:ser>
            </c15:filteredScatterSeries>
            <c15:filteredScatterSeries>
              <c15:ser>
                <c:idx val="8"/>
                <c:order val="10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306</c:v>
                      </c:pt>
                      <c:pt idx="1">
                        <c:v>314</c:v>
                      </c:pt>
                      <c:pt idx="2">
                        <c:v>322</c:v>
                      </c:pt>
                      <c:pt idx="3">
                        <c:v>330</c:v>
                      </c:pt>
                      <c:pt idx="4">
                        <c:v>338</c:v>
                      </c:pt>
                      <c:pt idx="5">
                        <c:v>346</c:v>
                      </c:pt>
                      <c:pt idx="6">
                        <c:v>354</c:v>
                      </c:pt>
                      <c:pt idx="7">
                        <c:v>362</c:v>
                      </c:pt>
                      <c:pt idx="8">
                        <c:v>370</c:v>
                      </c:pt>
                      <c:pt idx="9">
                        <c:v>378</c:v>
                      </c:pt>
                      <c:pt idx="10">
                        <c:v>386</c:v>
                      </c:pt>
                      <c:pt idx="11">
                        <c:v>394</c:v>
                      </c:pt>
                      <c:pt idx="12">
                        <c:v>402</c:v>
                      </c:pt>
                      <c:pt idx="13">
                        <c:v>410</c:v>
                      </c:pt>
                      <c:pt idx="14">
                        <c:v>418</c:v>
                      </c:pt>
                      <c:pt idx="15">
                        <c:v>426</c:v>
                      </c:pt>
                      <c:pt idx="16">
                        <c:v>434</c:v>
                      </c:pt>
                      <c:pt idx="17">
                        <c:v>442</c:v>
                      </c:pt>
                      <c:pt idx="18">
                        <c:v>450</c:v>
                      </c:pt>
                      <c:pt idx="19">
                        <c:v>458</c:v>
                      </c:pt>
                      <c:pt idx="20">
                        <c:v>466</c:v>
                      </c:pt>
                      <c:pt idx="21">
                        <c:v>474</c:v>
                      </c:pt>
                      <c:pt idx="22">
                        <c:v>482</c:v>
                      </c:pt>
                      <c:pt idx="23">
                        <c:v>490</c:v>
                      </c:pt>
                      <c:pt idx="24">
                        <c:v>498</c:v>
                      </c:pt>
                      <c:pt idx="25">
                        <c:v>506</c:v>
                      </c:pt>
                      <c:pt idx="26">
                        <c:v>514</c:v>
                      </c:pt>
                      <c:pt idx="27">
                        <c:v>522</c:v>
                      </c:pt>
                      <c:pt idx="28">
                        <c:v>530</c:v>
                      </c:pt>
                      <c:pt idx="29">
                        <c:v>538</c:v>
                      </c:pt>
                      <c:pt idx="30">
                        <c:v>546</c:v>
                      </c:pt>
                      <c:pt idx="31">
                        <c:v>554</c:v>
                      </c:pt>
                      <c:pt idx="32">
                        <c:v>562</c:v>
                      </c:pt>
                      <c:pt idx="33">
                        <c:v>570</c:v>
                      </c:pt>
                      <c:pt idx="34">
                        <c:v>578</c:v>
                      </c:pt>
                      <c:pt idx="35">
                        <c:v>586</c:v>
                      </c:pt>
                      <c:pt idx="36">
                        <c:v>594</c:v>
                      </c:pt>
                      <c:pt idx="37">
                        <c:v>602</c:v>
                      </c:pt>
                      <c:pt idx="38">
                        <c:v>610</c:v>
                      </c:pt>
                      <c:pt idx="39">
                        <c:v>618</c:v>
                      </c:pt>
                      <c:pt idx="40">
                        <c:v>626</c:v>
                      </c:pt>
                      <c:pt idx="41">
                        <c:v>634</c:v>
                      </c:pt>
                      <c:pt idx="42">
                        <c:v>642</c:v>
                      </c:pt>
                      <c:pt idx="43">
                        <c:v>650</c:v>
                      </c:pt>
                      <c:pt idx="44">
                        <c:v>658</c:v>
                      </c:pt>
                      <c:pt idx="45">
                        <c:v>666</c:v>
                      </c:pt>
                      <c:pt idx="46">
                        <c:v>674</c:v>
                      </c:pt>
                      <c:pt idx="47">
                        <c:v>682</c:v>
                      </c:pt>
                      <c:pt idx="48">
                        <c:v>690</c:v>
                      </c:pt>
                      <c:pt idx="49">
                        <c:v>698</c:v>
                      </c:pt>
                      <c:pt idx="50">
                        <c:v>706</c:v>
                      </c:pt>
                      <c:pt idx="51">
                        <c:v>714</c:v>
                      </c:pt>
                      <c:pt idx="52">
                        <c:v>722</c:v>
                      </c:pt>
                      <c:pt idx="53">
                        <c:v>730</c:v>
                      </c:pt>
                      <c:pt idx="54">
                        <c:v>738</c:v>
                      </c:pt>
                      <c:pt idx="55">
                        <c:v>746</c:v>
                      </c:pt>
                      <c:pt idx="56">
                        <c:v>754</c:v>
                      </c:pt>
                      <c:pt idx="57">
                        <c:v>762</c:v>
                      </c:pt>
                      <c:pt idx="58">
                        <c:v>770</c:v>
                      </c:pt>
                      <c:pt idx="59">
                        <c:v>778</c:v>
                      </c:pt>
                      <c:pt idx="60">
                        <c:v>786</c:v>
                      </c:pt>
                      <c:pt idx="61">
                        <c:v>794</c:v>
                      </c:pt>
                      <c:pt idx="62">
                        <c:v>802</c:v>
                      </c:pt>
                      <c:pt idx="63">
                        <c:v>810</c:v>
                      </c:pt>
                      <c:pt idx="64">
                        <c:v>818</c:v>
                      </c:pt>
                      <c:pt idx="65">
                        <c:v>826</c:v>
                      </c:pt>
                      <c:pt idx="66">
                        <c:v>834</c:v>
                      </c:pt>
                      <c:pt idx="67">
                        <c:v>842</c:v>
                      </c:pt>
                      <c:pt idx="68">
                        <c:v>850</c:v>
                      </c:pt>
                      <c:pt idx="69">
                        <c:v>858</c:v>
                      </c:pt>
                      <c:pt idx="70">
                        <c:v>866</c:v>
                      </c:pt>
                      <c:pt idx="71">
                        <c:v>874</c:v>
                      </c:pt>
                      <c:pt idx="72">
                        <c:v>882</c:v>
                      </c:pt>
                      <c:pt idx="73">
                        <c:v>890</c:v>
                      </c:pt>
                      <c:pt idx="74">
                        <c:v>898</c:v>
                      </c:pt>
                      <c:pt idx="75">
                        <c:v>906</c:v>
                      </c:pt>
                      <c:pt idx="76">
                        <c:v>914</c:v>
                      </c:pt>
                      <c:pt idx="77">
                        <c:v>922</c:v>
                      </c:pt>
                      <c:pt idx="78">
                        <c:v>930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EVALUATION!$B$111:$CP$111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-19.022342342342341</c:v>
                      </c:pt>
                      <c:pt idx="1">
                        <c:v>-19.024744744744744</c:v>
                      </c:pt>
                      <c:pt idx="2">
                        <c:v>-19.027147147147147</c:v>
                      </c:pt>
                      <c:pt idx="3">
                        <c:v>-19.02954954954955</c:v>
                      </c:pt>
                      <c:pt idx="4" formatCode="General">
                        <c:v>-19.035838323353293</c:v>
                      </c:pt>
                      <c:pt idx="5" formatCode="General">
                        <c:v>-19.043023952095808</c:v>
                      </c:pt>
                      <c:pt idx="6" formatCode="General">
                        <c:v>-19.050209580838324</c:v>
                      </c:pt>
                      <c:pt idx="7" formatCode="General">
                        <c:v>-19.057395209580836</c:v>
                      </c:pt>
                      <c:pt idx="8" formatCode="General">
                        <c:v>-19.06763473053892</c:v>
                      </c:pt>
                      <c:pt idx="9" formatCode="General">
                        <c:v>-19.079610778443111</c:v>
                      </c:pt>
                      <c:pt idx="10" formatCode="General">
                        <c:v>-19.091586826347303</c:v>
                      </c:pt>
                      <c:pt idx="11" formatCode="General">
                        <c:v>-19.103562874251498</c:v>
                      </c:pt>
                      <c:pt idx="12" formatCode="General">
                        <c:v>-19.116646706586828</c:v>
                      </c:pt>
                      <c:pt idx="13" formatCode="General">
                        <c:v>-19.131017964071855</c:v>
                      </c:pt>
                      <c:pt idx="14" formatCode="General">
                        <c:v>-19.145389221556886</c:v>
                      </c:pt>
                      <c:pt idx="15" formatCode="General">
                        <c:v>-19.159760479041918</c:v>
                      </c:pt>
                      <c:pt idx="16" formatCode="General">
                        <c:v>-19.174131736526949</c:v>
                      </c:pt>
                      <c:pt idx="17" formatCode="General">
                        <c:v>-19.188502994011976</c:v>
                      </c:pt>
                      <c:pt idx="18" formatCode="General">
                        <c:v>-19.202874251497008</c:v>
                      </c:pt>
                      <c:pt idx="19" formatCode="General">
                        <c:v>-19.217245508982035</c:v>
                      </c:pt>
                      <c:pt idx="20" formatCode="General">
                        <c:v>-19.231886227544912</c:v>
                      </c:pt>
                      <c:pt idx="21" formatCode="General">
                        <c:v>-19.248652694610779</c:v>
                      </c:pt>
                      <c:pt idx="22" formatCode="General">
                        <c:v>-19.265419161676647</c:v>
                      </c:pt>
                      <c:pt idx="23" formatCode="General">
                        <c:v>-19.282185628742514</c:v>
                      </c:pt>
                      <c:pt idx="24" formatCode="General">
                        <c:v>-19.298952095808385</c:v>
                      </c:pt>
                      <c:pt idx="25" formatCode="General">
                        <c:v>-19.2481981981982</c:v>
                      </c:pt>
                      <c:pt idx="26" formatCode="General">
                        <c:v>-19.192942942942942</c:v>
                      </c:pt>
                      <c:pt idx="27" formatCode="General">
                        <c:v>-19.137687687687688</c:v>
                      </c:pt>
                      <c:pt idx="28" formatCode="General">
                        <c:v>-19.082432432432434</c:v>
                      </c:pt>
                      <c:pt idx="29" formatCode="General">
                        <c:v>-19.062574850299402</c:v>
                      </c:pt>
                      <c:pt idx="30" formatCode="General">
                        <c:v>-19.052994011976047</c:v>
                      </c:pt>
                      <c:pt idx="31" formatCode="General">
                        <c:v>-19.043413173652695</c:v>
                      </c:pt>
                      <c:pt idx="32" formatCode="General">
                        <c:v>-19.033832335329343</c:v>
                      </c:pt>
                      <c:pt idx="33" formatCode="General">
                        <c:v>-19.040059880239522</c:v>
                      </c:pt>
                      <c:pt idx="34" formatCode="General">
                        <c:v>-19.056826347305389</c:v>
                      </c:pt>
                      <c:pt idx="35" formatCode="General">
                        <c:v>-19.07359281437126</c:v>
                      </c:pt>
                      <c:pt idx="36" formatCode="General">
                        <c:v>-19.090359281437127</c:v>
                      </c:pt>
                      <c:pt idx="37" formatCode="General">
                        <c:v>-19.107125748502995</c:v>
                      </c:pt>
                      <c:pt idx="38" formatCode="General">
                        <c:v>-19.123892215568862</c:v>
                      </c:pt>
                      <c:pt idx="39" formatCode="General">
                        <c:v>-19.140658682634729</c:v>
                      </c:pt>
                      <c:pt idx="40" formatCode="General">
                        <c:v>-19.1574251497006</c:v>
                      </c:pt>
                      <c:pt idx="41" formatCode="General">
                        <c:v>-19.174191616766468</c:v>
                      </c:pt>
                      <c:pt idx="42" formatCode="General">
                        <c:v>-19.190958083832335</c:v>
                      </c:pt>
                      <c:pt idx="43" formatCode="General">
                        <c:v>-19.207724550898202</c:v>
                      </c:pt>
                      <c:pt idx="44" formatCode="General">
                        <c:v>-19.22449101796407</c:v>
                      </c:pt>
                      <c:pt idx="45" formatCode="General">
                        <c:v>-19.241257485029941</c:v>
                      </c:pt>
                      <c:pt idx="46" formatCode="General">
                        <c:v>-19.258023952095808</c:v>
                      </c:pt>
                      <c:pt idx="47" formatCode="General">
                        <c:v>-19.274790419161675</c:v>
                      </c:pt>
                      <c:pt idx="48" formatCode="General">
                        <c:v>-19.291556886227543</c:v>
                      </c:pt>
                      <c:pt idx="49" formatCode="General">
                        <c:v>-19.30832335329341</c:v>
                      </c:pt>
                      <c:pt idx="50" formatCode="General">
                        <c:v>-19.324022471910112</c:v>
                      </c:pt>
                      <c:pt idx="51" formatCode="General">
                        <c:v>-19.33960299625468</c:v>
                      </c:pt>
                      <c:pt idx="52" formatCode="General">
                        <c:v>-19.355183520599251</c:v>
                      </c:pt>
                      <c:pt idx="53" formatCode="General">
                        <c:v>-19.370764044943819</c:v>
                      </c:pt>
                      <c:pt idx="54" formatCode="General">
                        <c:v>-19.38634456928839</c:v>
                      </c:pt>
                      <c:pt idx="55" formatCode="General">
                        <c:v>-19.401925093632958</c:v>
                      </c:pt>
                      <c:pt idx="56" formatCode="General">
                        <c:v>-19.417505617977529</c:v>
                      </c:pt>
                      <c:pt idx="57" formatCode="General">
                        <c:v>-19.433086142322097</c:v>
                      </c:pt>
                      <c:pt idx="58" formatCode="General">
                        <c:v>-19.448666666666668</c:v>
                      </c:pt>
                      <c:pt idx="59" formatCode="General">
                        <c:v>-19.464247191011236</c:v>
                      </c:pt>
                      <c:pt idx="60" formatCode="General">
                        <c:v>-19.479827715355807</c:v>
                      </c:pt>
                      <c:pt idx="61" formatCode="General">
                        <c:v>-19.495408239700375</c:v>
                      </c:pt>
                      <c:pt idx="62" formatCode="General">
                        <c:v>-19.510988764044942</c:v>
                      </c:pt>
                      <c:pt idx="63" formatCode="General">
                        <c:v>-19.526569288389513</c:v>
                      </c:pt>
                      <c:pt idx="64" formatCode="General">
                        <c:v>-19.542149812734081</c:v>
                      </c:pt>
                      <c:pt idx="65" formatCode="General">
                        <c:v>-19.557730337078652</c:v>
                      </c:pt>
                      <c:pt idx="66" formatCode="General">
                        <c:v>-19.573183520599251</c:v>
                      </c:pt>
                      <c:pt idx="67" formatCode="General">
                        <c:v>-19.58816479400749</c:v>
                      </c:pt>
                      <c:pt idx="68" formatCode="General">
                        <c:v>-19.603146067415732</c:v>
                      </c:pt>
                      <c:pt idx="69" formatCode="General">
                        <c:v>-19.618127340823971</c:v>
                      </c:pt>
                      <c:pt idx="70" formatCode="General">
                        <c:v>-19.63310861423221</c:v>
                      </c:pt>
                      <c:pt idx="71" formatCode="General">
                        <c:v>-19.648089887640449</c:v>
                      </c:pt>
                      <c:pt idx="72" formatCode="General">
                        <c:v>-19.663071161048691</c:v>
                      </c:pt>
                      <c:pt idx="73" formatCode="General">
                        <c:v>-19.67805243445693</c:v>
                      </c:pt>
                      <c:pt idx="74" formatCode="General">
                        <c:v>-19.693033707865169</c:v>
                      </c:pt>
                      <c:pt idx="75" formatCode="General">
                        <c:v>-19.708014981273408</c:v>
                      </c:pt>
                      <c:pt idx="76" formatCode="General">
                        <c:v>-19.722996254681647</c:v>
                      </c:pt>
                      <c:pt idx="77" formatCode="General">
                        <c:v>-19.737977528089889</c:v>
                      </c:pt>
                      <c:pt idx="78" formatCode="General">
                        <c:v>-19.752958801498128</c:v>
                      </c:pt>
                      <c:pt idx="79" formatCode="General">
                        <c:v>-19.767940074906367</c:v>
                      </c:pt>
                      <c:pt idx="80" formatCode="General">
                        <c:v>-19.782921348314606</c:v>
                      </c:pt>
                      <c:pt idx="81" formatCode="General">
                        <c:v>-19.797902621722848</c:v>
                      </c:pt>
                      <c:pt idx="82" formatCode="General">
                        <c:v>-19.812883895131087</c:v>
                      </c:pt>
                      <c:pt idx="83" formatCode="General">
                        <c:v>-19.82754491017964</c:v>
                      </c:pt>
                      <c:pt idx="84" formatCode="General">
                        <c:v>-19.841916167664671</c:v>
                      </c:pt>
                      <c:pt idx="85" formatCode="General">
                        <c:v>-19.856287425149699</c:v>
                      </c:pt>
                      <c:pt idx="86" formatCode="General">
                        <c:v>-19.87065868263473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D-60C8-4A98-A947-234019680B74}"/>
                  </c:ext>
                </c:extLst>
              </c15:ser>
            </c15:filteredScatterSeries>
            <c15:filteredScatterSeries>
              <c15:ser>
                <c:idx val="9"/>
                <c:order val="11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306</c:v>
                      </c:pt>
                      <c:pt idx="1">
                        <c:v>314</c:v>
                      </c:pt>
                      <c:pt idx="2">
                        <c:v>322</c:v>
                      </c:pt>
                      <c:pt idx="3">
                        <c:v>330</c:v>
                      </c:pt>
                      <c:pt idx="4">
                        <c:v>338</c:v>
                      </c:pt>
                      <c:pt idx="5">
                        <c:v>346</c:v>
                      </c:pt>
                      <c:pt idx="6">
                        <c:v>354</c:v>
                      </c:pt>
                      <c:pt idx="7">
                        <c:v>362</c:v>
                      </c:pt>
                      <c:pt idx="8">
                        <c:v>370</c:v>
                      </c:pt>
                      <c:pt idx="9">
                        <c:v>378</c:v>
                      </c:pt>
                      <c:pt idx="10">
                        <c:v>386</c:v>
                      </c:pt>
                      <c:pt idx="11">
                        <c:v>394</c:v>
                      </c:pt>
                      <c:pt idx="12">
                        <c:v>402</c:v>
                      </c:pt>
                      <c:pt idx="13">
                        <c:v>410</c:v>
                      </c:pt>
                      <c:pt idx="14">
                        <c:v>418</c:v>
                      </c:pt>
                      <c:pt idx="15">
                        <c:v>426</c:v>
                      </c:pt>
                      <c:pt idx="16">
                        <c:v>434</c:v>
                      </c:pt>
                      <c:pt idx="17">
                        <c:v>442</c:v>
                      </c:pt>
                      <c:pt idx="18">
                        <c:v>450</c:v>
                      </c:pt>
                      <c:pt idx="19">
                        <c:v>458</c:v>
                      </c:pt>
                      <c:pt idx="20">
                        <c:v>466</c:v>
                      </c:pt>
                      <c:pt idx="21">
                        <c:v>474</c:v>
                      </c:pt>
                      <c:pt idx="22">
                        <c:v>482</c:v>
                      </c:pt>
                      <c:pt idx="23">
                        <c:v>490</c:v>
                      </c:pt>
                      <c:pt idx="24">
                        <c:v>498</c:v>
                      </c:pt>
                      <c:pt idx="25">
                        <c:v>506</c:v>
                      </c:pt>
                      <c:pt idx="26">
                        <c:v>514</c:v>
                      </c:pt>
                      <c:pt idx="27">
                        <c:v>522</c:v>
                      </c:pt>
                      <c:pt idx="28">
                        <c:v>530</c:v>
                      </c:pt>
                      <c:pt idx="29">
                        <c:v>538</c:v>
                      </c:pt>
                      <c:pt idx="30">
                        <c:v>546</c:v>
                      </c:pt>
                      <c:pt idx="31">
                        <c:v>554</c:v>
                      </c:pt>
                      <c:pt idx="32">
                        <c:v>562</c:v>
                      </c:pt>
                      <c:pt idx="33">
                        <c:v>570</c:v>
                      </c:pt>
                      <c:pt idx="34">
                        <c:v>578</c:v>
                      </c:pt>
                      <c:pt idx="35">
                        <c:v>586</c:v>
                      </c:pt>
                      <c:pt idx="36">
                        <c:v>594</c:v>
                      </c:pt>
                      <c:pt idx="37">
                        <c:v>602</c:v>
                      </c:pt>
                      <c:pt idx="38">
                        <c:v>610</c:v>
                      </c:pt>
                      <c:pt idx="39">
                        <c:v>618</c:v>
                      </c:pt>
                      <c:pt idx="40">
                        <c:v>626</c:v>
                      </c:pt>
                      <c:pt idx="41">
                        <c:v>634</c:v>
                      </c:pt>
                      <c:pt idx="42">
                        <c:v>642</c:v>
                      </c:pt>
                      <c:pt idx="43">
                        <c:v>650</c:v>
                      </c:pt>
                      <c:pt idx="44">
                        <c:v>658</c:v>
                      </c:pt>
                      <c:pt idx="45">
                        <c:v>666</c:v>
                      </c:pt>
                      <c:pt idx="46">
                        <c:v>674</c:v>
                      </c:pt>
                      <c:pt idx="47">
                        <c:v>682</c:v>
                      </c:pt>
                      <c:pt idx="48">
                        <c:v>690</c:v>
                      </c:pt>
                      <c:pt idx="49">
                        <c:v>698</c:v>
                      </c:pt>
                      <c:pt idx="50">
                        <c:v>706</c:v>
                      </c:pt>
                      <c:pt idx="51">
                        <c:v>714</c:v>
                      </c:pt>
                      <c:pt idx="52">
                        <c:v>722</c:v>
                      </c:pt>
                      <c:pt idx="53">
                        <c:v>730</c:v>
                      </c:pt>
                      <c:pt idx="54">
                        <c:v>738</c:v>
                      </c:pt>
                      <c:pt idx="55">
                        <c:v>746</c:v>
                      </c:pt>
                      <c:pt idx="56">
                        <c:v>754</c:v>
                      </c:pt>
                      <c:pt idx="57">
                        <c:v>762</c:v>
                      </c:pt>
                      <c:pt idx="58">
                        <c:v>770</c:v>
                      </c:pt>
                      <c:pt idx="59">
                        <c:v>778</c:v>
                      </c:pt>
                      <c:pt idx="60">
                        <c:v>786</c:v>
                      </c:pt>
                      <c:pt idx="61">
                        <c:v>794</c:v>
                      </c:pt>
                      <c:pt idx="62">
                        <c:v>802</c:v>
                      </c:pt>
                      <c:pt idx="63">
                        <c:v>810</c:v>
                      </c:pt>
                      <c:pt idx="64">
                        <c:v>818</c:v>
                      </c:pt>
                      <c:pt idx="65">
                        <c:v>826</c:v>
                      </c:pt>
                      <c:pt idx="66">
                        <c:v>834</c:v>
                      </c:pt>
                      <c:pt idx="67">
                        <c:v>842</c:v>
                      </c:pt>
                      <c:pt idx="68">
                        <c:v>850</c:v>
                      </c:pt>
                      <c:pt idx="69">
                        <c:v>858</c:v>
                      </c:pt>
                      <c:pt idx="70">
                        <c:v>866</c:v>
                      </c:pt>
                      <c:pt idx="71">
                        <c:v>874</c:v>
                      </c:pt>
                      <c:pt idx="72">
                        <c:v>882</c:v>
                      </c:pt>
                      <c:pt idx="73">
                        <c:v>890</c:v>
                      </c:pt>
                      <c:pt idx="74">
                        <c:v>898</c:v>
                      </c:pt>
                      <c:pt idx="75">
                        <c:v>906</c:v>
                      </c:pt>
                      <c:pt idx="76">
                        <c:v>914</c:v>
                      </c:pt>
                      <c:pt idx="77">
                        <c:v>922</c:v>
                      </c:pt>
                      <c:pt idx="78">
                        <c:v>930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EVALUATION!$B$112:$CP$112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-15.118108108108107</c:v>
                      </c:pt>
                      <c:pt idx="1">
                        <c:v>-14.88027027027027</c:v>
                      </c:pt>
                      <c:pt idx="2">
                        <c:v>-14.642432432432432</c:v>
                      </c:pt>
                      <c:pt idx="3">
                        <c:v>-14.404594594594593</c:v>
                      </c:pt>
                      <c:pt idx="4" formatCode="General">
                        <c:v>-13.959101796407184</c:v>
                      </c:pt>
                      <c:pt idx="5" formatCode="General">
                        <c:v>-13.46568862275449</c:v>
                      </c:pt>
                      <c:pt idx="6" formatCode="General">
                        <c:v>-12.972275449101796</c:v>
                      </c:pt>
                      <c:pt idx="7" formatCode="General">
                        <c:v>-12.478862275449101</c:v>
                      </c:pt>
                      <c:pt idx="8" formatCode="General">
                        <c:v>-11.950329341317365</c:v>
                      </c:pt>
                      <c:pt idx="9" formatCode="General">
                        <c:v>-11.40182634730539</c:v>
                      </c:pt>
                      <c:pt idx="10" formatCode="General">
                        <c:v>-10.853323353293414</c:v>
                      </c:pt>
                      <c:pt idx="11" formatCode="General">
                        <c:v>-10.304820359281438</c:v>
                      </c:pt>
                      <c:pt idx="12" formatCode="General">
                        <c:v>-9.7896616766467073</c:v>
                      </c:pt>
                      <c:pt idx="13" formatCode="General">
                        <c:v>-9.3132544910179647</c:v>
                      </c:pt>
                      <c:pt idx="14" formatCode="General">
                        <c:v>-8.836847305389222</c:v>
                      </c:pt>
                      <c:pt idx="15" formatCode="General">
                        <c:v>-8.3604401197604794</c:v>
                      </c:pt>
                      <c:pt idx="16" formatCode="General">
                        <c:v>-7.9011107784431145</c:v>
                      </c:pt>
                      <c:pt idx="17" formatCode="General">
                        <c:v>-7.4841047904191624</c:v>
                      </c:pt>
                      <c:pt idx="18" formatCode="General">
                        <c:v>-7.0670988023952104</c:v>
                      </c:pt>
                      <c:pt idx="19" formatCode="General">
                        <c:v>-6.6500928143712592</c:v>
                      </c:pt>
                      <c:pt idx="20" formatCode="General">
                        <c:v>-6.2383952095808395</c:v>
                      </c:pt>
                      <c:pt idx="21" formatCode="General">
                        <c:v>-5.8685748502994022</c:v>
                      </c:pt>
                      <c:pt idx="22" formatCode="General">
                        <c:v>-5.4987544910179649</c:v>
                      </c:pt>
                      <c:pt idx="23" formatCode="General">
                        <c:v>-5.1289341317365267</c:v>
                      </c:pt>
                      <c:pt idx="24" formatCode="General">
                        <c:v>-4.7591137724550894</c:v>
                      </c:pt>
                      <c:pt idx="25" formatCode="General">
                        <c:v>-4.6019909909909904</c:v>
                      </c:pt>
                      <c:pt idx="26" formatCode="General">
                        <c:v>-4.4590480480480474</c:v>
                      </c:pt>
                      <c:pt idx="27" formatCode="General">
                        <c:v>-4.3161051051051045</c:v>
                      </c:pt>
                      <c:pt idx="28" formatCode="General">
                        <c:v>-4.1731621621621615</c:v>
                      </c:pt>
                      <c:pt idx="29" formatCode="General">
                        <c:v>-4.1562215568862273</c:v>
                      </c:pt>
                      <c:pt idx="30" formatCode="General">
                        <c:v>-4.1758622754491022</c:v>
                      </c:pt>
                      <c:pt idx="31" formatCode="General">
                        <c:v>-4.1955029940119761</c:v>
                      </c:pt>
                      <c:pt idx="32" formatCode="General">
                        <c:v>-4.2151437125748501</c:v>
                      </c:pt>
                      <c:pt idx="33" formatCode="General">
                        <c:v>-4.2348562874251492</c:v>
                      </c:pt>
                      <c:pt idx="34" formatCode="General">
                        <c:v>-4.2546167664670653</c:v>
                      </c:pt>
                      <c:pt idx="35" formatCode="General">
                        <c:v>-4.2743772455089815</c:v>
                      </c:pt>
                      <c:pt idx="36" formatCode="General">
                        <c:v>-4.2941377245508976</c:v>
                      </c:pt>
                      <c:pt idx="37" formatCode="General">
                        <c:v>-4.3138982035928146</c:v>
                      </c:pt>
                      <c:pt idx="38" formatCode="General">
                        <c:v>-4.3336586826347308</c:v>
                      </c:pt>
                      <c:pt idx="39" formatCode="General">
                        <c:v>-4.3534191616766469</c:v>
                      </c:pt>
                      <c:pt idx="40" formatCode="General">
                        <c:v>-4.373179640718563</c:v>
                      </c:pt>
                      <c:pt idx="41" formatCode="General">
                        <c:v>-4.3929401197604792</c:v>
                      </c:pt>
                      <c:pt idx="42" formatCode="General">
                        <c:v>-4.4127005988023953</c:v>
                      </c:pt>
                      <c:pt idx="43" formatCode="General">
                        <c:v>-4.4324610778443114</c:v>
                      </c:pt>
                      <c:pt idx="44" formatCode="General">
                        <c:v>-4.4522215568862276</c:v>
                      </c:pt>
                      <c:pt idx="45" formatCode="General">
                        <c:v>-4.4719820359281437</c:v>
                      </c:pt>
                      <c:pt idx="46" formatCode="General">
                        <c:v>-4.4917425149700598</c:v>
                      </c:pt>
                      <c:pt idx="47" formatCode="General">
                        <c:v>-4.511502994011976</c:v>
                      </c:pt>
                      <c:pt idx="48" formatCode="General">
                        <c:v>-4.5312634730538921</c:v>
                      </c:pt>
                      <c:pt idx="49" formatCode="General">
                        <c:v>-4.5510239520958082</c:v>
                      </c:pt>
                      <c:pt idx="50" formatCode="General">
                        <c:v>-4.5702584269662925</c:v>
                      </c:pt>
                      <c:pt idx="51" formatCode="General">
                        <c:v>-4.5894344569288394</c:v>
                      </c:pt>
                      <c:pt idx="52" formatCode="General">
                        <c:v>-4.6086104868913855</c:v>
                      </c:pt>
                      <c:pt idx="53" formatCode="General">
                        <c:v>-4.6277865168539325</c:v>
                      </c:pt>
                      <c:pt idx="54" formatCode="General">
                        <c:v>-4.6469625468164795</c:v>
                      </c:pt>
                      <c:pt idx="55" formatCode="General">
                        <c:v>-4.6661385767790264</c:v>
                      </c:pt>
                      <c:pt idx="56" formatCode="General">
                        <c:v>-4.6853146067415734</c:v>
                      </c:pt>
                      <c:pt idx="57" formatCode="General">
                        <c:v>-4.7044906367041204</c:v>
                      </c:pt>
                      <c:pt idx="58" formatCode="General">
                        <c:v>-4.7236666666666665</c:v>
                      </c:pt>
                      <c:pt idx="59" formatCode="General">
                        <c:v>-4.7428426966292134</c:v>
                      </c:pt>
                      <c:pt idx="60" formatCode="General">
                        <c:v>-4.7620187265917604</c:v>
                      </c:pt>
                      <c:pt idx="61" formatCode="General">
                        <c:v>-4.7811947565543074</c:v>
                      </c:pt>
                      <c:pt idx="62" formatCode="General">
                        <c:v>-4.8003707865168543</c:v>
                      </c:pt>
                      <c:pt idx="63" formatCode="General">
                        <c:v>-4.8195468164794013</c:v>
                      </c:pt>
                      <c:pt idx="64" formatCode="General">
                        <c:v>-4.8387228464419483</c:v>
                      </c:pt>
                      <c:pt idx="65" formatCode="General">
                        <c:v>-4.8578988764044944</c:v>
                      </c:pt>
                      <c:pt idx="66" formatCode="General">
                        <c:v>-4.8768456928838955</c:v>
                      </c:pt>
                      <c:pt idx="67" formatCode="General">
                        <c:v>-4.8949430711610491</c:v>
                      </c:pt>
                      <c:pt idx="68" formatCode="General">
                        <c:v>-4.9130404494382027</c:v>
                      </c:pt>
                      <c:pt idx="69" formatCode="General">
                        <c:v>-4.9311378277153564</c:v>
                      </c:pt>
                      <c:pt idx="70" formatCode="General">
                        <c:v>-4.94923520599251</c:v>
                      </c:pt>
                      <c:pt idx="71" formatCode="General">
                        <c:v>-4.9673325842696627</c:v>
                      </c:pt>
                      <c:pt idx="72" formatCode="General">
                        <c:v>-4.9854299625468164</c:v>
                      </c:pt>
                      <c:pt idx="73" formatCode="General">
                        <c:v>-5.00352734082397</c:v>
                      </c:pt>
                      <c:pt idx="74" formatCode="General">
                        <c:v>-5.0216247191011236</c:v>
                      </c:pt>
                      <c:pt idx="75" formatCode="General">
                        <c:v>-5.0397220973782773</c:v>
                      </c:pt>
                      <c:pt idx="76" formatCode="General">
                        <c:v>-5.0578194756554309</c:v>
                      </c:pt>
                      <c:pt idx="77" formatCode="General">
                        <c:v>-5.0759168539325845</c:v>
                      </c:pt>
                      <c:pt idx="78" formatCode="General">
                        <c:v>-5.0940142322097381</c:v>
                      </c:pt>
                      <c:pt idx="79" formatCode="General">
                        <c:v>-5.1121116104868918</c:v>
                      </c:pt>
                      <c:pt idx="80" formatCode="General">
                        <c:v>-5.1302089887640445</c:v>
                      </c:pt>
                      <c:pt idx="81" formatCode="General">
                        <c:v>-5.1483063670411982</c:v>
                      </c:pt>
                      <c:pt idx="82" formatCode="General">
                        <c:v>-5.1664037453183518</c:v>
                      </c:pt>
                      <c:pt idx="83" formatCode="General">
                        <c:v>-5.1840538922155686</c:v>
                      </c:pt>
                      <c:pt idx="84" formatCode="General">
                        <c:v>-5.2012994011976046</c:v>
                      </c:pt>
                      <c:pt idx="85" formatCode="General">
                        <c:v>-5.2185449101796406</c:v>
                      </c:pt>
                      <c:pt idx="86" formatCode="General">
                        <c:v>-5.2357904191616766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E-60C8-4A98-A947-234019680B74}"/>
                  </c:ext>
                </c:extLst>
              </c15:ser>
            </c15:filteredScatterSeries>
            <c15:filteredScatterSeries>
              <c15:ser>
                <c:idx val="10"/>
                <c:order val="12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306</c:v>
                      </c:pt>
                      <c:pt idx="1">
                        <c:v>314</c:v>
                      </c:pt>
                      <c:pt idx="2">
                        <c:v>322</c:v>
                      </c:pt>
                      <c:pt idx="3">
                        <c:v>330</c:v>
                      </c:pt>
                      <c:pt idx="4">
                        <c:v>338</c:v>
                      </c:pt>
                      <c:pt idx="5">
                        <c:v>346</c:v>
                      </c:pt>
                      <c:pt idx="6">
                        <c:v>354</c:v>
                      </c:pt>
                      <c:pt idx="7">
                        <c:v>362</c:v>
                      </c:pt>
                      <c:pt idx="8">
                        <c:v>370</c:v>
                      </c:pt>
                      <c:pt idx="9">
                        <c:v>378</c:v>
                      </c:pt>
                      <c:pt idx="10">
                        <c:v>386</c:v>
                      </c:pt>
                      <c:pt idx="11">
                        <c:v>394</c:v>
                      </c:pt>
                      <c:pt idx="12">
                        <c:v>402</c:v>
                      </c:pt>
                      <c:pt idx="13">
                        <c:v>410</c:v>
                      </c:pt>
                      <c:pt idx="14">
                        <c:v>418</c:v>
                      </c:pt>
                      <c:pt idx="15">
                        <c:v>426</c:v>
                      </c:pt>
                      <c:pt idx="16">
                        <c:v>434</c:v>
                      </c:pt>
                      <c:pt idx="17">
                        <c:v>442</c:v>
                      </c:pt>
                      <c:pt idx="18">
                        <c:v>450</c:v>
                      </c:pt>
                      <c:pt idx="19">
                        <c:v>458</c:v>
                      </c:pt>
                      <c:pt idx="20">
                        <c:v>466</c:v>
                      </c:pt>
                      <c:pt idx="21">
                        <c:v>474</c:v>
                      </c:pt>
                      <c:pt idx="22">
                        <c:v>482</c:v>
                      </c:pt>
                      <c:pt idx="23">
                        <c:v>490</c:v>
                      </c:pt>
                      <c:pt idx="24">
                        <c:v>498</c:v>
                      </c:pt>
                      <c:pt idx="25">
                        <c:v>506</c:v>
                      </c:pt>
                      <c:pt idx="26">
                        <c:v>514</c:v>
                      </c:pt>
                      <c:pt idx="27">
                        <c:v>522</c:v>
                      </c:pt>
                      <c:pt idx="28">
                        <c:v>530</c:v>
                      </c:pt>
                      <c:pt idx="29">
                        <c:v>538</c:v>
                      </c:pt>
                      <c:pt idx="30">
                        <c:v>546</c:v>
                      </c:pt>
                      <c:pt idx="31">
                        <c:v>554</c:v>
                      </c:pt>
                      <c:pt idx="32">
                        <c:v>562</c:v>
                      </c:pt>
                      <c:pt idx="33">
                        <c:v>570</c:v>
                      </c:pt>
                      <c:pt idx="34">
                        <c:v>578</c:v>
                      </c:pt>
                      <c:pt idx="35">
                        <c:v>586</c:v>
                      </c:pt>
                      <c:pt idx="36">
                        <c:v>594</c:v>
                      </c:pt>
                      <c:pt idx="37">
                        <c:v>602</c:v>
                      </c:pt>
                      <c:pt idx="38">
                        <c:v>610</c:v>
                      </c:pt>
                      <c:pt idx="39">
                        <c:v>618</c:v>
                      </c:pt>
                      <c:pt idx="40">
                        <c:v>626</c:v>
                      </c:pt>
                      <c:pt idx="41">
                        <c:v>634</c:v>
                      </c:pt>
                      <c:pt idx="42">
                        <c:v>642</c:v>
                      </c:pt>
                      <c:pt idx="43">
                        <c:v>650</c:v>
                      </c:pt>
                      <c:pt idx="44">
                        <c:v>658</c:v>
                      </c:pt>
                      <c:pt idx="45">
                        <c:v>666</c:v>
                      </c:pt>
                      <c:pt idx="46">
                        <c:v>674</c:v>
                      </c:pt>
                      <c:pt idx="47">
                        <c:v>682</c:v>
                      </c:pt>
                      <c:pt idx="48">
                        <c:v>690</c:v>
                      </c:pt>
                      <c:pt idx="49">
                        <c:v>698</c:v>
                      </c:pt>
                      <c:pt idx="50">
                        <c:v>706</c:v>
                      </c:pt>
                      <c:pt idx="51">
                        <c:v>714</c:v>
                      </c:pt>
                      <c:pt idx="52">
                        <c:v>722</c:v>
                      </c:pt>
                      <c:pt idx="53">
                        <c:v>730</c:v>
                      </c:pt>
                      <c:pt idx="54">
                        <c:v>738</c:v>
                      </c:pt>
                      <c:pt idx="55">
                        <c:v>746</c:v>
                      </c:pt>
                      <c:pt idx="56">
                        <c:v>754</c:v>
                      </c:pt>
                      <c:pt idx="57">
                        <c:v>762</c:v>
                      </c:pt>
                      <c:pt idx="58">
                        <c:v>770</c:v>
                      </c:pt>
                      <c:pt idx="59">
                        <c:v>778</c:v>
                      </c:pt>
                      <c:pt idx="60">
                        <c:v>786</c:v>
                      </c:pt>
                      <c:pt idx="61">
                        <c:v>794</c:v>
                      </c:pt>
                      <c:pt idx="62">
                        <c:v>802</c:v>
                      </c:pt>
                      <c:pt idx="63">
                        <c:v>810</c:v>
                      </c:pt>
                      <c:pt idx="64">
                        <c:v>818</c:v>
                      </c:pt>
                      <c:pt idx="65">
                        <c:v>826</c:v>
                      </c:pt>
                      <c:pt idx="66">
                        <c:v>834</c:v>
                      </c:pt>
                      <c:pt idx="67">
                        <c:v>842</c:v>
                      </c:pt>
                      <c:pt idx="68">
                        <c:v>850</c:v>
                      </c:pt>
                      <c:pt idx="69">
                        <c:v>858</c:v>
                      </c:pt>
                      <c:pt idx="70">
                        <c:v>866</c:v>
                      </c:pt>
                      <c:pt idx="71">
                        <c:v>874</c:v>
                      </c:pt>
                      <c:pt idx="72">
                        <c:v>882</c:v>
                      </c:pt>
                      <c:pt idx="73">
                        <c:v>890</c:v>
                      </c:pt>
                      <c:pt idx="74">
                        <c:v>898</c:v>
                      </c:pt>
                      <c:pt idx="75">
                        <c:v>906</c:v>
                      </c:pt>
                      <c:pt idx="76">
                        <c:v>914</c:v>
                      </c:pt>
                      <c:pt idx="77">
                        <c:v>922</c:v>
                      </c:pt>
                      <c:pt idx="78">
                        <c:v>930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EVALUATION!$B$113:$CP$113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-19.022342342342341</c:v>
                      </c:pt>
                      <c:pt idx="1">
                        <c:v>-19.024744744744744</c:v>
                      </c:pt>
                      <c:pt idx="2">
                        <c:v>-19.027147147147147</c:v>
                      </c:pt>
                      <c:pt idx="3">
                        <c:v>-19.02954954954955</c:v>
                      </c:pt>
                      <c:pt idx="4" formatCode="General">
                        <c:v>-19.035838323353293</c:v>
                      </c:pt>
                      <c:pt idx="5" formatCode="General">
                        <c:v>-19.043023952095808</c:v>
                      </c:pt>
                      <c:pt idx="6" formatCode="General">
                        <c:v>-19.050209580838324</c:v>
                      </c:pt>
                      <c:pt idx="7" formatCode="General">
                        <c:v>-19.057395209580836</c:v>
                      </c:pt>
                      <c:pt idx="8" formatCode="General">
                        <c:v>-19.06763473053892</c:v>
                      </c:pt>
                      <c:pt idx="9" formatCode="General">
                        <c:v>-19.079610778443111</c:v>
                      </c:pt>
                      <c:pt idx="10" formatCode="General">
                        <c:v>-19.091586826347303</c:v>
                      </c:pt>
                      <c:pt idx="11" formatCode="General">
                        <c:v>-19.103562874251498</c:v>
                      </c:pt>
                      <c:pt idx="12" formatCode="General">
                        <c:v>-19.116646706586828</c:v>
                      </c:pt>
                      <c:pt idx="13" formatCode="General">
                        <c:v>-19.131017964071855</c:v>
                      </c:pt>
                      <c:pt idx="14" formatCode="General">
                        <c:v>-19.145389221556886</c:v>
                      </c:pt>
                      <c:pt idx="15" formatCode="General">
                        <c:v>-19.159760479041918</c:v>
                      </c:pt>
                      <c:pt idx="16" formatCode="General">
                        <c:v>-19.174131736526949</c:v>
                      </c:pt>
                      <c:pt idx="17" formatCode="General">
                        <c:v>-19.188502994011976</c:v>
                      </c:pt>
                      <c:pt idx="18" formatCode="General">
                        <c:v>-19.202874251497008</c:v>
                      </c:pt>
                      <c:pt idx="19" formatCode="General">
                        <c:v>-19.217245508982035</c:v>
                      </c:pt>
                      <c:pt idx="20" formatCode="General">
                        <c:v>-19.231886227544912</c:v>
                      </c:pt>
                      <c:pt idx="21" formatCode="General">
                        <c:v>-19.248652694610779</c:v>
                      </c:pt>
                      <c:pt idx="22" formatCode="General">
                        <c:v>-19.265419161676647</c:v>
                      </c:pt>
                      <c:pt idx="23" formatCode="General">
                        <c:v>-19.282185628742514</c:v>
                      </c:pt>
                      <c:pt idx="24" formatCode="General">
                        <c:v>-19.298952095808385</c:v>
                      </c:pt>
                      <c:pt idx="25" formatCode="General">
                        <c:v>-19.2481981981982</c:v>
                      </c:pt>
                      <c:pt idx="26" formatCode="General">
                        <c:v>-19.192942942942942</c:v>
                      </c:pt>
                      <c:pt idx="27" formatCode="General">
                        <c:v>-19.137687687687688</c:v>
                      </c:pt>
                      <c:pt idx="28" formatCode="General">
                        <c:v>-19.082432432432434</c:v>
                      </c:pt>
                      <c:pt idx="29" formatCode="General">
                        <c:v>-19.062574850299402</c:v>
                      </c:pt>
                      <c:pt idx="30" formatCode="General">
                        <c:v>-19.052994011976047</c:v>
                      </c:pt>
                      <c:pt idx="31" formatCode="General">
                        <c:v>-19.043413173652695</c:v>
                      </c:pt>
                      <c:pt idx="32" formatCode="General">
                        <c:v>-19.033832335329343</c:v>
                      </c:pt>
                      <c:pt idx="33" formatCode="General">
                        <c:v>-19.040059880239522</c:v>
                      </c:pt>
                      <c:pt idx="34" formatCode="General">
                        <c:v>-19.056826347305389</c:v>
                      </c:pt>
                      <c:pt idx="35" formatCode="General">
                        <c:v>-19.07359281437126</c:v>
                      </c:pt>
                      <c:pt idx="36" formatCode="General">
                        <c:v>-19.090359281437127</c:v>
                      </c:pt>
                      <c:pt idx="37" formatCode="General">
                        <c:v>-19.107125748502995</c:v>
                      </c:pt>
                      <c:pt idx="38" formatCode="General">
                        <c:v>-19.123892215568862</c:v>
                      </c:pt>
                      <c:pt idx="39" formatCode="General">
                        <c:v>-19.140658682634729</c:v>
                      </c:pt>
                      <c:pt idx="40" formatCode="General">
                        <c:v>-19.1574251497006</c:v>
                      </c:pt>
                      <c:pt idx="41" formatCode="General">
                        <c:v>-19.174191616766468</c:v>
                      </c:pt>
                      <c:pt idx="42" formatCode="General">
                        <c:v>-19.190958083832335</c:v>
                      </c:pt>
                      <c:pt idx="43" formatCode="General">
                        <c:v>-19.207724550898202</c:v>
                      </c:pt>
                      <c:pt idx="44" formatCode="General">
                        <c:v>-19.22449101796407</c:v>
                      </c:pt>
                      <c:pt idx="45" formatCode="General">
                        <c:v>-19.241257485029941</c:v>
                      </c:pt>
                      <c:pt idx="46" formatCode="General">
                        <c:v>-19.258023952095808</c:v>
                      </c:pt>
                      <c:pt idx="47" formatCode="General">
                        <c:v>-19.274790419161675</c:v>
                      </c:pt>
                      <c:pt idx="48" formatCode="General">
                        <c:v>-19.291556886227543</c:v>
                      </c:pt>
                      <c:pt idx="49" formatCode="General">
                        <c:v>-19.30832335329341</c:v>
                      </c:pt>
                      <c:pt idx="50" formatCode="General">
                        <c:v>-19.324022471910112</c:v>
                      </c:pt>
                      <c:pt idx="51" formatCode="General">
                        <c:v>-19.33960299625468</c:v>
                      </c:pt>
                      <c:pt idx="52" formatCode="General">
                        <c:v>-19.355183520599251</c:v>
                      </c:pt>
                      <c:pt idx="53" formatCode="General">
                        <c:v>-19.370764044943819</c:v>
                      </c:pt>
                      <c:pt idx="54" formatCode="General">
                        <c:v>-19.38634456928839</c:v>
                      </c:pt>
                      <c:pt idx="55" formatCode="General">
                        <c:v>-19.401925093632958</c:v>
                      </c:pt>
                      <c:pt idx="56" formatCode="General">
                        <c:v>-19.417505617977529</c:v>
                      </c:pt>
                      <c:pt idx="57" formatCode="General">
                        <c:v>-19.433086142322097</c:v>
                      </c:pt>
                      <c:pt idx="58" formatCode="General">
                        <c:v>-19.448666666666668</c:v>
                      </c:pt>
                      <c:pt idx="59" formatCode="General">
                        <c:v>-19.464247191011236</c:v>
                      </c:pt>
                      <c:pt idx="60" formatCode="General">
                        <c:v>-19.479827715355807</c:v>
                      </c:pt>
                      <c:pt idx="61" formatCode="General">
                        <c:v>-19.495408239700375</c:v>
                      </c:pt>
                      <c:pt idx="62" formatCode="General">
                        <c:v>-19.510988764044942</c:v>
                      </c:pt>
                      <c:pt idx="63" formatCode="General">
                        <c:v>-19.526569288389513</c:v>
                      </c:pt>
                      <c:pt idx="64" formatCode="General">
                        <c:v>-19.542149812734081</c:v>
                      </c:pt>
                      <c:pt idx="65" formatCode="General">
                        <c:v>-19.557730337078652</c:v>
                      </c:pt>
                      <c:pt idx="66" formatCode="General">
                        <c:v>-19.573183520599251</c:v>
                      </c:pt>
                      <c:pt idx="67" formatCode="General">
                        <c:v>-19.58816479400749</c:v>
                      </c:pt>
                      <c:pt idx="68" formatCode="General">
                        <c:v>-19.603146067415732</c:v>
                      </c:pt>
                      <c:pt idx="69" formatCode="General">
                        <c:v>-19.618127340823971</c:v>
                      </c:pt>
                      <c:pt idx="70" formatCode="General">
                        <c:v>-19.63310861423221</c:v>
                      </c:pt>
                      <c:pt idx="71" formatCode="General">
                        <c:v>-19.648089887640449</c:v>
                      </c:pt>
                      <c:pt idx="72" formatCode="General">
                        <c:v>-19.663071161048691</c:v>
                      </c:pt>
                      <c:pt idx="73" formatCode="General">
                        <c:v>-19.67805243445693</c:v>
                      </c:pt>
                      <c:pt idx="74" formatCode="General">
                        <c:v>-19.693033707865169</c:v>
                      </c:pt>
                      <c:pt idx="75" formatCode="General">
                        <c:v>-19.708014981273408</c:v>
                      </c:pt>
                      <c:pt idx="76" formatCode="General">
                        <c:v>-19.722996254681647</c:v>
                      </c:pt>
                      <c:pt idx="77" formatCode="General">
                        <c:v>-19.737977528089889</c:v>
                      </c:pt>
                      <c:pt idx="78" formatCode="General">
                        <c:v>-19.752958801498128</c:v>
                      </c:pt>
                      <c:pt idx="79" formatCode="General">
                        <c:v>-19.767940074906367</c:v>
                      </c:pt>
                      <c:pt idx="80" formatCode="General">
                        <c:v>-19.782921348314606</c:v>
                      </c:pt>
                      <c:pt idx="81" formatCode="General">
                        <c:v>-19.797902621722848</c:v>
                      </c:pt>
                      <c:pt idx="82" formatCode="General">
                        <c:v>-19.812883895131087</c:v>
                      </c:pt>
                      <c:pt idx="83" formatCode="General">
                        <c:v>-19.82754491017964</c:v>
                      </c:pt>
                      <c:pt idx="84" formatCode="General">
                        <c:v>-19.841916167664671</c:v>
                      </c:pt>
                      <c:pt idx="85" formatCode="General">
                        <c:v>-19.856287425149699</c:v>
                      </c:pt>
                      <c:pt idx="86" formatCode="General">
                        <c:v>-19.87065868263473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F-60C8-4A98-A947-234019680B74}"/>
                  </c:ext>
                </c:extLst>
              </c15:ser>
            </c15:filteredScatterSeries>
            <c15:filteredScatterSeries>
              <c15:ser>
                <c:idx val="11"/>
                <c:order val="13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306</c:v>
                      </c:pt>
                      <c:pt idx="1">
                        <c:v>314</c:v>
                      </c:pt>
                      <c:pt idx="2">
                        <c:v>322</c:v>
                      </c:pt>
                      <c:pt idx="3">
                        <c:v>330</c:v>
                      </c:pt>
                      <c:pt idx="4">
                        <c:v>338</c:v>
                      </c:pt>
                      <c:pt idx="5">
                        <c:v>346</c:v>
                      </c:pt>
                      <c:pt idx="6">
                        <c:v>354</c:v>
                      </c:pt>
                      <c:pt idx="7">
                        <c:v>362</c:v>
                      </c:pt>
                      <c:pt idx="8">
                        <c:v>370</c:v>
                      </c:pt>
                      <c:pt idx="9">
                        <c:v>378</c:v>
                      </c:pt>
                      <c:pt idx="10">
                        <c:v>386</c:v>
                      </c:pt>
                      <c:pt idx="11">
                        <c:v>394</c:v>
                      </c:pt>
                      <c:pt idx="12">
                        <c:v>402</c:v>
                      </c:pt>
                      <c:pt idx="13">
                        <c:v>410</c:v>
                      </c:pt>
                      <c:pt idx="14">
                        <c:v>418</c:v>
                      </c:pt>
                      <c:pt idx="15">
                        <c:v>426</c:v>
                      </c:pt>
                      <c:pt idx="16">
                        <c:v>434</c:v>
                      </c:pt>
                      <c:pt idx="17">
                        <c:v>442</c:v>
                      </c:pt>
                      <c:pt idx="18">
                        <c:v>450</c:v>
                      </c:pt>
                      <c:pt idx="19">
                        <c:v>458</c:v>
                      </c:pt>
                      <c:pt idx="20">
                        <c:v>466</c:v>
                      </c:pt>
                      <c:pt idx="21">
                        <c:v>474</c:v>
                      </c:pt>
                      <c:pt idx="22">
                        <c:v>482</c:v>
                      </c:pt>
                      <c:pt idx="23">
                        <c:v>490</c:v>
                      </c:pt>
                      <c:pt idx="24">
                        <c:v>498</c:v>
                      </c:pt>
                      <c:pt idx="25">
                        <c:v>506</c:v>
                      </c:pt>
                      <c:pt idx="26">
                        <c:v>514</c:v>
                      </c:pt>
                      <c:pt idx="27">
                        <c:v>522</c:v>
                      </c:pt>
                      <c:pt idx="28">
                        <c:v>530</c:v>
                      </c:pt>
                      <c:pt idx="29">
                        <c:v>538</c:v>
                      </c:pt>
                      <c:pt idx="30">
                        <c:v>546</c:v>
                      </c:pt>
                      <c:pt idx="31">
                        <c:v>554</c:v>
                      </c:pt>
                      <c:pt idx="32">
                        <c:v>562</c:v>
                      </c:pt>
                      <c:pt idx="33">
                        <c:v>570</c:v>
                      </c:pt>
                      <c:pt idx="34">
                        <c:v>578</c:v>
                      </c:pt>
                      <c:pt idx="35">
                        <c:v>586</c:v>
                      </c:pt>
                      <c:pt idx="36">
                        <c:v>594</c:v>
                      </c:pt>
                      <c:pt idx="37">
                        <c:v>602</c:v>
                      </c:pt>
                      <c:pt idx="38">
                        <c:v>610</c:v>
                      </c:pt>
                      <c:pt idx="39">
                        <c:v>618</c:v>
                      </c:pt>
                      <c:pt idx="40">
                        <c:v>626</c:v>
                      </c:pt>
                      <c:pt idx="41">
                        <c:v>634</c:v>
                      </c:pt>
                      <c:pt idx="42">
                        <c:v>642</c:v>
                      </c:pt>
                      <c:pt idx="43">
                        <c:v>650</c:v>
                      </c:pt>
                      <c:pt idx="44">
                        <c:v>658</c:v>
                      </c:pt>
                      <c:pt idx="45">
                        <c:v>666</c:v>
                      </c:pt>
                      <c:pt idx="46">
                        <c:v>674</c:v>
                      </c:pt>
                      <c:pt idx="47">
                        <c:v>682</c:v>
                      </c:pt>
                      <c:pt idx="48">
                        <c:v>690</c:v>
                      </c:pt>
                      <c:pt idx="49">
                        <c:v>698</c:v>
                      </c:pt>
                      <c:pt idx="50">
                        <c:v>706</c:v>
                      </c:pt>
                      <c:pt idx="51">
                        <c:v>714</c:v>
                      </c:pt>
                      <c:pt idx="52">
                        <c:v>722</c:v>
                      </c:pt>
                      <c:pt idx="53">
                        <c:v>730</c:v>
                      </c:pt>
                      <c:pt idx="54">
                        <c:v>738</c:v>
                      </c:pt>
                      <c:pt idx="55">
                        <c:v>746</c:v>
                      </c:pt>
                      <c:pt idx="56">
                        <c:v>754</c:v>
                      </c:pt>
                      <c:pt idx="57">
                        <c:v>762</c:v>
                      </c:pt>
                      <c:pt idx="58">
                        <c:v>770</c:v>
                      </c:pt>
                      <c:pt idx="59">
                        <c:v>778</c:v>
                      </c:pt>
                      <c:pt idx="60">
                        <c:v>786</c:v>
                      </c:pt>
                      <c:pt idx="61">
                        <c:v>794</c:v>
                      </c:pt>
                      <c:pt idx="62">
                        <c:v>802</c:v>
                      </c:pt>
                      <c:pt idx="63">
                        <c:v>810</c:v>
                      </c:pt>
                      <c:pt idx="64">
                        <c:v>818</c:v>
                      </c:pt>
                      <c:pt idx="65">
                        <c:v>826</c:v>
                      </c:pt>
                      <c:pt idx="66">
                        <c:v>834</c:v>
                      </c:pt>
                      <c:pt idx="67">
                        <c:v>842</c:v>
                      </c:pt>
                      <c:pt idx="68">
                        <c:v>850</c:v>
                      </c:pt>
                      <c:pt idx="69">
                        <c:v>858</c:v>
                      </c:pt>
                      <c:pt idx="70">
                        <c:v>866</c:v>
                      </c:pt>
                      <c:pt idx="71">
                        <c:v>874</c:v>
                      </c:pt>
                      <c:pt idx="72">
                        <c:v>882</c:v>
                      </c:pt>
                      <c:pt idx="73">
                        <c:v>890</c:v>
                      </c:pt>
                      <c:pt idx="74">
                        <c:v>898</c:v>
                      </c:pt>
                      <c:pt idx="75">
                        <c:v>906</c:v>
                      </c:pt>
                      <c:pt idx="76">
                        <c:v>914</c:v>
                      </c:pt>
                      <c:pt idx="77">
                        <c:v>922</c:v>
                      </c:pt>
                      <c:pt idx="78">
                        <c:v>930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EVALUATION!$B$114:$CP$114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-59.678288288288286</c:v>
                      </c:pt>
                      <c:pt idx="1">
                        <c:v>-58.332942942942942</c:v>
                      </c:pt>
                      <c:pt idx="2">
                        <c:v>-56.987597597597599</c:v>
                      </c:pt>
                      <c:pt idx="3">
                        <c:v>-55.642252252252256</c:v>
                      </c:pt>
                      <c:pt idx="4" formatCode="General">
                        <c:v>-54.130868263473054</c:v>
                      </c:pt>
                      <c:pt idx="5" formatCode="General">
                        <c:v>-52.581167664670659</c:v>
                      </c:pt>
                      <c:pt idx="6" formatCode="General">
                        <c:v>-51.031467065868263</c:v>
                      </c:pt>
                      <c:pt idx="7" formatCode="General">
                        <c:v>-49.481766467065867</c:v>
                      </c:pt>
                      <c:pt idx="8" formatCode="General">
                        <c:v>-47.964131736526944</c:v>
                      </c:pt>
                      <c:pt idx="9" formatCode="General">
                        <c:v>-46.464730538922154</c:v>
                      </c:pt>
                      <c:pt idx="10" formatCode="General">
                        <c:v>-44.965329341317364</c:v>
                      </c:pt>
                      <c:pt idx="11" formatCode="General">
                        <c:v>-43.465928143712574</c:v>
                      </c:pt>
                      <c:pt idx="12" formatCode="General">
                        <c:v>-42.064011976047901</c:v>
                      </c:pt>
                      <c:pt idx="13" formatCode="General">
                        <c:v>-40.775389221556885</c:v>
                      </c:pt>
                      <c:pt idx="14" formatCode="General">
                        <c:v>-39.48676646706587</c:v>
                      </c:pt>
                      <c:pt idx="15" formatCode="General">
                        <c:v>-38.198143712574847</c:v>
                      </c:pt>
                      <c:pt idx="16" formatCode="General">
                        <c:v>-36.957724550898206</c:v>
                      </c:pt>
                      <c:pt idx="17" formatCode="General">
                        <c:v>-35.836766467065871</c:v>
                      </c:pt>
                      <c:pt idx="18" formatCode="General">
                        <c:v>-34.715808383233536</c:v>
                      </c:pt>
                      <c:pt idx="19" formatCode="General">
                        <c:v>-33.594850299401202</c:v>
                      </c:pt>
                      <c:pt idx="20" formatCode="General">
                        <c:v>-32.488982035928146</c:v>
                      </c:pt>
                      <c:pt idx="21" formatCode="General">
                        <c:v>-31.502155688622757</c:v>
                      </c:pt>
                      <c:pt idx="22" formatCode="General">
                        <c:v>-30.515329341317369</c:v>
                      </c:pt>
                      <c:pt idx="23" formatCode="General">
                        <c:v>-29.528502994011976</c:v>
                      </c:pt>
                      <c:pt idx="24" formatCode="General">
                        <c:v>-28.541676646706588</c:v>
                      </c:pt>
                      <c:pt idx="25" formatCode="General">
                        <c:v>-27.788558558558559</c:v>
                      </c:pt>
                      <c:pt idx="26" formatCode="General">
                        <c:v>-27.051021021021018</c:v>
                      </c:pt>
                      <c:pt idx="27" formatCode="General">
                        <c:v>-26.313483483483481</c:v>
                      </c:pt>
                      <c:pt idx="28" formatCode="General">
                        <c:v>-25.575945945945943</c:v>
                      </c:pt>
                      <c:pt idx="29" formatCode="General">
                        <c:v>-25.655029940119761</c:v>
                      </c:pt>
                      <c:pt idx="30" formatCode="General">
                        <c:v>-25.971197604790419</c:v>
                      </c:pt>
                      <c:pt idx="31" formatCode="General">
                        <c:v>-26.287365269461077</c:v>
                      </c:pt>
                      <c:pt idx="32" formatCode="General">
                        <c:v>-26.603532934131735</c:v>
                      </c:pt>
                      <c:pt idx="33" formatCode="General">
                        <c:v>-26.911437125748503</c:v>
                      </c:pt>
                      <c:pt idx="34" formatCode="General">
                        <c:v>-27.213832335329339</c:v>
                      </c:pt>
                      <c:pt idx="35" formatCode="General">
                        <c:v>-27.51622754491018</c:v>
                      </c:pt>
                      <c:pt idx="36" formatCode="General">
                        <c:v>-27.818622754491017</c:v>
                      </c:pt>
                      <c:pt idx="37" formatCode="General">
                        <c:v>-28.121017964071857</c:v>
                      </c:pt>
                      <c:pt idx="38" formatCode="General">
                        <c:v>-28.423413173652694</c:v>
                      </c:pt>
                      <c:pt idx="39" formatCode="General">
                        <c:v>-28.725808383233534</c:v>
                      </c:pt>
                      <c:pt idx="40" formatCode="General">
                        <c:v>-29.028203592814371</c:v>
                      </c:pt>
                      <c:pt idx="41" formatCode="General">
                        <c:v>-29.330598802395212</c:v>
                      </c:pt>
                      <c:pt idx="42" formatCode="General">
                        <c:v>-29.632994011976049</c:v>
                      </c:pt>
                      <c:pt idx="43" formatCode="General">
                        <c:v>-29.935389221556889</c:v>
                      </c:pt>
                      <c:pt idx="44" formatCode="General">
                        <c:v>-30.237784431137726</c:v>
                      </c:pt>
                      <c:pt idx="45" formatCode="General">
                        <c:v>-30.540179640718566</c:v>
                      </c:pt>
                      <c:pt idx="46" formatCode="General">
                        <c:v>-30.842574850299403</c:v>
                      </c:pt>
                      <c:pt idx="47" formatCode="General">
                        <c:v>-31.144970059880244</c:v>
                      </c:pt>
                      <c:pt idx="48" formatCode="General">
                        <c:v>-31.447365269461081</c:v>
                      </c:pt>
                      <c:pt idx="49" formatCode="General">
                        <c:v>-31.749760479041917</c:v>
                      </c:pt>
                      <c:pt idx="50" formatCode="General">
                        <c:v>-32.022696629213485</c:v>
                      </c:pt>
                      <c:pt idx="51" formatCode="General">
                        <c:v>-32.292359550561798</c:v>
                      </c:pt>
                      <c:pt idx="52" formatCode="General">
                        <c:v>-32.562022471910112</c:v>
                      </c:pt>
                      <c:pt idx="53" formatCode="General">
                        <c:v>-32.831685393258432</c:v>
                      </c:pt>
                      <c:pt idx="54" formatCode="General">
                        <c:v>-33.101348314606746</c:v>
                      </c:pt>
                      <c:pt idx="55" formatCode="General">
                        <c:v>-33.371011235955059</c:v>
                      </c:pt>
                      <c:pt idx="56" formatCode="General">
                        <c:v>-33.640674157303373</c:v>
                      </c:pt>
                      <c:pt idx="57" formatCode="General">
                        <c:v>-33.910337078651686</c:v>
                      </c:pt>
                      <c:pt idx="58" formatCode="General">
                        <c:v>-34.18</c:v>
                      </c:pt>
                      <c:pt idx="59" formatCode="General">
                        <c:v>-34.44966292134832</c:v>
                      </c:pt>
                      <c:pt idx="60" formatCode="General">
                        <c:v>-34.719325842696634</c:v>
                      </c:pt>
                      <c:pt idx="61" formatCode="General">
                        <c:v>-34.988988764044947</c:v>
                      </c:pt>
                      <c:pt idx="62" formatCode="General">
                        <c:v>-35.258651685393261</c:v>
                      </c:pt>
                      <c:pt idx="63" formatCode="General">
                        <c:v>-35.528314606741574</c:v>
                      </c:pt>
                      <c:pt idx="64" formatCode="General">
                        <c:v>-35.797977528089888</c:v>
                      </c:pt>
                      <c:pt idx="65" formatCode="General">
                        <c:v>-36.067640449438201</c:v>
                      </c:pt>
                      <c:pt idx="66" formatCode="General">
                        <c:v>-36.328007490636708</c:v>
                      </c:pt>
                      <c:pt idx="67" formatCode="General">
                        <c:v>-36.553925093632962</c:v>
                      </c:pt>
                      <c:pt idx="68" formatCode="General">
                        <c:v>-36.779842696629217</c:v>
                      </c:pt>
                      <c:pt idx="69" formatCode="General">
                        <c:v>-37.005760299625472</c:v>
                      </c:pt>
                      <c:pt idx="70" formatCode="General">
                        <c:v>-37.231677902621726</c:v>
                      </c:pt>
                      <c:pt idx="71" formatCode="General">
                        <c:v>-37.457595505617981</c:v>
                      </c:pt>
                      <c:pt idx="72" formatCode="General">
                        <c:v>-37.683513108614235</c:v>
                      </c:pt>
                      <c:pt idx="73" formatCode="General">
                        <c:v>-37.90943071161049</c:v>
                      </c:pt>
                      <c:pt idx="74" formatCode="General">
                        <c:v>-38.135348314606745</c:v>
                      </c:pt>
                      <c:pt idx="75" formatCode="General">
                        <c:v>-38.361265917602999</c:v>
                      </c:pt>
                      <c:pt idx="76" formatCode="General">
                        <c:v>-38.587183520599254</c:v>
                      </c:pt>
                      <c:pt idx="77" formatCode="General">
                        <c:v>-38.813101123595509</c:v>
                      </c:pt>
                      <c:pt idx="78" formatCode="General">
                        <c:v>-39.039018726591763</c:v>
                      </c:pt>
                      <c:pt idx="79" formatCode="General">
                        <c:v>-39.264936329588011</c:v>
                      </c:pt>
                      <c:pt idx="80" formatCode="General">
                        <c:v>-39.490853932584265</c:v>
                      </c:pt>
                      <c:pt idx="81" formatCode="General">
                        <c:v>-39.71677153558052</c:v>
                      </c:pt>
                      <c:pt idx="82" formatCode="General">
                        <c:v>-39.942689138576775</c:v>
                      </c:pt>
                      <c:pt idx="83" formatCode="General">
                        <c:v>-40.151856287425147</c:v>
                      </c:pt>
                      <c:pt idx="84" formatCode="General">
                        <c:v>-40.345868263473051</c:v>
                      </c:pt>
                      <c:pt idx="85" formatCode="General">
                        <c:v>-40.539880239520954</c:v>
                      </c:pt>
                      <c:pt idx="86" formatCode="General">
                        <c:v>-40.733892215568858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0-60C8-4A98-A947-234019680B74}"/>
                  </c:ext>
                </c:extLst>
              </c15:ser>
            </c15:filteredScatterSeries>
            <c15:filteredScatterSeries>
              <c15:ser>
                <c:idx val="12"/>
                <c:order val="14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306</c:v>
                      </c:pt>
                      <c:pt idx="1">
                        <c:v>314</c:v>
                      </c:pt>
                      <c:pt idx="2">
                        <c:v>322</c:v>
                      </c:pt>
                      <c:pt idx="3">
                        <c:v>330</c:v>
                      </c:pt>
                      <c:pt idx="4">
                        <c:v>338</c:v>
                      </c:pt>
                      <c:pt idx="5">
                        <c:v>346</c:v>
                      </c:pt>
                      <c:pt idx="6">
                        <c:v>354</c:v>
                      </c:pt>
                      <c:pt idx="7">
                        <c:v>362</c:v>
                      </c:pt>
                      <c:pt idx="8">
                        <c:v>370</c:v>
                      </c:pt>
                      <c:pt idx="9">
                        <c:v>378</c:v>
                      </c:pt>
                      <c:pt idx="10">
                        <c:v>386</c:v>
                      </c:pt>
                      <c:pt idx="11">
                        <c:v>394</c:v>
                      </c:pt>
                      <c:pt idx="12">
                        <c:v>402</c:v>
                      </c:pt>
                      <c:pt idx="13">
                        <c:v>410</c:v>
                      </c:pt>
                      <c:pt idx="14">
                        <c:v>418</c:v>
                      </c:pt>
                      <c:pt idx="15">
                        <c:v>426</c:v>
                      </c:pt>
                      <c:pt idx="16">
                        <c:v>434</c:v>
                      </c:pt>
                      <c:pt idx="17">
                        <c:v>442</c:v>
                      </c:pt>
                      <c:pt idx="18">
                        <c:v>450</c:v>
                      </c:pt>
                      <c:pt idx="19">
                        <c:v>458</c:v>
                      </c:pt>
                      <c:pt idx="20">
                        <c:v>466</c:v>
                      </c:pt>
                      <c:pt idx="21">
                        <c:v>474</c:v>
                      </c:pt>
                      <c:pt idx="22">
                        <c:v>482</c:v>
                      </c:pt>
                      <c:pt idx="23">
                        <c:v>490</c:v>
                      </c:pt>
                      <c:pt idx="24">
                        <c:v>498</c:v>
                      </c:pt>
                      <c:pt idx="25">
                        <c:v>506</c:v>
                      </c:pt>
                      <c:pt idx="26">
                        <c:v>514</c:v>
                      </c:pt>
                      <c:pt idx="27">
                        <c:v>522</c:v>
                      </c:pt>
                      <c:pt idx="28">
                        <c:v>530</c:v>
                      </c:pt>
                      <c:pt idx="29">
                        <c:v>538</c:v>
                      </c:pt>
                      <c:pt idx="30">
                        <c:v>546</c:v>
                      </c:pt>
                      <c:pt idx="31">
                        <c:v>554</c:v>
                      </c:pt>
                      <c:pt idx="32">
                        <c:v>562</c:v>
                      </c:pt>
                      <c:pt idx="33">
                        <c:v>570</c:v>
                      </c:pt>
                      <c:pt idx="34">
                        <c:v>578</c:v>
                      </c:pt>
                      <c:pt idx="35">
                        <c:v>586</c:v>
                      </c:pt>
                      <c:pt idx="36">
                        <c:v>594</c:v>
                      </c:pt>
                      <c:pt idx="37">
                        <c:v>602</c:v>
                      </c:pt>
                      <c:pt idx="38">
                        <c:v>610</c:v>
                      </c:pt>
                      <c:pt idx="39">
                        <c:v>618</c:v>
                      </c:pt>
                      <c:pt idx="40">
                        <c:v>626</c:v>
                      </c:pt>
                      <c:pt idx="41">
                        <c:v>634</c:v>
                      </c:pt>
                      <c:pt idx="42">
                        <c:v>642</c:v>
                      </c:pt>
                      <c:pt idx="43">
                        <c:v>650</c:v>
                      </c:pt>
                      <c:pt idx="44">
                        <c:v>658</c:v>
                      </c:pt>
                      <c:pt idx="45">
                        <c:v>666</c:v>
                      </c:pt>
                      <c:pt idx="46">
                        <c:v>674</c:v>
                      </c:pt>
                      <c:pt idx="47">
                        <c:v>682</c:v>
                      </c:pt>
                      <c:pt idx="48">
                        <c:v>690</c:v>
                      </c:pt>
                      <c:pt idx="49">
                        <c:v>698</c:v>
                      </c:pt>
                      <c:pt idx="50">
                        <c:v>706</c:v>
                      </c:pt>
                      <c:pt idx="51">
                        <c:v>714</c:v>
                      </c:pt>
                      <c:pt idx="52">
                        <c:v>722</c:v>
                      </c:pt>
                      <c:pt idx="53">
                        <c:v>730</c:v>
                      </c:pt>
                      <c:pt idx="54">
                        <c:v>738</c:v>
                      </c:pt>
                      <c:pt idx="55">
                        <c:v>746</c:v>
                      </c:pt>
                      <c:pt idx="56">
                        <c:v>754</c:v>
                      </c:pt>
                      <c:pt idx="57">
                        <c:v>762</c:v>
                      </c:pt>
                      <c:pt idx="58">
                        <c:v>770</c:v>
                      </c:pt>
                      <c:pt idx="59">
                        <c:v>778</c:v>
                      </c:pt>
                      <c:pt idx="60">
                        <c:v>786</c:v>
                      </c:pt>
                      <c:pt idx="61">
                        <c:v>794</c:v>
                      </c:pt>
                      <c:pt idx="62">
                        <c:v>802</c:v>
                      </c:pt>
                      <c:pt idx="63">
                        <c:v>810</c:v>
                      </c:pt>
                      <c:pt idx="64">
                        <c:v>818</c:v>
                      </c:pt>
                      <c:pt idx="65">
                        <c:v>826</c:v>
                      </c:pt>
                      <c:pt idx="66">
                        <c:v>834</c:v>
                      </c:pt>
                      <c:pt idx="67">
                        <c:v>842</c:v>
                      </c:pt>
                      <c:pt idx="68">
                        <c:v>850</c:v>
                      </c:pt>
                      <c:pt idx="69">
                        <c:v>858</c:v>
                      </c:pt>
                      <c:pt idx="70">
                        <c:v>866</c:v>
                      </c:pt>
                      <c:pt idx="71">
                        <c:v>874</c:v>
                      </c:pt>
                      <c:pt idx="72">
                        <c:v>882</c:v>
                      </c:pt>
                      <c:pt idx="73">
                        <c:v>890</c:v>
                      </c:pt>
                      <c:pt idx="74">
                        <c:v>898</c:v>
                      </c:pt>
                      <c:pt idx="75">
                        <c:v>906</c:v>
                      </c:pt>
                      <c:pt idx="76">
                        <c:v>914</c:v>
                      </c:pt>
                      <c:pt idx="77">
                        <c:v>922</c:v>
                      </c:pt>
                      <c:pt idx="78">
                        <c:v>930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EVALUATION!$B$115:$CP$115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-15.118108108108107</c:v>
                      </c:pt>
                      <c:pt idx="1">
                        <c:v>-14.88027027027027</c:v>
                      </c:pt>
                      <c:pt idx="2">
                        <c:v>-14.642432432432432</c:v>
                      </c:pt>
                      <c:pt idx="3">
                        <c:v>-14.404594594594593</c:v>
                      </c:pt>
                      <c:pt idx="4" formatCode="General">
                        <c:v>-13.959101796407184</c:v>
                      </c:pt>
                      <c:pt idx="5" formatCode="General">
                        <c:v>-13.46568862275449</c:v>
                      </c:pt>
                      <c:pt idx="6" formatCode="General">
                        <c:v>-12.972275449101796</c:v>
                      </c:pt>
                      <c:pt idx="7" formatCode="General">
                        <c:v>-12.478862275449101</c:v>
                      </c:pt>
                      <c:pt idx="8" formatCode="General">
                        <c:v>-11.950329341317365</c:v>
                      </c:pt>
                      <c:pt idx="9" formatCode="General">
                        <c:v>-11.40182634730539</c:v>
                      </c:pt>
                      <c:pt idx="10" formatCode="General">
                        <c:v>-10.853323353293414</c:v>
                      </c:pt>
                      <c:pt idx="11" formatCode="General">
                        <c:v>-10.304820359281438</c:v>
                      </c:pt>
                      <c:pt idx="12" formatCode="General">
                        <c:v>-9.7896616766467073</c:v>
                      </c:pt>
                      <c:pt idx="13" formatCode="General">
                        <c:v>-9.3132544910179647</c:v>
                      </c:pt>
                      <c:pt idx="14" formatCode="General">
                        <c:v>-8.836847305389222</c:v>
                      </c:pt>
                      <c:pt idx="15" formatCode="General">
                        <c:v>-8.3604401197604794</c:v>
                      </c:pt>
                      <c:pt idx="16" formatCode="General">
                        <c:v>-7.9011107784431145</c:v>
                      </c:pt>
                      <c:pt idx="17" formatCode="General">
                        <c:v>-7.4841047904191624</c:v>
                      </c:pt>
                      <c:pt idx="18" formatCode="General">
                        <c:v>-7.0670988023952104</c:v>
                      </c:pt>
                      <c:pt idx="19" formatCode="General">
                        <c:v>-6.6500928143712592</c:v>
                      </c:pt>
                      <c:pt idx="20" formatCode="General">
                        <c:v>-6.2383952095808395</c:v>
                      </c:pt>
                      <c:pt idx="21" formatCode="General">
                        <c:v>-5.8685748502994022</c:v>
                      </c:pt>
                      <c:pt idx="22" formatCode="General">
                        <c:v>-5.4987544910179649</c:v>
                      </c:pt>
                      <c:pt idx="23" formatCode="General">
                        <c:v>-5.1289341317365267</c:v>
                      </c:pt>
                      <c:pt idx="24" formatCode="General">
                        <c:v>-4.7591137724550894</c:v>
                      </c:pt>
                      <c:pt idx="25" formatCode="General">
                        <c:v>-4.6019909909909904</c:v>
                      </c:pt>
                      <c:pt idx="26" formatCode="General">
                        <c:v>-4.4590480480480474</c:v>
                      </c:pt>
                      <c:pt idx="27" formatCode="General">
                        <c:v>-4.3161051051051045</c:v>
                      </c:pt>
                      <c:pt idx="28" formatCode="General">
                        <c:v>-4.1731621621621615</c:v>
                      </c:pt>
                      <c:pt idx="29" formatCode="General">
                        <c:v>-4.1562215568862273</c:v>
                      </c:pt>
                      <c:pt idx="30" formatCode="General">
                        <c:v>-4.1758622754491022</c:v>
                      </c:pt>
                      <c:pt idx="31" formatCode="General">
                        <c:v>-4.1955029940119761</c:v>
                      </c:pt>
                      <c:pt idx="32" formatCode="General">
                        <c:v>-4.2151437125748501</c:v>
                      </c:pt>
                      <c:pt idx="33" formatCode="General">
                        <c:v>-4.2348562874251492</c:v>
                      </c:pt>
                      <c:pt idx="34" formatCode="General">
                        <c:v>-4.2546167664670653</c:v>
                      </c:pt>
                      <c:pt idx="35" formatCode="General">
                        <c:v>-4.2743772455089815</c:v>
                      </c:pt>
                      <c:pt idx="36" formatCode="General">
                        <c:v>-4.2941377245508976</c:v>
                      </c:pt>
                      <c:pt idx="37" formatCode="General">
                        <c:v>-4.3138982035928146</c:v>
                      </c:pt>
                      <c:pt idx="38" formatCode="General">
                        <c:v>-4.3336586826347308</c:v>
                      </c:pt>
                      <c:pt idx="39" formatCode="General">
                        <c:v>-4.3534191616766469</c:v>
                      </c:pt>
                      <c:pt idx="40" formatCode="General">
                        <c:v>-4.373179640718563</c:v>
                      </c:pt>
                      <c:pt idx="41" formatCode="General">
                        <c:v>-4.3929401197604792</c:v>
                      </c:pt>
                      <c:pt idx="42" formatCode="General">
                        <c:v>-4.4127005988023953</c:v>
                      </c:pt>
                      <c:pt idx="43" formatCode="General">
                        <c:v>-4.4324610778443114</c:v>
                      </c:pt>
                      <c:pt idx="44" formatCode="General">
                        <c:v>-4.4522215568862276</c:v>
                      </c:pt>
                      <c:pt idx="45" formatCode="General">
                        <c:v>-4.4719820359281437</c:v>
                      </c:pt>
                      <c:pt idx="46" formatCode="General">
                        <c:v>-4.4917425149700598</c:v>
                      </c:pt>
                      <c:pt idx="47" formatCode="General">
                        <c:v>-4.511502994011976</c:v>
                      </c:pt>
                      <c:pt idx="48" formatCode="General">
                        <c:v>-4.5312634730538921</c:v>
                      </c:pt>
                      <c:pt idx="49" formatCode="General">
                        <c:v>-4.5510239520958082</c:v>
                      </c:pt>
                      <c:pt idx="50" formatCode="General">
                        <c:v>-4.5702584269662925</c:v>
                      </c:pt>
                      <c:pt idx="51" formatCode="General">
                        <c:v>-4.5894344569288394</c:v>
                      </c:pt>
                      <c:pt idx="52" formatCode="General">
                        <c:v>-4.6086104868913855</c:v>
                      </c:pt>
                      <c:pt idx="53" formatCode="General">
                        <c:v>-4.6277865168539325</c:v>
                      </c:pt>
                      <c:pt idx="54" formatCode="General">
                        <c:v>-4.6469625468164795</c:v>
                      </c:pt>
                      <c:pt idx="55" formatCode="General">
                        <c:v>-4.6661385767790264</c:v>
                      </c:pt>
                      <c:pt idx="56" formatCode="General">
                        <c:v>-4.6853146067415734</c:v>
                      </c:pt>
                      <c:pt idx="57" formatCode="General">
                        <c:v>-4.7044906367041204</c:v>
                      </c:pt>
                      <c:pt idx="58" formatCode="General">
                        <c:v>-4.7236666666666665</c:v>
                      </c:pt>
                      <c:pt idx="59" formatCode="General">
                        <c:v>-4.7428426966292134</c:v>
                      </c:pt>
                      <c:pt idx="60" formatCode="General">
                        <c:v>-4.7620187265917604</c:v>
                      </c:pt>
                      <c:pt idx="61" formatCode="General">
                        <c:v>-4.7811947565543074</c:v>
                      </c:pt>
                      <c:pt idx="62" formatCode="General">
                        <c:v>-4.8003707865168543</c:v>
                      </c:pt>
                      <c:pt idx="63" formatCode="General">
                        <c:v>-4.8195468164794013</c:v>
                      </c:pt>
                      <c:pt idx="64" formatCode="General">
                        <c:v>-4.8387228464419483</c:v>
                      </c:pt>
                      <c:pt idx="65" formatCode="General">
                        <c:v>-4.8578988764044944</c:v>
                      </c:pt>
                      <c:pt idx="66" formatCode="General">
                        <c:v>-4.8768456928838955</c:v>
                      </c:pt>
                      <c:pt idx="67" formatCode="General">
                        <c:v>-4.8949430711610491</c:v>
                      </c:pt>
                      <c:pt idx="68" formatCode="General">
                        <c:v>-4.9130404494382027</c:v>
                      </c:pt>
                      <c:pt idx="69" formatCode="General">
                        <c:v>-4.9311378277153564</c:v>
                      </c:pt>
                      <c:pt idx="70" formatCode="General">
                        <c:v>-4.94923520599251</c:v>
                      </c:pt>
                      <c:pt idx="71" formatCode="General">
                        <c:v>-4.9673325842696627</c:v>
                      </c:pt>
                      <c:pt idx="72" formatCode="General">
                        <c:v>-4.9854299625468164</c:v>
                      </c:pt>
                      <c:pt idx="73" formatCode="General">
                        <c:v>-5.00352734082397</c:v>
                      </c:pt>
                      <c:pt idx="74" formatCode="General">
                        <c:v>-5.0216247191011236</c:v>
                      </c:pt>
                      <c:pt idx="75" formatCode="General">
                        <c:v>-5.0397220973782773</c:v>
                      </c:pt>
                      <c:pt idx="76" formatCode="General">
                        <c:v>-5.0578194756554309</c:v>
                      </c:pt>
                      <c:pt idx="77" formatCode="General">
                        <c:v>-5.0759168539325845</c:v>
                      </c:pt>
                      <c:pt idx="78" formatCode="General">
                        <c:v>-5.0940142322097381</c:v>
                      </c:pt>
                      <c:pt idx="79" formatCode="General">
                        <c:v>-5.1121116104868918</c:v>
                      </c:pt>
                      <c:pt idx="80" formatCode="General">
                        <c:v>-5.1302089887640445</c:v>
                      </c:pt>
                      <c:pt idx="81" formatCode="General">
                        <c:v>-5.1483063670411982</c:v>
                      </c:pt>
                      <c:pt idx="82" formatCode="General">
                        <c:v>-5.1664037453183518</c:v>
                      </c:pt>
                      <c:pt idx="83" formatCode="General">
                        <c:v>-5.1840538922155686</c:v>
                      </c:pt>
                      <c:pt idx="84" formatCode="General">
                        <c:v>-5.2012994011976046</c:v>
                      </c:pt>
                      <c:pt idx="85" formatCode="General">
                        <c:v>-5.2185449101796406</c:v>
                      </c:pt>
                      <c:pt idx="86" formatCode="General">
                        <c:v>-5.2357904191616766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1-60C8-4A98-A947-234019680B74}"/>
                  </c:ext>
                </c:extLst>
              </c15:ser>
            </c15:filteredScatterSeries>
            <c15:filteredScatterSeries>
              <c15:ser>
                <c:idx val="13"/>
                <c:order val="15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306</c:v>
                      </c:pt>
                      <c:pt idx="1">
                        <c:v>314</c:v>
                      </c:pt>
                      <c:pt idx="2">
                        <c:v>322</c:v>
                      </c:pt>
                      <c:pt idx="3">
                        <c:v>330</c:v>
                      </c:pt>
                      <c:pt idx="4">
                        <c:v>338</c:v>
                      </c:pt>
                      <c:pt idx="5">
                        <c:v>346</c:v>
                      </c:pt>
                      <c:pt idx="6">
                        <c:v>354</c:v>
                      </c:pt>
                      <c:pt idx="7">
                        <c:v>362</c:v>
                      </c:pt>
                      <c:pt idx="8">
                        <c:v>370</c:v>
                      </c:pt>
                      <c:pt idx="9">
                        <c:v>378</c:v>
                      </c:pt>
                      <c:pt idx="10">
                        <c:v>386</c:v>
                      </c:pt>
                      <c:pt idx="11">
                        <c:v>394</c:v>
                      </c:pt>
                      <c:pt idx="12">
                        <c:v>402</c:v>
                      </c:pt>
                      <c:pt idx="13">
                        <c:v>410</c:v>
                      </c:pt>
                      <c:pt idx="14">
                        <c:v>418</c:v>
                      </c:pt>
                      <c:pt idx="15">
                        <c:v>426</c:v>
                      </c:pt>
                      <c:pt idx="16">
                        <c:v>434</c:v>
                      </c:pt>
                      <c:pt idx="17">
                        <c:v>442</c:v>
                      </c:pt>
                      <c:pt idx="18">
                        <c:v>450</c:v>
                      </c:pt>
                      <c:pt idx="19">
                        <c:v>458</c:v>
                      </c:pt>
                      <c:pt idx="20">
                        <c:v>466</c:v>
                      </c:pt>
                      <c:pt idx="21">
                        <c:v>474</c:v>
                      </c:pt>
                      <c:pt idx="22">
                        <c:v>482</c:v>
                      </c:pt>
                      <c:pt idx="23">
                        <c:v>490</c:v>
                      </c:pt>
                      <c:pt idx="24">
                        <c:v>498</c:v>
                      </c:pt>
                      <c:pt idx="25">
                        <c:v>506</c:v>
                      </c:pt>
                      <c:pt idx="26">
                        <c:v>514</c:v>
                      </c:pt>
                      <c:pt idx="27">
                        <c:v>522</c:v>
                      </c:pt>
                      <c:pt idx="28">
                        <c:v>530</c:v>
                      </c:pt>
                      <c:pt idx="29">
                        <c:v>538</c:v>
                      </c:pt>
                      <c:pt idx="30">
                        <c:v>546</c:v>
                      </c:pt>
                      <c:pt idx="31">
                        <c:v>554</c:v>
                      </c:pt>
                      <c:pt idx="32">
                        <c:v>562</c:v>
                      </c:pt>
                      <c:pt idx="33">
                        <c:v>570</c:v>
                      </c:pt>
                      <c:pt idx="34">
                        <c:v>578</c:v>
                      </c:pt>
                      <c:pt idx="35">
                        <c:v>586</c:v>
                      </c:pt>
                      <c:pt idx="36">
                        <c:v>594</c:v>
                      </c:pt>
                      <c:pt idx="37">
                        <c:v>602</c:v>
                      </c:pt>
                      <c:pt idx="38">
                        <c:v>610</c:v>
                      </c:pt>
                      <c:pt idx="39">
                        <c:v>618</c:v>
                      </c:pt>
                      <c:pt idx="40">
                        <c:v>626</c:v>
                      </c:pt>
                      <c:pt idx="41">
                        <c:v>634</c:v>
                      </c:pt>
                      <c:pt idx="42">
                        <c:v>642</c:v>
                      </c:pt>
                      <c:pt idx="43">
                        <c:v>650</c:v>
                      </c:pt>
                      <c:pt idx="44">
                        <c:v>658</c:v>
                      </c:pt>
                      <c:pt idx="45">
                        <c:v>666</c:v>
                      </c:pt>
                      <c:pt idx="46">
                        <c:v>674</c:v>
                      </c:pt>
                      <c:pt idx="47">
                        <c:v>682</c:v>
                      </c:pt>
                      <c:pt idx="48">
                        <c:v>690</c:v>
                      </c:pt>
                      <c:pt idx="49">
                        <c:v>698</c:v>
                      </c:pt>
                      <c:pt idx="50">
                        <c:v>706</c:v>
                      </c:pt>
                      <c:pt idx="51">
                        <c:v>714</c:v>
                      </c:pt>
                      <c:pt idx="52">
                        <c:v>722</c:v>
                      </c:pt>
                      <c:pt idx="53">
                        <c:v>730</c:v>
                      </c:pt>
                      <c:pt idx="54">
                        <c:v>738</c:v>
                      </c:pt>
                      <c:pt idx="55">
                        <c:v>746</c:v>
                      </c:pt>
                      <c:pt idx="56">
                        <c:v>754</c:v>
                      </c:pt>
                      <c:pt idx="57">
                        <c:v>762</c:v>
                      </c:pt>
                      <c:pt idx="58">
                        <c:v>770</c:v>
                      </c:pt>
                      <c:pt idx="59">
                        <c:v>778</c:v>
                      </c:pt>
                      <c:pt idx="60">
                        <c:v>786</c:v>
                      </c:pt>
                      <c:pt idx="61">
                        <c:v>794</c:v>
                      </c:pt>
                      <c:pt idx="62">
                        <c:v>802</c:v>
                      </c:pt>
                      <c:pt idx="63">
                        <c:v>810</c:v>
                      </c:pt>
                      <c:pt idx="64">
                        <c:v>818</c:v>
                      </c:pt>
                      <c:pt idx="65">
                        <c:v>826</c:v>
                      </c:pt>
                      <c:pt idx="66">
                        <c:v>834</c:v>
                      </c:pt>
                      <c:pt idx="67">
                        <c:v>842</c:v>
                      </c:pt>
                      <c:pt idx="68">
                        <c:v>850</c:v>
                      </c:pt>
                      <c:pt idx="69">
                        <c:v>858</c:v>
                      </c:pt>
                      <c:pt idx="70">
                        <c:v>866</c:v>
                      </c:pt>
                      <c:pt idx="71">
                        <c:v>874</c:v>
                      </c:pt>
                      <c:pt idx="72">
                        <c:v>882</c:v>
                      </c:pt>
                      <c:pt idx="73">
                        <c:v>890</c:v>
                      </c:pt>
                      <c:pt idx="74">
                        <c:v>898</c:v>
                      </c:pt>
                      <c:pt idx="75">
                        <c:v>906</c:v>
                      </c:pt>
                      <c:pt idx="76">
                        <c:v>914</c:v>
                      </c:pt>
                      <c:pt idx="77">
                        <c:v>922</c:v>
                      </c:pt>
                      <c:pt idx="78">
                        <c:v>930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EVALUATION!$B$116:$CP$116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-21.473063063063062</c:v>
                      </c:pt>
                      <c:pt idx="1">
                        <c:v>-21.045435435435436</c:v>
                      </c:pt>
                      <c:pt idx="2">
                        <c:v>-20.617807807807807</c:v>
                      </c:pt>
                      <c:pt idx="3">
                        <c:v>-20.190180180180178</c:v>
                      </c:pt>
                      <c:pt idx="4" formatCode="General">
                        <c:v>-20.082754491017962</c:v>
                      </c:pt>
                      <c:pt idx="5" formatCode="General">
                        <c:v>-20.049221556886227</c:v>
                      </c:pt>
                      <c:pt idx="6" formatCode="General">
                        <c:v>-20.015688622754489</c:v>
                      </c:pt>
                      <c:pt idx="7" formatCode="General">
                        <c:v>-19.982155688622754</c:v>
                      </c:pt>
                      <c:pt idx="8" formatCode="General">
                        <c:v>-20.046347305389222</c:v>
                      </c:pt>
                      <c:pt idx="9" formatCode="General">
                        <c:v>-20.166107784431137</c:v>
                      </c:pt>
                      <c:pt idx="10" formatCode="General">
                        <c:v>-20.285868263473052</c:v>
                      </c:pt>
                      <c:pt idx="11" formatCode="General">
                        <c:v>-20.40562874251497</c:v>
                      </c:pt>
                      <c:pt idx="12" formatCode="General">
                        <c:v>-20.526497005988023</c:v>
                      </c:pt>
                      <c:pt idx="13" formatCode="General">
                        <c:v>-20.648652694610778</c:v>
                      </c:pt>
                      <c:pt idx="14" formatCode="General">
                        <c:v>-20.770808383233533</c:v>
                      </c:pt>
                      <c:pt idx="15" formatCode="General">
                        <c:v>-20.892964071856287</c:v>
                      </c:pt>
                      <c:pt idx="16" formatCode="General">
                        <c:v>-21.015119760479042</c:v>
                      </c:pt>
                      <c:pt idx="17" formatCode="General">
                        <c:v>-21.137275449101796</c:v>
                      </c:pt>
                      <c:pt idx="18" formatCode="General">
                        <c:v>-21.259431137724551</c:v>
                      </c:pt>
                      <c:pt idx="19" formatCode="General">
                        <c:v>-21.381586826347306</c:v>
                      </c:pt>
                      <c:pt idx="20" formatCode="General">
                        <c:v>-21.504011976047902</c:v>
                      </c:pt>
                      <c:pt idx="21" formatCode="General">
                        <c:v>-21.628562874251497</c:v>
                      </c:pt>
                      <c:pt idx="22" formatCode="General">
                        <c:v>-21.753113772455091</c:v>
                      </c:pt>
                      <c:pt idx="23" formatCode="General">
                        <c:v>-21.877664670658682</c:v>
                      </c:pt>
                      <c:pt idx="24" formatCode="General">
                        <c:v>-22.002215568862276</c:v>
                      </c:pt>
                      <c:pt idx="25" formatCode="General">
                        <c:v>-22.122612612612613</c:v>
                      </c:pt>
                      <c:pt idx="26" formatCode="General">
                        <c:v>-22.242732732732733</c:v>
                      </c:pt>
                      <c:pt idx="27" formatCode="General">
                        <c:v>-22.362852852852853</c:v>
                      </c:pt>
                      <c:pt idx="28" formatCode="General">
                        <c:v>-22.482972972972973</c:v>
                      </c:pt>
                      <c:pt idx="29" formatCode="General">
                        <c:v>-22.604670658682636</c:v>
                      </c:pt>
                      <c:pt idx="30" formatCode="General">
                        <c:v>-22.726826347305391</c:v>
                      </c:pt>
                      <c:pt idx="31" formatCode="General">
                        <c:v>-22.848982035928145</c:v>
                      </c:pt>
                      <c:pt idx="32" formatCode="General">
                        <c:v>-22.971137724550896</c:v>
                      </c:pt>
                      <c:pt idx="33" formatCode="General">
                        <c:v>-23.089700598802395</c:v>
                      </c:pt>
                      <c:pt idx="34" formatCode="General">
                        <c:v>-23.205868263473054</c:v>
                      </c:pt>
                      <c:pt idx="35" formatCode="General">
                        <c:v>-23.322035928143713</c:v>
                      </c:pt>
                      <c:pt idx="36" formatCode="General">
                        <c:v>-23.438203592814371</c:v>
                      </c:pt>
                      <c:pt idx="37" formatCode="General">
                        <c:v>-23.55437125748503</c:v>
                      </c:pt>
                      <c:pt idx="38" formatCode="General">
                        <c:v>-23.670538922155689</c:v>
                      </c:pt>
                      <c:pt idx="39" formatCode="General">
                        <c:v>-23.786706586826348</c:v>
                      </c:pt>
                      <c:pt idx="40" formatCode="General">
                        <c:v>-23.902874251497007</c:v>
                      </c:pt>
                      <c:pt idx="41" formatCode="General">
                        <c:v>-24.019041916167666</c:v>
                      </c:pt>
                      <c:pt idx="42" formatCode="General">
                        <c:v>-24.135209580838325</c:v>
                      </c:pt>
                      <c:pt idx="43" formatCode="General">
                        <c:v>-24.251377245508984</c:v>
                      </c:pt>
                      <c:pt idx="44" formatCode="General">
                        <c:v>-24.367544910179642</c:v>
                      </c:pt>
                      <c:pt idx="45" formatCode="General">
                        <c:v>-24.483712574850301</c:v>
                      </c:pt>
                      <c:pt idx="46" formatCode="General">
                        <c:v>-24.59988023952096</c:v>
                      </c:pt>
                      <c:pt idx="47" formatCode="General">
                        <c:v>-24.716047904191619</c:v>
                      </c:pt>
                      <c:pt idx="48" formatCode="General">
                        <c:v>-24.832215568862278</c:v>
                      </c:pt>
                      <c:pt idx="49" formatCode="General">
                        <c:v>-24.948383233532937</c:v>
                      </c:pt>
                      <c:pt idx="50" formatCode="General">
                        <c:v>-25.057617977528093</c:v>
                      </c:pt>
                      <c:pt idx="51" formatCode="General">
                        <c:v>-25.166082397003748</c:v>
                      </c:pt>
                      <c:pt idx="52" formatCode="General">
                        <c:v>-25.2745468164794</c:v>
                      </c:pt>
                      <c:pt idx="53" formatCode="General">
                        <c:v>-25.383011235955056</c:v>
                      </c:pt>
                      <c:pt idx="54" formatCode="General">
                        <c:v>-25.491475655430712</c:v>
                      </c:pt>
                      <c:pt idx="55" formatCode="General">
                        <c:v>-25.599940074906367</c:v>
                      </c:pt>
                      <c:pt idx="56" formatCode="General">
                        <c:v>-25.708404494382023</c:v>
                      </c:pt>
                      <c:pt idx="57" formatCode="General">
                        <c:v>-25.816868913857679</c:v>
                      </c:pt>
                      <c:pt idx="58" formatCode="General">
                        <c:v>-25.925333333333334</c:v>
                      </c:pt>
                      <c:pt idx="59" formatCode="General">
                        <c:v>-26.03379775280899</c:v>
                      </c:pt>
                      <c:pt idx="60" formatCode="General">
                        <c:v>-26.142262172284646</c:v>
                      </c:pt>
                      <c:pt idx="61" formatCode="General">
                        <c:v>-26.250726591760301</c:v>
                      </c:pt>
                      <c:pt idx="62" formatCode="General">
                        <c:v>-26.359191011235957</c:v>
                      </c:pt>
                      <c:pt idx="63" formatCode="General">
                        <c:v>-26.467655430711609</c:v>
                      </c:pt>
                      <c:pt idx="64" formatCode="General">
                        <c:v>-26.576119850187265</c:v>
                      </c:pt>
                      <c:pt idx="65" formatCode="General">
                        <c:v>-26.684584269662921</c:v>
                      </c:pt>
                      <c:pt idx="66" formatCode="General">
                        <c:v>-26.791902621722848</c:v>
                      </c:pt>
                      <c:pt idx="67" formatCode="General">
                        <c:v>-26.894973782771537</c:v>
                      </c:pt>
                      <c:pt idx="68" formatCode="General">
                        <c:v>-26.998044943820226</c:v>
                      </c:pt>
                      <c:pt idx="69" formatCode="General">
                        <c:v>-27.101116104868915</c:v>
                      </c:pt>
                      <c:pt idx="70" formatCode="General">
                        <c:v>-27.204187265917604</c:v>
                      </c:pt>
                      <c:pt idx="71" formatCode="General">
                        <c:v>-27.307258426966293</c:v>
                      </c:pt>
                      <c:pt idx="72" formatCode="General">
                        <c:v>-27.410329588014982</c:v>
                      </c:pt>
                      <c:pt idx="73" formatCode="General">
                        <c:v>-27.513400749063671</c:v>
                      </c:pt>
                      <c:pt idx="74" formatCode="General">
                        <c:v>-27.616471910112359</c:v>
                      </c:pt>
                      <c:pt idx="75" formatCode="General">
                        <c:v>-27.719543071161048</c:v>
                      </c:pt>
                      <c:pt idx="76" formatCode="General">
                        <c:v>-27.822614232209737</c:v>
                      </c:pt>
                      <c:pt idx="77" formatCode="General">
                        <c:v>-27.925685393258426</c:v>
                      </c:pt>
                      <c:pt idx="78" formatCode="General">
                        <c:v>-28.028756554307115</c:v>
                      </c:pt>
                      <c:pt idx="79" formatCode="General">
                        <c:v>-28.131827715355804</c:v>
                      </c:pt>
                      <c:pt idx="80" formatCode="General">
                        <c:v>-28.234898876404493</c:v>
                      </c:pt>
                      <c:pt idx="81" formatCode="General">
                        <c:v>-28.337970037453182</c:v>
                      </c:pt>
                      <c:pt idx="82" formatCode="General">
                        <c:v>-28.441041198501871</c:v>
                      </c:pt>
                      <c:pt idx="83" formatCode="General">
                        <c:v>-28.541556886227543</c:v>
                      </c:pt>
                      <c:pt idx="84" formatCode="General">
                        <c:v>-28.639760479041914</c:v>
                      </c:pt>
                      <c:pt idx="85" formatCode="General">
                        <c:v>-28.737964071856286</c:v>
                      </c:pt>
                      <c:pt idx="86" formatCode="General">
                        <c:v>-28.836167664670658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2-60C8-4A98-A947-234019680B74}"/>
                  </c:ext>
                </c:extLst>
              </c15:ser>
            </c15:filteredScatterSeries>
            <c15:filteredScatterSeries>
              <c15:ser>
                <c:idx val="14"/>
                <c:order val="16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306</c:v>
                      </c:pt>
                      <c:pt idx="1">
                        <c:v>314</c:v>
                      </c:pt>
                      <c:pt idx="2">
                        <c:v>322</c:v>
                      </c:pt>
                      <c:pt idx="3">
                        <c:v>330</c:v>
                      </c:pt>
                      <c:pt idx="4">
                        <c:v>338</c:v>
                      </c:pt>
                      <c:pt idx="5">
                        <c:v>346</c:v>
                      </c:pt>
                      <c:pt idx="6">
                        <c:v>354</c:v>
                      </c:pt>
                      <c:pt idx="7">
                        <c:v>362</c:v>
                      </c:pt>
                      <c:pt idx="8">
                        <c:v>370</c:v>
                      </c:pt>
                      <c:pt idx="9">
                        <c:v>378</c:v>
                      </c:pt>
                      <c:pt idx="10">
                        <c:v>386</c:v>
                      </c:pt>
                      <c:pt idx="11">
                        <c:v>394</c:v>
                      </c:pt>
                      <c:pt idx="12">
                        <c:v>402</c:v>
                      </c:pt>
                      <c:pt idx="13">
                        <c:v>410</c:v>
                      </c:pt>
                      <c:pt idx="14">
                        <c:v>418</c:v>
                      </c:pt>
                      <c:pt idx="15">
                        <c:v>426</c:v>
                      </c:pt>
                      <c:pt idx="16">
                        <c:v>434</c:v>
                      </c:pt>
                      <c:pt idx="17">
                        <c:v>442</c:v>
                      </c:pt>
                      <c:pt idx="18">
                        <c:v>450</c:v>
                      </c:pt>
                      <c:pt idx="19">
                        <c:v>458</c:v>
                      </c:pt>
                      <c:pt idx="20">
                        <c:v>466</c:v>
                      </c:pt>
                      <c:pt idx="21">
                        <c:v>474</c:v>
                      </c:pt>
                      <c:pt idx="22">
                        <c:v>482</c:v>
                      </c:pt>
                      <c:pt idx="23">
                        <c:v>490</c:v>
                      </c:pt>
                      <c:pt idx="24">
                        <c:v>498</c:v>
                      </c:pt>
                      <c:pt idx="25">
                        <c:v>506</c:v>
                      </c:pt>
                      <c:pt idx="26">
                        <c:v>514</c:v>
                      </c:pt>
                      <c:pt idx="27">
                        <c:v>522</c:v>
                      </c:pt>
                      <c:pt idx="28">
                        <c:v>530</c:v>
                      </c:pt>
                      <c:pt idx="29">
                        <c:v>538</c:v>
                      </c:pt>
                      <c:pt idx="30">
                        <c:v>546</c:v>
                      </c:pt>
                      <c:pt idx="31">
                        <c:v>554</c:v>
                      </c:pt>
                      <c:pt idx="32">
                        <c:v>562</c:v>
                      </c:pt>
                      <c:pt idx="33">
                        <c:v>570</c:v>
                      </c:pt>
                      <c:pt idx="34">
                        <c:v>578</c:v>
                      </c:pt>
                      <c:pt idx="35">
                        <c:v>586</c:v>
                      </c:pt>
                      <c:pt idx="36">
                        <c:v>594</c:v>
                      </c:pt>
                      <c:pt idx="37">
                        <c:v>602</c:v>
                      </c:pt>
                      <c:pt idx="38">
                        <c:v>610</c:v>
                      </c:pt>
                      <c:pt idx="39">
                        <c:v>618</c:v>
                      </c:pt>
                      <c:pt idx="40">
                        <c:v>626</c:v>
                      </c:pt>
                      <c:pt idx="41">
                        <c:v>634</c:v>
                      </c:pt>
                      <c:pt idx="42">
                        <c:v>642</c:v>
                      </c:pt>
                      <c:pt idx="43">
                        <c:v>650</c:v>
                      </c:pt>
                      <c:pt idx="44">
                        <c:v>658</c:v>
                      </c:pt>
                      <c:pt idx="45">
                        <c:v>666</c:v>
                      </c:pt>
                      <c:pt idx="46">
                        <c:v>674</c:v>
                      </c:pt>
                      <c:pt idx="47">
                        <c:v>682</c:v>
                      </c:pt>
                      <c:pt idx="48">
                        <c:v>690</c:v>
                      </c:pt>
                      <c:pt idx="49">
                        <c:v>698</c:v>
                      </c:pt>
                      <c:pt idx="50">
                        <c:v>706</c:v>
                      </c:pt>
                      <c:pt idx="51">
                        <c:v>714</c:v>
                      </c:pt>
                      <c:pt idx="52">
                        <c:v>722</c:v>
                      </c:pt>
                      <c:pt idx="53">
                        <c:v>730</c:v>
                      </c:pt>
                      <c:pt idx="54">
                        <c:v>738</c:v>
                      </c:pt>
                      <c:pt idx="55">
                        <c:v>746</c:v>
                      </c:pt>
                      <c:pt idx="56">
                        <c:v>754</c:v>
                      </c:pt>
                      <c:pt idx="57">
                        <c:v>762</c:v>
                      </c:pt>
                      <c:pt idx="58">
                        <c:v>770</c:v>
                      </c:pt>
                      <c:pt idx="59">
                        <c:v>778</c:v>
                      </c:pt>
                      <c:pt idx="60">
                        <c:v>786</c:v>
                      </c:pt>
                      <c:pt idx="61">
                        <c:v>794</c:v>
                      </c:pt>
                      <c:pt idx="62">
                        <c:v>802</c:v>
                      </c:pt>
                      <c:pt idx="63">
                        <c:v>810</c:v>
                      </c:pt>
                      <c:pt idx="64">
                        <c:v>818</c:v>
                      </c:pt>
                      <c:pt idx="65">
                        <c:v>826</c:v>
                      </c:pt>
                      <c:pt idx="66">
                        <c:v>834</c:v>
                      </c:pt>
                      <c:pt idx="67">
                        <c:v>842</c:v>
                      </c:pt>
                      <c:pt idx="68">
                        <c:v>850</c:v>
                      </c:pt>
                      <c:pt idx="69">
                        <c:v>858</c:v>
                      </c:pt>
                      <c:pt idx="70">
                        <c:v>866</c:v>
                      </c:pt>
                      <c:pt idx="71">
                        <c:v>874</c:v>
                      </c:pt>
                      <c:pt idx="72">
                        <c:v>882</c:v>
                      </c:pt>
                      <c:pt idx="73">
                        <c:v>890</c:v>
                      </c:pt>
                      <c:pt idx="74">
                        <c:v>898</c:v>
                      </c:pt>
                      <c:pt idx="75">
                        <c:v>906</c:v>
                      </c:pt>
                      <c:pt idx="76">
                        <c:v>914</c:v>
                      </c:pt>
                      <c:pt idx="77">
                        <c:v>922</c:v>
                      </c:pt>
                      <c:pt idx="78">
                        <c:v>930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EVALUATION!$B$117:$CP$117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3-60C8-4A98-A947-234019680B74}"/>
                  </c:ext>
                </c:extLst>
              </c15:ser>
            </c15:filteredScatterSeries>
            <c15:filteredScatterSeries>
              <c15:ser>
                <c:idx val="15"/>
                <c:order val="17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306</c:v>
                      </c:pt>
                      <c:pt idx="1">
                        <c:v>314</c:v>
                      </c:pt>
                      <c:pt idx="2">
                        <c:v>322</c:v>
                      </c:pt>
                      <c:pt idx="3">
                        <c:v>330</c:v>
                      </c:pt>
                      <c:pt idx="4">
                        <c:v>338</c:v>
                      </c:pt>
                      <c:pt idx="5">
                        <c:v>346</c:v>
                      </c:pt>
                      <c:pt idx="6">
                        <c:v>354</c:v>
                      </c:pt>
                      <c:pt idx="7">
                        <c:v>362</c:v>
                      </c:pt>
                      <c:pt idx="8">
                        <c:v>370</c:v>
                      </c:pt>
                      <c:pt idx="9">
                        <c:v>378</c:v>
                      </c:pt>
                      <c:pt idx="10">
                        <c:v>386</c:v>
                      </c:pt>
                      <c:pt idx="11">
                        <c:v>394</c:v>
                      </c:pt>
                      <c:pt idx="12">
                        <c:v>402</c:v>
                      </c:pt>
                      <c:pt idx="13">
                        <c:v>410</c:v>
                      </c:pt>
                      <c:pt idx="14">
                        <c:v>418</c:v>
                      </c:pt>
                      <c:pt idx="15">
                        <c:v>426</c:v>
                      </c:pt>
                      <c:pt idx="16">
                        <c:v>434</c:v>
                      </c:pt>
                      <c:pt idx="17">
                        <c:v>442</c:v>
                      </c:pt>
                      <c:pt idx="18">
                        <c:v>450</c:v>
                      </c:pt>
                      <c:pt idx="19">
                        <c:v>458</c:v>
                      </c:pt>
                      <c:pt idx="20">
                        <c:v>466</c:v>
                      </c:pt>
                      <c:pt idx="21">
                        <c:v>474</c:v>
                      </c:pt>
                      <c:pt idx="22">
                        <c:v>482</c:v>
                      </c:pt>
                      <c:pt idx="23">
                        <c:v>490</c:v>
                      </c:pt>
                      <c:pt idx="24">
                        <c:v>498</c:v>
                      </c:pt>
                      <c:pt idx="25">
                        <c:v>506</c:v>
                      </c:pt>
                      <c:pt idx="26">
                        <c:v>514</c:v>
                      </c:pt>
                      <c:pt idx="27">
                        <c:v>522</c:v>
                      </c:pt>
                      <c:pt idx="28">
                        <c:v>530</c:v>
                      </c:pt>
                      <c:pt idx="29">
                        <c:v>538</c:v>
                      </c:pt>
                      <c:pt idx="30">
                        <c:v>546</c:v>
                      </c:pt>
                      <c:pt idx="31">
                        <c:v>554</c:v>
                      </c:pt>
                      <c:pt idx="32">
                        <c:v>562</c:v>
                      </c:pt>
                      <c:pt idx="33">
                        <c:v>570</c:v>
                      </c:pt>
                      <c:pt idx="34">
                        <c:v>578</c:v>
                      </c:pt>
                      <c:pt idx="35">
                        <c:v>586</c:v>
                      </c:pt>
                      <c:pt idx="36">
                        <c:v>594</c:v>
                      </c:pt>
                      <c:pt idx="37">
                        <c:v>602</c:v>
                      </c:pt>
                      <c:pt idx="38">
                        <c:v>610</c:v>
                      </c:pt>
                      <c:pt idx="39">
                        <c:v>618</c:v>
                      </c:pt>
                      <c:pt idx="40">
                        <c:v>626</c:v>
                      </c:pt>
                      <c:pt idx="41">
                        <c:v>634</c:v>
                      </c:pt>
                      <c:pt idx="42">
                        <c:v>642</c:v>
                      </c:pt>
                      <c:pt idx="43">
                        <c:v>650</c:v>
                      </c:pt>
                      <c:pt idx="44">
                        <c:v>658</c:v>
                      </c:pt>
                      <c:pt idx="45">
                        <c:v>666</c:v>
                      </c:pt>
                      <c:pt idx="46">
                        <c:v>674</c:v>
                      </c:pt>
                      <c:pt idx="47">
                        <c:v>682</c:v>
                      </c:pt>
                      <c:pt idx="48">
                        <c:v>690</c:v>
                      </c:pt>
                      <c:pt idx="49">
                        <c:v>698</c:v>
                      </c:pt>
                      <c:pt idx="50">
                        <c:v>706</c:v>
                      </c:pt>
                      <c:pt idx="51">
                        <c:v>714</c:v>
                      </c:pt>
                      <c:pt idx="52">
                        <c:v>722</c:v>
                      </c:pt>
                      <c:pt idx="53">
                        <c:v>730</c:v>
                      </c:pt>
                      <c:pt idx="54">
                        <c:v>738</c:v>
                      </c:pt>
                      <c:pt idx="55">
                        <c:v>746</c:v>
                      </c:pt>
                      <c:pt idx="56">
                        <c:v>754</c:v>
                      </c:pt>
                      <c:pt idx="57">
                        <c:v>762</c:v>
                      </c:pt>
                      <c:pt idx="58">
                        <c:v>770</c:v>
                      </c:pt>
                      <c:pt idx="59">
                        <c:v>778</c:v>
                      </c:pt>
                      <c:pt idx="60">
                        <c:v>786</c:v>
                      </c:pt>
                      <c:pt idx="61">
                        <c:v>794</c:v>
                      </c:pt>
                      <c:pt idx="62">
                        <c:v>802</c:v>
                      </c:pt>
                      <c:pt idx="63">
                        <c:v>810</c:v>
                      </c:pt>
                      <c:pt idx="64">
                        <c:v>818</c:v>
                      </c:pt>
                      <c:pt idx="65">
                        <c:v>826</c:v>
                      </c:pt>
                      <c:pt idx="66">
                        <c:v>834</c:v>
                      </c:pt>
                      <c:pt idx="67">
                        <c:v>842</c:v>
                      </c:pt>
                      <c:pt idx="68">
                        <c:v>850</c:v>
                      </c:pt>
                      <c:pt idx="69">
                        <c:v>858</c:v>
                      </c:pt>
                      <c:pt idx="70">
                        <c:v>866</c:v>
                      </c:pt>
                      <c:pt idx="71">
                        <c:v>874</c:v>
                      </c:pt>
                      <c:pt idx="72">
                        <c:v>882</c:v>
                      </c:pt>
                      <c:pt idx="73">
                        <c:v>890</c:v>
                      </c:pt>
                      <c:pt idx="74">
                        <c:v>898</c:v>
                      </c:pt>
                      <c:pt idx="75">
                        <c:v>906</c:v>
                      </c:pt>
                      <c:pt idx="76">
                        <c:v>914</c:v>
                      </c:pt>
                      <c:pt idx="77">
                        <c:v>922</c:v>
                      </c:pt>
                      <c:pt idx="78">
                        <c:v>930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EVALUATION!$B$118:$CP$118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4-60C8-4A98-A947-234019680B74}"/>
                  </c:ext>
                </c:extLst>
              </c15:ser>
            </c15:filteredScatterSeries>
            <c15:filteredScatterSeries>
              <c15:ser>
                <c:idx val="16"/>
                <c:order val="18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306</c:v>
                      </c:pt>
                      <c:pt idx="1">
                        <c:v>314</c:v>
                      </c:pt>
                      <c:pt idx="2">
                        <c:v>322</c:v>
                      </c:pt>
                      <c:pt idx="3">
                        <c:v>330</c:v>
                      </c:pt>
                      <c:pt idx="4">
                        <c:v>338</c:v>
                      </c:pt>
                      <c:pt idx="5">
                        <c:v>346</c:v>
                      </c:pt>
                      <c:pt idx="6">
                        <c:v>354</c:v>
                      </c:pt>
                      <c:pt idx="7">
                        <c:v>362</c:v>
                      </c:pt>
                      <c:pt idx="8">
                        <c:v>370</c:v>
                      </c:pt>
                      <c:pt idx="9">
                        <c:v>378</c:v>
                      </c:pt>
                      <c:pt idx="10">
                        <c:v>386</c:v>
                      </c:pt>
                      <c:pt idx="11">
                        <c:v>394</c:v>
                      </c:pt>
                      <c:pt idx="12">
                        <c:v>402</c:v>
                      </c:pt>
                      <c:pt idx="13">
                        <c:v>410</c:v>
                      </c:pt>
                      <c:pt idx="14">
                        <c:v>418</c:v>
                      </c:pt>
                      <c:pt idx="15">
                        <c:v>426</c:v>
                      </c:pt>
                      <c:pt idx="16">
                        <c:v>434</c:v>
                      </c:pt>
                      <c:pt idx="17">
                        <c:v>442</c:v>
                      </c:pt>
                      <c:pt idx="18">
                        <c:v>450</c:v>
                      </c:pt>
                      <c:pt idx="19">
                        <c:v>458</c:v>
                      </c:pt>
                      <c:pt idx="20">
                        <c:v>466</c:v>
                      </c:pt>
                      <c:pt idx="21">
                        <c:v>474</c:v>
                      </c:pt>
                      <c:pt idx="22">
                        <c:v>482</c:v>
                      </c:pt>
                      <c:pt idx="23">
                        <c:v>490</c:v>
                      </c:pt>
                      <c:pt idx="24">
                        <c:v>498</c:v>
                      </c:pt>
                      <c:pt idx="25">
                        <c:v>506</c:v>
                      </c:pt>
                      <c:pt idx="26">
                        <c:v>514</c:v>
                      </c:pt>
                      <c:pt idx="27">
                        <c:v>522</c:v>
                      </c:pt>
                      <c:pt idx="28">
                        <c:v>530</c:v>
                      </c:pt>
                      <c:pt idx="29">
                        <c:v>538</c:v>
                      </c:pt>
                      <c:pt idx="30">
                        <c:v>546</c:v>
                      </c:pt>
                      <c:pt idx="31">
                        <c:v>554</c:v>
                      </c:pt>
                      <c:pt idx="32">
                        <c:v>562</c:v>
                      </c:pt>
                      <c:pt idx="33">
                        <c:v>570</c:v>
                      </c:pt>
                      <c:pt idx="34">
                        <c:v>578</c:v>
                      </c:pt>
                      <c:pt idx="35">
                        <c:v>586</c:v>
                      </c:pt>
                      <c:pt idx="36">
                        <c:v>594</c:v>
                      </c:pt>
                      <c:pt idx="37">
                        <c:v>602</c:v>
                      </c:pt>
                      <c:pt idx="38">
                        <c:v>610</c:v>
                      </c:pt>
                      <c:pt idx="39">
                        <c:v>618</c:v>
                      </c:pt>
                      <c:pt idx="40">
                        <c:v>626</c:v>
                      </c:pt>
                      <c:pt idx="41">
                        <c:v>634</c:v>
                      </c:pt>
                      <c:pt idx="42">
                        <c:v>642</c:v>
                      </c:pt>
                      <c:pt idx="43">
                        <c:v>650</c:v>
                      </c:pt>
                      <c:pt idx="44">
                        <c:v>658</c:v>
                      </c:pt>
                      <c:pt idx="45">
                        <c:v>666</c:v>
                      </c:pt>
                      <c:pt idx="46">
                        <c:v>674</c:v>
                      </c:pt>
                      <c:pt idx="47">
                        <c:v>682</c:v>
                      </c:pt>
                      <c:pt idx="48">
                        <c:v>690</c:v>
                      </c:pt>
                      <c:pt idx="49">
                        <c:v>698</c:v>
                      </c:pt>
                      <c:pt idx="50">
                        <c:v>706</c:v>
                      </c:pt>
                      <c:pt idx="51">
                        <c:v>714</c:v>
                      </c:pt>
                      <c:pt idx="52">
                        <c:v>722</c:v>
                      </c:pt>
                      <c:pt idx="53">
                        <c:v>730</c:v>
                      </c:pt>
                      <c:pt idx="54">
                        <c:v>738</c:v>
                      </c:pt>
                      <c:pt idx="55">
                        <c:v>746</c:v>
                      </c:pt>
                      <c:pt idx="56">
                        <c:v>754</c:v>
                      </c:pt>
                      <c:pt idx="57">
                        <c:v>762</c:v>
                      </c:pt>
                      <c:pt idx="58">
                        <c:v>770</c:v>
                      </c:pt>
                      <c:pt idx="59">
                        <c:v>778</c:v>
                      </c:pt>
                      <c:pt idx="60">
                        <c:v>786</c:v>
                      </c:pt>
                      <c:pt idx="61">
                        <c:v>794</c:v>
                      </c:pt>
                      <c:pt idx="62">
                        <c:v>802</c:v>
                      </c:pt>
                      <c:pt idx="63">
                        <c:v>810</c:v>
                      </c:pt>
                      <c:pt idx="64">
                        <c:v>818</c:v>
                      </c:pt>
                      <c:pt idx="65">
                        <c:v>826</c:v>
                      </c:pt>
                      <c:pt idx="66">
                        <c:v>834</c:v>
                      </c:pt>
                      <c:pt idx="67">
                        <c:v>842</c:v>
                      </c:pt>
                      <c:pt idx="68">
                        <c:v>850</c:v>
                      </c:pt>
                      <c:pt idx="69">
                        <c:v>858</c:v>
                      </c:pt>
                      <c:pt idx="70">
                        <c:v>866</c:v>
                      </c:pt>
                      <c:pt idx="71">
                        <c:v>874</c:v>
                      </c:pt>
                      <c:pt idx="72">
                        <c:v>882</c:v>
                      </c:pt>
                      <c:pt idx="73">
                        <c:v>890</c:v>
                      </c:pt>
                      <c:pt idx="74">
                        <c:v>898</c:v>
                      </c:pt>
                      <c:pt idx="75">
                        <c:v>906</c:v>
                      </c:pt>
                      <c:pt idx="76">
                        <c:v>914</c:v>
                      </c:pt>
                      <c:pt idx="77">
                        <c:v>922</c:v>
                      </c:pt>
                      <c:pt idx="78">
                        <c:v>930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EVALUATION!$B$119:$CP$119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5-60C8-4A98-A947-234019680B74}"/>
                  </c:ext>
                </c:extLst>
              </c15:ser>
            </c15:filteredScatterSeries>
            <c15:filteredScatterSeries>
              <c15:ser>
                <c:idx val="17"/>
                <c:order val="19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306</c:v>
                      </c:pt>
                      <c:pt idx="1">
                        <c:v>314</c:v>
                      </c:pt>
                      <c:pt idx="2">
                        <c:v>322</c:v>
                      </c:pt>
                      <c:pt idx="3">
                        <c:v>330</c:v>
                      </c:pt>
                      <c:pt idx="4">
                        <c:v>338</c:v>
                      </c:pt>
                      <c:pt idx="5">
                        <c:v>346</c:v>
                      </c:pt>
                      <c:pt idx="6">
                        <c:v>354</c:v>
                      </c:pt>
                      <c:pt idx="7">
                        <c:v>362</c:v>
                      </c:pt>
                      <c:pt idx="8">
                        <c:v>370</c:v>
                      </c:pt>
                      <c:pt idx="9">
                        <c:v>378</c:v>
                      </c:pt>
                      <c:pt idx="10">
                        <c:v>386</c:v>
                      </c:pt>
                      <c:pt idx="11">
                        <c:v>394</c:v>
                      </c:pt>
                      <c:pt idx="12">
                        <c:v>402</c:v>
                      </c:pt>
                      <c:pt idx="13">
                        <c:v>410</c:v>
                      </c:pt>
                      <c:pt idx="14">
                        <c:v>418</c:v>
                      </c:pt>
                      <c:pt idx="15">
                        <c:v>426</c:v>
                      </c:pt>
                      <c:pt idx="16">
                        <c:v>434</c:v>
                      </c:pt>
                      <c:pt idx="17">
                        <c:v>442</c:v>
                      </c:pt>
                      <c:pt idx="18">
                        <c:v>450</c:v>
                      </c:pt>
                      <c:pt idx="19">
                        <c:v>458</c:v>
                      </c:pt>
                      <c:pt idx="20">
                        <c:v>466</c:v>
                      </c:pt>
                      <c:pt idx="21">
                        <c:v>474</c:v>
                      </c:pt>
                      <c:pt idx="22">
                        <c:v>482</c:v>
                      </c:pt>
                      <c:pt idx="23">
                        <c:v>490</c:v>
                      </c:pt>
                      <c:pt idx="24">
                        <c:v>498</c:v>
                      </c:pt>
                      <c:pt idx="25">
                        <c:v>506</c:v>
                      </c:pt>
                      <c:pt idx="26">
                        <c:v>514</c:v>
                      </c:pt>
                      <c:pt idx="27">
                        <c:v>522</c:v>
                      </c:pt>
                      <c:pt idx="28">
                        <c:v>530</c:v>
                      </c:pt>
                      <c:pt idx="29">
                        <c:v>538</c:v>
                      </c:pt>
                      <c:pt idx="30">
                        <c:v>546</c:v>
                      </c:pt>
                      <c:pt idx="31">
                        <c:v>554</c:v>
                      </c:pt>
                      <c:pt idx="32">
                        <c:v>562</c:v>
                      </c:pt>
                      <c:pt idx="33">
                        <c:v>570</c:v>
                      </c:pt>
                      <c:pt idx="34">
                        <c:v>578</c:v>
                      </c:pt>
                      <c:pt idx="35">
                        <c:v>586</c:v>
                      </c:pt>
                      <c:pt idx="36">
                        <c:v>594</c:v>
                      </c:pt>
                      <c:pt idx="37">
                        <c:v>602</c:v>
                      </c:pt>
                      <c:pt idx="38">
                        <c:v>610</c:v>
                      </c:pt>
                      <c:pt idx="39">
                        <c:v>618</c:v>
                      </c:pt>
                      <c:pt idx="40">
                        <c:v>626</c:v>
                      </c:pt>
                      <c:pt idx="41">
                        <c:v>634</c:v>
                      </c:pt>
                      <c:pt idx="42">
                        <c:v>642</c:v>
                      </c:pt>
                      <c:pt idx="43">
                        <c:v>650</c:v>
                      </c:pt>
                      <c:pt idx="44">
                        <c:v>658</c:v>
                      </c:pt>
                      <c:pt idx="45">
                        <c:v>666</c:v>
                      </c:pt>
                      <c:pt idx="46">
                        <c:v>674</c:v>
                      </c:pt>
                      <c:pt idx="47">
                        <c:v>682</c:v>
                      </c:pt>
                      <c:pt idx="48">
                        <c:v>690</c:v>
                      </c:pt>
                      <c:pt idx="49">
                        <c:v>698</c:v>
                      </c:pt>
                      <c:pt idx="50">
                        <c:v>706</c:v>
                      </c:pt>
                      <c:pt idx="51">
                        <c:v>714</c:v>
                      </c:pt>
                      <c:pt idx="52">
                        <c:v>722</c:v>
                      </c:pt>
                      <c:pt idx="53">
                        <c:v>730</c:v>
                      </c:pt>
                      <c:pt idx="54">
                        <c:v>738</c:v>
                      </c:pt>
                      <c:pt idx="55">
                        <c:v>746</c:v>
                      </c:pt>
                      <c:pt idx="56">
                        <c:v>754</c:v>
                      </c:pt>
                      <c:pt idx="57">
                        <c:v>762</c:v>
                      </c:pt>
                      <c:pt idx="58">
                        <c:v>770</c:v>
                      </c:pt>
                      <c:pt idx="59">
                        <c:v>778</c:v>
                      </c:pt>
                      <c:pt idx="60">
                        <c:v>786</c:v>
                      </c:pt>
                      <c:pt idx="61">
                        <c:v>794</c:v>
                      </c:pt>
                      <c:pt idx="62">
                        <c:v>802</c:v>
                      </c:pt>
                      <c:pt idx="63">
                        <c:v>810</c:v>
                      </c:pt>
                      <c:pt idx="64">
                        <c:v>818</c:v>
                      </c:pt>
                      <c:pt idx="65">
                        <c:v>826</c:v>
                      </c:pt>
                      <c:pt idx="66">
                        <c:v>834</c:v>
                      </c:pt>
                      <c:pt idx="67">
                        <c:v>842</c:v>
                      </c:pt>
                      <c:pt idx="68">
                        <c:v>850</c:v>
                      </c:pt>
                      <c:pt idx="69">
                        <c:v>858</c:v>
                      </c:pt>
                      <c:pt idx="70">
                        <c:v>866</c:v>
                      </c:pt>
                      <c:pt idx="71">
                        <c:v>874</c:v>
                      </c:pt>
                      <c:pt idx="72">
                        <c:v>882</c:v>
                      </c:pt>
                      <c:pt idx="73">
                        <c:v>890</c:v>
                      </c:pt>
                      <c:pt idx="74">
                        <c:v>898</c:v>
                      </c:pt>
                      <c:pt idx="75">
                        <c:v>906</c:v>
                      </c:pt>
                      <c:pt idx="76">
                        <c:v>914</c:v>
                      </c:pt>
                      <c:pt idx="77">
                        <c:v>922</c:v>
                      </c:pt>
                      <c:pt idx="78">
                        <c:v>930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EVALUATION!$B$120:$CP$120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6-60C8-4A98-A947-234019680B74}"/>
                  </c:ext>
                </c:extLst>
              </c15:ser>
            </c15:filteredScatterSeries>
            <c15:filteredScatterSeries>
              <c15:ser>
                <c:idx val="18"/>
                <c:order val="20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306</c:v>
                      </c:pt>
                      <c:pt idx="1">
                        <c:v>314</c:v>
                      </c:pt>
                      <c:pt idx="2">
                        <c:v>322</c:v>
                      </c:pt>
                      <c:pt idx="3">
                        <c:v>330</c:v>
                      </c:pt>
                      <c:pt idx="4">
                        <c:v>338</c:v>
                      </c:pt>
                      <c:pt idx="5">
                        <c:v>346</c:v>
                      </c:pt>
                      <c:pt idx="6">
                        <c:v>354</c:v>
                      </c:pt>
                      <c:pt idx="7">
                        <c:v>362</c:v>
                      </c:pt>
                      <c:pt idx="8">
                        <c:v>370</c:v>
                      </c:pt>
                      <c:pt idx="9">
                        <c:v>378</c:v>
                      </c:pt>
                      <c:pt idx="10">
                        <c:v>386</c:v>
                      </c:pt>
                      <c:pt idx="11">
                        <c:v>394</c:v>
                      </c:pt>
                      <c:pt idx="12">
                        <c:v>402</c:v>
                      </c:pt>
                      <c:pt idx="13">
                        <c:v>410</c:v>
                      </c:pt>
                      <c:pt idx="14">
                        <c:v>418</c:v>
                      </c:pt>
                      <c:pt idx="15">
                        <c:v>426</c:v>
                      </c:pt>
                      <c:pt idx="16">
                        <c:v>434</c:v>
                      </c:pt>
                      <c:pt idx="17">
                        <c:v>442</c:v>
                      </c:pt>
                      <c:pt idx="18">
                        <c:v>450</c:v>
                      </c:pt>
                      <c:pt idx="19">
                        <c:v>458</c:v>
                      </c:pt>
                      <c:pt idx="20">
                        <c:v>466</c:v>
                      </c:pt>
                      <c:pt idx="21">
                        <c:v>474</c:v>
                      </c:pt>
                      <c:pt idx="22">
                        <c:v>482</c:v>
                      </c:pt>
                      <c:pt idx="23">
                        <c:v>490</c:v>
                      </c:pt>
                      <c:pt idx="24">
                        <c:v>498</c:v>
                      </c:pt>
                      <c:pt idx="25">
                        <c:v>506</c:v>
                      </c:pt>
                      <c:pt idx="26">
                        <c:v>514</c:v>
                      </c:pt>
                      <c:pt idx="27">
                        <c:v>522</c:v>
                      </c:pt>
                      <c:pt idx="28">
                        <c:v>530</c:v>
                      </c:pt>
                      <c:pt idx="29">
                        <c:v>538</c:v>
                      </c:pt>
                      <c:pt idx="30">
                        <c:v>546</c:v>
                      </c:pt>
                      <c:pt idx="31">
                        <c:v>554</c:v>
                      </c:pt>
                      <c:pt idx="32">
                        <c:v>562</c:v>
                      </c:pt>
                      <c:pt idx="33">
                        <c:v>570</c:v>
                      </c:pt>
                      <c:pt idx="34">
                        <c:v>578</c:v>
                      </c:pt>
                      <c:pt idx="35">
                        <c:v>586</c:v>
                      </c:pt>
                      <c:pt idx="36">
                        <c:v>594</c:v>
                      </c:pt>
                      <c:pt idx="37">
                        <c:v>602</c:v>
                      </c:pt>
                      <c:pt idx="38">
                        <c:v>610</c:v>
                      </c:pt>
                      <c:pt idx="39">
                        <c:v>618</c:v>
                      </c:pt>
                      <c:pt idx="40">
                        <c:v>626</c:v>
                      </c:pt>
                      <c:pt idx="41">
                        <c:v>634</c:v>
                      </c:pt>
                      <c:pt idx="42">
                        <c:v>642</c:v>
                      </c:pt>
                      <c:pt idx="43">
                        <c:v>650</c:v>
                      </c:pt>
                      <c:pt idx="44">
                        <c:v>658</c:v>
                      </c:pt>
                      <c:pt idx="45">
                        <c:v>666</c:v>
                      </c:pt>
                      <c:pt idx="46">
                        <c:v>674</c:v>
                      </c:pt>
                      <c:pt idx="47">
                        <c:v>682</c:v>
                      </c:pt>
                      <c:pt idx="48">
                        <c:v>690</c:v>
                      </c:pt>
                      <c:pt idx="49">
                        <c:v>698</c:v>
                      </c:pt>
                      <c:pt idx="50">
                        <c:v>706</c:v>
                      </c:pt>
                      <c:pt idx="51">
                        <c:v>714</c:v>
                      </c:pt>
                      <c:pt idx="52">
                        <c:v>722</c:v>
                      </c:pt>
                      <c:pt idx="53">
                        <c:v>730</c:v>
                      </c:pt>
                      <c:pt idx="54">
                        <c:v>738</c:v>
                      </c:pt>
                      <c:pt idx="55">
                        <c:v>746</c:v>
                      </c:pt>
                      <c:pt idx="56">
                        <c:v>754</c:v>
                      </c:pt>
                      <c:pt idx="57">
                        <c:v>762</c:v>
                      </c:pt>
                      <c:pt idx="58">
                        <c:v>770</c:v>
                      </c:pt>
                      <c:pt idx="59">
                        <c:v>778</c:v>
                      </c:pt>
                      <c:pt idx="60">
                        <c:v>786</c:v>
                      </c:pt>
                      <c:pt idx="61">
                        <c:v>794</c:v>
                      </c:pt>
                      <c:pt idx="62">
                        <c:v>802</c:v>
                      </c:pt>
                      <c:pt idx="63">
                        <c:v>810</c:v>
                      </c:pt>
                      <c:pt idx="64">
                        <c:v>818</c:v>
                      </c:pt>
                      <c:pt idx="65">
                        <c:v>826</c:v>
                      </c:pt>
                      <c:pt idx="66">
                        <c:v>834</c:v>
                      </c:pt>
                      <c:pt idx="67">
                        <c:v>842</c:v>
                      </c:pt>
                      <c:pt idx="68">
                        <c:v>850</c:v>
                      </c:pt>
                      <c:pt idx="69">
                        <c:v>858</c:v>
                      </c:pt>
                      <c:pt idx="70">
                        <c:v>866</c:v>
                      </c:pt>
                      <c:pt idx="71">
                        <c:v>874</c:v>
                      </c:pt>
                      <c:pt idx="72">
                        <c:v>882</c:v>
                      </c:pt>
                      <c:pt idx="73">
                        <c:v>890</c:v>
                      </c:pt>
                      <c:pt idx="74">
                        <c:v>898</c:v>
                      </c:pt>
                      <c:pt idx="75">
                        <c:v>906</c:v>
                      </c:pt>
                      <c:pt idx="76">
                        <c:v>914</c:v>
                      </c:pt>
                      <c:pt idx="77">
                        <c:v>922</c:v>
                      </c:pt>
                      <c:pt idx="78">
                        <c:v>930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EVALUATION!$B$121:$CP$121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7-60C8-4A98-A947-234019680B74}"/>
                  </c:ext>
                </c:extLst>
              </c15:ser>
            </c15:filteredScatterSeries>
            <c15:filteredScatterSeries>
              <c15:ser>
                <c:idx val="19"/>
                <c:order val="21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306</c:v>
                      </c:pt>
                      <c:pt idx="1">
                        <c:v>314</c:v>
                      </c:pt>
                      <c:pt idx="2">
                        <c:v>322</c:v>
                      </c:pt>
                      <c:pt idx="3">
                        <c:v>330</c:v>
                      </c:pt>
                      <c:pt idx="4">
                        <c:v>338</c:v>
                      </c:pt>
                      <c:pt idx="5">
                        <c:v>346</c:v>
                      </c:pt>
                      <c:pt idx="6">
                        <c:v>354</c:v>
                      </c:pt>
                      <c:pt idx="7">
                        <c:v>362</c:v>
                      </c:pt>
                      <c:pt idx="8">
                        <c:v>370</c:v>
                      </c:pt>
                      <c:pt idx="9">
                        <c:v>378</c:v>
                      </c:pt>
                      <c:pt idx="10">
                        <c:v>386</c:v>
                      </c:pt>
                      <c:pt idx="11">
                        <c:v>394</c:v>
                      </c:pt>
                      <c:pt idx="12">
                        <c:v>402</c:v>
                      </c:pt>
                      <c:pt idx="13">
                        <c:v>410</c:v>
                      </c:pt>
                      <c:pt idx="14">
                        <c:v>418</c:v>
                      </c:pt>
                      <c:pt idx="15">
                        <c:v>426</c:v>
                      </c:pt>
                      <c:pt idx="16">
                        <c:v>434</c:v>
                      </c:pt>
                      <c:pt idx="17">
                        <c:v>442</c:v>
                      </c:pt>
                      <c:pt idx="18">
                        <c:v>450</c:v>
                      </c:pt>
                      <c:pt idx="19">
                        <c:v>458</c:v>
                      </c:pt>
                      <c:pt idx="20">
                        <c:v>466</c:v>
                      </c:pt>
                      <c:pt idx="21">
                        <c:v>474</c:v>
                      </c:pt>
                      <c:pt idx="22">
                        <c:v>482</c:v>
                      </c:pt>
                      <c:pt idx="23">
                        <c:v>490</c:v>
                      </c:pt>
                      <c:pt idx="24">
                        <c:v>498</c:v>
                      </c:pt>
                      <c:pt idx="25">
                        <c:v>506</c:v>
                      </c:pt>
                      <c:pt idx="26">
                        <c:v>514</c:v>
                      </c:pt>
                      <c:pt idx="27">
                        <c:v>522</c:v>
                      </c:pt>
                      <c:pt idx="28">
                        <c:v>530</c:v>
                      </c:pt>
                      <c:pt idx="29">
                        <c:v>538</c:v>
                      </c:pt>
                      <c:pt idx="30">
                        <c:v>546</c:v>
                      </c:pt>
                      <c:pt idx="31">
                        <c:v>554</c:v>
                      </c:pt>
                      <c:pt idx="32">
                        <c:v>562</c:v>
                      </c:pt>
                      <c:pt idx="33">
                        <c:v>570</c:v>
                      </c:pt>
                      <c:pt idx="34">
                        <c:v>578</c:v>
                      </c:pt>
                      <c:pt idx="35">
                        <c:v>586</c:v>
                      </c:pt>
                      <c:pt idx="36">
                        <c:v>594</c:v>
                      </c:pt>
                      <c:pt idx="37">
                        <c:v>602</c:v>
                      </c:pt>
                      <c:pt idx="38">
                        <c:v>610</c:v>
                      </c:pt>
                      <c:pt idx="39">
                        <c:v>618</c:v>
                      </c:pt>
                      <c:pt idx="40">
                        <c:v>626</c:v>
                      </c:pt>
                      <c:pt idx="41">
                        <c:v>634</c:v>
                      </c:pt>
                      <c:pt idx="42">
                        <c:v>642</c:v>
                      </c:pt>
                      <c:pt idx="43">
                        <c:v>650</c:v>
                      </c:pt>
                      <c:pt idx="44">
                        <c:v>658</c:v>
                      </c:pt>
                      <c:pt idx="45">
                        <c:v>666</c:v>
                      </c:pt>
                      <c:pt idx="46">
                        <c:v>674</c:v>
                      </c:pt>
                      <c:pt idx="47">
                        <c:v>682</c:v>
                      </c:pt>
                      <c:pt idx="48">
                        <c:v>690</c:v>
                      </c:pt>
                      <c:pt idx="49">
                        <c:v>698</c:v>
                      </c:pt>
                      <c:pt idx="50">
                        <c:v>706</c:v>
                      </c:pt>
                      <c:pt idx="51">
                        <c:v>714</c:v>
                      </c:pt>
                      <c:pt idx="52">
                        <c:v>722</c:v>
                      </c:pt>
                      <c:pt idx="53">
                        <c:v>730</c:v>
                      </c:pt>
                      <c:pt idx="54">
                        <c:v>738</c:v>
                      </c:pt>
                      <c:pt idx="55">
                        <c:v>746</c:v>
                      </c:pt>
                      <c:pt idx="56">
                        <c:v>754</c:v>
                      </c:pt>
                      <c:pt idx="57">
                        <c:v>762</c:v>
                      </c:pt>
                      <c:pt idx="58">
                        <c:v>770</c:v>
                      </c:pt>
                      <c:pt idx="59">
                        <c:v>778</c:v>
                      </c:pt>
                      <c:pt idx="60">
                        <c:v>786</c:v>
                      </c:pt>
                      <c:pt idx="61">
                        <c:v>794</c:v>
                      </c:pt>
                      <c:pt idx="62">
                        <c:v>802</c:v>
                      </c:pt>
                      <c:pt idx="63">
                        <c:v>810</c:v>
                      </c:pt>
                      <c:pt idx="64">
                        <c:v>818</c:v>
                      </c:pt>
                      <c:pt idx="65">
                        <c:v>826</c:v>
                      </c:pt>
                      <c:pt idx="66">
                        <c:v>834</c:v>
                      </c:pt>
                      <c:pt idx="67">
                        <c:v>842</c:v>
                      </c:pt>
                      <c:pt idx="68">
                        <c:v>850</c:v>
                      </c:pt>
                      <c:pt idx="69">
                        <c:v>858</c:v>
                      </c:pt>
                      <c:pt idx="70">
                        <c:v>866</c:v>
                      </c:pt>
                      <c:pt idx="71">
                        <c:v>874</c:v>
                      </c:pt>
                      <c:pt idx="72">
                        <c:v>882</c:v>
                      </c:pt>
                      <c:pt idx="73">
                        <c:v>890</c:v>
                      </c:pt>
                      <c:pt idx="74">
                        <c:v>898</c:v>
                      </c:pt>
                      <c:pt idx="75">
                        <c:v>906</c:v>
                      </c:pt>
                      <c:pt idx="76">
                        <c:v>914</c:v>
                      </c:pt>
                      <c:pt idx="77">
                        <c:v>922</c:v>
                      </c:pt>
                      <c:pt idx="78">
                        <c:v>930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EVALUATION!$B$122:$CP$122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8-60C8-4A98-A947-234019680B74}"/>
                  </c:ext>
                </c:extLst>
              </c15:ser>
            </c15:filteredScatterSeries>
            <c15:filteredScatterSeries>
              <c15:ser>
                <c:idx val="20"/>
                <c:order val="22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306</c:v>
                      </c:pt>
                      <c:pt idx="1">
                        <c:v>314</c:v>
                      </c:pt>
                      <c:pt idx="2">
                        <c:v>322</c:v>
                      </c:pt>
                      <c:pt idx="3">
                        <c:v>330</c:v>
                      </c:pt>
                      <c:pt idx="4">
                        <c:v>338</c:v>
                      </c:pt>
                      <c:pt idx="5">
                        <c:v>346</c:v>
                      </c:pt>
                      <c:pt idx="6">
                        <c:v>354</c:v>
                      </c:pt>
                      <c:pt idx="7">
                        <c:v>362</c:v>
                      </c:pt>
                      <c:pt idx="8">
                        <c:v>370</c:v>
                      </c:pt>
                      <c:pt idx="9">
                        <c:v>378</c:v>
                      </c:pt>
                      <c:pt idx="10">
                        <c:v>386</c:v>
                      </c:pt>
                      <c:pt idx="11">
                        <c:v>394</c:v>
                      </c:pt>
                      <c:pt idx="12">
                        <c:v>402</c:v>
                      </c:pt>
                      <c:pt idx="13">
                        <c:v>410</c:v>
                      </c:pt>
                      <c:pt idx="14">
                        <c:v>418</c:v>
                      </c:pt>
                      <c:pt idx="15">
                        <c:v>426</c:v>
                      </c:pt>
                      <c:pt idx="16">
                        <c:v>434</c:v>
                      </c:pt>
                      <c:pt idx="17">
                        <c:v>442</c:v>
                      </c:pt>
                      <c:pt idx="18">
                        <c:v>450</c:v>
                      </c:pt>
                      <c:pt idx="19">
                        <c:v>458</c:v>
                      </c:pt>
                      <c:pt idx="20">
                        <c:v>466</c:v>
                      </c:pt>
                      <c:pt idx="21">
                        <c:v>474</c:v>
                      </c:pt>
                      <c:pt idx="22">
                        <c:v>482</c:v>
                      </c:pt>
                      <c:pt idx="23">
                        <c:v>490</c:v>
                      </c:pt>
                      <c:pt idx="24">
                        <c:v>498</c:v>
                      </c:pt>
                      <c:pt idx="25">
                        <c:v>506</c:v>
                      </c:pt>
                      <c:pt idx="26">
                        <c:v>514</c:v>
                      </c:pt>
                      <c:pt idx="27">
                        <c:v>522</c:v>
                      </c:pt>
                      <c:pt idx="28">
                        <c:v>530</c:v>
                      </c:pt>
                      <c:pt idx="29">
                        <c:v>538</c:v>
                      </c:pt>
                      <c:pt idx="30">
                        <c:v>546</c:v>
                      </c:pt>
                      <c:pt idx="31">
                        <c:v>554</c:v>
                      </c:pt>
                      <c:pt idx="32">
                        <c:v>562</c:v>
                      </c:pt>
                      <c:pt idx="33">
                        <c:v>570</c:v>
                      </c:pt>
                      <c:pt idx="34">
                        <c:v>578</c:v>
                      </c:pt>
                      <c:pt idx="35">
                        <c:v>586</c:v>
                      </c:pt>
                      <c:pt idx="36">
                        <c:v>594</c:v>
                      </c:pt>
                      <c:pt idx="37">
                        <c:v>602</c:v>
                      </c:pt>
                      <c:pt idx="38">
                        <c:v>610</c:v>
                      </c:pt>
                      <c:pt idx="39">
                        <c:v>618</c:v>
                      </c:pt>
                      <c:pt idx="40">
                        <c:v>626</c:v>
                      </c:pt>
                      <c:pt idx="41">
                        <c:v>634</c:v>
                      </c:pt>
                      <c:pt idx="42">
                        <c:v>642</c:v>
                      </c:pt>
                      <c:pt idx="43">
                        <c:v>650</c:v>
                      </c:pt>
                      <c:pt idx="44">
                        <c:v>658</c:v>
                      </c:pt>
                      <c:pt idx="45">
                        <c:v>666</c:v>
                      </c:pt>
                      <c:pt idx="46">
                        <c:v>674</c:v>
                      </c:pt>
                      <c:pt idx="47">
                        <c:v>682</c:v>
                      </c:pt>
                      <c:pt idx="48">
                        <c:v>690</c:v>
                      </c:pt>
                      <c:pt idx="49">
                        <c:v>698</c:v>
                      </c:pt>
                      <c:pt idx="50">
                        <c:v>706</c:v>
                      </c:pt>
                      <c:pt idx="51">
                        <c:v>714</c:v>
                      </c:pt>
                      <c:pt idx="52">
                        <c:v>722</c:v>
                      </c:pt>
                      <c:pt idx="53">
                        <c:v>730</c:v>
                      </c:pt>
                      <c:pt idx="54">
                        <c:v>738</c:v>
                      </c:pt>
                      <c:pt idx="55">
                        <c:v>746</c:v>
                      </c:pt>
                      <c:pt idx="56">
                        <c:v>754</c:v>
                      </c:pt>
                      <c:pt idx="57">
                        <c:v>762</c:v>
                      </c:pt>
                      <c:pt idx="58">
                        <c:v>770</c:v>
                      </c:pt>
                      <c:pt idx="59">
                        <c:v>778</c:v>
                      </c:pt>
                      <c:pt idx="60">
                        <c:v>786</c:v>
                      </c:pt>
                      <c:pt idx="61">
                        <c:v>794</c:v>
                      </c:pt>
                      <c:pt idx="62">
                        <c:v>802</c:v>
                      </c:pt>
                      <c:pt idx="63">
                        <c:v>810</c:v>
                      </c:pt>
                      <c:pt idx="64">
                        <c:v>818</c:v>
                      </c:pt>
                      <c:pt idx="65">
                        <c:v>826</c:v>
                      </c:pt>
                      <c:pt idx="66">
                        <c:v>834</c:v>
                      </c:pt>
                      <c:pt idx="67">
                        <c:v>842</c:v>
                      </c:pt>
                      <c:pt idx="68">
                        <c:v>850</c:v>
                      </c:pt>
                      <c:pt idx="69">
                        <c:v>858</c:v>
                      </c:pt>
                      <c:pt idx="70">
                        <c:v>866</c:v>
                      </c:pt>
                      <c:pt idx="71">
                        <c:v>874</c:v>
                      </c:pt>
                      <c:pt idx="72">
                        <c:v>882</c:v>
                      </c:pt>
                      <c:pt idx="73">
                        <c:v>890</c:v>
                      </c:pt>
                      <c:pt idx="74">
                        <c:v>898</c:v>
                      </c:pt>
                      <c:pt idx="75">
                        <c:v>906</c:v>
                      </c:pt>
                      <c:pt idx="76">
                        <c:v>914</c:v>
                      </c:pt>
                      <c:pt idx="77">
                        <c:v>922</c:v>
                      </c:pt>
                      <c:pt idx="78">
                        <c:v>930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EVALUATION!$B$123:$CP$123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9-60C8-4A98-A947-234019680B74}"/>
                  </c:ext>
                </c:extLst>
              </c15:ser>
            </c15:filteredScatterSeries>
            <c15:filteredScatterSeries>
              <c15:ser>
                <c:idx val="21"/>
                <c:order val="23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306</c:v>
                      </c:pt>
                      <c:pt idx="1">
                        <c:v>314</c:v>
                      </c:pt>
                      <c:pt idx="2">
                        <c:v>322</c:v>
                      </c:pt>
                      <c:pt idx="3">
                        <c:v>330</c:v>
                      </c:pt>
                      <c:pt idx="4">
                        <c:v>338</c:v>
                      </c:pt>
                      <c:pt idx="5">
                        <c:v>346</c:v>
                      </c:pt>
                      <c:pt idx="6">
                        <c:v>354</c:v>
                      </c:pt>
                      <c:pt idx="7">
                        <c:v>362</c:v>
                      </c:pt>
                      <c:pt idx="8">
                        <c:v>370</c:v>
                      </c:pt>
                      <c:pt idx="9">
                        <c:v>378</c:v>
                      </c:pt>
                      <c:pt idx="10">
                        <c:v>386</c:v>
                      </c:pt>
                      <c:pt idx="11">
                        <c:v>394</c:v>
                      </c:pt>
                      <c:pt idx="12">
                        <c:v>402</c:v>
                      </c:pt>
                      <c:pt idx="13">
                        <c:v>410</c:v>
                      </c:pt>
                      <c:pt idx="14">
                        <c:v>418</c:v>
                      </c:pt>
                      <c:pt idx="15">
                        <c:v>426</c:v>
                      </c:pt>
                      <c:pt idx="16">
                        <c:v>434</c:v>
                      </c:pt>
                      <c:pt idx="17">
                        <c:v>442</c:v>
                      </c:pt>
                      <c:pt idx="18">
                        <c:v>450</c:v>
                      </c:pt>
                      <c:pt idx="19">
                        <c:v>458</c:v>
                      </c:pt>
                      <c:pt idx="20">
                        <c:v>466</c:v>
                      </c:pt>
                      <c:pt idx="21">
                        <c:v>474</c:v>
                      </c:pt>
                      <c:pt idx="22">
                        <c:v>482</c:v>
                      </c:pt>
                      <c:pt idx="23">
                        <c:v>490</c:v>
                      </c:pt>
                      <c:pt idx="24">
                        <c:v>498</c:v>
                      </c:pt>
                      <c:pt idx="25">
                        <c:v>506</c:v>
                      </c:pt>
                      <c:pt idx="26">
                        <c:v>514</c:v>
                      </c:pt>
                      <c:pt idx="27">
                        <c:v>522</c:v>
                      </c:pt>
                      <c:pt idx="28">
                        <c:v>530</c:v>
                      </c:pt>
                      <c:pt idx="29">
                        <c:v>538</c:v>
                      </c:pt>
                      <c:pt idx="30">
                        <c:v>546</c:v>
                      </c:pt>
                      <c:pt idx="31">
                        <c:v>554</c:v>
                      </c:pt>
                      <c:pt idx="32">
                        <c:v>562</c:v>
                      </c:pt>
                      <c:pt idx="33">
                        <c:v>570</c:v>
                      </c:pt>
                      <c:pt idx="34">
                        <c:v>578</c:v>
                      </c:pt>
                      <c:pt idx="35">
                        <c:v>586</c:v>
                      </c:pt>
                      <c:pt idx="36">
                        <c:v>594</c:v>
                      </c:pt>
                      <c:pt idx="37">
                        <c:v>602</c:v>
                      </c:pt>
                      <c:pt idx="38">
                        <c:v>610</c:v>
                      </c:pt>
                      <c:pt idx="39">
                        <c:v>618</c:v>
                      </c:pt>
                      <c:pt idx="40">
                        <c:v>626</c:v>
                      </c:pt>
                      <c:pt idx="41">
                        <c:v>634</c:v>
                      </c:pt>
                      <c:pt idx="42">
                        <c:v>642</c:v>
                      </c:pt>
                      <c:pt idx="43">
                        <c:v>650</c:v>
                      </c:pt>
                      <c:pt idx="44">
                        <c:v>658</c:v>
                      </c:pt>
                      <c:pt idx="45">
                        <c:v>666</c:v>
                      </c:pt>
                      <c:pt idx="46">
                        <c:v>674</c:v>
                      </c:pt>
                      <c:pt idx="47">
                        <c:v>682</c:v>
                      </c:pt>
                      <c:pt idx="48">
                        <c:v>690</c:v>
                      </c:pt>
                      <c:pt idx="49">
                        <c:v>698</c:v>
                      </c:pt>
                      <c:pt idx="50">
                        <c:v>706</c:v>
                      </c:pt>
                      <c:pt idx="51">
                        <c:v>714</c:v>
                      </c:pt>
                      <c:pt idx="52">
                        <c:v>722</c:v>
                      </c:pt>
                      <c:pt idx="53">
                        <c:v>730</c:v>
                      </c:pt>
                      <c:pt idx="54">
                        <c:v>738</c:v>
                      </c:pt>
                      <c:pt idx="55">
                        <c:v>746</c:v>
                      </c:pt>
                      <c:pt idx="56">
                        <c:v>754</c:v>
                      </c:pt>
                      <c:pt idx="57">
                        <c:v>762</c:v>
                      </c:pt>
                      <c:pt idx="58">
                        <c:v>770</c:v>
                      </c:pt>
                      <c:pt idx="59">
                        <c:v>778</c:v>
                      </c:pt>
                      <c:pt idx="60">
                        <c:v>786</c:v>
                      </c:pt>
                      <c:pt idx="61">
                        <c:v>794</c:v>
                      </c:pt>
                      <c:pt idx="62">
                        <c:v>802</c:v>
                      </c:pt>
                      <c:pt idx="63">
                        <c:v>810</c:v>
                      </c:pt>
                      <c:pt idx="64">
                        <c:v>818</c:v>
                      </c:pt>
                      <c:pt idx="65">
                        <c:v>826</c:v>
                      </c:pt>
                      <c:pt idx="66">
                        <c:v>834</c:v>
                      </c:pt>
                      <c:pt idx="67">
                        <c:v>842</c:v>
                      </c:pt>
                      <c:pt idx="68">
                        <c:v>850</c:v>
                      </c:pt>
                      <c:pt idx="69">
                        <c:v>858</c:v>
                      </c:pt>
                      <c:pt idx="70">
                        <c:v>866</c:v>
                      </c:pt>
                      <c:pt idx="71">
                        <c:v>874</c:v>
                      </c:pt>
                      <c:pt idx="72">
                        <c:v>882</c:v>
                      </c:pt>
                      <c:pt idx="73">
                        <c:v>890</c:v>
                      </c:pt>
                      <c:pt idx="74">
                        <c:v>898</c:v>
                      </c:pt>
                      <c:pt idx="75">
                        <c:v>906</c:v>
                      </c:pt>
                      <c:pt idx="76">
                        <c:v>914</c:v>
                      </c:pt>
                      <c:pt idx="77">
                        <c:v>922</c:v>
                      </c:pt>
                      <c:pt idx="78">
                        <c:v>930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EVALUATION!$B$124:$CP$124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A-60C8-4A98-A947-234019680B74}"/>
                  </c:ext>
                </c:extLst>
              </c15:ser>
            </c15:filteredScatterSeries>
            <c15:filteredScatterSeries>
              <c15:ser>
                <c:idx val="22"/>
                <c:order val="24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306</c:v>
                      </c:pt>
                      <c:pt idx="1">
                        <c:v>314</c:v>
                      </c:pt>
                      <c:pt idx="2">
                        <c:v>322</c:v>
                      </c:pt>
                      <c:pt idx="3">
                        <c:v>330</c:v>
                      </c:pt>
                      <c:pt idx="4">
                        <c:v>338</c:v>
                      </c:pt>
                      <c:pt idx="5">
                        <c:v>346</c:v>
                      </c:pt>
                      <c:pt idx="6">
                        <c:v>354</c:v>
                      </c:pt>
                      <c:pt idx="7">
                        <c:v>362</c:v>
                      </c:pt>
                      <c:pt idx="8">
                        <c:v>370</c:v>
                      </c:pt>
                      <c:pt idx="9">
                        <c:v>378</c:v>
                      </c:pt>
                      <c:pt idx="10">
                        <c:v>386</c:v>
                      </c:pt>
                      <c:pt idx="11">
                        <c:v>394</c:v>
                      </c:pt>
                      <c:pt idx="12">
                        <c:v>402</c:v>
                      </c:pt>
                      <c:pt idx="13">
                        <c:v>410</c:v>
                      </c:pt>
                      <c:pt idx="14">
                        <c:v>418</c:v>
                      </c:pt>
                      <c:pt idx="15">
                        <c:v>426</c:v>
                      </c:pt>
                      <c:pt idx="16">
                        <c:v>434</c:v>
                      </c:pt>
                      <c:pt idx="17">
                        <c:v>442</c:v>
                      </c:pt>
                      <c:pt idx="18">
                        <c:v>450</c:v>
                      </c:pt>
                      <c:pt idx="19">
                        <c:v>458</c:v>
                      </c:pt>
                      <c:pt idx="20">
                        <c:v>466</c:v>
                      </c:pt>
                      <c:pt idx="21">
                        <c:v>474</c:v>
                      </c:pt>
                      <c:pt idx="22">
                        <c:v>482</c:v>
                      </c:pt>
                      <c:pt idx="23">
                        <c:v>490</c:v>
                      </c:pt>
                      <c:pt idx="24">
                        <c:v>498</c:v>
                      </c:pt>
                      <c:pt idx="25">
                        <c:v>506</c:v>
                      </c:pt>
                      <c:pt idx="26">
                        <c:v>514</c:v>
                      </c:pt>
                      <c:pt idx="27">
                        <c:v>522</c:v>
                      </c:pt>
                      <c:pt idx="28">
                        <c:v>530</c:v>
                      </c:pt>
                      <c:pt idx="29">
                        <c:v>538</c:v>
                      </c:pt>
                      <c:pt idx="30">
                        <c:v>546</c:v>
                      </c:pt>
                      <c:pt idx="31">
                        <c:v>554</c:v>
                      </c:pt>
                      <c:pt idx="32">
                        <c:v>562</c:v>
                      </c:pt>
                      <c:pt idx="33">
                        <c:v>570</c:v>
                      </c:pt>
                      <c:pt idx="34">
                        <c:v>578</c:v>
                      </c:pt>
                      <c:pt idx="35">
                        <c:v>586</c:v>
                      </c:pt>
                      <c:pt idx="36">
                        <c:v>594</c:v>
                      </c:pt>
                      <c:pt idx="37">
                        <c:v>602</c:v>
                      </c:pt>
                      <c:pt idx="38">
                        <c:v>610</c:v>
                      </c:pt>
                      <c:pt idx="39">
                        <c:v>618</c:v>
                      </c:pt>
                      <c:pt idx="40">
                        <c:v>626</c:v>
                      </c:pt>
                      <c:pt idx="41">
                        <c:v>634</c:v>
                      </c:pt>
                      <c:pt idx="42">
                        <c:v>642</c:v>
                      </c:pt>
                      <c:pt idx="43">
                        <c:v>650</c:v>
                      </c:pt>
                      <c:pt idx="44">
                        <c:v>658</c:v>
                      </c:pt>
                      <c:pt idx="45">
                        <c:v>666</c:v>
                      </c:pt>
                      <c:pt idx="46">
                        <c:v>674</c:v>
                      </c:pt>
                      <c:pt idx="47">
                        <c:v>682</c:v>
                      </c:pt>
                      <c:pt idx="48">
                        <c:v>690</c:v>
                      </c:pt>
                      <c:pt idx="49">
                        <c:v>698</c:v>
                      </c:pt>
                      <c:pt idx="50">
                        <c:v>706</c:v>
                      </c:pt>
                      <c:pt idx="51">
                        <c:v>714</c:v>
                      </c:pt>
                      <c:pt idx="52">
                        <c:v>722</c:v>
                      </c:pt>
                      <c:pt idx="53">
                        <c:v>730</c:v>
                      </c:pt>
                      <c:pt idx="54">
                        <c:v>738</c:v>
                      </c:pt>
                      <c:pt idx="55">
                        <c:v>746</c:v>
                      </c:pt>
                      <c:pt idx="56">
                        <c:v>754</c:v>
                      </c:pt>
                      <c:pt idx="57">
                        <c:v>762</c:v>
                      </c:pt>
                      <c:pt idx="58">
                        <c:v>770</c:v>
                      </c:pt>
                      <c:pt idx="59">
                        <c:v>778</c:v>
                      </c:pt>
                      <c:pt idx="60">
                        <c:v>786</c:v>
                      </c:pt>
                      <c:pt idx="61">
                        <c:v>794</c:v>
                      </c:pt>
                      <c:pt idx="62">
                        <c:v>802</c:v>
                      </c:pt>
                      <c:pt idx="63">
                        <c:v>810</c:v>
                      </c:pt>
                      <c:pt idx="64">
                        <c:v>818</c:v>
                      </c:pt>
                      <c:pt idx="65">
                        <c:v>826</c:v>
                      </c:pt>
                      <c:pt idx="66">
                        <c:v>834</c:v>
                      </c:pt>
                      <c:pt idx="67">
                        <c:v>842</c:v>
                      </c:pt>
                      <c:pt idx="68">
                        <c:v>850</c:v>
                      </c:pt>
                      <c:pt idx="69">
                        <c:v>858</c:v>
                      </c:pt>
                      <c:pt idx="70">
                        <c:v>866</c:v>
                      </c:pt>
                      <c:pt idx="71">
                        <c:v>874</c:v>
                      </c:pt>
                      <c:pt idx="72">
                        <c:v>882</c:v>
                      </c:pt>
                      <c:pt idx="73">
                        <c:v>890</c:v>
                      </c:pt>
                      <c:pt idx="74">
                        <c:v>898</c:v>
                      </c:pt>
                      <c:pt idx="75">
                        <c:v>906</c:v>
                      </c:pt>
                      <c:pt idx="76">
                        <c:v>914</c:v>
                      </c:pt>
                      <c:pt idx="77">
                        <c:v>922</c:v>
                      </c:pt>
                      <c:pt idx="78">
                        <c:v>930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EVALUATION!$B$125:$CP$125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B-60C8-4A98-A947-234019680B74}"/>
                  </c:ext>
                </c:extLst>
              </c15:ser>
            </c15:filteredScatterSeries>
            <c15:filteredScatterSeries>
              <c15:ser>
                <c:idx val="23"/>
                <c:order val="25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306</c:v>
                      </c:pt>
                      <c:pt idx="1">
                        <c:v>314</c:v>
                      </c:pt>
                      <c:pt idx="2">
                        <c:v>322</c:v>
                      </c:pt>
                      <c:pt idx="3">
                        <c:v>330</c:v>
                      </c:pt>
                      <c:pt idx="4">
                        <c:v>338</c:v>
                      </c:pt>
                      <c:pt idx="5">
                        <c:v>346</c:v>
                      </c:pt>
                      <c:pt idx="6">
                        <c:v>354</c:v>
                      </c:pt>
                      <c:pt idx="7">
                        <c:v>362</c:v>
                      </c:pt>
                      <c:pt idx="8">
                        <c:v>370</c:v>
                      </c:pt>
                      <c:pt idx="9">
                        <c:v>378</c:v>
                      </c:pt>
                      <c:pt idx="10">
                        <c:v>386</c:v>
                      </c:pt>
                      <c:pt idx="11">
                        <c:v>394</c:v>
                      </c:pt>
                      <c:pt idx="12">
                        <c:v>402</c:v>
                      </c:pt>
                      <c:pt idx="13">
                        <c:v>410</c:v>
                      </c:pt>
                      <c:pt idx="14">
                        <c:v>418</c:v>
                      </c:pt>
                      <c:pt idx="15">
                        <c:v>426</c:v>
                      </c:pt>
                      <c:pt idx="16">
                        <c:v>434</c:v>
                      </c:pt>
                      <c:pt idx="17">
                        <c:v>442</c:v>
                      </c:pt>
                      <c:pt idx="18">
                        <c:v>450</c:v>
                      </c:pt>
                      <c:pt idx="19">
                        <c:v>458</c:v>
                      </c:pt>
                      <c:pt idx="20">
                        <c:v>466</c:v>
                      </c:pt>
                      <c:pt idx="21">
                        <c:v>474</c:v>
                      </c:pt>
                      <c:pt idx="22">
                        <c:v>482</c:v>
                      </c:pt>
                      <c:pt idx="23">
                        <c:v>490</c:v>
                      </c:pt>
                      <c:pt idx="24">
                        <c:v>498</c:v>
                      </c:pt>
                      <c:pt idx="25">
                        <c:v>506</c:v>
                      </c:pt>
                      <c:pt idx="26">
                        <c:v>514</c:v>
                      </c:pt>
                      <c:pt idx="27">
                        <c:v>522</c:v>
                      </c:pt>
                      <c:pt idx="28">
                        <c:v>530</c:v>
                      </c:pt>
                      <c:pt idx="29">
                        <c:v>538</c:v>
                      </c:pt>
                      <c:pt idx="30">
                        <c:v>546</c:v>
                      </c:pt>
                      <c:pt idx="31">
                        <c:v>554</c:v>
                      </c:pt>
                      <c:pt idx="32">
                        <c:v>562</c:v>
                      </c:pt>
                      <c:pt idx="33">
                        <c:v>570</c:v>
                      </c:pt>
                      <c:pt idx="34">
                        <c:v>578</c:v>
                      </c:pt>
                      <c:pt idx="35">
                        <c:v>586</c:v>
                      </c:pt>
                      <c:pt idx="36">
                        <c:v>594</c:v>
                      </c:pt>
                      <c:pt idx="37">
                        <c:v>602</c:v>
                      </c:pt>
                      <c:pt idx="38">
                        <c:v>610</c:v>
                      </c:pt>
                      <c:pt idx="39">
                        <c:v>618</c:v>
                      </c:pt>
                      <c:pt idx="40">
                        <c:v>626</c:v>
                      </c:pt>
                      <c:pt idx="41">
                        <c:v>634</c:v>
                      </c:pt>
                      <c:pt idx="42">
                        <c:v>642</c:v>
                      </c:pt>
                      <c:pt idx="43">
                        <c:v>650</c:v>
                      </c:pt>
                      <c:pt idx="44">
                        <c:v>658</c:v>
                      </c:pt>
                      <c:pt idx="45">
                        <c:v>666</c:v>
                      </c:pt>
                      <c:pt idx="46">
                        <c:v>674</c:v>
                      </c:pt>
                      <c:pt idx="47">
                        <c:v>682</c:v>
                      </c:pt>
                      <c:pt idx="48">
                        <c:v>690</c:v>
                      </c:pt>
                      <c:pt idx="49">
                        <c:v>698</c:v>
                      </c:pt>
                      <c:pt idx="50">
                        <c:v>706</c:v>
                      </c:pt>
                      <c:pt idx="51">
                        <c:v>714</c:v>
                      </c:pt>
                      <c:pt idx="52">
                        <c:v>722</c:v>
                      </c:pt>
                      <c:pt idx="53">
                        <c:v>730</c:v>
                      </c:pt>
                      <c:pt idx="54">
                        <c:v>738</c:v>
                      </c:pt>
                      <c:pt idx="55">
                        <c:v>746</c:v>
                      </c:pt>
                      <c:pt idx="56">
                        <c:v>754</c:v>
                      </c:pt>
                      <c:pt idx="57">
                        <c:v>762</c:v>
                      </c:pt>
                      <c:pt idx="58">
                        <c:v>770</c:v>
                      </c:pt>
                      <c:pt idx="59">
                        <c:v>778</c:v>
                      </c:pt>
                      <c:pt idx="60">
                        <c:v>786</c:v>
                      </c:pt>
                      <c:pt idx="61">
                        <c:v>794</c:v>
                      </c:pt>
                      <c:pt idx="62">
                        <c:v>802</c:v>
                      </c:pt>
                      <c:pt idx="63">
                        <c:v>810</c:v>
                      </c:pt>
                      <c:pt idx="64">
                        <c:v>818</c:v>
                      </c:pt>
                      <c:pt idx="65">
                        <c:v>826</c:v>
                      </c:pt>
                      <c:pt idx="66">
                        <c:v>834</c:v>
                      </c:pt>
                      <c:pt idx="67">
                        <c:v>842</c:v>
                      </c:pt>
                      <c:pt idx="68">
                        <c:v>850</c:v>
                      </c:pt>
                      <c:pt idx="69">
                        <c:v>858</c:v>
                      </c:pt>
                      <c:pt idx="70">
                        <c:v>866</c:v>
                      </c:pt>
                      <c:pt idx="71">
                        <c:v>874</c:v>
                      </c:pt>
                      <c:pt idx="72">
                        <c:v>882</c:v>
                      </c:pt>
                      <c:pt idx="73">
                        <c:v>890</c:v>
                      </c:pt>
                      <c:pt idx="74">
                        <c:v>898</c:v>
                      </c:pt>
                      <c:pt idx="75">
                        <c:v>906</c:v>
                      </c:pt>
                      <c:pt idx="76">
                        <c:v>914</c:v>
                      </c:pt>
                      <c:pt idx="77">
                        <c:v>922</c:v>
                      </c:pt>
                      <c:pt idx="78">
                        <c:v>930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EVALUATION!$B$126:$CP$126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C-60C8-4A98-A947-234019680B74}"/>
                  </c:ext>
                </c:extLst>
              </c15:ser>
            </c15:filteredScatterSeries>
            <c15:filteredScatterSeries>
              <c15:ser>
                <c:idx val="24"/>
                <c:order val="26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306</c:v>
                      </c:pt>
                      <c:pt idx="1">
                        <c:v>314</c:v>
                      </c:pt>
                      <c:pt idx="2">
                        <c:v>322</c:v>
                      </c:pt>
                      <c:pt idx="3">
                        <c:v>330</c:v>
                      </c:pt>
                      <c:pt idx="4">
                        <c:v>338</c:v>
                      </c:pt>
                      <c:pt idx="5">
                        <c:v>346</c:v>
                      </c:pt>
                      <c:pt idx="6">
                        <c:v>354</c:v>
                      </c:pt>
                      <c:pt idx="7">
                        <c:v>362</c:v>
                      </c:pt>
                      <c:pt idx="8">
                        <c:v>370</c:v>
                      </c:pt>
                      <c:pt idx="9">
                        <c:v>378</c:v>
                      </c:pt>
                      <c:pt idx="10">
                        <c:v>386</c:v>
                      </c:pt>
                      <c:pt idx="11">
                        <c:v>394</c:v>
                      </c:pt>
                      <c:pt idx="12">
                        <c:v>402</c:v>
                      </c:pt>
                      <c:pt idx="13">
                        <c:v>410</c:v>
                      </c:pt>
                      <c:pt idx="14">
                        <c:v>418</c:v>
                      </c:pt>
                      <c:pt idx="15">
                        <c:v>426</c:v>
                      </c:pt>
                      <c:pt idx="16">
                        <c:v>434</c:v>
                      </c:pt>
                      <c:pt idx="17">
                        <c:v>442</c:v>
                      </c:pt>
                      <c:pt idx="18">
                        <c:v>450</c:v>
                      </c:pt>
                      <c:pt idx="19">
                        <c:v>458</c:v>
                      </c:pt>
                      <c:pt idx="20">
                        <c:v>466</c:v>
                      </c:pt>
                      <c:pt idx="21">
                        <c:v>474</c:v>
                      </c:pt>
                      <c:pt idx="22">
                        <c:v>482</c:v>
                      </c:pt>
                      <c:pt idx="23">
                        <c:v>490</c:v>
                      </c:pt>
                      <c:pt idx="24">
                        <c:v>498</c:v>
                      </c:pt>
                      <c:pt idx="25">
                        <c:v>506</c:v>
                      </c:pt>
                      <c:pt idx="26">
                        <c:v>514</c:v>
                      </c:pt>
                      <c:pt idx="27">
                        <c:v>522</c:v>
                      </c:pt>
                      <c:pt idx="28">
                        <c:v>530</c:v>
                      </c:pt>
                      <c:pt idx="29">
                        <c:v>538</c:v>
                      </c:pt>
                      <c:pt idx="30">
                        <c:v>546</c:v>
                      </c:pt>
                      <c:pt idx="31">
                        <c:v>554</c:v>
                      </c:pt>
                      <c:pt idx="32">
                        <c:v>562</c:v>
                      </c:pt>
                      <c:pt idx="33">
                        <c:v>570</c:v>
                      </c:pt>
                      <c:pt idx="34">
                        <c:v>578</c:v>
                      </c:pt>
                      <c:pt idx="35">
                        <c:v>586</c:v>
                      </c:pt>
                      <c:pt idx="36">
                        <c:v>594</c:v>
                      </c:pt>
                      <c:pt idx="37">
                        <c:v>602</c:v>
                      </c:pt>
                      <c:pt idx="38">
                        <c:v>610</c:v>
                      </c:pt>
                      <c:pt idx="39">
                        <c:v>618</c:v>
                      </c:pt>
                      <c:pt idx="40">
                        <c:v>626</c:v>
                      </c:pt>
                      <c:pt idx="41">
                        <c:v>634</c:v>
                      </c:pt>
                      <c:pt idx="42">
                        <c:v>642</c:v>
                      </c:pt>
                      <c:pt idx="43">
                        <c:v>650</c:v>
                      </c:pt>
                      <c:pt idx="44">
                        <c:v>658</c:v>
                      </c:pt>
                      <c:pt idx="45">
                        <c:v>666</c:v>
                      </c:pt>
                      <c:pt idx="46">
                        <c:v>674</c:v>
                      </c:pt>
                      <c:pt idx="47">
                        <c:v>682</c:v>
                      </c:pt>
                      <c:pt idx="48">
                        <c:v>690</c:v>
                      </c:pt>
                      <c:pt idx="49">
                        <c:v>698</c:v>
                      </c:pt>
                      <c:pt idx="50">
                        <c:v>706</c:v>
                      </c:pt>
                      <c:pt idx="51">
                        <c:v>714</c:v>
                      </c:pt>
                      <c:pt idx="52">
                        <c:v>722</c:v>
                      </c:pt>
                      <c:pt idx="53">
                        <c:v>730</c:v>
                      </c:pt>
                      <c:pt idx="54">
                        <c:v>738</c:v>
                      </c:pt>
                      <c:pt idx="55">
                        <c:v>746</c:v>
                      </c:pt>
                      <c:pt idx="56">
                        <c:v>754</c:v>
                      </c:pt>
                      <c:pt idx="57">
                        <c:v>762</c:v>
                      </c:pt>
                      <c:pt idx="58">
                        <c:v>770</c:v>
                      </c:pt>
                      <c:pt idx="59">
                        <c:v>778</c:v>
                      </c:pt>
                      <c:pt idx="60">
                        <c:v>786</c:v>
                      </c:pt>
                      <c:pt idx="61">
                        <c:v>794</c:v>
                      </c:pt>
                      <c:pt idx="62">
                        <c:v>802</c:v>
                      </c:pt>
                      <c:pt idx="63">
                        <c:v>810</c:v>
                      </c:pt>
                      <c:pt idx="64">
                        <c:v>818</c:v>
                      </c:pt>
                      <c:pt idx="65">
                        <c:v>826</c:v>
                      </c:pt>
                      <c:pt idx="66">
                        <c:v>834</c:v>
                      </c:pt>
                      <c:pt idx="67">
                        <c:v>842</c:v>
                      </c:pt>
                      <c:pt idx="68">
                        <c:v>850</c:v>
                      </c:pt>
                      <c:pt idx="69">
                        <c:v>858</c:v>
                      </c:pt>
                      <c:pt idx="70">
                        <c:v>866</c:v>
                      </c:pt>
                      <c:pt idx="71">
                        <c:v>874</c:v>
                      </c:pt>
                      <c:pt idx="72">
                        <c:v>882</c:v>
                      </c:pt>
                      <c:pt idx="73">
                        <c:v>890</c:v>
                      </c:pt>
                      <c:pt idx="74">
                        <c:v>898</c:v>
                      </c:pt>
                      <c:pt idx="75">
                        <c:v>906</c:v>
                      </c:pt>
                      <c:pt idx="76">
                        <c:v>914</c:v>
                      </c:pt>
                      <c:pt idx="77">
                        <c:v>922</c:v>
                      </c:pt>
                      <c:pt idx="78">
                        <c:v>930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EVALUATION!$B$127:$CP$127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D-60C8-4A98-A947-234019680B74}"/>
                  </c:ext>
                </c:extLst>
              </c15:ser>
            </c15:filteredScatterSeries>
            <c15:filteredScatterSeries>
              <c15:ser>
                <c:idx val="25"/>
                <c:order val="27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306</c:v>
                      </c:pt>
                      <c:pt idx="1">
                        <c:v>314</c:v>
                      </c:pt>
                      <c:pt idx="2">
                        <c:v>322</c:v>
                      </c:pt>
                      <c:pt idx="3">
                        <c:v>330</c:v>
                      </c:pt>
                      <c:pt idx="4">
                        <c:v>338</c:v>
                      </c:pt>
                      <c:pt idx="5">
                        <c:v>346</c:v>
                      </c:pt>
                      <c:pt idx="6">
                        <c:v>354</c:v>
                      </c:pt>
                      <c:pt idx="7">
                        <c:v>362</c:v>
                      </c:pt>
                      <c:pt idx="8">
                        <c:v>370</c:v>
                      </c:pt>
                      <c:pt idx="9">
                        <c:v>378</c:v>
                      </c:pt>
                      <c:pt idx="10">
                        <c:v>386</c:v>
                      </c:pt>
                      <c:pt idx="11">
                        <c:v>394</c:v>
                      </c:pt>
                      <c:pt idx="12">
                        <c:v>402</c:v>
                      </c:pt>
                      <c:pt idx="13">
                        <c:v>410</c:v>
                      </c:pt>
                      <c:pt idx="14">
                        <c:v>418</c:v>
                      </c:pt>
                      <c:pt idx="15">
                        <c:v>426</c:v>
                      </c:pt>
                      <c:pt idx="16">
                        <c:v>434</c:v>
                      </c:pt>
                      <c:pt idx="17">
                        <c:v>442</c:v>
                      </c:pt>
                      <c:pt idx="18">
                        <c:v>450</c:v>
                      </c:pt>
                      <c:pt idx="19">
                        <c:v>458</c:v>
                      </c:pt>
                      <c:pt idx="20">
                        <c:v>466</c:v>
                      </c:pt>
                      <c:pt idx="21">
                        <c:v>474</c:v>
                      </c:pt>
                      <c:pt idx="22">
                        <c:v>482</c:v>
                      </c:pt>
                      <c:pt idx="23">
                        <c:v>490</c:v>
                      </c:pt>
                      <c:pt idx="24">
                        <c:v>498</c:v>
                      </c:pt>
                      <c:pt idx="25">
                        <c:v>506</c:v>
                      </c:pt>
                      <c:pt idx="26">
                        <c:v>514</c:v>
                      </c:pt>
                      <c:pt idx="27">
                        <c:v>522</c:v>
                      </c:pt>
                      <c:pt idx="28">
                        <c:v>530</c:v>
                      </c:pt>
                      <c:pt idx="29">
                        <c:v>538</c:v>
                      </c:pt>
                      <c:pt idx="30">
                        <c:v>546</c:v>
                      </c:pt>
                      <c:pt idx="31">
                        <c:v>554</c:v>
                      </c:pt>
                      <c:pt idx="32">
                        <c:v>562</c:v>
                      </c:pt>
                      <c:pt idx="33">
                        <c:v>570</c:v>
                      </c:pt>
                      <c:pt idx="34">
                        <c:v>578</c:v>
                      </c:pt>
                      <c:pt idx="35">
                        <c:v>586</c:v>
                      </c:pt>
                      <c:pt idx="36">
                        <c:v>594</c:v>
                      </c:pt>
                      <c:pt idx="37">
                        <c:v>602</c:v>
                      </c:pt>
                      <c:pt idx="38">
                        <c:v>610</c:v>
                      </c:pt>
                      <c:pt idx="39">
                        <c:v>618</c:v>
                      </c:pt>
                      <c:pt idx="40">
                        <c:v>626</c:v>
                      </c:pt>
                      <c:pt idx="41">
                        <c:v>634</c:v>
                      </c:pt>
                      <c:pt idx="42">
                        <c:v>642</c:v>
                      </c:pt>
                      <c:pt idx="43">
                        <c:v>650</c:v>
                      </c:pt>
                      <c:pt idx="44">
                        <c:v>658</c:v>
                      </c:pt>
                      <c:pt idx="45">
                        <c:v>666</c:v>
                      </c:pt>
                      <c:pt idx="46">
                        <c:v>674</c:v>
                      </c:pt>
                      <c:pt idx="47">
                        <c:v>682</c:v>
                      </c:pt>
                      <c:pt idx="48">
                        <c:v>690</c:v>
                      </c:pt>
                      <c:pt idx="49">
                        <c:v>698</c:v>
                      </c:pt>
                      <c:pt idx="50">
                        <c:v>706</c:v>
                      </c:pt>
                      <c:pt idx="51">
                        <c:v>714</c:v>
                      </c:pt>
                      <c:pt idx="52">
                        <c:v>722</c:v>
                      </c:pt>
                      <c:pt idx="53">
                        <c:v>730</c:v>
                      </c:pt>
                      <c:pt idx="54">
                        <c:v>738</c:v>
                      </c:pt>
                      <c:pt idx="55">
                        <c:v>746</c:v>
                      </c:pt>
                      <c:pt idx="56">
                        <c:v>754</c:v>
                      </c:pt>
                      <c:pt idx="57">
                        <c:v>762</c:v>
                      </c:pt>
                      <c:pt idx="58">
                        <c:v>770</c:v>
                      </c:pt>
                      <c:pt idx="59">
                        <c:v>778</c:v>
                      </c:pt>
                      <c:pt idx="60">
                        <c:v>786</c:v>
                      </c:pt>
                      <c:pt idx="61">
                        <c:v>794</c:v>
                      </c:pt>
                      <c:pt idx="62">
                        <c:v>802</c:v>
                      </c:pt>
                      <c:pt idx="63">
                        <c:v>810</c:v>
                      </c:pt>
                      <c:pt idx="64">
                        <c:v>818</c:v>
                      </c:pt>
                      <c:pt idx="65">
                        <c:v>826</c:v>
                      </c:pt>
                      <c:pt idx="66">
                        <c:v>834</c:v>
                      </c:pt>
                      <c:pt idx="67">
                        <c:v>842</c:v>
                      </c:pt>
                      <c:pt idx="68">
                        <c:v>850</c:v>
                      </c:pt>
                      <c:pt idx="69">
                        <c:v>858</c:v>
                      </c:pt>
                      <c:pt idx="70">
                        <c:v>866</c:v>
                      </c:pt>
                      <c:pt idx="71">
                        <c:v>874</c:v>
                      </c:pt>
                      <c:pt idx="72">
                        <c:v>882</c:v>
                      </c:pt>
                      <c:pt idx="73">
                        <c:v>890</c:v>
                      </c:pt>
                      <c:pt idx="74">
                        <c:v>898</c:v>
                      </c:pt>
                      <c:pt idx="75">
                        <c:v>906</c:v>
                      </c:pt>
                      <c:pt idx="76">
                        <c:v>914</c:v>
                      </c:pt>
                      <c:pt idx="77">
                        <c:v>922</c:v>
                      </c:pt>
                      <c:pt idx="78">
                        <c:v>930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EVALUATION!$B$128:$CP$128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E-60C8-4A98-A947-234019680B74}"/>
                  </c:ext>
                </c:extLst>
              </c15:ser>
            </c15:filteredScatterSeries>
            <c15:filteredScatterSeries>
              <c15:ser>
                <c:idx val="26"/>
                <c:order val="28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306</c:v>
                      </c:pt>
                      <c:pt idx="1">
                        <c:v>314</c:v>
                      </c:pt>
                      <c:pt idx="2">
                        <c:v>322</c:v>
                      </c:pt>
                      <c:pt idx="3">
                        <c:v>330</c:v>
                      </c:pt>
                      <c:pt idx="4">
                        <c:v>338</c:v>
                      </c:pt>
                      <c:pt idx="5">
                        <c:v>346</c:v>
                      </c:pt>
                      <c:pt idx="6">
                        <c:v>354</c:v>
                      </c:pt>
                      <c:pt idx="7">
                        <c:v>362</c:v>
                      </c:pt>
                      <c:pt idx="8">
                        <c:v>370</c:v>
                      </c:pt>
                      <c:pt idx="9">
                        <c:v>378</c:v>
                      </c:pt>
                      <c:pt idx="10">
                        <c:v>386</c:v>
                      </c:pt>
                      <c:pt idx="11">
                        <c:v>394</c:v>
                      </c:pt>
                      <c:pt idx="12">
                        <c:v>402</c:v>
                      </c:pt>
                      <c:pt idx="13">
                        <c:v>410</c:v>
                      </c:pt>
                      <c:pt idx="14">
                        <c:v>418</c:v>
                      </c:pt>
                      <c:pt idx="15">
                        <c:v>426</c:v>
                      </c:pt>
                      <c:pt idx="16">
                        <c:v>434</c:v>
                      </c:pt>
                      <c:pt idx="17">
                        <c:v>442</c:v>
                      </c:pt>
                      <c:pt idx="18">
                        <c:v>450</c:v>
                      </c:pt>
                      <c:pt idx="19">
                        <c:v>458</c:v>
                      </c:pt>
                      <c:pt idx="20">
                        <c:v>466</c:v>
                      </c:pt>
                      <c:pt idx="21">
                        <c:v>474</c:v>
                      </c:pt>
                      <c:pt idx="22">
                        <c:v>482</c:v>
                      </c:pt>
                      <c:pt idx="23">
                        <c:v>490</c:v>
                      </c:pt>
                      <c:pt idx="24">
                        <c:v>498</c:v>
                      </c:pt>
                      <c:pt idx="25">
                        <c:v>506</c:v>
                      </c:pt>
                      <c:pt idx="26">
                        <c:v>514</c:v>
                      </c:pt>
                      <c:pt idx="27">
                        <c:v>522</c:v>
                      </c:pt>
                      <c:pt idx="28">
                        <c:v>530</c:v>
                      </c:pt>
                      <c:pt idx="29">
                        <c:v>538</c:v>
                      </c:pt>
                      <c:pt idx="30">
                        <c:v>546</c:v>
                      </c:pt>
                      <c:pt idx="31">
                        <c:v>554</c:v>
                      </c:pt>
                      <c:pt idx="32">
                        <c:v>562</c:v>
                      </c:pt>
                      <c:pt idx="33">
                        <c:v>570</c:v>
                      </c:pt>
                      <c:pt idx="34">
                        <c:v>578</c:v>
                      </c:pt>
                      <c:pt idx="35">
                        <c:v>586</c:v>
                      </c:pt>
                      <c:pt idx="36">
                        <c:v>594</c:v>
                      </c:pt>
                      <c:pt idx="37">
                        <c:v>602</c:v>
                      </c:pt>
                      <c:pt idx="38">
                        <c:v>610</c:v>
                      </c:pt>
                      <c:pt idx="39">
                        <c:v>618</c:v>
                      </c:pt>
                      <c:pt idx="40">
                        <c:v>626</c:v>
                      </c:pt>
                      <c:pt idx="41">
                        <c:v>634</c:v>
                      </c:pt>
                      <c:pt idx="42">
                        <c:v>642</c:v>
                      </c:pt>
                      <c:pt idx="43">
                        <c:v>650</c:v>
                      </c:pt>
                      <c:pt idx="44">
                        <c:v>658</c:v>
                      </c:pt>
                      <c:pt idx="45">
                        <c:v>666</c:v>
                      </c:pt>
                      <c:pt idx="46">
                        <c:v>674</c:v>
                      </c:pt>
                      <c:pt idx="47">
                        <c:v>682</c:v>
                      </c:pt>
                      <c:pt idx="48">
                        <c:v>690</c:v>
                      </c:pt>
                      <c:pt idx="49">
                        <c:v>698</c:v>
                      </c:pt>
                      <c:pt idx="50">
                        <c:v>706</c:v>
                      </c:pt>
                      <c:pt idx="51">
                        <c:v>714</c:v>
                      </c:pt>
                      <c:pt idx="52">
                        <c:v>722</c:v>
                      </c:pt>
                      <c:pt idx="53">
                        <c:v>730</c:v>
                      </c:pt>
                      <c:pt idx="54">
                        <c:v>738</c:v>
                      </c:pt>
                      <c:pt idx="55">
                        <c:v>746</c:v>
                      </c:pt>
                      <c:pt idx="56">
                        <c:v>754</c:v>
                      </c:pt>
                      <c:pt idx="57">
                        <c:v>762</c:v>
                      </c:pt>
                      <c:pt idx="58">
                        <c:v>770</c:v>
                      </c:pt>
                      <c:pt idx="59">
                        <c:v>778</c:v>
                      </c:pt>
                      <c:pt idx="60">
                        <c:v>786</c:v>
                      </c:pt>
                      <c:pt idx="61">
                        <c:v>794</c:v>
                      </c:pt>
                      <c:pt idx="62">
                        <c:v>802</c:v>
                      </c:pt>
                      <c:pt idx="63">
                        <c:v>810</c:v>
                      </c:pt>
                      <c:pt idx="64">
                        <c:v>818</c:v>
                      </c:pt>
                      <c:pt idx="65">
                        <c:v>826</c:v>
                      </c:pt>
                      <c:pt idx="66">
                        <c:v>834</c:v>
                      </c:pt>
                      <c:pt idx="67">
                        <c:v>842</c:v>
                      </c:pt>
                      <c:pt idx="68">
                        <c:v>850</c:v>
                      </c:pt>
                      <c:pt idx="69">
                        <c:v>858</c:v>
                      </c:pt>
                      <c:pt idx="70">
                        <c:v>866</c:v>
                      </c:pt>
                      <c:pt idx="71">
                        <c:v>874</c:v>
                      </c:pt>
                      <c:pt idx="72">
                        <c:v>882</c:v>
                      </c:pt>
                      <c:pt idx="73">
                        <c:v>890</c:v>
                      </c:pt>
                      <c:pt idx="74">
                        <c:v>898</c:v>
                      </c:pt>
                      <c:pt idx="75">
                        <c:v>906</c:v>
                      </c:pt>
                      <c:pt idx="76">
                        <c:v>914</c:v>
                      </c:pt>
                      <c:pt idx="77">
                        <c:v>922</c:v>
                      </c:pt>
                      <c:pt idx="78">
                        <c:v>930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EVALUATION!$B$129:$CP$129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F-60C8-4A98-A947-234019680B74}"/>
                  </c:ext>
                </c:extLst>
              </c15:ser>
            </c15:filteredScatterSeries>
            <c15:filteredScatterSeries>
              <c15:ser>
                <c:idx val="27"/>
                <c:order val="29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306</c:v>
                      </c:pt>
                      <c:pt idx="1">
                        <c:v>314</c:v>
                      </c:pt>
                      <c:pt idx="2">
                        <c:v>322</c:v>
                      </c:pt>
                      <c:pt idx="3">
                        <c:v>330</c:v>
                      </c:pt>
                      <c:pt idx="4">
                        <c:v>338</c:v>
                      </c:pt>
                      <c:pt idx="5">
                        <c:v>346</c:v>
                      </c:pt>
                      <c:pt idx="6">
                        <c:v>354</c:v>
                      </c:pt>
                      <c:pt idx="7">
                        <c:v>362</c:v>
                      </c:pt>
                      <c:pt idx="8">
                        <c:v>370</c:v>
                      </c:pt>
                      <c:pt idx="9">
                        <c:v>378</c:v>
                      </c:pt>
                      <c:pt idx="10">
                        <c:v>386</c:v>
                      </c:pt>
                      <c:pt idx="11">
                        <c:v>394</c:v>
                      </c:pt>
                      <c:pt idx="12">
                        <c:v>402</c:v>
                      </c:pt>
                      <c:pt idx="13">
                        <c:v>410</c:v>
                      </c:pt>
                      <c:pt idx="14">
                        <c:v>418</c:v>
                      </c:pt>
                      <c:pt idx="15">
                        <c:v>426</c:v>
                      </c:pt>
                      <c:pt idx="16">
                        <c:v>434</c:v>
                      </c:pt>
                      <c:pt idx="17">
                        <c:v>442</c:v>
                      </c:pt>
                      <c:pt idx="18">
                        <c:v>450</c:v>
                      </c:pt>
                      <c:pt idx="19">
                        <c:v>458</c:v>
                      </c:pt>
                      <c:pt idx="20">
                        <c:v>466</c:v>
                      </c:pt>
                      <c:pt idx="21">
                        <c:v>474</c:v>
                      </c:pt>
                      <c:pt idx="22">
                        <c:v>482</c:v>
                      </c:pt>
                      <c:pt idx="23">
                        <c:v>490</c:v>
                      </c:pt>
                      <c:pt idx="24">
                        <c:v>498</c:v>
                      </c:pt>
                      <c:pt idx="25">
                        <c:v>506</c:v>
                      </c:pt>
                      <c:pt idx="26">
                        <c:v>514</c:v>
                      </c:pt>
                      <c:pt idx="27">
                        <c:v>522</c:v>
                      </c:pt>
                      <c:pt idx="28">
                        <c:v>530</c:v>
                      </c:pt>
                      <c:pt idx="29">
                        <c:v>538</c:v>
                      </c:pt>
                      <c:pt idx="30">
                        <c:v>546</c:v>
                      </c:pt>
                      <c:pt idx="31">
                        <c:v>554</c:v>
                      </c:pt>
                      <c:pt idx="32">
                        <c:v>562</c:v>
                      </c:pt>
                      <c:pt idx="33">
                        <c:v>570</c:v>
                      </c:pt>
                      <c:pt idx="34">
                        <c:v>578</c:v>
                      </c:pt>
                      <c:pt idx="35">
                        <c:v>586</c:v>
                      </c:pt>
                      <c:pt idx="36">
                        <c:v>594</c:v>
                      </c:pt>
                      <c:pt idx="37">
                        <c:v>602</c:v>
                      </c:pt>
                      <c:pt idx="38">
                        <c:v>610</c:v>
                      </c:pt>
                      <c:pt idx="39">
                        <c:v>618</c:v>
                      </c:pt>
                      <c:pt idx="40">
                        <c:v>626</c:v>
                      </c:pt>
                      <c:pt idx="41">
                        <c:v>634</c:v>
                      </c:pt>
                      <c:pt idx="42">
                        <c:v>642</c:v>
                      </c:pt>
                      <c:pt idx="43">
                        <c:v>650</c:v>
                      </c:pt>
                      <c:pt idx="44">
                        <c:v>658</c:v>
                      </c:pt>
                      <c:pt idx="45">
                        <c:v>666</c:v>
                      </c:pt>
                      <c:pt idx="46">
                        <c:v>674</c:v>
                      </c:pt>
                      <c:pt idx="47">
                        <c:v>682</c:v>
                      </c:pt>
                      <c:pt idx="48">
                        <c:v>690</c:v>
                      </c:pt>
                      <c:pt idx="49">
                        <c:v>698</c:v>
                      </c:pt>
                      <c:pt idx="50">
                        <c:v>706</c:v>
                      </c:pt>
                      <c:pt idx="51">
                        <c:v>714</c:v>
                      </c:pt>
                      <c:pt idx="52">
                        <c:v>722</c:v>
                      </c:pt>
                      <c:pt idx="53">
                        <c:v>730</c:v>
                      </c:pt>
                      <c:pt idx="54">
                        <c:v>738</c:v>
                      </c:pt>
                      <c:pt idx="55">
                        <c:v>746</c:v>
                      </c:pt>
                      <c:pt idx="56">
                        <c:v>754</c:v>
                      </c:pt>
                      <c:pt idx="57">
                        <c:v>762</c:v>
                      </c:pt>
                      <c:pt idx="58">
                        <c:v>770</c:v>
                      </c:pt>
                      <c:pt idx="59">
                        <c:v>778</c:v>
                      </c:pt>
                      <c:pt idx="60">
                        <c:v>786</c:v>
                      </c:pt>
                      <c:pt idx="61">
                        <c:v>794</c:v>
                      </c:pt>
                      <c:pt idx="62">
                        <c:v>802</c:v>
                      </c:pt>
                      <c:pt idx="63">
                        <c:v>810</c:v>
                      </c:pt>
                      <c:pt idx="64">
                        <c:v>818</c:v>
                      </c:pt>
                      <c:pt idx="65">
                        <c:v>826</c:v>
                      </c:pt>
                      <c:pt idx="66">
                        <c:v>834</c:v>
                      </c:pt>
                      <c:pt idx="67">
                        <c:v>842</c:v>
                      </c:pt>
                      <c:pt idx="68">
                        <c:v>850</c:v>
                      </c:pt>
                      <c:pt idx="69">
                        <c:v>858</c:v>
                      </c:pt>
                      <c:pt idx="70">
                        <c:v>866</c:v>
                      </c:pt>
                      <c:pt idx="71">
                        <c:v>874</c:v>
                      </c:pt>
                      <c:pt idx="72">
                        <c:v>882</c:v>
                      </c:pt>
                      <c:pt idx="73">
                        <c:v>890</c:v>
                      </c:pt>
                      <c:pt idx="74">
                        <c:v>898</c:v>
                      </c:pt>
                      <c:pt idx="75">
                        <c:v>906</c:v>
                      </c:pt>
                      <c:pt idx="76">
                        <c:v>914</c:v>
                      </c:pt>
                      <c:pt idx="77">
                        <c:v>922</c:v>
                      </c:pt>
                      <c:pt idx="78">
                        <c:v>930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EVALUATION!$B$130:$CP$130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0-60C8-4A98-A947-234019680B74}"/>
                  </c:ext>
                </c:extLst>
              </c15:ser>
            </c15:filteredScatterSeries>
            <c15:filteredScatterSeries>
              <c15:ser>
                <c:idx val="28"/>
                <c:order val="30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306</c:v>
                      </c:pt>
                      <c:pt idx="1">
                        <c:v>314</c:v>
                      </c:pt>
                      <c:pt idx="2">
                        <c:v>322</c:v>
                      </c:pt>
                      <c:pt idx="3">
                        <c:v>330</c:v>
                      </c:pt>
                      <c:pt idx="4">
                        <c:v>338</c:v>
                      </c:pt>
                      <c:pt idx="5">
                        <c:v>346</c:v>
                      </c:pt>
                      <c:pt idx="6">
                        <c:v>354</c:v>
                      </c:pt>
                      <c:pt idx="7">
                        <c:v>362</c:v>
                      </c:pt>
                      <c:pt idx="8">
                        <c:v>370</c:v>
                      </c:pt>
                      <c:pt idx="9">
                        <c:v>378</c:v>
                      </c:pt>
                      <c:pt idx="10">
                        <c:v>386</c:v>
                      </c:pt>
                      <c:pt idx="11">
                        <c:v>394</c:v>
                      </c:pt>
                      <c:pt idx="12">
                        <c:v>402</c:v>
                      </c:pt>
                      <c:pt idx="13">
                        <c:v>410</c:v>
                      </c:pt>
                      <c:pt idx="14">
                        <c:v>418</c:v>
                      </c:pt>
                      <c:pt idx="15">
                        <c:v>426</c:v>
                      </c:pt>
                      <c:pt idx="16">
                        <c:v>434</c:v>
                      </c:pt>
                      <c:pt idx="17">
                        <c:v>442</c:v>
                      </c:pt>
                      <c:pt idx="18">
                        <c:v>450</c:v>
                      </c:pt>
                      <c:pt idx="19">
                        <c:v>458</c:v>
                      </c:pt>
                      <c:pt idx="20">
                        <c:v>466</c:v>
                      </c:pt>
                      <c:pt idx="21">
                        <c:v>474</c:v>
                      </c:pt>
                      <c:pt idx="22">
                        <c:v>482</c:v>
                      </c:pt>
                      <c:pt idx="23">
                        <c:v>490</c:v>
                      </c:pt>
                      <c:pt idx="24">
                        <c:v>498</c:v>
                      </c:pt>
                      <c:pt idx="25">
                        <c:v>506</c:v>
                      </c:pt>
                      <c:pt idx="26">
                        <c:v>514</c:v>
                      </c:pt>
                      <c:pt idx="27">
                        <c:v>522</c:v>
                      </c:pt>
                      <c:pt idx="28">
                        <c:v>530</c:v>
                      </c:pt>
                      <c:pt idx="29">
                        <c:v>538</c:v>
                      </c:pt>
                      <c:pt idx="30">
                        <c:v>546</c:v>
                      </c:pt>
                      <c:pt idx="31">
                        <c:v>554</c:v>
                      </c:pt>
                      <c:pt idx="32">
                        <c:v>562</c:v>
                      </c:pt>
                      <c:pt idx="33">
                        <c:v>570</c:v>
                      </c:pt>
                      <c:pt idx="34">
                        <c:v>578</c:v>
                      </c:pt>
                      <c:pt idx="35">
                        <c:v>586</c:v>
                      </c:pt>
                      <c:pt idx="36">
                        <c:v>594</c:v>
                      </c:pt>
                      <c:pt idx="37">
                        <c:v>602</c:v>
                      </c:pt>
                      <c:pt idx="38">
                        <c:v>610</c:v>
                      </c:pt>
                      <c:pt idx="39">
                        <c:v>618</c:v>
                      </c:pt>
                      <c:pt idx="40">
                        <c:v>626</c:v>
                      </c:pt>
                      <c:pt idx="41">
                        <c:v>634</c:v>
                      </c:pt>
                      <c:pt idx="42">
                        <c:v>642</c:v>
                      </c:pt>
                      <c:pt idx="43">
                        <c:v>650</c:v>
                      </c:pt>
                      <c:pt idx="44">
                        <c:v>658</c:v>
                      </c:pt>
                      <c:pt idx="45">
                        <c:v>666</c:v>
                      </c:pt>
                      <c:pt idx="46">
                        <c:v>674</c:v>
                      </c:pt>
                      <c:pt idx="47">
                        <c:v>682</c:v>
                      </c:pt>
                      <c:pt idx="48">
                        <c:v>690</c:v>
                      </c:pt>
                      <c:pt idx="49">
                        <c:v>698</c:v>
                      </c:pt>
                      <c:pt idx="50">
                        <c:v>706</c:v>
                      </c:pt>
                      <c:pt idx="51">
                        <c:v>714</c:v>
                      </c:pt>
                      <c:pt idx="52">
                        <c:v>722</c:v>
                      </c:pt>
                      <c:pt idx="53">
                        <c:v>730</c:v>
                      </c:pt>
                      <c:pt idx="54">
                        <c:v>738</c:v>
                      </c:pt>
                      <c:pt idx="55">
                        <c:v>746</c:v>
                      </c:pt>
                      <c:pt idx="56">
                        <c:v>754</c:v>
                      </c:pt>
                      <c:pt idx="57">
                        <c:v>762</c:v>
                      </c:pt>
                      <c:pt idx="58">
                        <c:v>770</c:v>
                      </c:pt>
                      <c:pt idx="59">
                        <c:v>778</c:v>
                      </c:pt>
                      <c:pt idx="60">
                        <c:v>786</c:v>
                      </c:pt>
                      <c:pt idx="61">
                        <c:v>794</c:v>
                      </c:pt>
                      <c:pt idx="62">
                        <c:v>802</c:v>
                      </c:pt>
                      <c:pt idx="63">
                        <c:v>810</c:v>
                      </c:pt>
                      <c:pt idx="64">
                        <c:v>818</c:v>
                      </c:pt>
                      <c:pt idx="65">
                        <c:v>826</c:v>
                      </c:pt>
                      <c:pt idx="66">
                        <c:v>834</c:v>
                      </c:pt>
                      <c:pt idx="67">
                        <c:v>842</c:v>
                      </c:pt>
                      <c:pt idx="68">
                        <c:v>850</c:v>
                      </c:pt>
                      <c:pt idx="69">
                        <c:v>858</c:v>
                      </c:pt>
                      <c:pt idx="70">
                        <c:v>866</c:v>
                      </c:pt>
                      <c:pt idx="71">
                        <c:v>874</c:v>
                      </c:pt>
                      <c:pt idx="72">
                        <c:v>882</c:v>
                      </c:pt>
                      <c:pt idx="73">
                        <c:v>890</c:v>
                      </c:pt>
                      <c:pt idx="74">
                        <c:v>898</c:v>
                      </c:pt>
                      <c:pt idx="75">
                        <c:v>906</c:v>
                      </c:pt>
                      <c:pt idx="76">
                        <c:v>914</c:v>
                      </c:pt>
                      <c:pt idx="77">
                        <c:v>922</c:v>
                      </c:pt>
                      <c:pt idx="78">
                        <c:v>930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EVALUATION!$B$131:$CP$131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1-60C8-4A98-A947-234019680B74}"/>
                  </c:ext>
                </c:extLst>
              </c15:ser>
            </c15:filteredScatterSeries>
            <c15:filteredScatterSeries>
              <c15:ser>
                <c:idx val="29"/>
                <c:order val="31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306</c:v>
                      </c:pt>
                      <c:pt idx="1">
                        <c:v>314</c:v>
                      </c:pt>
                      <c:pt idx="2">
                        <c:v>322</c:v>
                      </c:pt>
                      <c:pt idx="3">
                        <c:v>330</c:v>
                      </c:pt>
                      <c:pt idx="4">
                        <c:v>338</c:v>
                      </c:pt>
                      <c:pt idx="5">
                        <c:v>346</c:v>
                      </c:pt>
                      <c:pt idx="6">
                        <c:v>354</c:v>
                      </c:pt>
                      <c:pt idx="7">
                        <c:v>362</c:v>
                      </c:pt>
                      <c:pt idx="8">
                        <c:v>370</c:v>
                      </c:pt>
                      <c:pt idx="9">
                        <c:v>378</c:v>
                      </c:pt>
                      <c:pt idx="10">
                        <c:v>386</c:v>
                      </c:pt>
                      <c:pt idx="11">
                        <c:v>394</c:v>
                      </c:pt>
                      <c:pt idx="12">
                        <c:v>402</c:v>
                      </c:pt>
                      <c:pt idx="13">
                        <c:v>410</c:v>
                      </c:pt>
                      <c:pt idx="14">
                        <c:v>418</c:v>
                      </c:pt>
                      <c:pt idx="15">
                        <c:v>426</c:v>
                      </c:pt>
                      <c:pt idx="16">
                        <c:v>434</c:v>
                      </c:pt>
                      <c:pt idx="17">
                        <c:v>442</c:v>
                      </c:pt>
                      <c:pt idx="18">
                        <c:v>450</c:v>
                      </c:pt>
                      <c:pt idx="19">
                        <c:v>458</c:v>
                      </c:pt>
                      <c:pt idx="20">
                        <c:v>466</c:v>
                      </c:pt>
                      <c:pt idx="21">
                        <c:v>474</c:v>
                      </c:pt>
                      <c:pt idx="22">
                        <c:v>482</c:v>
                      </c:pt>
                      <c:pt idx="23">
                        <c:v>490</c:v>
                      </c:pt>
                      <c:pt idx="24">
                        <c:v>498</c:v>
                      </c:pt>
                      <c:pt idx="25">
                        <c:v>506</c:v>
                      </c:pt>
                      <c:pt idx="26">
                        <c:v>514</c:v>
                      </c:pt>
                      <c:pt idx="27">
                        <c:v>522</c:v>
                      </c:pt>
                      <c:pt idx="28">
                        <c:v>530</c:v>
                      </c:pt>
                      <c:pt idx="29">
                        <c:v>538</c:v>
                      </c:pt>
                      <c:pt idx="30">
                        <c:v>546</c:v>
                      </c:pt>
                      <c:pt idx="31">
                        <c:v>554</c:v>
                      </c:pt>
                      <c:pt idx="32">
                        <c:v>562</c:v>
                      </c:pt>
                      <c:pt idx="33">
                        <c:v>570</c:v>
                      </c:pt>
                      <c:pt idx="34">
                        <c:v>578</c:v>
                      </c:pt>
                      <c:pt idx="35">
                        <c:v>586</c:v>
                      </c:pt>
                      <c:pt idx="36">
                        <c:v>594</c:v>
                      </c:pt>
                      <c:pt idx="37">
                        <c:v>602</c:v>
                      </c:pt>
                      <c:pt idx="38">
                        <c:v>610</c:v>
                      </c:pt>
                      <c:pt idx="39">
                        <c:v>618</c:v>
                      </c:pt>
                      <c:pt idx="40">
                        <c:v>626</c:v>
                      </c:pt>
                      <c:pt idx="41">
                        <c:v>634</c:v>
                      </c:pt>
                      <c:pt idx="42">
                        <c:v>642</c:v>
                      </c:pt>
                      <c:pt idx="43">
                        <c:v>650</c:v>
                      </c:pt>
                      <c:pt idx="44">
                        <c:v>658</c:v>
                      </c:pt>
                      <c:pt idx="45">
                        <c:v>666</c:v>
                      </c:pt>
                      <c:pt idx="46">
                        <c:v>674</c:v>
                      </c:pt>
                      <c:pt idx="47">
                        <c:v>682</c:v>
                      </c:pt>
                      <c:pt idx="48">
                        <c:v>690</c:v>
                      </c:pt>
                      <c:pt idx="49">
                        <c:v>698</c:v>
                      </c:pt>
                      <c:pt idx="50">
                        <c:v>706</c:v>
                      </c:pt>
                      <c:pt idx="51">
                        <c:v>714</c:v>
                      </c:pt>
                      <c:pt idx="52">
                        <c:v>722</c:v>
                      </c:pt>
                      <c:pt idx="53">
                        <c:v>730</c:v>
                      </c:pt>
                      <c:pt idx="54">
                        <c:v>738</c:v>
                      </c:pt>
                      <c:pt idx="55">
                        <c:v>746</c:v>
                      </c:pt>
                      <c:pt idx="56">
                        <c:v>754</c:v>
                      </c:pt>
                      <c:pt idx="57">
                        <c:v>762</c:v>
                      </c:pt>
                      <c:pt idx="58">
                        <c:v>770</c:v>
                      </c:pt>
                      <c:pt idx="59">
                        <c:v>778</c:v>
                      </c:pt>
                      <c:pt idx="60">
                        <c:v>786</c:v>
                      </c:pt>
                      <c:pt idx="61">
                        <c:v>794</c:v>
                      </c:pt>
                      <c:pt idx="62">
                        <c:v>802</c:v>
                      </c:pt>
                      <c:pt idx="63">
                        <c:v>810</c:v>
                      </c:pt>
                      <c:pt idx="64">
                        <c:v>818</c:v>
                      </c:pt>
                      <c:pt idx="65">
                        <c:v>826</c:v>
                      </c:pt>
                      <c:pt idx="66">
                        <c:v>834</c:v>
                      </c:pt>
                      <c:pt idx="67">
                        <c:v>842</c:v>
                      </c:pt>
                      <c:pt idx="68">
                        <c:v>850</c:v>
                      </c:pt>
                      <c:pt idx="69">
                        <c:v>858</c:v>
                      </c:pt>
                      <c:pt idx="70">
                        <c:v>866</c:v>
                      </c:pt>
                      <c:pt idx="71">
                        <c:v>874</c:v>
                      </c:pt>
                      <c:pt idx="72">
                        <c:v>882</c:v>
                      </c:pt>
                      <c:pt idx="73">
                        <c:v>890</c:v>
                      </c:pt>
                      <c:pt idx="74">
                        <c:v>898</c:v>
                      </c:pt>
                      <c:pt idx="75">
                        <c:v>906</c:v>
                      </c:pt>
                      <c:pt idx="76">
                        <c:v>914</c:v>
                      </c:pt>
                      <c:pt idx="77">
                        <c:v>922</c:v>
                      </c:pt>
                      <c:pt idx="78">
                        <c:v>930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EVALUATION!$B$132:$CP$132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-37.456036036036032</c:v>
                      </c:pt>
                      <c:pt idx="1">
                        <c:v>-36.754534534534535</c:v>
                      </c:pt>
                      <c:pt idx="2">
                        <c:v>-36.053033033033032</c:v>
                      </c:pt>
                      <c:pt idx="3">
                        <c:v>-35.351531531531528</c:v>
                      </c:pt>
                      <c:pt idx="4" formatCode="General">
                        <c:v>-34.77434131736527</c:v>
                      </c:pt>
                      <c:pt idx="5" formatCode="General">
                        <c:v>-34.225838323353294</c:v>
                      </c:pt>
                      <c:pt idx="6" formatCode="General">
                        <c:v>-33.677335329341318</c:v>
                      </c:pt>
                      <c:pt idx="7" formatCode="General">
                        <c:v>-33.128832335329342</c:v>
                      </c:pt>
                      <c:pt idx="8" formatCode="General">
                        <c:v>-32.657592814371256</c:v>
                      </c:pt>
                      <c:pt idx="9" formatCode="General">
                        <c:v>-32.230287425149697</c:v>
                      </c:pt>
                      <c:pt idx="10" formatCode="General">
                        <c:v>-31.802982035928146</c:v>
                      </c:pt>
                      <c:pt idx="11" formatCode="General">
                        <c:v>-31.375676646706587</c:v>
                      </c:pt>
                      <c:pt idx="12" formatCode="General">
                        <c:v>-30.997113772455091</c:v>
                      </c:pt>
                      <c:pt idx="13" formatCode="General">
                        <c:v>-30.675197604790419</c:v>
                      </c:pt>
                      <c:pt idx="14" formatCode="General">
                        <c:v>-30.353281437125748</c:v>
                      </c:pt>
                      <c:pt idx="15" formatCode="General">
                        <c:v>-30.031365269461077</c:v>
                      </c:pt>
                      <c:pt idx="16" formatCode="General">
                        <c:v>-29.749044910179641</c:v>
                      </c:pt>
                      <c:pt idx="17" formatCode="General">
                        <c:v>-29.564853293413172</c:v>
                      </c:pt>
                      <c:pt idx="18" formatCode="General">
                        <c:v>-29.380661676646707</c:v>
                      </c:pt>
                      <c:pt idx="19" formatCode="General">
                        <c:v>-29.196470059880241</c:v>
                      </c:pt>
                      <c:pt idx="20" formatCode="General">
                        <c:v>-29.031194610778446</c:v>
                      </c:pt>
                      <c:pt idx="21" formatCode="General">
                        <c:v>-29.015146706586826</c:v>
                      </c:pt>
                      <c:pt idx="22" formatCode="General">
                        <c:v>-28.99909880239521</c:v>
                      </c:pt>
                      <c:pt idx="23" formatCode="General">
                        <c:v>-28.983050898203594</c:v>
                      </c:pt>
                      <c:pt idx="24" formatCode="General">
                        <c:v>-28.967002994011978</c:v>
                      </c:pt>
                      <c:pt idx="25" formatCode="General">
                        <c:v>-29.170279279279281</c:v>
                      </c:pt>
                      <c:pt idx="26" formatCode="General">
                        <c:v>-29.388177177177177</c:v>
                      </c:pt>
                      <c:pt idx="27" formatCode="General">
                        <c:v>-29.606075075075076</c:v>
                      </c:pt>
                      <c:pt idx="28" formatCode="General">
                        <c:v>-29.823972972972971</c:v>
                      </c:pt>
                      <c:pt idx="29" formatCode="General">
                        <c:v>-29.965814371257483</c:v>
                      </c:pt>
                      <c:pt idx="30" formatCode="General">
                        <c:v>-30.085574850299402</c:v>
                      </c:pt>
                      <c:pt idx="31" formatCode="General">
                        <c:v>-30.205335329341317</c:v>
                      </c:pt>
                      <c:pt idx="32" formatCode="General">
                        <c:v>-30.325095808383235</c:v>
                      </c:pt>
                      <c:pt idx="33" formatCode="General">
                        <c:v>-30.453622754491018</c:v>
                      </c:pt>
                      <c:pt idx="34" formatCode="General">
                        <c:v>-30.587994011976047</c:v>
                      </c:pt>
                      <c:pt idx="35" formatCode="General">
                        <c:v>-30.722365269461079</c:v>
                      </c:pt>
                      <c:pt idx="36" formatCode="General">
                        <c:v>-30.856736526946108</c:v>
                      </c:pt>
                      <c:pt idx="37" formatCode="General">
                        <c:v>-30.990700598802395</c:v>
                      </c:pt>
                      <c:pt idx="38" formatCode="General">
                        <c:v>-31.12411377245509</c:v>
                      </c:pt>
                      <c:pt idx="39" formatCode="General">
                        <c:v>-31.257526946107784</c:v>
                      </c:pt>
                      <c:pt idx="40" formatCode="General">
                        <c:v>-31.390940119760479</c:v>
                      </c:pt>
                      <c:pt idx="41" formatCode="General">
                        <c:v>-31.524592814371257</c:v>
                      </c:pt>
                      <c:pt idx="42" formatCode="General">
                        <c:v>-31.658964071856285</c:v>
                      </c:pt>
                      <c:pt idx="43" formatCode="General">
                        <c:v>-31.793335329341318</c:v>
                      </c:pt>
                      <c:pt idx="44" formatCode="General">
                        <c:v>-31.927706586826346</c:v>
                      </c:pt>
                      <c:pt idx="45" formatCode="General">
                        <c:v>-32.062077844311375</c:v>
                      </c:pt>
                      <c:pt idx="46" formatCode="General">
                        <c:v>-32.196449101796411</c:v>
                      </c:pt>
                      <c:pt idx="47" formatCode="General">
                        <c:v>-32.330820359281439</c:v>
                      </c:pt>
                      <c:pt idx="48" formatCode="General">
                        <c:v>-32.465191616766468</c:v>
                      </c:pt>
                      <c:pt idx="49" formatCode="General">
                        <c:v>-32.599562874251497</c:v>
                      </c:pt>
                      <c:pt idx="50" formatCode="General">
                        <c:v>-32.727876404494381</c:v>
                      </c:pt>
                      <c:pt idx="51" formatCode="General">
                        <c:v>-32.855516853932585</c:v>
                      </c:pt>
                      <c:pt idx="52" formatCode="General">
                        <c:v>-32.983157303370788</c:v>
                      </c:pt>
                      <c:pt idx="53" formatCode="General">
                        <c:v>-33.110797752808992</c:v>
                      </c:pt>
                      <c:pt idx="54" formatCode="General">
                        <c:v>-33.238438202247195</c:v>
                      </c:pt>
                      <c:pt idx="55" formatCode="General">
                        <c:v>-33.366078651685392</c:v>
                      </c:pt>
                      <c:pt idx="56" formatCode="General">
                        <c:v>-33.493719101123595</c:v>
                      </c:pt>
                      <c:pt idx="57" formatCode="General">
                        <c:v>-33.621359550561799</c:v>
                      </c:pt>
                      <c:pt idx="58" formatCode="General">
                        <c:v>-33.749000000000002</c:v>
                      </c:pt>
                      <c:pt idx="59" formatCode="General">
                        <c:v>-33.876640449438206</c:v>
                      </c:pt>
                      <c:pt idx="60" formatCode="General">
                        <c:v>-34.004280898876409</c:v>
                      </c:pt>
                      <c:pt idx="61" formatCode="General">
                        <c:v>-34.131921348314606</c:v>
                      </c:pt>
                      <c:pt idx="62" formatCode="General">
                        <c:v>-34.259561797752809</c:v>
                      </c:pt>
                      <c:pt idx="63" formatCode="General">
                        <c:v>-34.387202247191013</c:v>
                      </c:pt>
                      <c:pt idx="64" formatCode="General">
                        <c:v>-34.514842696629216</c:v>
                      </c:pt>
                      <c:pt idx="65" formatCode="General">
                        <c:v>-34.64248314606742</c:v>
                      </c:pt>
                      <c:pt idx="66" formatCode="General">
                        <c:v>-34.768748314606746</c:v>
                      </c:pt>
                      <c:pt idx="67" formatCode="General">
                        <c:v>-34.88991685393259</c:v>
                      </c:pt>
                      <c:pt idx="68" formatCode="General">
                        <c:v>-35.011085393258426</c:v>
                      </c:pt>
                      <c:pt idx="69" formatCode="General">
                        <c:v>-35.13225393258427</c:v>
                      </c:pt>
                      <c:pt idx="70" formatCode="General">
                        <c:v>-35.253422471910113</c:v>
                      </c:pt>
                      <c:pt idx="71" formatCode="General">
                        <c:v>-35.374591011235957</c:v>
                      </c:pt>
                      <c:pt idx="72" formatCode="General">
                        <c:v>-35.4957595505618</c:v>
                      </c:pt>
                      <c:pt idx="73" formatCode="General">
                        <c:v>-35.616928089887644</c:v>
                      </c:pt>
                      <c:pt idx="74" formatCode="General">
                        <c:v>-35.738096629213487</c:v>
                      </c:pt>
                      <c:pt idx="75" formatCode="General">
                        <c:v>-35.859265168539331</c:v>
                      </c:pt>
                      <c:pt idx="76" formatCode="General">
                        <c:v>-35.980433707865167</c:v>
                      </c:pt>
                      <c:pt idx="77" formatCode="General">
                        <c:v>-36.101602247191011</c:v>
                      </c:pt>
                      <c:pt idx="78" formatCode="General">
                        <c:v>-36.222770786516854</c:v>
                      </c:pt>
                      <c:pt idx="79" formatCode="General">
                        <c:v>-36.343939325842697</c:v>
                      </c:pt>
                      <c:pt idx="80" formatCode="General">
                        <c:v>-36.465107865168541</c:v>
                      </c:pt>
                      <c:pt idx="81" formatCode="General">
                        <c:v>-36.586276404494384</c:v>
                      </c:pt>
                      <c:pt idx="82" formatCode="General">
                        <c:v>-36.707444943820228</c:v>
                      </c:pt>
                      <c:pt idx="83" formatCode="General">
                        <c:v>-36.825319819819818</c:v>
                      </c:pt>
                      <c:pt idx="84" formatCode="General">
                        <c:v>-36.940214714714713</c:v>
                      </c:pt>
                      <c:pt idx="85" formatCode="General">
                        <c:v>-37.055109609609609</c:v>
                      </c:pt>
                      <c:pt idx="86" formatCode="General">
                        <c:v>-37.170004504504504</c:v>
                      </c:pt>
                      <c:pt idx="87" formatCode="General">
                        <c:v>-36.080475247524753</c:v>
                      </c:pt>
                      <c:pt idx="88" formatCode="General">
                        <c:v>-36.193346534653465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2-60C8-4A98-A947-234019680B74}"/>
                  </c:ext>
                </c:extLst>
              </c15:ser>
            </c15:filteredScatterSeries>
            <c15:filteredScatterSeries>
              <c15:ser>
                <c:idx val="30"/>
                <c:order val="32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306</c:v>
                      </c:pt>
                      <c:pt idx="1">
                        <c:v>314</c:v>
                      </c:pt>
                      <c:pt idx="2">
                        <c:v>322</c:v>
                      </c:pt>
                      <c:pt idx="3">
                        <c:v>330</c:v>
                      </c:pt>
                      <c:pt idx="4">
                        <c:v>338</c:v>
                      </c:pt>
                      <c:pt idx="5">
                        <c:v>346</c:v>
                      </c:pt>
                      <c:pt idx="6">
                        <c:v>354</c:v>
                      </c:pt>
                      <c:pt idx="7">
                        <c:v>362</c:v>
                      </c:pt>
                      <c:pt idx="8">
                        <c:v>370</c:v>
                      </c:pt>
                      <c:pt idx="9">
                        <c:v>378</c:v>
                      </c:pt>
                      <c:pt idx="10">
                        <c:v>386</c:v>
                      </c:pt>
                      <c:pt idx="11">
                        <c:v>394</c:v>
                      </c:pt>
                      <c:pt idx="12">
                        <c:v>402</c:v>
                      </c:pt>
                      <c:pt idx="13">
                        <c:v>410</c:v>
                      </c:pt>
                      <c:pt idx="14">
                        <c:v>418</c:v>
                      </c:pt>
                      <c:pt idx="15">
                        <c:v>426</c:v>
                      </c:pt>
                      <c:pt idx="16">
                        <c:v>434</c:v>
                      </c:pt>
                      <c:pt idx="17">
                        <c:v>442</c:v>
                      </c:pt>
                      <c:pt idx="18">
                        <c:v>450</c:v>
                      </c:pt>
                      <c:pt idx="19">
                        <c:v>458</c:v>
                      </c:pt>
                      <c:pt idx="20">
                        <c:v>466</c:v>
                      </c:pt>
                      <c:pt idx="21">
                        <c:v>474</c:v>
                      </c:pt>
                      <c:pt idx="22">
                        <c:v>482</c:v>
                      </c:pt>
                      <c:pt idx="23">
                        <c:v>490</c:v>
                      </c:pt>
                      <c:pt idx="24">
                        <c:v>498</c:v>
                      </c:pt>
                      <c:pt idx="25">
                        <c:v>506</c:v>
                      </c:pt>
                      <c:pt idx="26">
                        <c:v>514</c:v>
                      </c:pt>
                      <c:pt idx="27">
                        <c:v>522</c:v>
                      </c:pt>
                      <c:pt idx="28">
                        <c:v>530</c:v>
                      </c:pt>
                      <c:pt idx="29">
                        <c:v>538</c:v>
                      </c:pt>
                      <c:pt idx="30">
                        <c:v>546</c:v>
                      </c:pt>
                      <c:pt idx="31">
                        <c:v>554</c:v>
                      </c:pt>
                      <c:pt idx="32">
                        <c:v>562</c:v>
                      </c:pt>
                      <c:pt idx="33">
                        <c:v>570</c:v>
                      </c:pt>
                      <c:pt idx="34">
                        <c:v>578</c:v>
                      </c:pt>
                      <c:pt idx="35">
                        <c:v>586</c:v>
                      </c:pt>
                      <c:pt idx="36">
                        <c:v>594</c:v>
                      </c:pt>
                      <c:pt idx="37">
                        <c:v>602</c:v>
                      </c:pt>
                      <c:pt idx="38">
                        <c:v>610</c:v>
                      </c:pt>
                      <c:pt idx="39">
                        <c:v>618</c:v>
                      </c:pt>
                      <c:pt idx="40">
                        <c:v>626</c:v>
                      </c:pt>
                      <c:pt idx="41">
                        <c:v>634</c:v>
                      </c:pt>
                      <c:pt idx="42">
                        <c:v>642</c:v>
                      </c:pt>
                      <c:pt idx="43">
                        <c:v>650</c:v>
                      </c:pt>
                      <c:pt idx="44">
                        <c:v>658</c:v>
                      </c:pt>
                      <c:pt idx="45">
                        <c:v>666</c:v>
                      </c:pt>
                      <c:pt idx="46">
                        <c:v>674</c:v>
                      </c:pt>
                      <c:pt idx="47">
                        <c:v>682</c:v>
                      </c:pt>
                      <c:pt idx="48">
                        <c:v>690</c:v>
                      </c:pt>
                      <c:pt idx="49">
                        <c:v>698</c:v>
                      </c:pt>
                      <c:pt idx="50">
                        <c:v>706</c:v>
                      </c:pt>
                      <c:pt idx="51">
                        <c:v>714</c:v>
                      </c:pt>
                      <c:pt idx="52">
                        <c:v>722</c:v>
                      </c:pt>
                      <c:pt idx="53">
                        <c:v>730</c:v>
                      </c:pt>
                      <c:pt idx="54">
                        <c:v>738</c:v>
                      </c:pt>
                      <c:pt idx="55">
                        <c:v>746</c:v>
                      </c:pt>
                      <c:pt idx="56">
                        <c:v>754</c:v>
                      </c:pt>
                      <c:pt idx="57">
                        <c:v>762</c:v>
                      </c:pt>
                      <c:pt idx="58">
                        <c:v>770</c:v>
                      </c:pt>
                      <c:pt idx="59">
                        <c:v>778</c:v>
                      </c:pt>
                      <c:pt idx="60">
                        <c:v>786</c:v>
                      </c:pt>
                      <c:pt idx="61">
                        <c:v>794</c:v>
                      </c:pt>
                      <c:pt idx="62">
                        <c:v>802</c:v>
                      </c:pt>
                      <c:pt idx="63">
                        <c:v>810</c:v>
                      </c:pt>
                      <c:pt idx="64">
                        <c:v>818</c:v>
                      </c:pt>
                      <c:pt idx="65">
                        <c:v>826</c:v>
                      </c:pt>
                      <c:pt idx="66">
                        <c:v>834</c:v>
                      </c:pt>
                      <c:pt idx="67">
                        <c:v>842</c:v>
                      </c:pt>
                      <c:pt idx="68">
                        <c:v>850</c:v>
                      </c:pt>
                      <c:pt idx="69">
                        <c:v>858</c:v>
                      </c:pt>
                      <c:pt idx="70">
                        <c:v>866</c:v>
                      </c:pt>
                      <c:pt idx="71">
                        <c:v>874</c:v>
                      </c:pt>
                      <c:pt idx="72">
                        <c:v>882</c:v>
                      </c:pt>
                      <c:pt idx="73">
                        <c:v>890</c:v>
                      </c:pt>
                      <c:pt idx="74">
                        <c:v>898</c:v>
                      </c:pt>
                      <c:pt idx="75">
                        <c:v>906</c:v>
                      </c:pt>
                      <c:pt idx="76">
                        <c:v>914</c:v>
                      </c:pt>
                      <c:pt idx="77">
                        <c:v>922</c:v>
                      </c:pt>
                      <c:pt idx="78">
                        <c:v>930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EVALUATION!$B$133:$CP$133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-21.943243243243245</c:v>
                      </c:pt>
                      <c:pt idx="1">
                        <c:v>-21.741441441441442</c:v>
                      </c:pt>
                      <c:pt idx="2">
                        <c:v>-21.539639639639642</c:v>
                      </c:pt>
                      <c:pt idx="3">
                        <c:v>-21.337837837837839</c:v>
                      </c:pt>
                      <c:pt idx="4" formatCode="General">
                        <c:v>-21.317514970059882</c:v>
                      </c:pt>
                      <c:pt idx="5" formatCode="General">
                        <c:v>-21.339071856287426</c:v>
                      </c:pt>
                      <c:pt idx="6" formatCode="General">
                        <c:v>-21.360628742514972</c:v>
                      </c:pt>
                      <c:pt idx="7" formatCode="General">
                        <c:v>-21.382185628742516</c:v>
                      </c:pt>
                      <c:pt idx="8" formatCode="General">
                        <c:v>-21.452604790419162</c:v>
                      </c:pt>
                      <c:pt idx="9" formatCode="General">
                        <c:v>-21.550808383233534</c:v>
                      </c:pt>
                      <c:pt idx="10" formatCode="General">
                        <c:v>-21.649011976047905</c:v>
                      </c:pt>
                      <c:pt idx="11" formatCode="General">
                        <c:v>-21.747215568862277</c:v>
                      </c:pt>
                      <c:pt idx="12" formatCode="General">
                        <c:v>-21.843203592814373</c:v>
                      </c:pt>
                      <c:pt idx="13" formatCode="General">
                        <c:v>-21.936616766467068</c:v>
                      </c:pt>
                      <c:pt idx="14" formatCode="General">
                        <c:v>-22.030029940119761</c:v>
                      </c:pt>
                      <c:pt idx="15" formatCode="General">
                        <c:v>-22.123443113772456</c:v>
                      </c:pt>
                      <c:pt idx="16" formatCode="General">
                        <c:v>-22.209970059880241</c:v>
                      </c:pt>
                      <c:pt idx="17" formatCode="General">
                        <c:v>-22.279431137724551</c:v>
                      </c:pt>
                      <c:pt idx="18" formatCode="General">
                        <c:v>-22.348892215568863</c:v>
                      </c:pt>
                      <c:pt idx="19" formatCode="General">
                        <c:v>-22.418353293413173</c:v>
                      </c:pt>
                      <c:pt idx="20" formatCode="General">
                        <c:v>-22.488353293413173</c:v>
                      </c:pt>
                      <c:pt idx="21" formatCode="General">
                        <c:v>-22.562604790419162</c:v>
                      </c:pt>
                      <c:pt idx="22" formatCode="General">
                        <c:v>-22.63685628742515</c:v>
                      </c:pt>
                      <c:pt idx="23" formatCode="General">
                        <c:v>-22.711107784431139</c:v>
                      </c:pt>
                      <c:pt idx="24" formatCode="General">
                        <c:v>-22.785359281437124</c:v>
                      </c:pt>
                      <c:pt idx="25" formatCode="General">
                        <c:v>-22.846306306306307</c:v>
                      </c:pt>
                      <c:pt idx="26" formatCode="General">
                        <c:v>-22.906366366366367</c:v>
                      </c:pt>
                      <c:pt idx="27" formatCode="General">
                        <c:v>-22.966426426426427</c:v>
                      </c:pt>
                      <c:pt idx="28" formatCode="General">
                        <c:v>-23.026486486486487</c:v>
                      </c:pt>
                      <c:pt idx="29" formatCode="General">
                        <c:v>-23.130958083832336</c:v>
                      </c:pt>
                      <c:pt idx="30" formatCode="General">
                        <c:v>-23.248323353293415</c:v>
                      </c:pt>
                      <c:pt idx="31" formatCode="General">
                        <c:v>-23.36568862275449</c:v>
                      </c:pt>
                      <c:pt idx="32" formatCode="General">
                        <c:v>-23.483053892215569</c:v>
                      </c:pt>
                      <c:pt idx="33" formatCode="General">
                        <c:v>-23.60185628742515</c:v>
                      </c:pt>
                      <c:pt idx="34" formatCode="General">
                        <c:v>-23.721616766467065</c:v>
                      </c:pt>
                      <c:pt idx="35" formatCode="General">
                        <c:v>-23.841377245508983</c:v>
                      </c:pt>
                      <c:pt idx="36" formatCode="General">
                        <c:v>-23.961137724550898</c:v>
                      </c:pt>
                      <c:pt idx="37" formatCode="General">
                        <c:v>-24.078862275449104</c:v>
                      </c:pt>
                      <c:pt idx="38" formatCode="General">
                        <c:v>-24.193832335329343</c:v>
                      </c:pt>
                      <c:pt idx="39" formatCode="General">
                        <c:v>-24.308802395209582</c:v>
                      </c:pt>
                      <c:pt idx="40" formatCode="General">
                        <c:v>-24.423772455089821</c:v>
                      </c:pt>
                      <c:pt idx="41" formatCode="General">
                        <c:v>-24.53874251497006</c:v>
                      </c:pt>
                      <c:pt idx="42" formatCode="General">
                        <c:v>-24.653712574850299</c:v>
                      </c:pt>
                      <c:pt idx="43" formatCode="General">
                        <c:v>-24.768682634730538</c:v>
                      </c:pt>
                      <c:pt idx="44" formatCode="General">
                        <c:v>-24.883652694610777</c:v>
                      </c:pt>
                      <c:pt idx="45" formatCode="General">
                        <c:v>-24.998622754491016</c:v>
                      </c:pt>
                      <c:pt idx="46" formatCode="General">
                        <c:v>-25.113592814371255</c:v>
                      </c:pt>
                      <c:pt idx="47" formatCode="General">
                        <c:v>-25.228562874251494</c:v>
                      </c:pt>
                      <c:pt idx="48" formatCode="General">
                        <c:v>-25.343532934131737</c:v>
                      </c:pt>
                      <c:pt idx="49" formatCode="General">
                        <c:v>-25.458502994011976</c:v>
                      </c:pt>
                      <c:pt idx="50" formatCode="General">
                        <c:v>-25.567617977528091</c:v>
                      </c:pt>
                      <c:pt idx="51" formatCode="General">
                        <c:v>-25.676082397003746</c:v>
                      </c:pt>
                      <c:pt idx="52" formatCode="General">
                        <c:v>-25.784546816479402</c:v>
                      </c:pt>
                      <c:pt idx="53" formatCode="General">
                        <c:v>-25.893011235955058</c:v>
                      </c:pt>
                      <c:pt idx="54" formatCode="General">
                        <c:v>-26.001475655430713</c:v>
                      </c:pt>
                      <c:pt idx="55" formatCode="General">
                        <c:v>-26.109940074906369</c:v>
                      </c:pt>
                      <c:pt idx="56" formatCode="General">
                        <c:v>-26.218404494382021</c:v>
                      </c:pt>
                      <c:pt idx="57" formatCode="General">
                        <c:v>-26.326868913857677</c:v>
                      </c:pt>
                      <c:pt idx="58" formatCode="General">
                        <c:v>-26.435333333333332</c:v>
                      </c:pt>
                      <c:pt idx="59" formatCode="General">
                        <c:v>-26.543797752808988</c:v>
                      </c:pt>
                      <c:pt idx="60" formatCode="General">
                        <c:v>-26.652262172284644</c:v>
                      </c:pt>
                      <c:pt idx="61" formatCode="General">
                        <c:v>-26.760726591760299</c:v>
                      </c:pt>
                      <c:pt idx="62" formatCode="General">
                        <c:v>-26.869191011235955</c:v>
                      </c:pt>
                      <c:pt idx="63" formatCode="General">
                        <c:v>-26.977655430711611</c:v>
                      </c:pt>
                      <c:pt idx="64" formatCode="General">
                        <c:v>-27.086119850187266</c:v>
                      </c:pt>
                      <c:pt idx="65" formatCode="General">
                        <c:v>-27.194584269662922</c:v>
                      </c:pt>
                      <c:pt idx="66" formatCode="General">
                        <c:v>-27.301902621722849</c:v>
                      </c:pt>
                      <c:pt idx="67" formatCode="General">
                        <c:v>-27.404973782771538</c:v>
                      </c:pt>
                      <c:pt idx="68" formatCode="General">
                        <c:v>-27.508044943820227</c:v>
                      </c:pt>
                      <c:pt idx="69" formatCode="General">
                        <c:v>-27.611116104868916</c:v>
                      </c:pt>
                      <c:pt idx="70" formatCode="General">
                        <c:v>-27.714187265917605</c:v>
                      </c:pt>
                      <c:pt idx="71" formatCode="General">
                        <c:v>-27.817258426966294</c:v>
                      </c:pt>
                      <c:pt idx="72" formatCode="General">
                        <c:v>-27.920329588014983</c:v>
                      </c:pt>
                      <c:pt idx="73" formatCode="General">
                        <c:v>-28.023400749063672</c:v>
                      </c:pt>
                      <c:pt idx="74" formatCode="General">
                        <c:v>-28.126471910112361</c:v>
                      </c:pt>
                      <c:pt idx="75" formatCode="General">
                        <c:v>-28.22954307116105</c:v>
                      </c:pt>
                      <c:pt idx="76" formatCode="General">
                        <c:v>-28.332614232209739</c:v>
                      </c:pt>
                      <c:pt idx="77" formatCode="General">
                        <c:v>-28.435685393258428</c:v>
                      </c:pt>
                      <c:pt idx="78" formatCode="General">
                        <c:v>-28.538756554307117</c:v>
                      </c:pt>
                      <c:pt idx="79" formatCode="General">
                        <c:v>-28.641827715355806</c:v>
                      </c:pt>
                      <c:pt idx="80" formatCode="General">
                        <c:v>-28.744898876404495</c:v>
                      </c:pt>
                      <c:pt idx="81" formatCode="General">
                        <c:v>-28.847970037453184</c:v>
                      </c:pt>
                      <c:pt idx="82" formatCode="General">
                        <c:v>-28.951041198501873</c:v>
                      </c:pt>
                      <c:pt idx="83" formatCode="General">
                        <c:v>-29.051396396396395</c:v>
                      </c:pt>
                      <c:pt idx="84" formatCode="General">
                        <c:v>-29.149294294294293</c:v>
                      </c:pt>
                      <c:pt idx="85" formatCode="General">
                        <c:v>-29.247192192192191</c:v>
                      </c:pt>
                      <c:pt idx="86" formatCode="General">
                        <c:v>-29.345090090090089</c:v>
                      </c:pt>
                      <c:pt idx="87" formatCode="General">
                        <c:v>-8.1209504950495059</c:v>
                      </c:pt>
                      <c:pt idx="88" formatCode="General">
                        <c:v>-8.1466930693069308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3-60C8-4A98-A947-234019680B74}"/>
                  </c:ext>
                </c:extLst>
              </c15:ser>
            </c15:filteredScatterSeries>
            <c15:filteredScatterSeries>
              <c15:ser>
                <c:idx val="31"/>
                <c:order val="33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306</c:v>
                      </c:pt>
                      <c:pt idx="1">
                        <c:v>314</c:v>
                      </c:pt>
                      <c:pt idx="2">
                        <c:v>322</c:v>
                      </c:pt>
                      <c:pt idx="3">
                        <c:v>330</c:v>
                      </c:pt>
                      <c:pt idx="4">
                        <c:v>338</c:v>
                      </c:pt>
                      <c:pt idx="5">
                        <c:v>346</c:v>
                      </c:pt>
                      <c:pt idx="6">
                        <c:v>354</c:v>
                      </c:pt>
                      <c:pt idx="7">
                        <c:v>362</c:v>
                      </c:pt>
                      <c:pt idx="8">
                        <c:v>370</c:v>
                      </c:pt>
                      <c:pt idx="9">
                        <c:v>378</c:v>
                      </c:pt>
                      <c:pt idx="10">
                        <c:v>386</c:v>
                      </c:pt>
                      <c:pt idx="11">
                        <c:v>394</c:v>
                      </c:pt>
                      <c:pt idx="12">
                        <c:v>402</c:v>
                      </c:pt>
                      <c:pt idx="13">
                        <c:v>410</c:v>
                      </c:pt>
                      <c:pt idx="14">
                        <c:v>418</c:v>
                      </c:pt>
                      <c:pt idx="15">
                        <c:v>426</c:v>
                      </c:pt>
                      <c:pt idx="16">
                        <c:v>434</c:v>
                      </c:pt>
                      <c:pt idx="17">
                        <c:v>442</c:v>
                      </c:pt>
                      <c:pt idx="18">
                        <c:v>450</c:v>
                      </c:pt>
                      <c:pt idx="19">
                        <c:v>458</c:v>
                      </c:pt>
                      <c:pt idx="20">
                        <c:v>466</c:v>
                      </c:pt>
                      <c:pt idx="21">
                        <c:v>474</c:v>
                      </c:pt>
                      <c:pt idx="22">
                        <c:v>482</c:v>
                      </c:pt>
                      <c:pt idx="23">
                        <c:v>490</c:v>
                      </c:pt>
                      <c:pt idx="24">
                        <c:v>498</c:v>
                      </c:pt>
                      <c:pt idx="25">
                        <c:v>506</c:v>
                      </c:pt>
                      <c:pt idx="26">
                        <c:v>514</c:v>
                      </c:pt>
                      <c:pt idx="27">
                        <c:v>522</c:v>
                      </c:pt>
                      <c:pt idx="28">
                        <c:v>530</c:v>
                      </c:pt>
                      <c:pt idx="29">
                        <c:v>538</c:v>
                      </c:pt>
                      <c:pt idx="30">
                        <c:v>546</c:v>
                      </c:pt>
                      <c:pt idx="31">
                        <c:v>554</c:v>
                      </c:pt>
                      <c:pt idx="32">
                        <c:v>562</c:v>
                      </c:pt>
                      <c:pt idx="33">
                        <c:v>570</c:v>
                      </c:pt>
                      <c:pt idx="34">
                        <c:v>578</c:v>
                      </c:pt>
                      <c:pt idx="35">
                        <c:v>586</c:v>
                      </c:pt>
                      <c:pt idx="36">
                        <c:v>594</c:v>
                      </c:pt>
                      <c:pt idx="37">
                        <c:v>602</c:v>
                      </c:pt>
                      <c:pt idx="38">
                        <c:v>610</c:v>
                      </c:pt>
                      <c:pt idx="39">
                        <c:v>618</c:v>
                      </c:pt>
                      <c:pt idx="40">
                        <c:v>626</c:v>
                      </c:pt>
                      <c:pt idx="41">
                        <c:v>634</c:v>
                      </c:pt>
                      <c:pt idx="42">
                        <c:v>642</c:v>
                      </c:pt>
                      <c:pt idx="43">
                        <c:v>650</c:v>
                      </c:pt>
                      <c:pt idx="44">
                        <c:v>658</c:v>
                      </c:pt>
                      <c:pt idx="45">
                        <c:v>666</c:v>
                      </c:pt>
                      <c:pt idx="46">
                        <c:v>674</c:v>
                      </c:pt>
                      <c:pt idx="47">
                        <c:v>682</c:v>
                      </c:pt>
                      <c:pt idx="48">
                        <c:v>690</c:v>
                      </c:pt>
                      <c:pt idx="49">
                        <c:v>698</c:v>
                      </c:pt>
                      <c:pt idx="50">
                        <c:v>706</c:v>
                      </c:pt>
                      <c:pt idx="51">
                        <c:v>714</c:v>
                      </c:pt>
                      <c:pt idx="52">
                        <c:v>722</c:v>
                      </c:pt>
                      <c:pt idx="53">
                        <c:v>730</c:v>
                      </c:pt>
                      <c:pt idx="54">
                        <c:v>738</c:v>
                      </c:pt>
                      <c:pt idx="55">
                        <c:v>746</c:v>
                      </c:pt>
                      <c:pt idx="56">
                        <c:v>754</c:v>
                      </c:pt>
                      <c:pt idx="57">
                        <c:v>762</c:v>
                      </c:pt>
                      <c:pt idx="58">
                        <c:v>770</c:v>
                      </c:pt>
                      <c:pt idx="59">
                        <c:v>778</c:v>
                      </c:pt>
                      <c:pt idx="60">
                        <c:v>786</c:v>
                      </c:pt>
                      <c:pt idx="61">
                        <c:v>794</c:v>
                      </c:pt>
                      <c:pt idx="62">
                        <c:v>802</c:v>
                      </c:pt>
                      <c:pt idx="63">
                        <c:v>810</c:v>
                      </c:pt>
                      <c:pt idx="64">
                        <c:v>818</c:v>
                      </c:pt>
                      <c:pt idx="65">
                        <c:v>826</c:v>
                      </c:pt>
                      <c:pt idx="66">
                        <c:v>834</c:v>
                      </c:pt>
                      <c:pt idx="67">
                        <c:v>842</c:v>
                      </c:pt>
                      <c:pt idx="68">
                        <c:v>850</c:v>
                      </c:pt>
                      <c:pt idx="69">
                        <c:v>858</c:v>
                      </c:pt>
                      <c:pt idx="70">
                        <c:v>866</c:v>
                      </c:pt>
                      <c:pt idx="71">
                        <c:v>874</c:v>
                      </c:pt>
                      <c:pt idx="72">
                        <c:v>882</c:v>
                      </c:pt>
                      <c:pt idx="73">
                        <c:v>890</c:v>
                      </c:pt>
                      <c:pt idx="74">
                        <c:v>898</c:v>
                      </c:pt>
                      <c:pt idx="75">
                        <c:v>906</c:v>
                      </c:pt>
                      <c:pt idx="76">
                        <c:v>914</c:v>
                      </c:pt>
                      <c:pt idx="77">
                        <c:v>922</c:v>
                      </c:pt>
                      <c:pt idx="78">
                        <c:v>930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EVALUATION!$B$134:$CP$134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-184.14450450450451</c:v>
                      </c:pt>
                      <c:pt idx="1">
                        <c:v>-180.19015015015015</c:v>
                      </c:pt>
                      <c:pt idx="2">
                        <c:v>-176.23579579579581</c:v>
                      </c:pt>
                      <c:pt idx="3">
                        <c:v>-172.28144144144147</c:v>
                      </c:pt>
                      <c:pt idx="4" formatCode="General">
                        <c:v>-168.94194610778445</c:v>
                      </c:pt>
                      <c:pt idx="5" formatCode="General">
                        <c:v>-165.74434131736527</c:v>
                      </c:pt>
                      <c:pt idx="6" formatCode="General">
                        <c:v>-162.54673652694612</c:v>
                      </c:pt>
                      <c:pt idx="7" formatCode="General">
                        <c:v>-159.34913173652694</c:v>
                      </c:pt>
                      <c:pt idx="8" formatCode="General">
                        <c:v>-156.51188622754489</c:v>
                      </c:pt>
                      <c:pt idx="9" formatCode="General">
                        <c:v>-153.87955089820358</c:v>
                      </c:pt>
                      <c:pt idx="10" formatCode="General">
                        <c:v>-151.24721556886226</c:v>
                      </c:pt>
                      <c:pt idx="11" formatCode="General">
                        <c:v>-148.61488023952094</c:v>
                      </c:pt>
                      <c:pt idx="12" formatCode="General">
                        <c:v>-146.17973053892214</c:v>
                      </c:pt>
                      <c:pt idx="13" formatCode="General">
                        <c:v>-143.97374251497007</c:v>
                      </c:pt>
                      <c:pt idx="14" formatCode="General">
                        <c:v>-141.76775449101797</c:v>
                      </c:pt>
                      <c:pt idx="15" formatCode="General">
                        <c:v>-139.56176646706587</c:v>
                      </c:pt>
                      <c:pt idx="16" formatCode="General">
                        <c:v>-137.45494011976049</c:v>
                      </c:pt>
                      <c:pt idx="17" formatCode="General">
                        <c:v>-135.59386227544911</c:v>
                      </c:pt>
                      <c:pt idx="18" formatCode="General">
                        <c:v>-133.73278443113773</c:v>
                      </c:pt>
                      <c:pt idx="19" formatCode="General">
                        <c:v>-131.87170658682635</c:v>
                      </c:pt>
                      <c:pt idx="20" formatCode="General">
                        <c:v>-130.04404191616766</c:v>
                      </c:pt>
                      <c:pt idx="21" formatCode="General">
                        <c:v>-128.47997005988023</c:v>
                      </c:pt>
                      <c:pt idx="22" formatCode="General">
                        <c:v>-126.91589820359282</c:v>
                      </c:pt>
                      <c:pt idx="23" formatCode="General">
                        <c:v>-125.35182634730539</c:v>
                      </c:pt>
                      <c:pt idx="24" formatCode="General">
                        <c:v>-123.78775449101796</c:v>
                      </c:pt>
                      <c:pt idx="25" formatCode="General">
                        <c:v>-123.46702702702703</c:v>
                      </c:pt>
                      <c:pt idx="26" formatCode="General">
                        <c:v>-123.22918918918919</c:v>
                      </c:pt>
                      <c:pt idx="27" formatCode="General">
                        <c:v>-122.99135135135135</c:v>
                      </c:pt>
                      <c:pt idx="28" formatCode="General">
                        <c:v>-122.75351351351351</c:v>
                      </c:pt>
                      <c:pt idx="29" formatCode="General">
                        <c:v>-123.46293413173653</c:v>
                      </c:pt>
                      <c:pt idx="30" formatCode="General">
                        <c:v>-124.44736526946109</c:v>
                      </c:pt>
                      <c:pt idx="31" formatCode="General">
                        <c:v>-125.43179640718563</c:v>
                      </c:pt>
                      <c:pt idx="32" formatCode="General">
                        <c:v>-126.41622754491017</c:v>
                      </c:pt>
                      <c:pt idx="33" formatCode="General">
                        <c:v>-127.39922155688622</c:v>
                      </c:pt>
                      <c:pt idx="34" formatCode="General">
                        <c:v>-128.38125748502995</c:v>
                      </c:pt>
                      <c:pt idx="35" formatCode="General">
                        <c:v>-129.36329341317364</c:v>
                      </c:pt>
                      <c:pt idx="36" formatCode="General">
                        <c:v>-130.34532934131735</c:v>
                      </c:pt>
                      <c:pt idx="37" formatCode="General">
                        <c:v>-131.31718562874252</c:v>
                      </c:pt>
                      <c:pt idx="38" formatCode="General">
                        <c:v>-132.27526946107784</c:v>
                      </c:pt>
                      <c:pt idx="39" formatCode="General">
                        <c:v>-133.23335329341316</c:v>
                      </c:pt>
                      <c:pt idx="40" formatCode="General">
                        <c:v>-134.19143712574851</c:v>
                      </c:pt>
                      <c:pt idx="41" formatCode="General">
                        <c:v>-135.14592814371258</c:v>
                      </c:pt>
                      <c:pt idx="42" formatCode="General">
                        <c:v>-136.08964071856286</c:v>
                      </c:pt>
                      <c:pt idx="43" formatCode="General">
                        <c:v>-137.03335329341317</c:v>
                      </c:pt>
                      <c:pt idx="44" formatCode="General">
                        <c:v>-137.97706586826348</c:v>
                      </c:pt>
                      <c:pt idx="45" formatCode="General">
                        <c:v>-138.91970059880239</c:v>
                      </c:pt>
                      <c:pt idx="46" formatCode="General">
                        <c:v>-139.84904191616766</c:v>
                      </c:pt>
                      <c:pt idx="47" formatCode="General">
                        <c:v>-140.77838323353294</c:v>
                      </c:pt>
                      <c:pt idx="48" formatCode="General">
                        <c:v>-141.70772455089821</c:v>
                      </c:pt>
                      <c:pt idx="49" formatCode="General">
                        <c:v>-142.63706586826348</c:v>
                      </c:pt>
                      <c:pt idx="50" formatCode="General">
                        <c:v>-143.50932584269663</c:v>
                      </c:pt>
                      <c:pt idx="51" formatCode="General">
                        <c:v>-144.37524344569289</c:v>
                      </c:pt>
                      <c:pt idx="52" formatCode="General">
                        <c:v>-145.24116104868915</c:v>
                      </c:pt>
                      <c:pt idx="53" formatCode="General">
                        <c:v>-146.10707865168538</c:v>
                      </c:pt>
                      <c:pt idx="54" formatCode="General">
                        <c:v>-146.97299625468165</c:v>
                      </c:pt>
                      <c:pt idx="55" formatCode="General">
                        <c:v>-147.83891385767791</c:v>
                      </c:pt>
                      <c:pt idx="56" formatCode="General">
                        <c:v>-148.70483146067417</c:v>
                      </c:pt>
                      <c:pt idx="57" formatCode="General">
                        <c:v>-149.57074906367041</c:v>
                      </c:pt>
                      <c:pt idx="58" formatCode="General">
                        <c:v>-150.43666666666667</c:v>
                      </c:pt>
                      <c:pt idx="59" formatCode="General">
                        <c:v>-151.30258426966293</c:v>
                      </c:pt>
                      <c:pt idx="60" formatCode="General">
                        <c:v>-152.16850187265919</c:v>
                      </c:pt>
                      <c:pt idx="61" formatCode="General">
                        <c:v>-153.03441947565543</c:v>
                      </c:pt>
                      <c:pt idx="62" formatCode="General">
                        <c:v>-153.90033707865169</c:v>
                      </c:pt>
                      <c:pt idx="63" formatCode="General">
                        <c:v>-154.76625468164795</c:v>
                      </c:pt>
                      <c:pt idx="64" formatCode="General">
                        <c:v>-155.63217228464421</c:v>
                      </c:pt>
                      <c:pt idx="65" formatCode="General">
                        <c:v>-156.49808988764045</c:v>
                      </c:pt>
                      <c:pt idx="66" formatCode="General">
                        <c:v>-157.34146816479401</c:v>
                      </c:pt>
                      <c:pt idx="67" formatCode="General">
                        <c:v>-158.10131835205993</c:v>
                      </c:pt>
                      <c:pt idx="68" formatCode="General">
                        <c:v>-158.86116853932586</c:v>
                      </c:pt>
                      <c:pt idx="69" formatCode="General">
                        <c:v>-159.62101872659179</c:v>
                      </c:pt>
                      <c:pt idx="70" formatCode="General">
                        <c:v>-160.38086891385768</c:v>
                      </c:pt>
                      <c:pt idx="71" formatCode="General">
                        <c:v>-161.14071910112361</c:v>
                      </c:pt>
                      <c:pt idx="72" formatCode="General">
                        <c:v>-161.90056928838953</c:v>
                      </c:pt>
                      <c:pt idx="73" formatCode="General">
                        <c:v>-162.66041947565543</c:v>
                      </c:pt>
                      <c:pt idx="74" formatCode="General">
                        <c:v>-163.42026966292136</c:v>
                      </c:pt>
                      <c:pt idx="75" formatCode="General">
                        <c:v>-164.18011985018728</c:v>
                      </c:pt>
                      <c:pt idx="76" formatCode="General">
                        <c:v>-164.93997003745321</c:v>
                      </c:pt>
                      <c:pt idx="77" formatCode="General">
                        <c:v>-165.6998202247191</c:v>
                      </c:pt>
                      <c:pt idx="78" formatCode="General">
                        <c:v>-166.45967041198503</c:v>
                      </c:pt>
                      <c:pt idx="79" formatCode="General">
                        <c:v>-167.21952059925096</c:v>
                      </c:pt>
                      <c:pt idx="80" formatCode="General">
                        <c:v>-167.97937078651688</c:v>
                      </c:pt>
                      <c:pt idx="81" formatCode="General">
                        <c:v>-168.73922097378278</c:v>
                      </c:pt>
                      <c:pt idx="82" formatCode="General">
                        <c:v>-169.4990711610487</c:v>
                      </c:pt>
                      <c:pt idx="83" formatCode="General">
                        <c:v>-170.1970720720721</c:v>
                      </c:pt>
                      <c:pt idx="84" formatCode="General">
                        <c:v>-170.83911411411412</c:v>
                      </c:pt>
                      <c:pt idx="85" formatCode="General">
                        <c:v>-171.48115615615617</c:v>
                      </c:pt>
                      <c:pt idx="86" formatCode="General">
                        <c:v>-172.12319819819822</c:v>
                      </c:pt>
                      <c:pt idx="87" formatCode="General">
                        <c:v>-28.733663366336632</c:v>
                      </c:pt>
                      <c:pt idx="88" formatCode="General">
                        <c:v>-28.828712871287127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4-60C8-4A98-A947-234019680B74}"/>
                  </c:ext>
                </c:extLst>
              </c15:ser>
            </c15:filteredScatterSeries>
            <c15:filteredScatterSeries>
              <c15:ser>
                <c:idx val="32"/>
                <c:order val="34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306</c:v>
                      </c:pt>
                      <c:pt idx="1">
                        <c:v>314</c:v>
                      </c:pt>
                      <c:pt idx="2">
                        <c:v>322</c:v>
                      </c:pt>
                      <c:pt idx="3">
                        <c:v>330</c:v>
                      </c:pt>
                      <c:pt idx="4">
                        <c:v>338</c:v>
                      </c:pt>
                      <c:pt idx="5">
                        <c:v>346</c:v>
                      </c:pt>
                      <c:pt idx="6">
                        <c:v>354</c:v>
                      </c:pt>
                      <c:pt idx="7">
                        <c:v>362</c:v>
                      </c:pt>
                      <c:pt idx="8">
                        <c:v>370</c:v>
                      </c:pt>
                      <c:pt idx="9">
                        <c:v>378</c:v>
                      </c:pt>
                      <c:pt idx="10">
                        <c:v>386</c:v>
                      </c:pt>
                      <c:pt idx="11">
                        <c:v>394</c:v>
                      </c:pt>
                      <c:pt idx="12">
                        <c:v>402</c:v>
                      </c:pt>
                      <c:pt idx="13">
                        <c:v>410</c:v>
                      </c:pt>
                      <c:pt idx="14">
                        <c:v>418</c:v>
                      </c:pt>
                      <c:pt idx="15">
                        <c:v>426</c:v>
                      </c:pt>
                      <c:pt idx="16">
                        <c:v>434</c:v>
                      </c:pt>
                      <c:pt idx="17">
                        <c:v>442</c:v>
                      </c:pt>
                      <c:pt idx="18">
                        <c:v>450</c:v>
                      </c:pt>
                      <c:pt idx="19">
                        <c:v>458</c:v>
                      </c:pt>
                      <c:pt idx="20">
                        <c:v>466</c:v>
                      </c:pt>
                      <c:pt idx="21">
                        <c:v>474</c:v>
                      </c:pt>
                      <c:pt idx="22">
                        <c:v>482</c:v>
                      </c:pt>
                      <c:pt idx="23">
                        <c:v>490</c:v>
                      </c:pt>
                      <c:pt idx="24">
                        <c:v>498</c:v>
                      </c:pt>
                      <c:pt idx="25">
                        <c:v>506</c:v>
                      </c:pt>
                      <c:pt idx="26">
                        <c:v>514</c:v>
                      </c:pt>
                      <c:pt idx="27">
                        <c:v>522</c:v>
                      </c:pt>
                      <c:pt idx="28">
                        <c:v>530</c:v>
                      </c:pt>
                      <c:pt idx="29">
                        <c:v>538</c:v>
                      </c:pt>
                      <c:pt idx="30">
                        <c:v>546</c:v>
                      </c:pt>
                      <c:pt idx="31">
                        <c:v>554</c:v>
                      </c:pt>
                      <c:pt idx="32">
                        <c:v>562</c:v>
                      </c:pt>
                      <c:pt idx="33">
                        <c:v>570</c:v>
                      </c:pt>
                      <c:pt idx="34">
                        <c:v>578</c:v>
                      </c:pt>
                      <c:pt idx="35">
                        <c:v>586</c:v>
                      </c:pt>
                      <c:pt idx="36">
                        <c:v>594</c:v>
                      </c:pt>
                      <c:pt idx="37">
                        <c:v>602</c:v>
                      </c:pt>
                      <c:pt idx="38">
                        <c:v>610</c:v>
                      </c:pt>
                      <c:pt idx="39">
                        <c:v>618</c:v>
                      </c:pt>
                      <c:pt idx="40">
                        <c:v>626</c:v>
                      </c:pt>
                      <c:pt idx="41">
                        <c:v>634</c:v>
                      </c:pt>
                      <c:pt idx="42">
                        <c:v>642</c:v>
                      </c:pt>
                      <c:pt idx="43">
                        <c:v>650</c:v>
                      </c:pt>
                      <c:pt idx="44">
                        <c:v>658</c:v>
                      </c:pt>
                      <c:pt idx="45">
                        <c:v>666</c:v>
                      </c:pt>
                      <c:pt idx="46">
                        <c:v>674</c:v>
                      </c:pt>
                      <c:pt idx="47">
                        <c:v>682</c:v>
                      </c:pt>
                      <c:pt idx="48">
                        <c:v>690</c:v>
                      </c:pt>
                      <c:pt idx="49">
                        <c:v>698</c:v>
                      </c:pt>
                      <c:pt idx="50">
                        <c:v>706</c:v>
                      </c:pt>
                      <c:pt idx="51">
                        <c:v>714</c:v>
                      </c:pt>
                      <c:pt idx="52">
                        <c:v>722</c:v>
                      </c:pt>
                      <c:pt idx="53">
                        <c:v>730</c:v>
                      </c:pt>
                      <c:pt idx="54">
                        <c:v>738</c:v>
                      </c:pt>
                      <c:pt idx="55">
                        <c:v>746</c:v>
                      </c:pt>
                      <c:pt idx="56">
                        <c:v>754</c:v>
                      </c:pt>
                      <c:pt idx="57">
                        <c:v>762</c:v>
                      </c:pt>
                      <c:pt idx="58">
                        <c:v>770</c:v>
                      </c:pt>
                      <c:pt idx="59">
                        <c:v>778</c:v>
                      </c:pt>
                      <c:pt idx="60">
                        <c:v>786</c:v>
                      </c:pt>
                      <c:pt idx="61">
                        <c:v>794</c:v>
                      </c:pt>
                      <c:pt idx="62">
                        <c:v>802</c:v>
                      </c:pt>
                      <c:pt idx="63">
                        <c:v>810</c:v>
                      </c:pt>
                      <c:pt idx="64">
                        <c:v>818</c:v>
                      </c:pt>
                      <c:pt idx="65">
                        <c:v>826</c:v>
                      </c:pt>
                      <c:pt idx="66">
                        <c:v>834</c:v>
                      </c:pt>
                      <c:pt idx="67">
                        <c:v>842</c:v>
                      </c:pt>
                      <c:pt idx="68">
                        <c:v>850</c:v>
                      </c:pt>
                      <c:pt idx="69">
                        <c:v>858</c:v>
                      </c:pt>
                      <c:pt idx="70">
                        <c:v>866</c:v>
                      </c:pt>
                      <c:pt idx="71">
                        <c:v>874</c:v>
                      </c:pt>
                      <c:pt idx="72">
                        <c:v>882</c:v>
                      </c:pt>
                      <c:pt idx="73">
                        <c:v>890</c:v>
                      </c:pt>
                      <c:pt idx="74">
                        <c:v>898</c:v>
                      </c:pt>
                      <c:pt idx="75">
                        <c:v>906</c:v>
                      </c:pt>
                      <c:pt idx="76">
                        <c:v>914</c:v>
                      </c:pt>
                      <c:pt idx="77">
                        <c:v>922</c:v>
                      </c:pt>
                      <c:pt idx="78">
                        <c:v>930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EVALUATION!$B$135:$CP$135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-15.512792792792792</c:v>
                      </c:pt>
                      <c:pt idx="1">
                        <c:v>-15.013093093093092</c:v>
                      </c:pt>
                      <c:pt idx="2">
                        <c:v>-14.513393393393393</c:v>
                      </c:pt>
                      <c:pt idx="3">
                        <c:v>-14.013693693693693</c:v>
                      </c:pt>
                      <c:pt idx="4" formatCode="General">
                        <c:v>-13.456826347305389</c:v>
                      </c:pt>
                      <c:pt idx="5" formatCode="General">
                        <c:v>-12.886766467065867</c:v>
                      </c:pt>
                      <c:pt idx="6" formatCode="General">
                        <c:v>-12.316706586826346</c:v>
                      </c:pt>
                      <c:pt idx="7" formatCode="General">
                        <c:v>-11.746646706586823</c:v>
                      </c:pt>
                      <c:pt idx="8" formatCode="General">
                        <c:v>-11.204988023952094</c:v>
                      </c:pt>
                      <c:pt idx="9" formatCode="General">
                        <c:v>-10.679479041916167</c:v>
                      </c:pt>
                      <c:pt idx="10" formatCode="General">
                        <c:v>-10.153970059880239</c:v>
                      </c:pt>
                      <c:pt idx="11" formatCode="General">
                        <c:v>-9.628461077844312</c:v>
                      </c:pt>
                      <c:pt idx="12" formatCode="General">
                        <c:v>-9.1539101796407198</c:v>
                      </c:pt>
                      <c:pt idx="13" formatCode="General">
                        <c:v>-8.7385808383233528</c:v>
                      </c:pt>
                      <c:pt idx="14" formatCode="General">
                        <c:v>-8.3232514970059874</c:v>
                      </c:pt>
                      <c:pt idx="15" formatCode="General">
                        <c:v>-7.9079221556886221</c:v>
                      </c:pt>
                      <c:pt idx="16" formatCode="General">
                        <c:v>-7.5390748502994009</c:v>
                      </c:pt>
                      <c:pt idx="17" formatCode="General">
                        <c:v>-7.2854221556886225</c:v>
                      </c:pt>
                      <c:pt idx="18" formatCode="General">
                        <c:v>-7.031769461077845</c:v>
                      </c:pt>
                      <c:pt idx="19" formatCode="General">
                        <c:v>-6.7781167664670665</c:v>
                      </c:pt>
                      <c:pt idx="20" formatCode="General">
                        <c:v>-6.5428413173652693</c:v>
                      </c:pt>
                      <c:pt idx="21" formatCode="General">
                        <c:v>-6.4525419161676645</c:v>
                      </c:pt>
                      <c:pt idx="22" formatCode="General">
                        <c:v>-6.3622425149700597</c:v>
                      </c:pt>
                      <c:pt idx="23" formatCode="General">
                        <c:v>-6.2719431137724548</c:v>
                      </c:pt>
                      <c:pt idx="24" formatCode="General">
                        <c:v>-6.18164371257485</c:v>
                      </c:pt>
                      <c:pt idx="25" formatCode="General">
                        <c:v>-6.3239729729729737</c:v>
                      </c:pt>
                      <c:pt idx="26" formatCode="General">
                        <c:v>-6.4818108108108117</c:v>
                      </c:pt>
                      <c:pt idx="27" formatCode="General">
                        <c:v>-6.6396486486486497</c:v>
                      </c:pt>
                      <c:pt idx="28" formatCode="General">
                        <c:v>-6.7974864864864877</c:v>
                      </c:pt>
                      <c:pt idx="29" formatCode="General">
                        <c:v>-6.8348562874251497</c:v>
                      </c:pt>
                      <c:pt idx="30" formatCode="General">
                        <c:v>-6.8372514970059886</c:v>
                      </c:pt>
                      <c:pt idx="31" formatCode="General">
                        <c:v>-6.8396467065868265</c:v>
                      </c:pt>
                      <c:pt idx="32" formatCode="General">
                        <c:v>-6.8420419161676644</c:v>
                      </c:pt>
                      <c:pt idx="33" formatCode="General">
                        <c:v>-6.8517664670658682</c:v>
                      </c:pt>
                      <c:pt idx="34" formatCode="General">
                        <c:v>-6.866377245508982</c:v>
                      </c:pt>
                      <c:pt idx="35" formatCode="General">
                        <c:v>-6.8809880239520957</c:v>
                      </c:pt>
                      <c:pt idx="36" formatCode="General">
                        <c:v>-6.8955988023952095</c:v>
                      </c:pt>
                      <c:pt idx="37" formatCode="General">
                        <c:v>-6.911838323353293</c:v>
                      </c:pt>
                      <c:pt idx="38" formatCode="General">
                        <c:v>-6.930281437125748</c:v>
                      </c:pt>
                      <c:pt idx="39" formatCode="General">
                        <c:v>-6.9487245508982038</c:v>
                      </c:pt>
                      <c:pt idx="40" formatCode="General">
                        <c:v>-6.9671676646706588</c:v>
                      </c:pt>
                      <c:pt idx="41" formatCode="General">
                        <c:v>-6.9858502994011973</c:v>
                      </c:pt>
                      <c:pt idx="42" formatCode="General">
                        <c:v>-7.0052514970059878</c:v>
                      </c:pt>
                      <c:pt idx="43" formatCode="General">
                        <c:v>-7.0246526946107783</c:v>
                      </c:pt>
                      <c:pt idx="44" formatCode="General">
                        <c:v>-7.0440538922155689</c:v>
                      </c:pt>
                      <c:pt idx="45" formatCode="General">
                        <c:v>-7.0634550898203594</c:v>
                      </c:pt>
                      <c:pt idx="46" formatCode="General">
                        <c:v>-7.0828562874251499</c:v>
                      </c:pt>
                      <c:pt idx="47" formatCode="General">
                        <c:v>-7.1022574850299405</c:v>
                      </c:pt>
                      <c:pt idx="48" formatCode="General">
                        <c:v>-7.1216586826347301</c:v>
                      </c:pt>
                      <c:pt idx="49" formatCode="General">
                        <c:v>-7.1410598802395207</c:v>
                      </c:pt>
                      <c:pt idx="50" formatCode="General">
                        <c:v>-7.1602584269662923</c:v>
                      </c:pt>
                      <c:pt idx="51" formatCode="General">
                        <c:v>-7.1794344569288393</c:v>
                      </c:pt>
                      <c:pt idx="52" formatCode="General">
                        <c:v>-7.1986104868913854</c:v>
                      </c:pt>
                      <c:pt idx="53" formatCode="General">
                        <c:v>-7.2177865168539324</c:v>
                      </c:pt>
                      <c:pt idx="54" formatCode="General">
                        <c:v>-7.2369625468164793</c:v>
                      </c:pt>
                      <c:pt idx="55" formatCode="General">
                        <c:v>-7.2561385767790263</c:v>
                      </c:pt>
                      <c:pt idx="56" formatCode="General">
                        <c:v>-7.2753146067415733</c:v>
                      </c:pt>
                      <c:pt idx="57" formatCode="General">
                        <c:v>-7.2944906367041202</c:v>
                      </c:pt>
                      <c:pt idx="58" formatCode="General">
                        <c:v>-7.3136666666666663</c:v>
                      </c:pt>
                      <c:pt idx="59" formatCode="General">
                        <c:v>-7.3328426966292133</c:v>
                      </c:pt>
                      <c:pt idx="60" formatCode="General">
                        <c:v>-7.3520187265917603</c:v>
                      </c:pt>
                      <c:pt idx="61" formatCode="General">
                        <c:v>-7.3711947565543072</c:v>
                      </c:pt>
                      <c:pt idx="62" formatCode="General">
                        <c:v>-7.3903707865168542</c:v>
                      </c:pt>
                      <c:pt idx="63" formatCode="General">
                        <c:v>-7.4095468164794012</c:v>
                      </c:pt>
                      <c:pt idx="64" formatCode="General">
                        <c:v>-7.4287228464419481</c:v>
                      </c:pt>
                      <c:pt idx="65" formatCode="General">
                        <c:v>-7.4478988764044942</c:v>
                      </c:pt>
                      <c:pt idx="66" formatCode="General">
                        <c:v>-7.4668456928838953</c:v>
                      </c:pt>
                      <c:pt idx="67" formatCode="General">
                        <c:v>-7.484943071161049</c:v>
                      </c:pt>
                      <c:pt idx="68" formatCode="General">
                        <c:v>-7.5030404494382026</c:v>
                      </c:pt>
                      <c:pt idx="69" formatCode="General">
                        <c:v>-7.5211378277153562</c:v>
                      </c:pt>
                      <c:pt idx="70" formatCode="General">
                        <c:v>-7.5392352059925098</c:v>
                      </c:pt>
                      <c:pt idx="71" formatCode="General">
                        <c:v>-7.5573325842696626</c:v>
                      </c:pt>
                      <c:pt idx="72" formatCode="General">
                        <c:v>-7.5754299625468162</c:v>
                      </c:pt>
                      <c:pt idx="73" formatCode="General">
                        <c:v>-7.5935273408239699</c:v>
                      </c:pt>
                      <c:pt idx="74" formatCode="General">
                        <c:v>-7.6116247191011235</c:v>
                      </c:pt>
                      <c:pt idx="75" formatCode="General">
                        <c:v>-7.6297220973782771</c:v>
                      </c:pt>
                      <c:pt idx="76" formatCode="General">
                        <c:v>-7.6478194756554307</c:v>
                      </c:pt>
                      <c:pt idx="77" formatCode="General">
                        <c:v>-7.6659168539325844</c:v>
                      </c:pt>
                      <c:pt idx="78" formatCode="General">
                        <c:v>-7.684014232209738</c:v>
                      </c:pt>
                      <c:pt idx="79" formatCode="General">
                        <c:v>-7.7021116104868916</c:v>
                      </c:pt>
                      <c:pt idx="80" formatCode="General">
                        <c:v>-7.7202089887640444</c:v>
                      </c:pt>
                      <c:pt idx="81" formatCode="General">
                        <c:v>-7.738306367041198</c:v>
                      </c:pt>
                      <c:pt idx="82" formatCode="General">
                        <c:v>-7.7564037453183516</c:v>
                      </c:pt>
                      <c:pt idx="83" formatCode="General">
                        <c:v>-7.7739234234234234</c:v>
                      </c:pt>
                      <c:pt idx="84" formatCode="General">
                        <c:v>-7.7909204204204201</c:v>
                      </c:pt>
                      <c:pt idx="85" formatCode="General">
                        <c:v>-7.8079174174174168</c:v>
                      </c:pt>
                      <c:pt idx="86" formatCode="General">
                        <c:v>-7.8249144144144145</c:v>
                      </c:pt>
                      <c:pt idx="87" formatCode="General">
                        <c:v>-64.814138613861388</c:v>
                      </c:pt>
                      <c:pt idx="88" formatCode="General">
                        <c:v>-65.022059405940595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5-60C8-4A98-A947-234019680B74}"/>
                  </c:ext>
                </c:extLst>
              </c15:ser>
            </c15:filteredScatterSeries>
            <c15:filteredScatterSeries>
              <c15:ser>
                <c:idx val="33"/>
                <c:order val="35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306</c:v>
                      </c:pt>
                      <c:pt idx="1">
                        <c:v>314</c:v>
                      </c:pt>
                      <c:pt idx="2">
                        <c:v>322</c:v>
                      </c:pt>
                      <c:pt idx="3">
                        <c:v>330</c:v>
                      </c:pt>
                      <c:pt idx="4">
                        <c:v>338</c:v>
                      </c:pt>
                      <c:pt idx="5">
                        <c:v>346</c:v>
                      </c:pt>
                      <c:pt idx="6">
                        <c:v>354</c:v>
                      </c:pt>
                      <c:pt idx="7">
                        <c:v>362</c:v>
                      </c:pt>
                      <c:pt idx="8">
                        <c:v>370</c:v>
                      </c:pt>
                      <c:pt idx="9">
                        <c:v>378</c:v>
                      </c:pt>
                      <c:pt idx="10">
                        <c:v>386</c:v>
                      </c:pt>
                      <c:pt idx="11">
                        <c:v>394</c:v>
                      </c:pt>
                      <c:pt idx="12">
                        <c:v>402</c:v>
                      </c:pt>
                      <c:pt idx="13">
                        <c:v>410</c:v>
                      </c:pt>
                      <c:pt idx="14">
                        <c:v>418</c:v>
                      </c:pt>
                      <c:pt idx="15">
                        <c:v>426</c:v>
                      </c:pt>
                      <c:pt idx="16">
                        <c:v>434</c:v>
                      </c:pt>
                      <c:pt idx="17">
                        <c:v>442</c:v>
                      </c:pt>
                      <c:pt idx="18">
                        <c:v>450</c:v>
                      </c:pt>
                      <c:pt idx="19">
                        <c:v>458</c:v>
                      </c:pt>
                      <c:pt idx="20">
                        <c:v>466</c:v>
                      </c:pt>
                      <c:pt idx="21">
                        <c:v>474</c:v>
                      </c:pt>
                      <c:pt idx="22">
                        <c:v>482</c:v>
                      </c:pt>
                      <c:pt idx="23">
                        <c:v>490</c:v>
                      </c:pt>
                      <c:pt idx="24">
                        <c:v>498</c:v>
                      </c:pt>
                      <c:pt idx="25">
                        <c:v>506</c:v>
                      </c:pt>
                      <c:pt idx="26">
                        <c:v>514</c:v>
                      </c:pt>
                      <c:pt idx="27">
                        <c:v>522</c:v>
                      </c:pt>
                      <c:pt idx="28">
                        <c:v>530</c:v>
                      </c:pt>
                      <c:pt idx="29">
                        <c:v>538</c:v>
                      </c:pt>
                      <c:pt idx="30">
                        <c:v>546</c:v>
                      </c:pt>
                      <c:pt idx="31">
                        <c:v>554</c:v>
                      </c:pt>
                      <c:pt idx="32">
                        <c:v>562</c:v>
                      </c:pt>
                      <c:pt idx="33">
                        <c:v>570</c:v>
                      </c:pt>
                      <c:pt idx="34">
                        <c:v>578</c:v>
                      </c:pt>
                      <c:pt idx="35">
                        <c:v>586</c:v>
                      </c:pt>
                      <c:pt idx="36">
                        <c:v>594</c:v>
                      </c:pt>
                      <c:pt idx="37">
                        <c:v>602</c:v>
                      </c:pt>
                      <c:pt idx="38">
                        <c:v>610</c:v>
                      </c:pt>
                      <c:pt idx="39">
                        <c:v>618</c:v>
                      </c:pt>
                      <c:pt idx="40">
                        <c:v>626</c:v>
                      </c:pt>
                      <c:pt idx="41">
                        <c:v>634</c:v>
                      </c:pt>
                      <c:pt idx="42">
                        <c:v>642</c:v>
                      </c:pt>
                      <c:pt idx="43">
                        <c:v>650</c:v>
                      </c:pt>
                      <c:pt idx="44">
                        <c:v>658</c:v>
                      </c:pt>
                      <c:pt idx="45">
                        <c:v>666</c:v>
                      </c:pt>
                      <c:pt idx="46">
                        <c:v>674</c:v>
                      </c:pt>
                      <c:pt idx="47">
                        <c:v>682</c:v>
                      </c:pt>
                      <c:pt idx="48">
                        <c:v>690</c:v>
                      </c:pt>
                      <c:pt idx="49">
                        <c:v>698</c:v>
                      </c:pt>
                      <c:pt idx="50">
                        <c:v>706</c:v>
                      </c:pt>
                      <c:pt idx="51">
                        <c:v>714</c:v>
                      </c:pt>
                      <c:pt idx="52">
                        <c:v>722</c:v>
                      </c:pt>
                      <c:pt idx="53">
                        <c:v>730</c:v>
                      </c:pt>
                      <c:pt idx="54">
                        <c:v>738</c:v>
                      </c:pt>
                      <c:pt idx="55">
                        <c:v>746</c:v>
                      </c:pt>
                      <c:pt idx="56">
                        <c:v>754</c:v>
                      </c:pt>
                      <c:pt idx="57">
                        <c:v>762</c:v>
                      </c:pt>
                      <c:pt idx="58">
                        <c:v>770</c:v>
                      </c:pt>
                      <c:pt idx="59">
                        <c:v>778</c:v>
                      </c:pt>
                      <c:pt idx="60">
                        <c:v>786</c:v>
                      </c:pt>
                      <c:pt idx="61">
                        <c:v>794</c:v>
                      </c:pt>
                      <c:pt idx="62">
                        <c:v>802</c:v>
                      </c:pt>
                      <c:pt idx="63">
                        <c:v>810</c:v>
                      </c:pt>
                      <c:pt idx="64">
                        <c:v>818</c:v>
                      </c:pt>
                      <c:pt idx="65">
                        <c:v>826</c:v>
                      </c:pt>
                      <c:pt idx="66">
                        <c:v>834</c:v>
                      </c:pt>
                      <c:pt idx="67">
                        <c:v>842</c:v>
                      </c:pt>
                      <c:pt idx="68">
                        <c:v>850</c:v>
                      </c:pt>
                      <c:pt idx="69">
                        <c:v>858</c:v>
                      </c:pt>
                      <c:pt idx="70">
                        <c:v>866</c:v>
                      </c:pt>
                      <c:pt idx="71">
                        <c:v>874</c:v>
                      </c:pt>
                      <c:pt idx="72">
                        <c:v>882</c:v>
                      </c:pt>
                      <c:pt idx="73">
                        <c:v>890</c:v>
                      </c:pt>
                      <c:pt idx="74">
                        <c:v>898</c:v>
                      </c:pt>
                      <c:pt idx="75">
                        <c:v>906</c:v>
                      </c:pt>
                      <c:pt idx="76">
                        <c:v>914</c:v>
                      </c:pt>
                      <c:pt idx="77">
                        <c:v>922</c:v>
                      </c:pt>
                      <c:pt idx="78">
                        <c:v>930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EVALUATION!$B$136:$CP$136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-18.877657657657657</c:v>
                      </c:pt>
                      <c:pt idx="1">
                        <c:v>-18.875255255255254</c:v>
                      </c:pt>
                      <c:pt idx="2">
                        <c:v>-18.872852852852855</c:v>
                      </c:pt>
                      <c:pt idx="3">
                        <c:v>-18.870450450450452</c:v>
                      </c:pt>
                      <c:pt idx="4" formatCode="General">
                        <c:v>-18.875838323353292</c:v>
                      </c:pt>
                      <c:pt idx="5" formatCode="General">
                        <c:v>-18.883023952095808</c:v>
                      </c:pt>
                      <c:pt idx="6" formatCode="General">
                        <c:v>-18.890209580838324</c:v>
                      </c:pt>
                      <c:pt idx="7" formatCode="General">
                        <c:v>-18.897395209580836</c:v>
                      </c:pt>
                      <c:pt idx="8" formatCode="General">
                        <c:v>-18.906107784431136</c:v>
                      </c:pt>
                      <c:pt idx="9" formatCode="General">
                        <c:v>-18.915688622754491</c:v>
                      </c:pt>
                      <c:pt idx="10" formatCode="General">
                        <c:v>-18.925269461077846</c:v>
                      </c:pt>
                      <c:pt idx="11" formatCode="General">
                        <c:v>-18.934850299401198</c:v>
                      </c:pt>
                      <c:pt idx="12" formatCode="General">
                        <c:v>-18.945538922155688</c:v>
                      </c:pt>
                      <c:pt idx="13" formatCode="General">
                        <c:v>-18.957514970059879</c:v>
                      </c:pt>
                      <c:pt idx="14" formatCode="General">
                        <c:v>-18.969491017964071</c:v>
                      </c:pt>
                      <c:pt idx="15" formatCode="General">
                        <c:v>-18.981467065868262</c:v>
                      </c:pt>
                      <c:pt idx="16" formatCode="General">
                        <c:v>-18.993443113772454</c:v>
                      </c:pt>
                      <c:pt idx="17" formatCode="General">
                        <c:v>-19.005419161676645</c:v>
                      </c:pt>
                      <c:pt idx="18" formatCode="General">
                        <c:v>-19.017395209580837</c:v>
                      </c:pt>
                      <c:pt idx="19" formatCode="General">
                        <c:v>-19.029371257485028</c:v>
                      </c:pt>
                      <c:pt idx="20" formatCode="General">
                        <c:v>-19.040808383233532</c:v>
                      </c:pt>
                      <c:pt idx="21" formatCode="General">
                        <c:v>-19.047994011976048</c:v>
                      </c:pt>
                      <c:pt idx="22" formatCode="General">
                        <c:v>-19.055179640718563</c:v>
                      </c:pt>
                      <c:pt idx="23" formatCode="General">
                        <c:v>-19.062365269461079</c:v>
                      </c:pt>
                      <c:pt idx="24" formatCode="General">
                        <c:v>-19.069550898203595</c:v>
                      </c:pt>
                      <c:pt idx="25" formatCode="General">
                        <c:v>-19.045225225225227</c:v>
                      </c:pt>
                      <c:pt idx="26" formatCode="General">
                        <c:v>-19.018798798798798</c:v>
                      </c:pt>
                      <c:pt idx="27" formatCode="General">
                        <c:v>-18.992372372372373</c:v>
                      </c:pt>
                      <c:pt idx="28" formatCode="General">
                        <c:v>-18.965945945945947</c:v>
                      </c:pt>
                      <c:pt idx="29" formatCode="General">
                        <c:v>-18.972994011976049</c:v>
                      </c:pt>
                      <c:pt idx="30" formatCode="General">
                        <c:v>-18.989760479041916</c:v>
                      </c:pt>
                      <c:pt idx="31" formatCode="General">
                        <c:v>-19.006526946107787</c:v>
                      </c:pt>
                      <c:pt idx="32" formatCode="General">
                        <c:v>-19.023293413173654</c:v>
                      </c:pt>
                      <c:pt idx="33" formatCode="General">
                        <c:v>-19.040059880239522</c:v>
                      </c:pt>
                      <c:pt idx="34" formatCode="General">
                        <c:v>-19.056826347305389</c:v>
                      </c:pt>
                      <c:pt idx="35" formatCode="General">
                        <c:v>-19.07359281437126</c:v>
                      </c:pt>
                      <c:pt idx="36" formatCode="General">
                        <c:v>-19.090359281437127</c:v>
                      </c:pt>
                      <c:pt idx="37" formatCode="General">
                        <c:v>-19.107125748502995</c:v>
                      </c:pt>
                      <c:pt idx="38" formatCode="General">
                        <c:v>-19.123892215568866</c:v>
                      </c:pt>
                      <c:pt idx="39" formatCode="General">
                        <c:v>-19.140658682634733</c:v>
                      </c:pt>
                      <c:pt idx="40" formatCode="General">
                        <c:v>-19.1574251497006</c:v>
                      </c:pt>
                      <c:pt idx="41" formatCode="General">
                        <c:v>-19.174191616766468</c:v>
                      </c:pt>
                      <c:pt idx="42" formatCode="General">
                        <c:v>-19.190958083832335</c:v>
                      </c:pt>
                      <c:pt idx="43" formatCode="General">
                        <c:v>-19.207724550898202</c:v>
                      </c:pt>
                      <c:pt idx="44" formatCode="General">
                        <c:v>-19.22449101796407</c:v>
                      </c:pt>
                      <c:pt idx="45" formatCode="General">
                        <c:v>-19.241257485029937</c:v>
                      </c:pt>
                      <c:pt idx="46" formatCode="General">
                        <c:v>-19.258023952095808</c:v>
                      </c:pt>
                      <c:pt idx="47" formatCode="General">
                        <c:v>-19.274790419161675</c:v>
                      </c:pt>
                      <c:pt idx="48" formatCode="General">
                        <c:v>-19.291556886227543</c:v>
                      </c:pt>
                      <c:pt idx="49" formatCode="General">
                        <c:v>-19.30832335329341</c:v>
                      </c:pt>
                      <c:pt idx="50" formatCode="General">
                        <c:v>-19.324022471910112</c:v>
                      </c:pt>
                      <c:pt idx="51" formatCode="General">
                        <c:v>-19.33960299625468</c:v>
                      </c:pt>
                      <c:pt idx="52" formatCode="General">
                        <c:v>-19.355183520599251</c:v>
                      </c:pt>
                      <c:pt idx="53" formatCode="General">
                        <c:v>-19.370764044943819</c:v>
                      </c:pt>
                      <c:pt idx="54" formatCode="General">
                        <c:v>-19.38634456928839</c:v>
                      </c:pt>
                      <c:pt idx="55" formatCode="General">
                        <c:v>-19.401925093632958</c:v>
                      </c:pt>
                      <c:pt idx="56" formatCode="General">
                        <c:v>-19.417505617977529</c:v>
                      </c:pt>
                      <c:pt idx="57" formatCode="General">
                        <c:v>-19.433086142322097</c:v>
                      </c:pt>
                      <c:pt idx="58" formatCode="General">
                        <c:v>-19.448666666666668</c:v>
                      </c:pt>
                      <c:pt idx="59" formatCode="General">
                        <c:v>-19.464247191011236</c:v>
                      </c:pt>
                      <c:pt idx="60" formatCode="General">
                        <c:v>-19.479827715355807</c:v>
                      </c:pt>
                      <c:pt idx="61" formatCode="General">
                        <c:v>-19.495408239700375</c:v>
                      </c:pt>
                      <c:pt idx="62" formatCode="General">
                        <c:v>-19.510988764044942</c:v>
                      </c:pt>
                      <c:pt idx="63" formatCode="General">
                        <c:v>-19.526569288389513</c:v>
                      </c:pt>
                      <c:pt idx="64" formatCode="General">
                        <c:v>-19.542149812734081</c:v>
                      </c:pt>
                      <c:pt idx="65" formatCode="General">
                        <c:v>-19.557730337078652</c:v>
                      </c:pt>
                      <c:pt idx="66" formatCode="General">
                        <c:v>-19.573183520599251</c:v>
                      </c:pt>
                      <c:pt idx="67" formatCode="General">
                        <c:v>-19.58816479400749</c:v>
                      </c:pt>
                      <c:pt idx="68" formatCode="General">
                        <c:v>-19.603146067415732</c:v>
                      </c:pt>
                      <c:pt idx="69" formatCode="General">
                        <c:v>-19.618127340823971</c:v>
                      </c:pt>
                      <c:pt idx="70" formatCode="General">
                        <c:v>-19.63310861423221</c:v>
                      </c:pt>
                      <c:pt idx="71" formatCode="General">
                        <c:v>-19.648089887640449</c:v>
                      </c:pt>
                      <c:pt idx="72" formatCode="General">
                        <c:v>-19.663071161048691</c:v>
                      </c:pt>
                      <c:pt idx="73" formatCode="General">
                        <c:v>-19.67805243445693</c:v>
                      </c:pt>
                      <c:pt idx="74" formatCode="General">
                        <c:v>-19.693033707865169</c:v>
                      </c:pt>
                      <c:pt idx="75" formatCode="General">
                        <c:v>-19.708014981273408</c:v>
                      </c:pt>
                      <c:pt idx="76" formatCode="General">
                        <c:v>-19.722996254681647</c:v>
                      </c:pt>
                      <c:pt idx="77" formatCode="General">
                        <c:v>-19.737977528089889</c:v>
                      </c:pt>
                      <c:pt idx="78" formatCode="General">
                        <c:v>-19.752958801498128</c:v>
                      </c:pt>
                      <c:pt idx="79" formatCode="General">
                        <c:v>-19.767940074906367</c:v>
                      </c:pt>
                      <c:pt idx="80" formatCode="General">
                        <c:v>-19.782921348314606</c:v>
                      </c:pt>
                      <c:pt idx="81" formatCode="General">
                        <c:v>-19.797902621722848</c:v>
                      </c:pt>
                      <c:pt idx="82" formatCode="General">
                        <c:v>-19.812883895131087</c:v>
                      </c:pt>
                      <c:pt idx="83" formatCode="General">
                        <c:v>-19.827252252252254</c:v>
                      </c:pt>
                      <c:pt idx="84" formatCode="General">
                        <c:v>-19.841066066066066</c:v>
                      </c:pt>
                      <c:pt idx="85" formatCode="General">
                        <c:v>-19.854879879879881</c:v>
                      </c:pt>
                      <c:pt idx="86" formatCode="General">
                        <c:v>-19.868693693693693</c:v>
                      </c:pt>
                      <c:pt idx="87" formatCode="General">
                        <c:v>-102.44289108910891</c:v>
                      </c:pt>
                      <c:pt idx="88" formatCode="General">
                        <c:v>-102.77952475247524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6-60C8-4A98-A947-234019680B74}"/>
                  </c:ext>
                </c:extLst>
              </c15:ser>
            </c15:filteredScatterSeries>
            <c15:filteredScatterSeries>
              <c15:ser>
                <c:idx val="34"/>
                <c:order val="36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306</c:v>
                      </c:pt>
                      <c:pt idx="1">
                        <c:v>314</c:v>
                      </c:pt>
                      <c:pt idx="2">
                        <c:v>322</c:v>
                      </c:pt>
                      <c:pt idx="3">
                        <c:v>330</c:v>
                      </c:pt>
                      <c:pt idx="4">
                        <c:v>338</c:v>
                      </c:pt>
                      <c:pt idx="5">
                        <c:v>346</c:v>
                      </c:pt>
                      <c:pt idx="6">
                        <c:v>354</c:v>
                      </c:pt>
                      <c:pt idx="7">
                        <c:v>362</c:v>
                      </c:pt>
                      <c:pt idx="8">
                        <c:v>370</c:v>
                      </c:pt>
                      <c:pt idx="9">
                        <c:v>378</c:v>
                      </c:pt>
                      <c:pt idx="10">
                        <c:v>386</c:v>
                      </c:pt>
                      <c:pt idx="11">
                        <c:v>394</c:v>
                      </c:pt>
                      <c:pt idx="12">
                        <c:v>402</c:v>
                      </c:pt>
                      <c:pt idx="13">
                        <c:v>410</c:v>
                      </c:pt>
                      <c:pt idx="14">
                        <c:v>418</c:v>
                      </c:pt>
                      <c:pt idx="15">
                        <c:v>426</c:v>
                      </c:pt>
                      <c:pt idx="16">
                        <c:v>434</c:v>
                      </c:pt>
                      <c:pt idx="17">
                        <c:v>442</c:v>
                      </c:pt>
                      <c:pt idx="18">
                        <c:v>450</c:v>
                      </c:pt>
                      <c:pt idx="19">
                        <c:v>458</c:v>
                      </c:pt>
                      <c:pt idx="20">
                        <c:v>466</c:v>
                      </c:pt>
                      <c:pt idx="21">
                        <c:v>474</c:v>
                      </c:pt>
                      <c:pt idx="22">
                        <c:v>482</c:v>
                      </c:pt>
                      <c:pt idx="23">
                        <c:v>490</c:v>
                      </c:pt>
                      <c:pt idx="24">
                        <c:v>498</c:v>
                      </c:pt>
                      <c:pt idx="25">
                        <c:v>506</c:v>
                      </c:pt>
                      <c:pt idx="26">
                        <c:v>514</c:v>
                      </c:pt>
                      <c:pt idx="27">
                        <c:v>522</c:v>
                      </c:pt>
                      <c:pt idx="28">
                        <c:v>530</c:v>
                      </c:pt>
                      <c:pt idx="29">
                        <c:v>538</c:v>
                      </c:pt>
                      <c:pt idx="30">
                        <c:v>546</c:v>
                      </c:pt>
                      <c:pt idx="31">
                        <c:v>554</c:v>
                      </c:pt>
                      <c:pt idx="32">
                        <c:v>562</c:v>
                      </c:pt>
                      <c:pt idx="33">
                        <c:v>570</c:v>
                      </c:pt>
                      <c:pt idx="34">
                        <c:v>578</c:v>
                      </c:pt>
                      <c:pt idx="35">
                        <c:v>586</c:v>
                      </c:pt>
                      <c:pt idx="36">
                        <c:v>594</c:v>
                      </c:pt>
                      <c:pt idx="37">
                        <c:v>602</c:v>
                      </c:pt>
                      <c:pt idx="38">
                        <c:v>610</c:v>
                      </c:pt>
                      <c:pt idx="39">
                        <c:v>618</c:v>
                      </c:pt>
                      <c:pt idx="40">
                        <c:v>626</c:v>
                      </c:pt>
                      <c:pt idx="41">
                        <c:v>634</c:v>
                      </c:pt>
                      <c:pt idx="42">
                        <c:v>642</c:v>
                      </c:pt>
                      <c:pt idx="43">
                        <c:v>650</c:v>
                      </c:pt>
                      <c:pt idx="44">
                        <c:v>658</c:v>
                      </c:pt>
                      <c:pt idx="45">
                        <c:v>666</c:v>
                      </c:pt>
                      <c:pt idx="46">
                        <c:v>674</c:v>
                      </c:pt>
                      <c:pt idx="47">
                        <c:v>682</c:v>
                      </c:pt>
                      <c:pt idx="48">
                        <c:v>690</c:v>
                      </c:pt>
                      <c:pt idx="49">
                        <c:v>698</c:v>
                      </c:pt>
                      <c:pt idx="50">
                        <c:v>706</c:v>
                      </c:pt>
                      <c:pt idx="51">
                        <c:v>714</c:v>
                      </c:pt>
                      <c:pt idx="52">
                        <c:v>722</c:v>
                      </c:pt>
                      <c:pt idx="53">
                        <c:v>730</c:v>
                      </c:pt>
                      <c:pt idx="54">
                        <c:v>738</c:v>
                      </c:pt>
                      <c:pt idx="55">
                        <c:v>746</c:v>
                      </c:pt>
                      <c:pt idx="56">
                        <c:v>754</c:v>
                      </c:pt>
                      <c:pt idx="57">
                        <c:v>762</c:v>
                      </c:pt>
                      <c:pt idx="58">
                        <c:v>770</c:v>
                      </c:pt>
                      <c:pt idx="59">
                        <c:v>778</c:v>
                      </c:pt>
                      <c:pt idx="60">
                        <c:v>786</c:v>
                      </c:pt>
                      <c:pt idx="61">
                        <c:v>794</c:v>
                      </c:pt>
                      <c:pt idx="62">
                        <c:v>802</c:v>
                      </c:pt>
                      <c:pt idx="63">
                        <c:v>810</c:v>
                      </c:pt>
                      <c:pt idx="64">
                        <c:v>818</c:v>
                      </c:pt>
                      <c:pt idx="65">
                        <c:v>826</c:v>
                      </c:pt>
                      <c:pt idx="66">
                        <c:v>834</c:v>
                      </c:pt>
                      <c:pt idx="67">
                        <c:v>842</c:v>
                      </c:pt>
                      <c:pt idx="68">
                        <c:v>850</c:v>
                      </c:pt>
                      <c:pt idx="69">
                        <c:v>858</c:v>
                      </c:pt>
                      <c:pt idx="70">
                        <c:v>866</c:v>
                      </c:pt>
                      <c:pt idx="71">
                        <c:v>874</c:v>
                      </c:pt>
                      <c:pt idx="72">
                        <c:v>882</c:v>
                      </c:pt>
                      <c:pt idx="73">
                        <c:v>890</c:v>
                      </c:pt>
                      <c:pt idx="74">
                        <c:v>898</c:v>
                      </c:pt>
                      <c:pt idx="75">
                        <c:v>906</c:v>
                      </c:pt>
                      <c:pt idx="76">
                        <c:v>914</c:v>
                      </c:pt>
                      <c:pt idx="77">
                        <c:v>922</c:v>
                      </c:pt>
                      <c:pt idx="78">
                        <c:v>930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EVALUATION!$B$137:$CP$137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-59.399279279279277</c:v>
                      </c:pt>
                      <c:pt idx="1">
                        <c:v>-58.495975975975981</c:v>
                      </c:pt>
                      <c:pt idx="2">
                        <c:v>-57.592672672672677</c:v>
                      </c:pt>
                      <c:pt idx="3">
                        <c:v>-56.689369369369373</c:v>
                      </c:pt>
                      <c:pt idx="4" formatCode="General">
                        <c:v>-56.091856287425152</c:v>
                      </c:pt>
                      <c:pt idx="5" formatCode="General">
                        <c:v>-55.564910179640719</c:v>
                      </c:pt>
                      <c:pt idx="6" formatCode="General">
                        <c:v>-55.037964071856287</c:v>
                      </c:pt>
                      <c:pt idx="7" formatCode="General">
                        <c:v>-54.511017964071854</c:v>
                      </c:pt>
                      <c:pt idx="8" formatCode="General">
                        <c:v>-54.110197604790422</c:v>
                      </c:pt>
                      <c:pt idx="9" formatCode="General">
                        <c:v>-53.781095808383235</c:v>
                      </c:pt>
                      <c:pt idx="10" formatCode="General">
                        <c:v>-53.451994011976048</c:v>
                      </c:pt>
                      <c:pt idx="11" formatCode="General">
                        <c:v>-53.122892215568861</c:v>
                      </c:pt>
                      <c:pt idx="12" formatCode="General">
                        <c:v>-52.840317365269463</c:v>
                      </c:pt>
                      <c:pt idx="13" formatCode="General">
                        <c:v>-52.611814371257488</c:v>
                      </c:pt>
                      <c:pt idx="14" formatCode="General">
                        <c:v>-52.383311377245512</c:v>
                      </c:pt>
                      <c:pt idx="15" formatCode="General">
                        <c:v>-52.154808383233537</c:v>
                      </c:pt>
                      <c:pt idx="16" formatCode="General">
                        <c:v>-51.959014970059883</c:v>
                      </c:pt>
                      <c:pt idx="17" formatCode="General">
                        <c:v>-51.84428443113773</c:v>
                      </c:pt>
                      <c:pt idx="18" formatCode="General">
                        <c:v>-51.72955389221557</c:v>
                      </c:pt>
                      <c:pt idx="19" formatCode="General">
                        <c:v>-51.61482335329341</c:v>
                      </c:pt>
                      <c:pt idx="20" formatCode="General">
                        <c:v>-51.519547904191612</c:v>
                      </c:pt>
                      <c:pt idx="21" formatCode="General">
                        <c:v>-51.577751497005984</c:v>
                      </c:pt>
                      <c:pt idx="22" formatCode="General">
                        <c:v>-51.635955089820357</c:v>
                      </c:pt>
                      <c:pt idx="23" formatCode="General">
                        <c:v>-51.694158682634729</c:v>
                      </c:pt>
                      <c:pt idx="24" formatCode="General">
                        <c:v>-51.752362275449102</c:v>
                      </c:pt>
                      <c:pt idx="25" formatCode="General">
                        <c:v>-52.016585585585588</c:v>
                      </c:pt>
                      <c:pt idx="26" formatCode="General">
                        <c:v>-52.29454354354354</c:v>
                      </c:pt>
                      <c:pt idx="27" formatCode="General">
                        <c:v>-52.572501501501499</c:v>
                      </c:pt>
                      <c:pt idx="28" formatCode="General">
                        <c:v>-52.850459459459458</c:v>
                      </c:pt>
                      <c:pt idx="29" formatCode="General">
                        <c:v>-53.09677245508982</c:v>
                      </c:pt>
                      <c:pt idx="30" formatCode="General">
                        <c:v>-53.333898203592817</c:v>
                      </c:pt>
                      <c:pt idx="31" formatCode="General">
                        <c:v>-53.571023952095814</c:v>
                      </c:pt>
                      <c:pt idx="32" formatCode="General">
                        <c:v>-53.808149700598804</c:v>
                      </c:pt>
                      <c:pt idx="33" formatCode="General">
                        <c:v>-54.055479041916172</c:v>
                      </c:pt>
                      <c:pt idx="34" formatCode="General">
                        <c:v>-54.309610778443115</c:v>
                      </c:pt>
                      <c:pt idx="35" formatCode="General">
                        <c:v>-54.563742514970059</c:v>
                      </c:pt>
                      <c:pt idx="36" formatCode="General">
                        <c:v>-54.817874251497003</c:v>
                      </c:pt>
                      <c:pt idx="37" formatCode="General">
                        <c:v>-55.069562874251496</c:v>
                      </c:pt>
                      <c:pt idx="38" formatCode="General">
                        <c:v>-55.317946107784429</c:v>
                      </c:pt>
                      <c:pt idx="39" formatCode="General">
                        <c:v>-55.56632934131737</c:v>
                      </c:pt>
                      <c:pt idx="40" formatCode="General">
                        <c:v>-55.814712574850304</c:v>
                      </c:pt>
                      <c:pt idx="41" formatCode="General">
                        <c:v>-56.063335329341321</c:v>
                      </c:pt>
                      <c:pt idx="42" formatCode="General">
                        <c:v>-56.312676646706592</c:v>
                      </c:pt>
                      <c:pt idx="43" formatCode="General">
                        <c:v>-56.562017964071856</c:v>
                      </c:pt>
                      <c:pt idx="44" formatCode="General">
                        <c:v>-56.81135928143712</c:v>
                      </c:pt>
                      <c:pt idx="45" formatCode="General">
                        <c:v>-57.060700598802391</c:v>
                      </c:pt>
                      <c:pt idx="46" formatCode="General">
                        <c:v>-57.310041916167663</c:v>
                      </c:pt>
                      <c:pt idx="47" formatCode="General">
                        <c:v>-57.559383233532934</c:v>
                      </c:pt>
                      <c:pt idx="48" formatCode="General">
                        <c:v>-57.808724550898205</c:v>
                      </c:pt>
                      <c:pt idx="49" formatCode="General">
                        <c:v>-58.058065868263469</c:v>
                      </c:pt>
                      <c:pt idx="50" formatCode="General">
                        <c:v>-58.295494382022468</c:v>
                      </c:pt>
                      <c:pt idx="51" formatCode="General">
                        <c:v>-58.531599250936331</c:v>
                      </c:pt>
                      <c:pt idx="52" formatCode="General">
                        <c:v>-58.767704119850187</c:v>
                      </c:pt>
                      <c:pt idx="53" formatCode="General">
                        <c:v>-59.003808988764042</c:v>
                      </c:pt>
                      <c:pt idx="54" formatCode="General">
                        <c:v>-59.239913857677905</c:v>
                      </c:pt>
                      <c:pt idx="55" formatCode="General">
                        <c:v>-59.476018726591761</c:v>
                      </c:pt>
                      <c:pt idx="56" formatCode="General">
                        <c:v>-59.712123595505616</c:v>
                      </c:pt>
                      <c:pt idx="57" formatCode="General">
                        <c:v>-59.948228464419479</c:v>
                      </c:pt>
                      <c:pt idx="58" formatCode="General">
                        <c:v>-60.184333333333335</c:v>
                      </c:pt>
                      <c:pt idx="59" formatCode="General">
                        <c:v>-60.42043820224719</c:v>
                      </c:pt>
                      <c:pt idx="60" formatCode="General">
                        <c:v>-60.656543071161053</c:v>
                      </c:pt>
                      <c:pt idx="61" formatCode="General">
                        <c:v>-60.892647940074909</c:v>
                      </c:pt>
                      <c:pt idx="62" formatCode="General">
                        <c:v>-61.128752808988764</c:v>
                      </c:pt>
                      <c:pt idx="63" formatCode="General">
                        <c:v>-61.364857677902627</c:v>
                      </c:pt>
                      <c:pt idx="64" formatCode="General">
                        <c:v>-61.600962546816483</c:v>
                      </c:pt>
                      <c:pt idx="65" formatCode="General">
                        <c:v>-61.837067415730338</c:v>
                      </c:pt>
                      <c:pt idx="66" formatCode="General">
                        <c:v>-62.070650936329592</c:v>
                      </c:pt>
                      <c:pt idx="67" formatCode="General">
                        <c:v>-62.294890636704125</c:v>
                      </c:pt>
                      <c:pt idx="68" formatCode="General">
                        <c:v>-62.519130337078657</c:v>
                      </c:pt>
                      <c:pt idx="69" formatCode="General">
                        <c:v>-62.74337003745319</c:v>
                      </c:pt>
                      <c:pt idx="70" formatCode="General">
                        <c:v>-62.967609737827722</c:v>
                      </c:pt>
                      <c:pt idx="71" formatCode="General">
                        <c:v>-63.191849438202254</c:v>
                      </c:pt>
                      <c:pt idx="72" formatCode="General">
                        <c:v>-63.41608913857678</c:v>
                      </c:pt>
                      <c:pt idx="73" formatCode="General">
                        <c:v>-63.640328838951312</c:v>
                      </c:pt>
                      <c:pt idx="74" formatCode="General">
                        <c:v>-63.864568539325845</c:v>
                      </c:pt>
                      <c:pt idx="75" formatCode="General">
                        <c:v>-64.088808239700384</c:v>
                      </c:pt>
                      <c:pt idx="76" formatCode="General">
                        <c:v>-64.31304794007491</c:v>
                      </c:pt>
                      <c:pt idx="77" formatCode="General">
                        <c:v>-64.537287640449435</c:v>
                      </c:pt>
                      <c:pt idx="78" formatCode="General">
                        <c:v>-64.761527340823974</c:v>
                      </c:pt>
                      <c:pt idx="79" formatCode="General">
                        <c:v>-64.9857670411985</c:v>
                      </c:pt>
                      <c:pt idx="80" formatCode="General">
                        <c:v>-65.210006741573039</c:v>
                      </c:pt>
                      <c:pt idx="81" formatCode="General">
                        <c:v>-65.434246441947565</c:v>
                      </c:pt>
                      <c:pt idx="82" formatCode="General">
                        <c:v>-65.658486142322104</c:v>
                      </c:pt>
                      <c:pt idx="83" formatCode="General">
                        <c:v>-65.876716216216224</c:v>
                      </c:pt>
                      <c:pt idx="84" formatCode="General">
                        <c:v>-66.089509009009006</c:v>
                      </c:pt>
                      <c:pt idx="85" formatCode="General">
                        <c:v>-66.302301801801804</c:v>
                      </c:pt>
                      <c:pt idx="86" formatCode="General">
                        <c:v>-66.515094594594601</c:v>
                      </c:pt>
                      <c:pt idx="87" formatCode="General">
                        <c:v>-44.975564356435648</c:v>
                      </c:pt>
                      <c:pt idx="88" formatCode="General">
                        <c:v>-45.122099009900992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7-60C8-4A98-A947-234019680B74}"/>
                  </c:ext>
                </c:extLst>
              </c15:ser>
            </c15:filteredScatterSeries>
            <c15:filteredScatterSeries>
              <c15:ser>
                <c:idx val="36"/>
                <c:order val="38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306</c:v>
                      </c:pt>
                      <c:pt idx="1">
                        <c:v>314</c:v>
                      </c:pt>
                      <c:pt idx="2">
                        <c:v>322</c:v>
                      </c:pt>
                      <c:pt idx="3">
                        <c:v>330</c:v>
                      </c:pt>
                      <c:pt idx="4">
                        <c:v>338</c:v>
                      </c:pt>
                      <c:pt idx="5">
                        <c:v>346</c:v>
                      </c:pt>
                      <c:pt idx="6">
                        <c:v>354</c:v>
                      </c:pt>
                      <c:pt idx="7">
                        <c:v>362</c:v>
                      </c:pt>
                      <c:pt idx="8">
                        <c:v>370</c:v>
                      </c:pt>
                      <c:pt idx="9">
                        <c:v>378</c:v>
                      </c:pt>
                      <c:pt idx="10">
                        <c:v>386</c:v>
                      </c:pt>
                      <c:pt idx="11">
                        <c:v>394</c:v>
                      </c:pt>
                      <c:pt idx="12">
                        <c:v>402</c:v>
                      </c:pt>
                      <c:pt idx="13">
                        <c:v>410</c:v>
                      </c:pt>
                      <c:pt idx="14">
                        <c:v>418</c:v>
                      </c:pt>
                      <c:pt idx="15">
                        <c:v>426</c:v>
                      </c:pt>
                      <c:pt idx="16">
                        <c:v>434</c:v>
                      </c:pt>
                      <c:pt idx="17">
                        <c:v>442</c:v>
                      </c:pt>
                      <c:pt idx="18">
                        <c:v>450</c:v>
                      </c:pt>
                      <c:pt idx="19">
                        <c:v>458</c:v>
                      </c:pt>
                      <c:pt idx="20">
                        <c:v>466</c:v>
                      </c:pt>
                      <c:pt idx="21">
                        <c:v>474</c:v>
                      </c:pt>
                      <c:pt idx="22">
                        <c:v>482</c:v>
                      </c:pt>
                      <c:pt idx="23">
                        <c:v>490</c:v>
                      </c:pt>
                      <c:pt idx="24">
                        <c:v>498</c:v>
                      </c:pt>
                      <c:pt idx="25">
                        <c:v>506</c:v>
                      </c:pt>
                      <c:pt idx="26">
                        <c:v>514</c:v>
                      </c:pt>
                      <c:pt idx="27">
                        <c:v>522</c:v>
                      </c:pt>
                      <c:pt idx="28">
                        <c:v>530</c:v>
                      </c:pt>
                      <c:pt idx="29">
                        <c:v>538</c:v>
                      </c:pt>
                      <c:pt idx="30">
                        <c:v>546</c:v>
                      </c:pt>
                      <c:pt idx="31">
                        <c:v>554</c:v>
                      </c:pt>
                      <c:pt idx="32">
                        <c:v>562</c:v>
                      </c:pt>
                      <c:pt idx="33">
                        <c:v>570</c:v>
                      </c:pt>
                      <c:pt idx="34">
                        <c:v>578</c:v>
                      </c:pt>
                      <c:pt idx="35">
                        <c:v>586</c:v>
                      </c:pt>
                      <c:pt idx="36">
                        <c:v>594</c:v>
                      </c:pt>
                      <c:pt idx="37">
                        <c:v>602</c:v>
                      </c:pt>
                      <c:pt idx="38">
                        <c:v>610</c:v>
                      </c:pt>
                      <c:pt idx="39">
                        <c:v>618</c:v>
                      </c:pt>
                      <c:pt idx="40">
                        <c:v>626</c:v>
                      </c:pt>
                      <c:pt idx="41">
                        <c:v>634</c:v>
                      </c:pt>
                      <c:pt idx="42">
                        <c:v>642</c:v>
                      </c:pt>
                      <c:pt idx="43">
                        <c:v>650</c:v>
                      </c:pt>
                      <c:pt idx="44">
                        <c:v>658</c:v>
                      </c:pt>
                      <c:pt idx="45">
                        <c:v>666</c:v>
                      </c:pt>
                      <c:pt idx="46">
                        <c:v>674</c:v>
                      </c:pt>
                      <c:pt idx="47">
                        <c:v>682</c:v>
                      </c:pt>
                      <c:pt idx="48">
                        <c:v>690</c:v>
                      </c:pt>
                      <c:pt idx="49">
                        <c:v>698</c:v>
                      </c:pt>
                      <c:pt idx="50">
                        <c:v>706</c:v>
                      </c:pt>
                      <c:pt idx="51">
                        <c:v>714</c:v>
                      </c:pt>
                      <c:pt idx="52">
                        <c:v>722</c:v>
                      </c:pt>
                      <c:pt idx="53">
                        <c:v>730</c:v>
                      </c:pt>
                      <c:pt idx="54">
                        <c:v>738</c:v>
                      </c:pt>
                      <c:pt idx="55">
                        <c:v>746</c:v>
                      </c:pt>
                      <c:pt idx="56">
                        <c:v>754</c:v>
                      </c:pt>
                      <c:pt idx="57">
                        <c:v>762</c:v>
                      </c:pt>
                      <c:pt idx="58">
                        <c:v>770</c:v>
                      </c:pt>
                      <c:pt idx="59">
                        <c:v>778</c:v>
                      </c:pt>
                      <c:pt idx="60">
                        <c:v>786</c:v>
                      </c:pt>
                      <c:pt idx="61">
                        <c:v>794</c:v>
                      </c:pt>
                      <c:pt idx="62">
                        <c:v>802</c:v>
                      </c:pt>
                      <c:pt idx="63">
                        <c:v>810</c:v>
                      </c:pt>
                      <c:pt idx="64">
                        <c:v>818</c:v>
                      </c:pt>
                      <c:pt idx="65">
                        <c:v>826</c:v>
                      </c:pt>
                      <c:pt idx="66">
                        <c:v>834</c:v>
                      </c:pt>
                      <c:pt idx="67">
                        <c:v>842</c:v>
                      </c:pt>
                      <c:pt idx="68">
                        <c:v>850</c:v>
                      </c:pt>
                      <c:pt idx="69">
                        <c:v>858</c:v>
                      </c:pt>
                      <c:pt idx="70">
                        <c:v>866</c:v>
                      </c:pt>
                      <c:pt idx="71">
                        <c:v>874</c:v>
                      </c:pt>
                      <c:pt idx="72">
                        <c:v>882</c:v>
                      </c:pt>
                      <c:pt idx="73">
                        <c:v>890</c:v>
                      </c:pt>
                      <c:pt idx="74">
                        <c:v>898</c:v>
                      </c:pt>
                      <c:pt idx="75">
                        <c:v>906</c:v>
                      </c:pt>
                      <c:pt idx="76">
                        <c:v>914</c:v>
                      </c:pt>
                      <c:pt idx="77">
                        <c:v>922</c:v>
                      </c:pt>
                      <c:pt idx="78">
                        <c:v>930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EVALUATION!$B$139:$CP$139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-184.14450450450451</c:v>
                      </c:pt>
                      <c:pt idx="1">
                        <c:v>-180.19015015015015</c:v>
                      </c:pt>
                      <c:pt idx="2">
                        <c:v>-176.23579579579581</c:v>
                      </c:pt>
                      <c:pt idx="3">
                        <c:v>-172.28144144144147</c:v>
                      </c:pt>
                      <c:pt idx="4" formatCode="General">
                        <c:v>-168.94194610778445</c:v>
                      </c:pt>
                      <c:pt idx="5" formatCode="General">
                        <c:v>-165.74434131736527</c:v>
                      </c:pt>
                      <c:pt idx="6" formatCode="General">
                        <c:v>-162.54673652694612</c:v>
                      </c:pt>
                      <c:pt idx="7" formatCode="General">
                        <c:v>-159.34913173652694</c:v>
                      </c:pt>
                      <c:pt idx="8" formatCode="General">
                        <c:v>-156.51188622754489</c:v>
                      </c:pt>
                      <c:pt idx="9" formatCode="General">
                        <c:v>-153.87955089820358</c:v>
                      </c:pt>
                      <c:pt idx="10" formatCode="General">
                        <c:v>-151.24721556886226</c:v>
                      </c:pt>
                      <c:pt idx="11" formatCode="General">
                        <c:v>-148.61488023952094</c:v>
                      </c:pt>
                      <c:pt idx="12" formatCode="General">
                        <c:v>-146.17973053892214</c:v>
                      </c:pt>
                      <c:pt idx="13" formatCode="General">
                        <c:v>-143.97374251497007</c:v>
                      </c:pt>
                      <c:pt idx="14" formatCode="General">
                        <c:v>-141.76775449101797</c:v>
                      </c:pt>
                      <c:pt idx="15" formatCode="General">
                        <c:v>-139.56176646706587</c:v>
                      </c:pt>
                      <c:pt idx="16" formatCode="General">
                        <c:v>-137.45494011976049</c:v>
                      </c:pt>
                      <c:pt idx="17" formatCode="General">
                        <c:v>-135.59386227544911</c:v>
                      </c:pt>
                      <c:pt idx="18" formatCode="General">
                        <c:v>-133.73278443113773</c:v>
                      </c:pt>
                      <c:pt idx="19" formatCode="General">
                        <c:v>-131.87170658682635</c:v>
                      </c:pt>
                      <c:pt idx="20" formatCode="General">
                        <c:v>-130.04404191616766</c:v>
                      </c:pt>
                      <c:pt idx="21" formatCode="General">
                        <c:v>-128.47997005988023</c:v>
                      </c:pt>
                      <c:pt idx="22" formatCode="General">
                        <c:v>-126.91589820359282</c:v>
                      </c:pt>
                      <c:pt idx="23" formatCode="General">
                        <c:v>-125.35182634730539</c:v>
                      </c:pt>
                      <c:pt idx="24" formatCode="General">
                        <c:v>-123.78775449101796</c:v>
                      </c:pt>
                      <c:pt idx="25" formatCode="General">
                        <c:v>-123.46702702702703</c:v>
                      </c:pt>
                      <c:pt idx="26" formatCode="General">
                        <c:v>-123.22918918918919</c:v>
                      </c:pt>
                      <c:pt idx="27" formatCode="General">
                        <c:v>-122.99135135135135</c:v>
                      </c:pt>
                      <c:pt idx="28" formatCode="General">
                        <c:v>-122.75351351351351</c:v>
                      </c:pt>
                      <c:pt idx="29" formatCode="General">
                        <c:v>-123.46293413173653</c:v>
                      </c:pt>
                      <c:pt idx="30" formatCode="General">
                        <c:v>-124.44736526946109</c:v>
                      </c:pt>
                      <c:pt idx="31" formatCode="General">
                        <c:v>-125.43179640718563</c:v>
                      </c:pt>
                      <c:pt idx="32" formatCode="General">
                        <c:v>-126.41622754491017</c:v>
                      </c:pt>
                      <c:pt idx="33" formatCode="General">
                        <c:v>-127.39922155688622</c:v>
                      </c:pt>
                      <c:pt idx="34" formatCode="General">
                        <c:v>-128.38125748502995</c:v>
                      </c:pt>
                      <c:pt idx="35" formatCode="General">
                        <c:v>-129.36329341317364</c:v>
                      </c:pt>
                      <c:pt idx="36" formatCode="General">
                        <c:v>-130.34532934131735</c:v>
                      </c:pt>
                      <c:pt idx="37" formatCode="General">
                        <c:v>-131.31718562874252</c:v>
                      </c:pt>
                      <c:pt idx="38" formatCode="General">
                        <c:v>-132.27526946107784</c:v>
                      </c:pt>
                      <c:pt idx="39" formatCode="General">
                        <c:v>-133.23335329341316</c:v>
                      </c:pt>
                      <c:pt idx="40" formatCode="General">
                        <c:v>-134.19143712574851</c:v>
                      </c:pt>
                      <c:pt idx="41" formatCode="General">
                        <c:v>-135.14592814371258</c:v>
                      </c:pt>
                      <c:pt idx="42" formatCode="General">
                        <c:v>-136.08964071856286</c:v>
                      </c:pt>
                      <c:pt idx="43" formatCode="General">
                        <c:v>-137.03335329341317</c:v>
                      </c:pt>
                      <c:pt idx="44" formatCode="General">
                        <c:v>-137.97706586826348</c:v>
                      </c:pt>
                      <c:pt idx="45" formatCode="General">
                        <c:v>-138.91970059880239</c:v>
                      </c:pt>
                      <c:pt idx="46" formatCode="General">
                        <c:v>-139.84904191616766</c:v>
                      </c:pt>
                      <c:pt idx="47" formatCode="General">
                        <c:v>-140.77838323353294</c:v>
                      </c:pt>
                      <c:pt idx="48" formatCode="General">
                        <c:v>-141.70772455089821</c:v>
                      </c:pt>
                      <c:pt idx="49" formatCode="General">
                        <c:v>-142.63706586826348</c:v>
                      </c:pt>
                      <c:pt idx="50" formatCode="General">
                        <c:v>-143.50932584269663</c:v>
                      </c:pt>
                      <c:pt idx="51" formatCode="General">
                        <c:v>-144.37524344569289</c:v>
                      </c:pt>
                      <c:pt idx="52" formatCode="General">
                        <c:v>-145.24116104868915</c:v>
                      </c:pt>
                      <c:pt idx="53" formatCode="General">
                        <c:v>-146.10707865168538</c:v>
                      </c:pt>
                      <c:pt idx="54" formatCode="General">
                        <c:v>-146.97299625468165</c:v>
                      </c:pt>
                      <c:pt idx="55" formatCode="General">
                        <c:v>-147.83891385767791</c:v>
                      </c:pt>
                      <c:pt idx="56" formatCode="General">
                        <c:v>-148.70483146067417</c:v>
                      </c:pt>
                      <c:pt idx="57" formatCode="General">
                        <c:v>-149.57074906367041</c:v>
                      </c:pt>
                      <c:pt idx="58" formatCode="General">
                        <c:v>-150.43666666666667</c:v>
                      </c:pt>
                      <c:pt idx="59" formatCode="General">
                        <c:v>-151.30258426966293</c:v>
                      </c:pt>
                      <c:pt idx="60" formatCode="General">
                        <c:v>-152.16850187265919</c:v>
                      </c:pt>
                      <c:pt idx="61" formatCode="General">
                        <c:v>-153.03441947565543</c:v>
                      </c:pt>
                      <c:pt idx="62" formatCode="General">
                        <c:v>-153.90033707865169</c:v>
                      </c:pt>
                      <c:pt idx="63" formatCode="General">
                        <c:v>-154.76625468164795</c:v>
                      </c:pt>
                      <c:pt idx="64" formatCode="General">
                        <c:v>-155.63217228464421</c:v>
                      </c:pt>
                      <c:pt idx="65" formatCode="General">
                        <c:v>-156.49808988764045</c:v>
                      </c:pt>
                      <c:pt idx="66" formatCode="General">
                        <c:v>-157.34146816479401</c:v>
                      </c:pt>
                      <c:pt idx="67" formatCode="General">
                        <c:v>-158.10131835205993</c:v>
                      </c:pt>
                      <c:pt idx="68" formatCode="General">
                        <c:v>-158.86116853932586</c:v>
                      </c:pt>
                      <c:pt idx="69" formatCode="General">
                        <c:v>-159.62101872659179</c:v>
                      </c:pt>
                      <c:pt idx="70" formatCode="General">
                        <c:v>-160.38086891385768</c:v>
                      </c:pt>
                      <c:pt idx="71" formatCode="General">
                        <c:v>-161.14071910112361</c:v>
                      </c:pt>
                      <c:pt idx="72" formatCode="General">
                        <c:v>-161.90056928838953</c:v>
                      </c:pt>
                      <c:pt idx="73" formatCode="General">
                        <c:v>-162.66041947565543</c:v>
                      </c:pt>
                      <c:pt idx="74" formatCode="General">
                        <c:v>-163.42026966292136</c:v>
                      </c:pt>
                      <c:pt idx="75" formatCode="General">
                        <c:v>-164.18011985018728</c:v>
                      </c:pt>
                      <c:pt idx="76" formatCode="General">
                        <c:v>-164.93997003745321</c:v>
                      </c:pt>
                      <c:pt idx="77" formatCode="General">
                        <c:v>-165.6998202247191</c:v>
                      </c:pt>
                      <c:pt idx="78" formatCode="General">
                        <c:v>-166.45967041198503</c:v>
                      </c:pt>
                      <c:pt idx="79" formatCode="General">
                        <c:v>-167.21952059925096</c:v>
                      </c:pt>
                      <c:pt idx="80" formatCode="General">
                        <c:v>-167.97937078651688</c:v>
                      </c:pt>
                      <c:pt idx="81" formatCode="General">
                        <c:v>-168.73922097378278</c:v>
                      </c:pt>
                      <c:pt idx="82" formatCode="General">
                        <c:v>-169.4990711610487</c:v>
                      </c:pt>
                      <c:pt idx="83" formatCode="General">
                        <c:v>-170.1970720720721</c:v>
                      </c:pt>
                      <c:pt idx="84" formatCode="General">
                        <c:v>-170.83911411411412</c:v>
                      </c:pt>
                      <c:pt idx="85" formatCode="General">
                        <c:v>-171.48115615615617</c:v>
                      </c:pt>
                      <c:pt idx="86" formatCode="General">
                        <c:v>-172.12319819819822</c:v>
                      </c:pt>
                      <c:pt idx="87" formatCode="General">
                        <c:v>-19.85920792079208</c:v>
                      </c:pt>
                      <c:pt idx="88" formatCode="General">
                        <c:v>-19.871089108910891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8-60C8-4A98-A947-234019680B74}"/>
                  </c:ext>
                </c:extLst>
              </c15:ser>
            </c15:filteredScatterSeries>
            <c15:filteredScatterSeries>
              <c15:ser>
                <c:idx val="37"/>
                <c:order val="39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306</c:v>
                      </c:pt>
                      <c:pt idx="1">
                        <c:v>314</c:v>
                      </c:pt>
                      <c:pt idx="2">
                        <c:v>322</c:v>
                      </c:pt>
                      <c:pt idx="3">
                        <c:v>330</c:v>
                      </c:pt>
                      <c:pt idx="4">
                        <c:v>338</c:v>
                      </c:pt>
                      <c:pt idx="5">
                        <c:v>346</c:v>
                      </c:pt>
                      <c:pt idx="6">
                        <c:v>354</c:v>
                      </c:pt>
                      <c:pt idx="7">
                        <c:v>362</c:v>
                      </c:pt>
                      <c:pt idx="8">
                        <c:v>370</c:v>
                      </c:pt>
                      <c:pt idx="9">
                        <c:v>378</c:v>
                      </c:pt>
                      <c:pt idx="10">
                        <c:v>386</c:v>
                      </c:pt>
                      <c:pt idx="11">
                        <c:v>394</c:v>
                      </c:pt>
                      <c:pt idx="12">
                        <c:v>402</c:v>
                      </c:pt>
                      <c:pt idx="13">
                        <c:v>410</c:v>
                      </c:pt>
                      <c:pt idx="14">
                        <c:v>418</c:v>
                      </c:pt>
                      <c:pt idx="15">
                        <c:v>426</c:v>
                      </c:pt>
                      <c:pt idx="16">
                        <c:v>434</c:v>
                      </c:pt>
                      <c:pt idx="17">
                        <c:v>442</c:v>
                      </c:pt>
                      <c:pt idx="18">
                        <c:v>450</c:v>
                      </c:pt>
                      <c:pt idx="19">
                        <c:v>458</c:v>
                      </c:pt>
                      <c:pt idx="20">
                        <c:v>466</c:v>
                      </c:pt>
                      <c:pt idx="21">
                        <c:v>474</c:v>
                      </c:pt>
                      <c:pt idx="22">
                        <c:v>482</c:v>
                      </c:pt>
                      <c:pt idx="23">
                        <c:v>490</c:v>
                      </c:pt>
                      <c:pt idx="24">
                        <c:v>498</c:v>
                      </c:pt>
                      <c:pt idx="25">
                        <c:v>506</c:v>
                      </c:pt>
                      <c:pt idx="26">
                        <c:v>514</c:v>
                      </c:pt>
                      <c:pt idx="27">
                        <c:v>522</c:v>
                      </c:pt>
                      <c:pt idx="28">
                        <c:v>530</c:v>
                      </c:pt>
                      <c:pt idx="29">
                        <c:v>538</c:v>
                      </c:pt>
                      <c:pt idx="30">
                        <c:v>546</c:v>
                      </c:pt>
                      <c:pt idx="31">
                        <c:v>554</c:v>
                      </c:pt>
                      <c:pt idx="32">
                        <c:v>562</c:v>
                      </c:pt>
                      <c:pt idx="33">
                        <c:v>570</c:v>
                      </c:pt>
                      <c:pt idx="34">
                        <c:v>578</c:v>
                      </c:pt>
                      <c:pt idx="35">
                        <c:v>586</c:v>
                      </c:pt>
                      <c:pt idx="36">
                        <c:v>594</c:v>
                      </c:pt>
                      <c:pt idx="37">
                        <c:v>602</c:v>
                      </c:pt>
                      <c:pt idx="38">
                        <c:v>610</c:v>
                      </c:pt>
                      <c:pt idx="39">
                        <c:v>618</c:v>
                      </c:pt>
                      <c:pt idx="40">
                        <c:v>626</c:v>
                      </c:pt>
                      <c:pt idx="41">
                        <c:v>634</c:v>
                      </c:pt>
                      <c:pt idx="42">
                        <c:v>642</c:v>
                      </c:pt>
                      <c:pt idx="43">
                        <c:v>650</c:v>
                      </c:pt>
                      <c:pt idx="44">
                        <c:v>658</c:v>
                      </c:pt>
                      <c:pt idx="45">
                        <c:v>666</c:v>
                      </c:pt>
                      <c:pt idx="46">
                        <c:v>674</c:v>
                      </c:pt>
                      <c:pt idx="47">
                        <c:v>682</c:v>
                      </c:pt>
                      <c:pt idx="48">
                        <c:v>690</c:v>
                      </c:pt>
                      <c:pt idx="49">
                        <c:v>698</c:v>
                      </c:pt>
                      <c:pt idx="50">
                        <c:v>706</c:v>
                      </c:pt>
                      <c:pt idx="51">
                        <c:v>714</c:v>
                      </c:pt>
                      <c:pt idx="52">
                        <c:v>722</c:v>
                      </c:pt>
                      <c:pt idx="53">
                        <c:v>730</c:v>
                      </c:pt>
                      <c:pt idx="54">
                        <c:v>738</c:v>
                      </c:pt>
                      <c:pt idx="55">
                        <c:v>746</c:v>
                      </c:pt>
                      <c:pt idx="56">
                        <c:v>754</c:v>
                      </c:pt>
                      <c:pt idx="57">
                        <c:v>762</c:v>
                      </c:pt>
                      <c:pt idx="58">
                        <c:v>770</c:v>
                      </c:pt>
                      <c:pt idx="59">
                        <c:v>778</c:v>
                      </c:pt>
                      <c:pt idx="60">
                        <c:v>786</c:v>
                      </c:pt>
                      <c:pt idx="61">
                        <c:v>794</c:v>
                      </c:pt>
                      <c:pt idx="62">
                        <c:v>802</c:v>
                      </c:pt>
                      <c:pt idx="63">
                        <c:v>810</c:v>
                      </c:pt>
                      <c:pt idx="64">
                        <c:v>818</c:v>
                      </c:pt>
                      <c:pt idx="65">
                        <c:v>826</c:v>
                      </c:pt>
                      <c:pt idx="66">
                        <c:v>834</c:v>
                      </c:pt>
                      <c:pt idx="67">
                        <c:v>842</c:v>
                      </c:pt>
                      <c:pt idx="68">
                        <c:v>850</c:v>
                      </c:pt>
                      <c:pt idx="69">
                        <c:v>858</c:v>
                      </c:pt>
                      <c:pt idx="70">
                        <c:v>866</c:v>
                      </c:pt>
                      <c:pt idx="71">
                        <c:v>874</c:v>
                      </c:pt>
                      <c:pt idx="72">
                        <c:v>882</c:v>
                      </c:pt>
                      <c:pt idx="73">
                        <c:v>890</c:v>
                      </c:pt>
                      <c:pt idx="74">
                        <c:v>898</c:v>
                      </c:pt>
                      <c:pt idx="75">
                        <c:v>906</c:v>
                      </c:pt>
                      <c:pt idx="76">
                        <c:v>914</c:v>
                      </c:pt>
                      <c:pt idx="77">
                        <c:v>922</c:v>
                      </c:pt>
                      <c:pt idx="78">
                        <c:v>930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EVALUATION!$B$140:$CP$140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-15.512792792792792</c:v>
                      </c:pt>
                      <c:pt idx="1">
                        <c:v>-15.013093093093092</c:v>
                      </c:pt>
                      <c:pt idx="2">
                        <c:v>-14.513393393393393</c:v>
                      </c:pt>
                      <c:pt idx="3">
                        <c:v>-14.013693693693693</c:v>
                      </c:pt>
                      <c:pt idx="4" formatCode="General">
                        <c:v>-13.456826347305389</c:v>
                      </c:pt>
                      <c:pt idx="5" formatCode="General">
                        <c:v>-12.886766467065867</c:v>
                      </c:pt>
                      <c:pt idx="6" formatCode="General">
                        <c:v>-12.316706586826346</c:v>
                      </c:pt>
                      <c:pt idx="7" formatCode="General">
                        <c:v>-11.746646706586823</c:v>
                      </c:pt>
                      <c:pt idx="8" formatCode="General">
                        <c:v>-11.204988023952094</c:v>
                      </c:pt>
                      <c:pt idx="9" formatCode="General">
                        <c:v>-10.679479041916167</c:v>
                      </c:pt>
                      <c:pt idx="10" formatCode="General">
                        <c:v>-10.153970059880239</c:v>
                      </c:pt>
                      <c:pt idx="11" formatCode="General">
                        <c:v>-9.628461077844312</c:v>
                      </c:pt>
                      <c:pt idx="12" formatCode="General">
                        <c:v>-9.1539101796407198</c:v>
                      </c:pt>
                      <c:pt idx="13" formatCode="General">
                        <c:v>-8.7385808383233528</c:v>
                      </c:pt>
                      <c:pt idx="14" formatCode="General">
                        <c:v>-8.3232514970059874</c:v>
                      </c:pt>
                      <c:pt idx="15" formatCode="General">
                        <c:v>-7.9079221556886221</c:v>
                      </c:pt>
                      <c:pt idx="16" formatCode="General">
                        <c:v>-7.5390748502994009</c:v>
                      </c:pt>
                      <c:pt idx="17" formatCode="General">
                        <c:v>-7.2854221556886225</c:v>
                      </c:pt>
                      <c:pt idx="18" formatCode="General">
                        <c:v>-7.031769461077845</c:v>
                      </c:pt>
                      <c:pt idx="19" formatCode="General">
                        <c:v>-6.7781167664670665</c:v>
                      </c:pt>
                      <c:pt idx="20" formatCode="General">
                        <c:v>-6.5428413173652693</c:v>
                      </c:pt>
                      <c:pt idx="21" formatCode="General">
                        <c:v>-6.4525419161676645</c:v>
                      </c:pt>
                      <c:pt idx="22" formatCode="General">
                        <c:v>-6.3622425149700597</c:v>
                      </c:pt>
                      <c:pt idx="23" formatCode="General">
                        <c:v>-6.2719431137724548</c:v>
                      </c:pt>
                      <c:pt idx="24" formatCode="General">
                        <c:v>-6.18164371257485</c:v>
                      </c:pt>
                      <c:pt idx="25" formatCode="General">
                        <c:v>-6.3239729729729737</c:v>
                      </c:pt>
                      <c:pt idx="26" formatCode="General">
                        <c:v>-6.4818108108108117</c:v>
                      </c:pt>
                      <c:pt idx="27" formatCode="General">
                        <c:v>-6.6396486486486497</c:v>
                      </c:pt>
                      <c:pt idx="28" formatCode="General">
                        <c:v>-6.7974864864864877</c:v>
                      </c:pt>
                      <c:pt idx="29" formatCode="General">
                        <c:v>-6.8348562874251497</c:v>
                      </c:pt>
                      <c:pt idx="30" formatCode="General">
                        <c:v>-6.8372514970059886</c:v>
                      </c:pt>
                      <c:pt idx="31" formatCode="General">
                        <c:v>-6.8396467065868265</c:v>
                      </c:pt>
                      <c:pt idx="32" formatCode="General">
                        <c:v>-6.8420419161676644</c:v>
                      </c:pt>
                      <c:pt idx="33" formatCode="General">
                        <c:v>-6.8517664670658682</c:v>
                      </c:pt>
                      <c:pt idx="34" formatCode="General">
                        <c:v>-6.866377245508982</c:v>
                      </c:pt>
                      <c:pt idx="35" formatCode="General">
                        <c:v>-6.8809880239520957</c:v>
                      </c:pt>
                      <c:pt idx="36" formatCode="General">
                        <c:v>-6.8955988023952095</c:v>
                      </c:pt>
                      <c:pt idx="37" formatCode="General">
                        <c:v>-6.911838323353293</c:v>
                      </c:pt>
                      <c:pt idx="38" formatCode="General">
                        <c:v>-6.930281437125748</c:v>
                      </c:pt>
                      <c:pt idx="39" formatCode="General">
                        <c:v>-6.9487245508982038</c:v>
                      </c:pt>
                      <c:pt idx="40" formatCode="General">
                        <c:v>-6.9671676646706588</c:v>
                      </c:pt>
                      <c:pt idx="41" formatCode="General">
                        <c:v>-6.9858502994011973</c:v>
                      </c:pt>
                      <c:pt idx="42" formatCode="General">
                        <c:v>-7.0052514970059878</c:v>
                      </c:pt>
                      <c:pt idx="43" formatCode="General">
                        <c:v>-7.0246526946107783</c:v>
                      </c:pt>
                      <c:pt idx="44" formatCode="General">
                        <c:v>-7.0440538922155689</c:v>
                      </c:pt>
                      <c:pt idx="45" formatCode="General">
                        <c:v>-7.0634550898203594</c:v>
                      </c:pt>
                      <c:pt idx="46" formatCode="General">
                        <c:v>-7.0828562874251499</c:v>
                      </c:pt>
                      <c:pt idx="47" formatCode="General">
                        <c:v>-7.1022574850299405</c:v>
                      </c:pt>
                      <c:pt idx="48" formatCode="General">
                        <c:v>-7.1216586826347301</c:v>
                      </c:pt>
                      <c:pt idx="49" formatCode="General">
                        <c:v>-7.1410598802395207</c:v>
                      </c:pt>
                      <c:pt idx="50" formatCode="General">
                        <c:v>-7.1602584269662923</c:v>
                      </c:pt>
                      <c:pt idx="51" formatCode="General">
                        <c:v>-7.1794344569288393</c:v>
                      </c:pt>
                      <c:pt idx="52" formatCode="General">
                        <c:v>-7.1986104868913854</c:v>
                      </c:pt>
                      <c:pt idx="53" formatCode="General">
                        <c:v>-7.2177865168539324</c:v>
                      </c:pt>
                      <c:pt idx="54" formatCode="General">
                        <c:v>-7.2369625468164793</c:v>
                      </c:pt>
                      <c:pt idx="55" formatCode="General">
                        <c:v>-7.2561385767790263</c:v>
                      </c:pt>
                      <c:pt idx="56" formatCode="General">
                        <c:v>-7.2753146067415733</c:v>
                      </c:pt>
                      <c:pt idx="57" formatCode="General">
                        <c:v>-7.2944906367041202</c:v>
                      </c:pt>
                      <c:pt idx="58" formatCode="General">
                        <c:v>-7.3136666666666663</c:v>
                      </c:pt>
                      <c:pt idx="59" formatCode="General">
                        <c:v>-7.3328426966292133</c:v>
                      </c:pt>
                      <c:pt idx="60" formatCode="General">
                        <c:v>-7.3520187265917603</c:v>
                      </c:pt>
                      <c:pt idx="61" formatCode="General">
                        <c:v>-7.3711947565543072</c:v>
                      </c:pt>
                      <c:pt idx="62" formatCode="General">
                        <c:v>-7.3903707865168542</c:v>
                      </c:pt>
                      <c:pt idx="63" formatCode="General">
                        <c:v>-7.4095468164794012</c:v>
                      </c:pt>
                      <c:pt idx="64" formatCode="General">
                        <c:v>-7.4287228464419481</c:v>
                      </c:pt>
                      <c:pt idx="65" formatCode="General">
                        <c:v>-7.4478988764044942</c:v>
                      </c:pt>
                      <c:pt idx="66" formatCode="General">
                        <c:v>-7.4668456928838953</c:v>
                      </c:pt>
                      <c:pt idx="67" formatCode="General">
                        <c:v>-7.484943071161049</c:v>
                      </c:pt>
                      <c:pt idx="68" formatCode="General">
                        <c:v>-7.5030404494382026</c:v>
                      </c:pt>
                      <c:pt idx="69" formatCode="General">
                        <c:v>-7.5211378277153562</c:v>
                      </c:pt>
                      <c:pt idx="70" formatCode="General">
                        <c:v>-7.5392352059925098</c:v>
                      </c:pt>
                      <c:pt idx="71" formatCode="General">
                        <c:v>-7.5573325842696626</c:v>
                      </c:pt>
                      <c:pt idx="72" formatCode="General">
                        <c:v>-7.5754299625468162</c:v>
                      </c:pt>
                      <c:pt idx="73" formatCode="General">
                        <c:v>-7.5935273408239699</c:v>
                      </c:pt>
                      <c:pt idx="74" formatCode="General">
                        <c:v>-7.6116247191011235</c:v>
                      </c:pt>
                      <c:pt idx="75" formatCode="General">
                        <c:v>-7.6297220973782771</c:v>
                      </c:pt>
                      <c:pt idx="76" formatCode="General">
                        <c:v>-7.6478194756554307</c:v>
                      </c:pt>
                      <c:pt idx="77" formatCode="General">
                        <c:v>-7.6659168539325844</c:v>
                      </c:pt>
                      <c:pt idx="78" formatCode="General">
                        <c:v>-7.684014232209738</c:v>
                      </c:pt>
                      <c:pt idx="79" formatCode="General">
                        <c:v>-7.7021116104868916</c:v>
                      </c:pt>
                      <c:pt idx="80" formatCode="General">
                        <c:v>-7.7202089887640444</c:v>
                      </c:pt>
                      <c:pt idx="81" formatCode="General">
                        <c:v>-7.738306367041198</c:v>
                      </c:pt>
                      <c:pt idx="82" formatCode="General">
                        <c:v>-7.7564037453183516</c:v>
                      </c:pt>
                      <c:pt idx="83" formatCode="General">
                        <c:v>-7.7739234234234234</c:v>
                      </c:pt>
                      <c:pt idx="84" formatCode="General">
                        <c:v>-7.7909204204204201</c:v>
                      </c:pt>
                      <c:pt idx="85" formatCode="General">
                        <c:v>-7.8079174174174168</c:v>
                      </c:pt>
                      <c:pt idx="86" formatCode="General">
                        <c:v>-7.8249144144144145</c:v>
                      </c:pt>
                      <c:pt idx="87" formatCode="General">
                        <c:v>-64.814138613861388</c:v>
                      </c:pt>
                      <c:pt idx="88" formatCode="General">
                        <c:v>-65.022059405940595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9-60C8-4A98-A947-234019680B74}"/>
                  </c:ext>
                </c:extLst>
              </c15:ser>
            </c15:filteredScatterSeries>
            <c15:filteredScatterSeries>
              <c15:ser>
                <c:idx val="38"/>
                <c:order val="40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306</c:v>
                      </c:pt>
                      <c:pt idx="1">
                        <c:v>314</c:v>
                      </c:pt>
                      <c:pt idx="2">
                        <c:v>322</c:v>
                      </c:pt>
                      <c:pt idx="3">
                        <c:v>330</c:v>
                      </c:pt>
                      <c:pt idx="4">
                        <c:v>338</c:v>
                      </c:pt>
                      <c:pt idx="5">
                        <c:v>346</c:v>
                      </c:pt>
                      <c:pt idx="6">
                        <c:v>354</c:v>
                      </c:pt>
                      <c:pt idx="7">
                        <c:v>362</c:v>
                      </c:pt>
                      <c:pt idx="8">
                        <c:v>370</c:v>
                      </c:pt>
                      <c:pt idx="9">
                        <c:v>378</c:v>
                      </c:pt>
                      <c:pt idx="10">
                        <c:v>386</c:v>
                      </c:pt>
                      <c:pt idx="11">
                        <c:v>394</c:v>
                      </c:pt>
                      <c:pt idx="12">
                        <c:v>402</c:v>
                      </c:pt>
                      <c:pt idx="13">
                        <c:v>410</c:v>
                      </c:pt>
                      <c:pt idx="14">
                        <c:v>418</c:v>
                      </c:pt>
                      <c:pt idx="15">
                        <c:v>426</c:v>
                      </c:pt>
                      <c:pt idx="16">
                        <c:v>434</c:v>
                      </c:pt>
                      <c:pt idx="17">
                        <c:v>442</c:v>
                      </c:pt>
                      <c:pt idx="18">
                        <c:v>450</c:v>
                      </c:pt>
                      <c:pt idx="19">
                        <c:v>458</c:v>
                      </c:pt>
                      <c:pt idx="20">
                        <c:v>466</c:v>
                      </c:pt>
                      <c:pt idx="21">
                        <c:v>474</c:v>
                      </c:pt>
                      <c:pt idx="22">
                        <c:v>482</c:v>
                      </c:pt>
                      <c:pt idx="23">
                        <c:v>490</c:v>
                      </c:pt>
                      <c:pt idx="24">
                        <c:v>498</c:v>
                      </c:pt>
                      <c:pt idx="25">
                        <c:v>506</c:v>
                      </c:pt>
                      <c:pt idx="26">
                        <c:v>514</c:v>
                      </c:pt>
                      <c:pt idx="27">
                        <c:v>522</c:v>
                      </c:pt>
                      <c:pt idx="28">
                        <c:v>530</c:v>
                      </c:pt>
                      <c:pt idx="29">
                        <c:v>538</c:v>
                      </c:pt>
                      <c:pt idx="30">
                        <c:v>546</c:v>
                      </c:pt>
                      <c:pt idx="31">
                        <c:v>554</c:v>
                      </c:pt>
                      <c:pt idx="32">
                        <c:v>562</c:v>
                      </c:pt>
                      <c:pt idx="33">
                        <c:v>570</c:v>
                      </c:pt>
                      <c:pt idx="34">
                        <c:v>578</c:v>
                      </c:pt>
                      <c:pt idx="35">
                        <c:v>586</c:v>
                      </c:pt>
                      <c:pt idx="36">
                        <c:v>594</c:v>
                      </c:pt>
                      <c:pt idx="37">
                        <c:v>602</c:v>
                      </c:pt>
                      <c:pt idx="38">
                        <c:v>610</c:v>
                      </c:pt>
                      <c:pt idx="39">
                        <c:v>618</c:v>
                      </c:pt>
                      <c:pt idx="40">
                        <c:v>626</c:v>
                      </c:pt>
                      <c:pt idx="41">
                        <c:v>634</c:v>
                      </c:pt>
                      <c:pt idx="42">
                        <c:v>642</c:v>
                      </c:pt>
                      <c:pt idx="43">
                        <c:v>650</c:v>
                      </c:pt>
                      <c:pt idx="44">
                        <c:v>658</c:v>
                      </c:pt>
                      <c:pt idx="45">
                        <c:v>666</c:v>
                      </c:pt>
                      <c:pt idx="46">
                        <c:v>674</c:v>
                      </c:pt>
                      <c:pt idx="47">
                        <c:v>682</c:v>
                      </c:pt>
                      <c:pt idx="48">
                        <c:v>690</c:v>
                      </c:pt>
                      <c:pt idx="49">
                        <c:v>698</c:v>
                      </c:pt>
                      <c:pt idx="50">
                        <c:v>706</c:v>
                      </c:pt>
                      <c:pt idx="51">
                        <c:v>714</c:v>
                      </c:pt>
                      <c:pt idx="52">
                        <c:v>722</c:v>
                      </c:pt>
                      <c:pt idx="53">
                        <c:v>730</c:v>
                      </c:pt>
                      <c:pt idx="54">
                        <c:v>738</c:v>
                      </c:pt>
                      <c:pt idx="55">
                        <c:v>746</c:v>
                      </c:pt>
                      <c:pt idx="56">
                        <c:v>754</c:v>
                      </c:pt>
                      <c:pt idx="57">
                        <c:v>762</c:v>
                      </c:pt>
                      <c:pt idx="58">
                        <c:v>770</c:v>
                      </c:pt>
                      <c:pt idx="59">
                        <c:v>778</c:v>
                      </c:pt>
                      <c:pt idx="60">
                        <c:v>786</c:v>
                      </c:pt>
                      <c:pt idx="61">
                        <c:v>794</c:v>
                      </c:pt>
                      <c:pt idx="62">
                        <c:v>802</c:v>
                      </c:pt>
                      <c:pt idx="63">
                        <c:v>810</c:v>
                      </c:pt>
                      <c:pt idx="64">
                        <c:v>818</c:v>
                      </c:pt>
                      <c:pt idx="65">
                        <c:v>826</c:v>
                      </c:pt>
                      <c:pt idx="66">
                        <c:v>834</c:v>
                      </c:pt>
                      <c:pt idx="67">
                        <c:v>842</c:v>
                      </c:pt>
                      <c:pt idx="68">
                        <c:v>850</c:v>
                      </c:pt>
                      <c:pt idx="69">
                        <c:v>858</c:v>
                      </c:pt>
                      <c:pt idx="70">
                        <c:v>866</c:v>
                      </c:pt>
                      <c:pt idx="71">
                        <c:v>874</c:v>
                      </c:pt>
                      <c:pt idx="72">
                        <c:v>882</c:v>
                      </c:pt>
                      <c:pt idx="73">
                        <c:v>890</c:v>
                      </c:pt>
                      <c:pt idx="74">
                        <c:v>898</c:v>
                      </c:pt>
                      <c:pt idx="75">
                        <c:v>906</c:v>
                      </c:pt>
                      <c:pt idx="76">
                        <c:v>914</c:v>
                      </c:pt>
                      <c:pt idx="77">
                        <c:v>922</c:v>
                      </c:pt>
                      <c:pt idx="78">
                        <c:v>930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EVALUATION!$B$141:$CP$141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-59.157387387387388</c:v>
                      </c:pt>
                      <c:pt idx="1">
                        <c:v>-57.482912912912909</c:v>
                      </c:pt>
                      <c:pt idx="2">
                        <c:v>-55.808438438438436</c:v>
                      </c:pt>
                      <c:pt idx="3">
                        <c:v>-54.133963963963964</c:v>
                      </c:pt>
                      <c:pt idx="4" formatCode="General">
                        <c:v>-52.494700598802396</c:v>
                      </c:pt>
                      <c:pt idx="5" formatCode="General">
                        <c:v>-50.863562874251492</c:v>
                      </c:pt>
                      <c:pt idx="6" formatCode="General">
                        <c:v>-49.232425149700596</c:v>
                      </c:pt>
                      <c:pt idx="7" formatCode="General">
                        <c:v>-47.601287425149692</c:v>
                      </c:pt>
                      <c:pt idx="8" formatCode="General">
                        <c:v>-46.077035928143708</c:v>
                      </c:pt>
                      <c:pt idx="9" formatCode="General">
                        <c:v>-44.613562874251492</c:v>
                      </c:pt>
                      <c:pt idx="10" formatCode="General">
                        <c:v>-43.150089820359277</c:v>
                      </c:pt>
                      <c:pt idx="11" formatCode="General">
                        <c:v>-41.686616766467068</c:v>
                      </c:pt>
                      <c:pt idx="12" formatCode="General">
                        <c:v>-40.325059880239522</c:v>
                      </c:pt>
                      <c:pt idx="13" formatCode="General">
                        <c:v>-39.081946107784432</c:v>
                      </c:pt>
                      <c:pt idx="14" formatCode="General">
                        <c:v>-37.838832335329343</c:v>
                      </c:pt>
                      <c:pt idx="15" formatCode="General">
                        <c:v>-36.595718562874254</c:v>
                      </c:pt>
                      <c:pt idx="16" formatCode="General">
                        <c:v>-35.412514970059881</c:v>
                      </c:pt>
                      <c:pt idx="17" formatCode="General">
                        <c:v>-34.377784431137727</c:v>
                      </c:pt>
                      <c:pt idx="18" formatCode="General">
                        <c:v>-33.343053892215572</c:v>
                      </c:pt>
                      <c:pt idx="19" formatCode="General">
                        <c:v>-32.308323353293417</c:v>
                      </c:pt>
                      <c:pt idx="20" formatCode="General">
                        <c:v>-31.289491017964075</c:v>
                      </c:pt>
                      <c:pt idx="21" formatCode="General">
                        <c:v>-30.396077844311378</c:v>
                      </c:pt>
                      <c:pt idx="22" formatCode="General">
                        <c:v>-29.502664670658685</c:v>
                      </c:pt>
                      <c:pt idx="23" formatCode="General">
                        <c:v>-28.609251497005989</c:v>
                      </c:pt>
                      <c:pt idx="24" formatCode="General">
                        <c:v>-27.715838323353292</c:v>
                      </c:pt>
                      <c:pt idx="25" formatCode="General">
                        <c:v>-27.464054054054053</c:v>
                      </c:pt>
                      <c:pt idx="26" formatCode="General">
                        <c:v>-27.255045045045044</c:v>
                      </c:pt>
                      <c:pt idx="27" formatCode="General">
                        <c:v>-27.046036036036035</c:v>
                      </c:pt>
                      <c:pt idx="28" formatCode="General">
                        <c:v>-26.837027027027027</c:v>
                      </c:pt>
                      <c:pt idx="29" formatCode="General">
                        <c:v>-27.03502994011976</c:v>
                      </c:pt>
                      <c:pt idx="30" formatCode="General">
                        <c:v>-27.351197604790418</c:v>
                      </c:pt>
                      <c:pt idx="31" formatCode="General">
                        <c:v>-27.667365269461076</c:v>
                      </c:pt>
                      <c:pt idx="32" formatCode="General">
                        <c:v>-27.983532934131734</c:v>
                      </c:pt>
                      <c:pt idx="33" formatCode="General">
                        <c:v>-28.296826347305387</c:v>
                      </c:pt>
                      <c:pt idx="34" formatCode="General">
                        <c:v>-28.60820359281437</c:v>
                      </c:pt>
                      <c:pt idx="35" formatCode="General">
                        <c:v>-28.919580838323352</c:v>
                      </c:pt>
                      <c:pt idx="36" formatCode="General">
                        <c:v>-29.230958083832334</c:v>
                      </c:pt>
                      <c:pt idx="37" formatCode="General">
                        <c:v>-29.540299401197604</c:v>
                      </c:pt>
                      <c:pt idx="38" formatCode="General">
                        <c:v>-29.84688622754491</c:v>
                      </c:pt>
                      <c:pt idx="39" formatCode="General">
                        <c:v>-30.153473053892217</c:v>
                      </c:pt>
                      <c:pt idx="40" formatCode="General">
                        <c:v>-30.460059880239523</c:v>
                      </c:pt>
                      <c:pt idx="41" formatCode="General">
                        <c:v>-30.7648502994012</c:v>
                      </c:pt>
                      <c:pt idx="42" formatCode="General">
                        <c:v>-31.064251497005991</c:v>
                      </c:pt>
                      <c:pt idx="43" formatCode="General">
                        <c:v>-31.363652694610781</c:v>
                      </c:pt>
                      <c:pt idx="44" formatCode="General">
                        <c:v>-31.663053892215572</c:v>
                      </c:pt>
                      <c:pt idx="45" formatCode="General">
                        <c:v>-31.961916167664672</c:v>
                      </c:pt>
                      <c:pt idx="46" formatCode="General">
                        <c:v>-32.254131736526951</c:v>
                      </c:pt>
                      <c:pt idx="47" formatCode="General">
                        <c:v>-32.546347305389219</c:v>
                      </c:pt>
                      <c:pt idx="48" formatCode="General">
                        <c:v>-32.838562874251494</c:v>
                      </c:pt>
                      <c:pt idx="49" formatCode="General">
                        <c:v>-33.130778443113769</c:v>
                      </c:pt>
                      <c:pt idx="50" formatCode="General">
                        <c:v>-33.403235955056175</c:v>
                      </c:pt>
                      <c:pt idx="51" formatCode="General">
                        <c:v>-33.673498127340821</c:v>
                      </c:pt>
                      <c:pt idx="52" formatCode="General">
                        <c:v>-33.943760299625467</c:v>
                      </c:pt>
                      <c:pt idx="53" formatCode="General">
                        <c:v>-34.214022471910113</c:v>
                      </c:pt>
                      <c:pt idx="54" formatCode="General">
                        <c:v>-34.484284644194759</c:v>
                      </c:pt>
                      <c:pt idx="55" formatCode="General">
                        <c:v>-34.754546816479397</c:v>
                      </c:pt>
                      <c:pt idx="56" formatCode="General">
                        <c:v>-35.024808988764043</c:v>
                      </c:pt>
                      <c:pt idx="57" formatCode="General">
                        <c:v>-35.295071161048689</c:v>
                      </c:pt>
                      <c:pt idx="58" formatCode="General">
                        <c:v>-35.565333333333335</c:v>
                      </c:pt>
                      <c:pt idx="59" formatCode="General">
                        <c:v>-35.835595505617981</c:v>
                      </c:pt>
                      <c:pt idx="60" formatCode="General">
                        <c:v>-36.10585767790262</c:v>
                      </c:pt>
                      <c:pt idx="61" formatCode="General">
                        <c:v>-36.376119850187266</c:v>
                      </c:pt>
                      <c:pt idx="62" formatCode="General">
                        <c:v>-36.646382022471911</c:v>
                      </c:pt>
                      <c:pt idx="63" formatCode="General">
                        <c:v>-36.916644194756557</c:v>
                      </c:pt>
                      <c:pt idx="64" formatCode="General">
                        <c:v>-37.186906367041203</c:v>
                      </c:pt>
                      <c:pt idx="65" formatCode="General">
                        <c:v>-37.457168539325849</c:v>
                      </c:pt>
                      <c:pt idx="66" formatCode="General">
                        <c:v>-37.717880149812736</c:v>
                      </c:pt>
                      <c:pt idx="67" formatCode="General">
                        <c:v>-37.943198501872665</c:v>
                      </c:pt>
                      <c:pt idx="68" formatCode="General">
                        <c:v>-38.168516853932587</c:v>
                      </c:pt>
                      <c:pt idx="69" formatCode="General">
                        <c:v>-38.393835205992509</c:v>
                      </c:pt>
                      <c:pt idx="70" formatCode="General">
                        <c:v>-38.619153558052439</c:v>
                      </c:pt>
                      <c:pt idx="71" formatCode="General">
                        <c:v>-38.844471910112361</c:v>
                      </c:pt>
                      <c:pt idx="72" formatCode="General">
                        <c:v>-39.06979026217229</c:v>
                      </c:pt>
                      <c:pt idx="73" formatCode="General">
                        <c:v>-39.295108614232213</c:v>
                      </c:pt>
                      <c:pt idx="74" formatCode="General">
                        <c:v>-39.520426966292135</c:v>
                      </c:pt>
                      <c:pt idx="75" formatCode="General">
                        <c:v>-39.745745318352064</c:v>
                      </c:pt>
                      <c:pt idx="76" formatCode="General">
                        <c:v>-39.971063670411986</c:v>
                      </c:pt>
                      <c:pt idx="77" formatCode="General">
                        <c:v>-40.196382022471909</c:v>
                      </c:pt>
                      <c:pt idx="78" formatCode="General">
                        <c:v>-40.421700374531838</c:v>
                      </c:pt>
                      <c:pt idx="79" formatCode="General">
                        <c:v>-40.64701872659176</c:v>
                      </c:pt>
                      <c:pt idx="80" formatCode="General">
                        <c:v>-40.87233707865169</c:v>
                      </c:pt>
                      <c:pt idx="81" formatCode="General">
                        <c:v>-41.097655430711612</c:v>
                      </c:pt>
                      <c:pt idx="82" formatCode="General">
                        <c:v>-41.322973782771534</c:v>
                      </c:pt>
                      <c:pt idx="83" formatCode="General">
                        <c:v>-41.521441441441439</c:v>
                      </c:pt>
                      <c:pt idx="84" formatCode="General">
                        <c:v>-41.695615615615615</c:v>
                      </c:pt>
                      <c:pt idx="85" formatCode="General">
                        <c:v>-41.869789789789792</c:v>
                      </c:pt>
                      <c:pt idx="86" formatCode="General">
                        <c:v>-42.043963963963961</c:v>
                      </c:pt>
                      <c:pt idx="87" formatCode="General">
                        <c:v>-36.080475247524753</c:v>
                      </c:pt>
                      <c:pt idx="88" formatCode="General">
                        <c:v>-36.193346534653465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A-60C8-4A98-A947-234019680B74}"/>
                  </c:ext>
                </c:extLst>
              </c15:ser>
            </c15:filteredScatterSeries>
            <c15:filteredScatterSeries>
              <c15:ser>
                <c:idx val="40"/>
                <c:order val="41"/>
                <c:spPr>
                  <a:ln>
                    <a:solidFill>
                      <a:schemeClr val="accent4">
                        <a:lumMod val="50000"/>
                      </a:schemeClr>
                    </a:solidFill>
                    <a:prstDash val="sysDash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306</c:v>
                      </c:pt>
                      <c:pt idx="1">
                        <c:v>314</c:v>
                      </c:pt>
                      <c:pt idx="2">
                        <c:v>322</c:v>
                      </c:pt>
                      <c:pt idx="3">
                        <c:v>330</c:v>
                      </c:pt>
                      <c:pt idx="4">
                        <c:v>338</c:v>
                      </c:pt>
                      <c:pt idx="5">
                        <c:v>346</c:v>
                      </c:pt>
                      <c:pt idx="6">
                        <c:v>354</c:v>
                      </c:pt>
                      <c:pt idx="7">
                        <c:v>362</c:v>
                      </c:pt>
                      <c:pt idx="8">
                        <c:v>370</c:v>
                      </c:pt>
                      <c:pt idx="9">
                        <c:v>378</c:v>
                      </c:pt>
                      <c:pt idx="10">
                        <c:v>386</c:v>
                      </c:pt>
                      <c:pt idx="11">
                        <c:v>394</c:v>
                      </c:pt>
                      <c:pt idx="12">
                        <c:v>402</c:v>
                      </c:pt>
                      <c:pt idx="13">
                        <c:v>410</c:v>
                      </c:pt>
                      <c:pt idx="14">
                        <c:v>418</c:v>
                      </c:pt>
                      <c:pt idx="15">
                        <c:v>426</c:v>
                      </c:pt>
                      <c:pt idx="16">
                        <c:v>434</c:v>
                      </c:pt>
                      <c:pt idx="17">
                        <c:v>442</c:v>
                      </c:pt>
                      <c:pt idx="18">
                        <c:v>450</c:v>
                      </c:pt>
                      <c:pt idx="19">
                        <c:v>458</c:v>
                      </c:pt>
                      <c:pt idx="20">
                        <c:v>466</c:v>
                      </c:pt>
                      <c:pt idx="21">
                        <c:v>474</c:v>
                      </c:pt>
                      <c:pt idx="22">
                        <c:v>482</c:v>
                      </c:pt>
                      <c:pt idx="23">
                        <c:v>490</c:v>
                      </c:pt>
                      <c:pt idx="24">
                        <c:v>498</c:v>
                      </c:pt>
                      <c:pt idx="25">
                        <c:v>506</c:v>
                      </c:pt>
                      <c:pt idx="26">
                        <c:v>514</c:v>
                      </c:pt>
                      <c:pt idx="27">
                        <c:v>522</c:v>
                      </c:pt>
                      <c:pt idx="28">
                        <c:v>530</c:v>
                      </c:pt>
                      <c:pt idx="29">
                        <c:v>538</c:v>
                      </c:pt>
                      <c:pt idx="30">
                        <c:v>546</c:v>
                      </c:pt>
                      <c:pt idx="31">
                        <c:v>554</c:v>
                      </c:pt>
                      <c:pt idx="32">
                        <c:v>562</c:v>
                      </c:pt>
                      <c:pt idx="33">
                        <c:v>570</c:v>
                      </c:pt>
                      <c:pt idx="34">
                        <c:v>578</c:v>
                      </c:pt>
                      <c:pt idx="35">
                        <c:v>586</c:v>
                      </c:pt>
                      <c:pt idx="36">
                        <c:v>594</c:v>
                      </c:pt>
                      <c:pt idx="37">
                        <c:v>602</c:v>
                      </c:pt>
                      <c:pt idx="38">
                        <c:v>610</c:v>
                      </c:pt>
                      <c:pt idx="39">
                        <c:v>618</c:v>
                      </c:pt>
                      <c:pt idx="40">
                        <c:v>626</c:v>
                      </c:pt>
                      <c:pt idx="41">
                        <c:v>634</c:v>
                      </c:pt>
                      <c:pt idx="42">
                        <c:v>642</c:v>
                      </c:pt>
                      <c:pt idx="43">
                        <c:v>650</c:v>
                      </c:pt>
                      <c:pt idx="44">
                        <c:v>658</c:v>
                      </c:pt>
                      <c:pt idx="45">
                        <c:v>666</c:v>
                      </c:pt>
                      <c:pt idx="46">
                        <c:v>674</c:v>
                      </c:pt>
                      <c:pt idx="47">
                        <c:v>682</c:v>
                      </c:pt>
                      <c:pt idx="48">
                        <c:v>690</c:v>
                      </c:pt>
                      <c:pt idx="49">
                        <c:v>698</c:v>
                      </c:pt>
                      <c:pt idx="50">
                        <c:v>706</c:v>
                      </c:pt>
                      <c:pt idx="51">
                        <c:v>714</c:v>
                      </c:pt>
                      <c:pt idx="52">
                        <c:v>722</c:v>
                      </c:pt>
                      <c:pt idx="53">
                        <c:v>730</c:v>
                      </c:pt>
                      <c:pt idx="54">
                        <c:v>738</c:v>
                      </c:pt>
                      <c:pt idx="55">
                        <c:v>746</c:v>
                      </c:pt>
                      <c:pt idx="56">
                        <c:v>754</c:v>
                      </c:pt>
                      <c:pt idx="57">
                        <c:v>762</c:v>
                      </c:pt>
                      <c:pt idx="58">
                        <c:v>770</c:v>
                      </c:pt>
                      <c:pt idx="59">
                        <c:v>778</c:v>
                      </c:pt>
                      <c:pt idx="60">
                        <c:v>786</c:v>
                      </c:pt>
                      <c:pt idx="61">
                        <c:v>794</c:v>
                      </c:pt>
                      <c:pt idx="62">
                        <c:v>802</c:v>
                      </c:pt>
                      <c:pt idx="63">
                        <c:v>810</c:v>
                      </c:pt>
                      <c:pt idx="64">
                        <c:v>818</c:v>
                      </c:pt>
                      <c:pt idx="65">
                        <c:v>826</c:v>
                      </c:pt>
                      <c:pt idx="66">
                        <c:v>834</c:v>
                      </c:pt>
                      <c:pt idx="67">
                        <c:v>842</c:v>
                      </c:pt>
                      <c:pt idx="68">
                        <c:v>850</c:v>
                      </c:pt>
                      <c:pt idx="69">
                        <c:v>858</c:v>
                      </c:pt>
                      <c:pt idx="70">
                        <c:v>866</c:v>
                      </c:pt>
                      <c:pt idx="71">
                        <c:v>874</c:v>
                      </c:pt>
                      <c:pt idx="72">
                        <c:v>882</c:v>
                      </c:pt>
                      <c:pt idx="73">
                        <c:v>890</c:v>
                      </c:pt>
                      <c:pt idx="74">
                        <c:v>898</c:v>
                      </c:pt>
                      <c:pt idx="75">
                        <c:v>906</c:v>
                      </c:pt>
                      <c:pt idx="76">
                        <c:v>914</c:v>
                      </c:pt>
                      <c:pt idx="77">
                        <c:v>922</c:v>
                      </c:pt>
                      <c:pt idx="78">
                        <c:v>930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EVALUATION!$B$142:$CP$142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-21.943243243243245</c:v>
                      </c:pt>
                      <c:pt idx="1">
                        <c:v>-21.741441441441442</c:v>
                      </c:pt>
                      <c:pt idx="2">
                        <c:v>-21.539639639639642</c:v>
                      </c:pt>
                      <c:pt idx="3">
                        <c:v>-21.337837837837839</c:v>
                      </c:pt>
                      <c:pt idx="4" formatCode="General">
                        <c:v>-21.317514970059882</c:v>
                      </c:pt>
                      <c:pt idx="5" formatCode="General">
                        <c:v>-21.339071856287426</c:v>
                      </c:pt>
                      <c:pt idx="6" formatCode="General">
                        <c:v>-21.360628742514972</c:v>
                      </c:pt>
                      <c:pt idx="7" formatCode="General">
                        <c:v>-21.382185628742516</c:v>
                      </c:pt>
                      <c:pt idx="8" formatCode="General">
                        <c:v>-21.452604790419162</c:v>
                      </c:pt>
                      <c:pt idx="9" formatCode="General">
                        <c:v>-21.550808383233534</c:v>
                      </c:pt>
                      <c:pt idx="10" formatCode="General">
                        <c:v>-21.649011976047905</c:v>
                      </c:pt>
                      <c:pt idx="11" formatCode="General">
                        <c:v>-21.747215568862277</c:v>
                      </c:pt>
                      <c:pt idx="12" formatCode="General">
                        <c:v>-21.843203592814373</c:v>
                      </c:pt>
                      <c:pt idx="13" formatCode="General">
                        <c:v>-21.936616766467068</c:v>
                      </c:pt>
                      <c:pt idx="14" formatCode="General">
                        <c:v>-22.030029940119761</c:v>
                      </c:pt>
                      <c:pt idx="15" formatCode="General">
                        <c:v>-22.123443113772456</c:v>
                      </c:pt>
                      <c:pt idx="16" formatCode="General">
                        <c:v>-22.209970059880241</c:v>
                      </c:pt>
                      <c:pt idx="17" formatCode="General">
                        <c:v>-22.279431137724551</c:v>
                      </c:pt>
                      <c:pt idx="18" formatCode="General">
                        <c:v>-22.348892215568863</c:v>
                      </c:pt>
                      <c:pt idx="19" formatCode="General">
                        <c:v>-22.418353293413173</c:v>
                      </c:pt>
                      <c:pt idx="20" formatCode="General">
                        <c:v>-22.488353293413173</c:v>
                      </c:pt>
                      <c:pt idx="21" formatCode="General">
                        <c:v>-22.562604790419162</c:v>
                      </c:pt>
                      <c:pt idx="22" formatCode="General">
                        <c:v>-22.63685628742515</c:v>
                      </c:pt>
                      <c:pt idx="23" formatCode="General">
                        <c:v>-22.711107784431139</c:v>
                      </c:pt>
                      <c:pt idx="24" formatCode="General">
                        <c:v>-22.785359281437124</c:v>
                      </c:pt>
                      <c:pt idx="25" formatCode="General">
                        <c:v>-22.846306306306307</c:v>
                      </c:pt>
                      <c:pt idx="26" formatCode="General">
                        <c:v>-22.906366366366367</c:v>
                      </c:pt>
                      <c:pt idx="27" formatCode="General">
                        <c:v>-22.966426426426427</c:v>
                      </c:pt>
                      <c:pt idx="28" formatCode="General">
                        <c:v>-23.026486486486487</c:v>
                      </c:pt>
                      <c:pt idx="29" formatCode="General">
                        <c:v>-23.130958083832336</c:v>
                      </c:pt>
                      <c:pt idx="30" formatCode="General">
                        <c:v>-23.248323353293415</c:v>
                      </c:pt>
                      <c:pt idx="31" formatCode="General">
                        <c:v>-23.36568862275449</c:v>
                      </c:pt>
                      <c:pt idx="32" formatCode="General">
                        <c:v>-23.483053892215569</c:v>
                      </c:pt>
                      <c:pt idx="33" formatCode="General">
                        <c:v>-23.60185628742515</c:v>
                      </c:pt>
                      <c:pt idx="34" formatCode="General">
                        <c:v>-23.721616766467065</c:v>
                      </c:pt>
                      <c:pt idx="35" formatCode="General">
                        <c:v>-23.841377245508983</c:v>
                      </c:pt>
                      <c:pt idx="36" formatCode="General">
                        <c:v>-23.961137724550898</c:v>
                      </c:pt>
                      <c:pt idx="37" formatCode="General">
                        <c:v>-24.078862275449104</c:v>
                      </c:pt>
                      <c:pt idx="38" formatCode="General">
                        <c:v>-24.193832335329343</c:v>
                      </c:pt>
                      <c:pt idx="39" formatCode="General">
                        <c:v>-24.308802395209582</c:v>
                      </c:pt>
                      <c:pt idx="40" formatCode="General">
                        <c:v>-24.423772455089821</c:v>
                      </c:pt>
                      <c:pt idx="41" formatCode="General">
                        <c:v>-24.53874251497006</c:v>
                      </c:pt>
                      <c:pt idx="42" formatCode="General">
                        <c:v>-24.653712574850299</c:v>
                      </c:pt>
                      <c:pt idx="43" formatCode="General">
                        <c:v>-24.768682634730538</c:v>
                      </c:pt>
                      <c:pt idx="44" formatCode="General">
                        <c:v>-24.883652694610777</c:v>
                      </c:pt>
                      <c:pt idx="45" formatCode="General">
                        <c:v>-24.998622754491016</c:v>
                      </c:pt>
                      <c:pt idx="46" formatCode="General">
                        <c:v>-25.113592814371255</c:v>
                      </c:pt>
                      <c:pt idx="47" formatCode="General">
                        <c:v>-25.228562874251494</c:v>
                      </c:pt>
                      <c:pt idx="48" formatCode="General">
                        <c:v>-25.343532934131737</c:v>
                      </c:pt>
                      <c:pt idx="49" formatCode="General">
                        <c:v>-25.458502994011976</c:v>
                      </c:pt>
                      <c:pt idx="50" formatCode="General">
                        <c:v>-25.567617977528091</c:v>
                      </c:pt>
                      <c:pt idx="51" formatCode="General">
                        <c:v>-25.676082397003746</c:v>
                      </c:pt>
                      <c:pt idx="52" formatCode="General">
                        <c:v>-25.784546816479402</c:v>
                      </c:pt>
                      <c:pt idx="53" formatCode="General">
                        <c:v>-25.893011235955058</c:v>
                      </c:pt>
                      <c:pt idx="54" formatCode="General">
                        <c:v>-26.001475655430713</c:v>
                      </c:pt>
                      <c:pt idx="55" formatCode="General">
                        <c:v>-26.109940074906369</c:v>
                      </c:pt>
                      <c:pt idx="56" formatCode="General">
                        <c:v>-26.218404494382021</c:v>
                      </c:pt>
                      <c:pt idx="57" formatCode="General">
                        <c:v>-26.326868913857677</c:v>
                      </c:pt>
                      <c:pt idx="58" formatCode="General">
                        <c:v>-26.435333333333332</c:v>
                      </c:pt>
                      <c:pt idx="59" formatCode="General">
                        <c:v>-26.543797752808988</c:v>
                      </c:pt>
                      <c:pt idx="60" formatCode="General">
                        <c:v>-26.652262172284644</c:v>
                      </c:pt>
                      <c:pt idx="61" formatCode="General">
                        <c:v>-26.760726591760299</c:v>
                      </c:pt>
                      <c:pt idx="62" formatCode="General">
                        <c:v>-26.869191011235955</c:v>
                      </c:pt>
                      <c:pt idx="63" formatCode="General">
                        <c:v>-26.977655430711611</c:v>
                      </c:pt>
                      <c:pt idx="64" formatCode="General">
                        <c:v>-27.086119850187266</c:v>
                      </c:pt>
                      <c:pt idx="65" formatCode="General">
                        <c:v>-27.194584269662922</c:v>
                      </c:pt>
                      <c:pt idx="66" formatCode="General">
                        <c:v>-27.301902621722849</c:v>
                      </c:pt>
                      <c:pt idx="67" formatCode="General">
                        <c:v>-27.404973782771538</c:v>
                      </c:pt>
                      <c:pt idx="68" formatCode="General">
                        <c:v>-27.508044943820227</c:v>
                      </c:pt>
                      <c:pt idx="69" formatCode="General">
                        <c:v>-27.611116104868916</c:v>
                      </c:pt>
                      <c:pt idx="70" formatCode="General">
                        <c:v>-27.714187265917605</c:v>
                      </c:pt>
                      <c:pt idx="71" formatCode="General">
                        <c:v>-27.817258426966294</c:v>
                      </c:pt>
                      <c:pt idx="72" formatCode="General">
                        <c:v>-27.920329588014983</c:v>
                      </c:pt>
                      <c:pt idx="73" formatCode="General">
                        <c:v>-28.023400749063672</c:v>
                      </c:pt>
                      <c:pt idx="74" formatCode="General">
                        <c:v>-28.126471910112361</c:v>
                      </c:pt>
                      <c:pt idx="75" formatCode="General">
                        <c:v>-28.22954307116105</c:v>
                      </c:pt>
                      <c:pt idx="76" formatCode="General">
                        <c:v>-28.332614232209739</c:v>
                      </c:pt>
                      <c:pt idx="77" formatCode="General">
                        <c:v>-28.435685393258428</c:v>
                      </c:pt>
                      <c:pt idx="78" formatCode="General">
                        <c:v>-28.538756554307117</c:v>
                      </c:pt>
                      <c:pt idx="79" formatCode="General">
                        <c:v>-28.641827715355806</c:v>
                      </c:pt>
                      <c:pt idx="80" formatCode="General">
                        <c:v>-28.744898876404495</c:v>
                      </c:pt>
                      <c:pt idx="81" formatCode="General">
                        <c:v>-28.847970037453184</c:v>
                      </c:pt>
                      <c:pt idx="82" formatCode="General">
                        <c:v>-28.951041198501873</c:v>
                      </c:pt>
                      <c:pt idx="83" formatCode="General">
                        <c:v>-29.051396396396395</c:v>
                      </c:pt>
                      <c:pt idx="84" formatCode="General">
                        <c:v>-29.149294294294293</c:v>
                      </c:pt>
                      <c:pt idx="85" formatCode="General">
                        <c:v>-29.247192192192191</c:v>
                      </c:pt>
                      <c:pt idx="86" formatCode="General">
                        <c:v>-29.345090090090089</c:v>
                      </c:pt>
                      <c:pt idx="87" formatCode="General">
                        <c:v>-102.44289108910891</c:v>
                      </c:pt>
                      <c:pt idx="88" formatCode="General">
                        <c:v>-102.77952475247524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B-60C8-4A98-A947-234019680B74}"/>
                  </c:ext>
                </c:extLst>
              </c15:ser>
            </c15:filteredScatterSeries>
            <c15:filteredScatterSeries>
              <c15:ser>
                <c:idx val="41"/>
                <c:order val="42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306</c:v>
                      </c:pt>
                      <c:pt idx="1">
                        <c:v>314</c:v>
                      </c:pt>
                      <c:pt idx="2">
                        <c:v>322</c:v>
                      </c:pt>
                      <c:pt idx="3">
                        <c:v>330</c:v>
                      </c:pt>
                      <c:pt idx="4">
                        <c:v>338</c:v>
                      </c:pt>
                      <c:pt idx="5">
                        <c:v>346</c:v>
                      </c:pt>
                      <c:pt idx="6">
                        <c:v>354</c:v>
                      </c:pt>
                      <c:pt idx="7">
                        <c:v>362</c:v>
                      </c:pt>
                      <c:pt idx="8">
                        <c:v>370</c:v>
                      </c:pt>
                      <c:pt idx="9">
                        <c:v>378</c:v>
                      </c:pt>
                      <c:pt idx="10">
                        <c:v>386</c:v>
                      </c:pt>
                      <c:pt idx="11">
                        <c:v>394</c:v>
                      </c:pt>
                      <c:pt idx="12">
                        <c:v>402</c:v>
                      </c:pt>
                      <c:pt idx="13">
                        <c:v>410</c:v>
                      </c:pt>
                      <c:pt idx="14">
                        <c:v>418</c:v>
                      </c:pt>
                      <c:pt idx="15">
                        <c:v>426</c:v>
                      </c:pt>
                      <c:pt idx="16">
                        <c:v>434</c:v>
                      </c:pt>
                      <c:pt idx="17">
                        <c:v>442</c:v>
                      </c:pt>
                      <c:pt idx="18">
                        <c:v>450</c:v>
                      </c:pt>
                      <c:pt idx="19">
                        <c:v>458</c:v>
                      </c:pt>
                      <c:pt idx="20">
                        <c:v>466</c:v>
                      </c:pt>
                      <c:pt idx="21">
                        <c:v>474</c:v>
                      </c:pt>
                      <c:pt idx="22">
                        <c:v>482</c:v>
                      </c:pt>
                      <c:pt idx="23">
                        <c:v>490</c:v>
                      </c:pt>
                      <c:pt idx="24">
                        <c:v>498</c:v>
                      </c:pt>
                      <c:pt idx="25">
                        <c:v>506</c:v>
                      </c:pt>
                      <c:pt idx="26">
                        <c:v>514</c:v>
                      </c:pt>
                      <c:pt idx="27">
                        <c:v>522</c:v>
                      </c:pt>
                      <c:pt idx="28">
                        <c:v>530</c:v>
                      </c:pt>
                      <c:pt idx="29">
                        <c:v>538</c:v>
                      </c:pt>
                      <c:pt idx="30">
                        <c:v>546</c:v>
                      </c:pt>
                      <c:pt idx="31">
                        <c:v>554</c:v>
                      </c:pt>
                      <c:pt idx="32">
                        <c:v>562</c:v>
                      </c:pt>
                      <c:pt idx="33">
                        <c:v>570</c:v>
                      </c:pt>
                      <c:pt idx="34">
                        <c:v>578</c:v>
                      </c:pt>
                      <c:pt idx="35">
                        <c:v>586</c:v>
                      </c:pt>
                      <c:pt idx="36">
                        <c:v>594</c:v>
                      </c:pt>
                      <c:pt idx="37">
                        <c:v>602</c:v>
                      </c:pt>
                      <c:pt idx="38">
                        <c:v>610</c:v>
                      </c:pt>
                      <c:pt idx="39">
                        <c:v>618</c:v>
                      </c:pt>
                      <c:pt idx="40">
                        <c:v>626</c:v>
                      </c:pt>
                      <c:pt idx="41">
                        <c:v>634</c:v>
                      </c:pt>
                      <c:pt idx="42">
                        <c:v>642</c:v>
                      </c:pt>
                      <c:pt idx="43">
                        <c:v>650</c:v>
                      </c:pt>
                      <c:pt idx="44">
                        <c:v>658</c:v>
                      </c:pt>
                      <c:pt idx="45">
                        <c:v>666</c:v>
                      </c:pt>
                      <c:pt idx="46">
                        <c:v>674</c:v>
                      </c:pt>
                      <c:pt idx="47">
                        <c:v>682</c:v>
                      </c:pt>
                      <c:pt idx="48">
                        <c:v>690</c:v>
                      </c:pt>
                      <c:pt idx="49">
                        <c:v>698</c:v>
                      </c:pt>
                      <c:pt idx="50">
                        <c:v>706</c:v>
                      </c:pt>
                      <c:pt idx="51">
                        <c:v>714</c:v>
                      </c:pt>
                      <c:pt idx="52">
                        <c:v>722</c:v>
                      </c:pt>
                      <c:pt idx="53">
                        <c:v>730</c:v>
                      </c:pt>
                      <c:pt idx="54">
                        <c:v>738</c:v>
                      </c:pt>
                      <c:pt idx="55">
                        <c:v>746</c:v>
                      </c:pt>
                      <c:pt idx="56">
                        <c:v>754</c:v>
                      </c:pt>
                      <c:pt idx="57">
                        <c:v>762</c:v>
                      </c:pt>
                      <c:pt idx="58">
                        <c:v>770</c:v>
                      </c:pt>
                      <c:pt idx="59">
                        <c:v>778</c:v>
                      </c:pt>
                      <c:pt idx="60">
                        <c:v>786</c:v>
                      </c:pt>
                      <c:pt idx="61">
                        <c:v>794</c:v>
                      </c:pt>
                      <c:pt idx="62">
                        <c:v>802</c:v>
                      </c:pt>
                      <c:pt idx="63">
                        <c:v>810</c:v>
                      </c:pt>
                      <c:pt idx="64">
                        <c:v>818</c:v>
                      </c:pt>
                      <c:pt idx="65">
                        <c:v>826</c:v>
                      </c:pt>
                      <c:pt idx="66">
                        <c:v>834</c:v>
                      </c:pt>
                      <c:pt idx="67">
                        <c:v>842</c:v>
                      </c:pt>
                      <c:pt idx="68">
                        <c:v>850</c:v>
                      </c:pt>
                      <c:pt idx="69">
                        <c:v>858</c:v>
                      </c:pt>
                      <c:pt idx="70">
                        <c:v>866</c:v>
                      </c:pt>
                      <c:pt idx="71">
                        <c:v>874</c:v>
                      </c:pt>
                      <c:pt idx="72">
                        <c:v>882</c:v>
                      </c:pt>
                      <c:pt idx="73">
                        <c:v>890</c:v>
                      </c:pt>
                      <c:pt idx="74">
                        <c:v>898</c:v>
                      </c:pt>
                      <c:pt idx="75">
                        <c:v>906</c:v>
                      </c:pt>
                      <c:pt idx="76">
                        <c:v>914</c:v>
                      </c:pt>
                      <c:pt idx="77">
                        <c:v>922</c:v>
                      </c:pt>
                      <c:pt idx="78">
                        <c:v>930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EVALUATION!$B$143:$CP$143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-21.943243243243245</c:v>
                      </c:pt>
                      <c:pt idx="1">
                        <c:v>-21.741441441441442</c:v>
                      </c:pt>
                      <c:pt idx="2">
                        <c:v>-21.539639639639642</c:v>
                      </c:pt>
                      <c:pt idx="3">
                        <c:v>-21.337837837837839</c:v>
                      </c:pt>
                      <c:pt idx="4" formatCode="General">
                        <c:v>-21.317514970059882</c:v>
                      </c:pt>
                      <c:pt idx="5" formatCode="General">
                        <c:v>-21.339071856287426</c:v>
                      </c:pt>
                      <c:pt idx="6" formatCode="General">
                        <c:v>-21.360628742514972</c:v>
                      </c:pt>
                      <c:pt idx="7" formatCode="General">
                        <c:v>-21.382185628742516</c:v>
                      </c:pt>
                      <c:pt idx="8" formatCode="General">
                        <c:v>-21.452604790419162</c:v>
                      </c:pt>
                      <c:pt idx="9" formatCode="General">
                        <c:v>-21.550808383233534</c:v>
                      </c:pt>
                      <c:pt idx="10" formatCode="General">
                        <c:v>-21.649011976047905</c:v>
                      </c:pt>
                      <c:pt idx="11" formatCode="General">
                        <c:v>-21.747215568862277</c:v>
                      </c:pt>
                      <c:pt idx="12" formatCode="General">
                        <c:v>-21.843203592814373</c:v>
                      </c:pt>
                      <c:pt idx="13" formatCode="General">
                        <c:v>-21.936616766467068</c:v>
                      </c:pt>
                      <c:pt idx="14" formatCode="General">
                        <c:v>-22.030029940119761</c:v>
                      </c:pt>
                      <c:pt idx="15" formatCode="General">
                        <c:v>-22.123443113772456</c:v>
                      </c:pt>
                      <c:pt idx="16" formatCode="General">
                        <c:v>-22.209970059880241</c:v>
                      </c:pt>
                      <c:pt idx="17" formatCode="General">
                        <c:v>-22.279431137724551</c:v>
                      </c:pt>
                      <c:pt idx="18" formatCode="General">
                        <c:v>-22.348892215568863</c:v>
                      </c:pt>
                      <c:pt idx="19" formatCode="General">
                        <c:v>-22.418353293413173</c:v>
                      </c:pt>
                      <c:pt idx="20" formatCode="General">
                        <c:v>-22.488353293413173</c:v>
                      </c:pt>
                      <c:pt idx="21" formatCode="General">
                        <c:v>-22.562604790419162</c:v>
                      </c:pt>
                      <c:pt idx="22" formatCode="General">
                        <c:v>-22.63685628742515</c:v>
                      </c:pt>
                      <c:pt idx="23" formatCode="General">
                        <c:v>-22.711107784431139</c:v>
                      </c:pt>
                      <c:pt idx="24" formatCode="General">
                        <c:v>-22.785359281437124</c:v>
                      </c:pt>
                      <c:pt idx="25" formatCode="General">
                        <c:v>-22.846306306306307</c:v>
                      </c:pt>
                      <c:pt idx="26" formatCode="General">
                        <c:v>-22.906366366366367</c:v>
                      </c:pt>
                      <c:pt idx="27" formatCode="General">
                        <c:v>-22.966426426426427</c:v>
                      </c:pt>
                      <c:pt idx="28" formatCode="General">
                        <c:v>-23.026486486486487</c:v>
                      </c:pt>
                      <c:pt idx="29" formatCode="General">
                        <c:v>-23.130958083832336</c:v>
                      </c:pt>
                      <c:pt idx="30" formatCode="General">
                        <c:v>-23.248323353293415</c:v>
                      </c:pt>
                      <c:pt idx="31" formatCode="General">
                        <c:v>-23.36568862275449</c:v>
                      </c:pt>
                      <c:pt idx="32" formatCode="General">
                        <c:v>-23.483053892215569</c:v>
                      </c:pt>
                      <c:pt idx="33" formatCode="General">
                        <c:v>-23.60185628742515</c:v>
                      </c:pt>
                      <c:pt idx="34" formatCode="General">
                        <c:v>-23.721616766467065</c:v>
                      </c:pt>
                      <c:pt idx="35" formatCode="General">
                        <c:v>-23.841377245508983</c:v>
                      </c:pt>
                      <c:pt idx="36" formatCode="General">
                        <c:v>-23.961137724550898</c:v>
                      </c:pt>
                      <c:pt idx="37" formatCode="General">
                        <c:v>-24.078862275449104</c:v>
                      </c:pt>
                      <c:pt idx="38" formatCode="General">
                        <c:v>-24.193832335329343</c:v>
                      </c:pt>
                      <c:pt idx="39" formatCode="General">
                        <c:v>-24.308802395209582</c:v>
                      </c:pt>
                      <c:pt idx="40" formatCode="General">
                        <c:v>-24.423772455089821</c:v>
                      </c:pt>
                      <c:pt idx="41" formatCode="General">
                        <c:v>-24.53874251497006</c:v>
                      </c:pt>
                      <c:pt idx="42" formatCode="General">
                        <c:v>-24.653712574850299</c:v>
                      </c:pt>
                      <c:pt idx="43" formatCode="General">
                        <c:v>-24.768682634730538</c:v>
                      </c:pt>
                      <c:pt idx="44" formatCode="General">
                        <c:v>-24.883652694610777</c:v>
                      </c:pt>
                      <c:pt idx="45" formatCode="General">
                        <c:v>-24.998622754491016</c:v>
                      </c:pt>
                      <c:pt idx="46" formatCode="General">
                        <c:v>-25.113592814371255</c:v>
                      </c:pt>
                      <c:pt idx="47" formatCode="General">
                        <c:v>-25.228562874251494</c:v>
                      </c:pt>
                      <c:pt idx="48" formatCode="General">
                        <c:v>-25.343532934131737</c:v>
                      </c:pt>
                      <c:pt idx="49" formatCode="General">
                        <c:v>-25.458502994011976</c:v>
                      </c:pt>
                      <c:pt idx="50" formatCode="General">
                        <c:v>-25.567617977528091</c:v>
                      </c:pt>
                      <c:pt idx="51" formatCode="General">
                        <c:v>-25.676082397003746</c:v>
                      </c:pt>
                      <c:pt idx="52" formatCode="General">
                        <c:v>-25.784546816479402</c:v>
                      </c:pt>
                      <c:pt idx="53" formatCode="General">
                        <c:v>-25.893011235955058</c:v>
                      </c:pt>
                      <c:pt idx="54" formatCode="General">
                        <c:v>-26.001475655430713</c:v>
                      </c:pt>
                      <c:pt idx="55" formatCode="General">
                        <c:v>-26.109940074906369</c:v>
                      </c:pt>
                      <c:pt idx="56" formatCode="General">
                        <c:v>-26.218404494382021</c:v>
                      </c:pt>
                      <c:pt idx="57" formatCode="General">
                        <c:v>-26.326868913857677</c:v>
                      </c:pt>
                      <c:pt idx="58" formatCode="General">
                        <c:v>-26.435333333333332</c:v>
                      </c:pt>
                      <c:pt idx="59" formatCode="General">
                        <c:v>-26.543797752808988</c:v>
                      </c:pt>
                      <c:pt idx="60" formatCode="General">
                        <c:v>-26.652262172284644</c:v>
                      </c:pt>
                      <c:pt idx="61" formatCode="General">
                        <c:v>-26.760726591760299</c:v>
                      </c:pt>
                      <c:pt idx="62" formatCode="General">
                        <c:v>-26.869191011235955</c:v>
                      </c:pt>
                      <c:pt idx="63" formatCode="General">
                        <c:v>-26.977655430711611</c:v>
                      </c:pt>
                      <c:pt idx="64" formatCode="General">
                        <c:v>-27.086119850187266</c:v>
                      </c:pt>
                      <c:pt idx="65" formatCode="General">
                        <c:v>-27.194584269662922</c:v>
                      </c:pt>
                      <c:pt idx="66" formatCode="General">
                        <c:v>-27.301902621722849</c:v>
                      </c:pt>
                      <c:pt idx="67" formatCode="General">
                        <c:v>-27.404973782771538</c:v>
                      </c:pt>
                      <c:pt idx="68" formatCode="General">
                        <c:v>-27.508044943820227</c:v>
                      </c:pt>
                      <c:pt idx="69" formatCode="General">
                        <c:v>-27.611116104868916</c:v>
                      </c:pt>
                      <c:pt idx="70" formatCode="General">
                        <c:v>-27.714187265917605</c:v>
                      </c:pt>
                      <c:pt idx="71" formatCode="General">
                        <c:v>-27.817258426966294</c:v>
                      </c:pt>
                      <c:pt idx="72" formatCode="General">
                        <c:v>-27.920329588014983</c:v>
                      </c:pt>
                      <c:pt idx="73" formatCode="General">
                        <c:v>-28.023400749063672</c:v>
                      </c:pt>
                      <c:pt idx="74" formatCode="General">
                        <c:v>-28.126471910112361</c:v>
                      </c:pt>
                      <c:pt idx="75" formatCode="General">
                        <c:v>-28.22954307116105</c:v>
                      </c:pt>
                      <c:pt idx="76" formatCode="General">
                        <c:v>-28.332614232209739</c:v>
                      </c:pt>
                      <c:pt idx="77" formatCode="General">
                        <c:v>-28.435685393258428</c:v>
                      </c:pt>
                      <c:pt idx="78" formatCode="General">
                        <c:v>-28.538756554307117</c:v>
                      </c:pt>
                      <c:pt idx="79" formatCode="General">
                        <c:v>-28.641827715355806</c:v>
                      </c:pt>
                      <c:pt idx="80" formatCode="General">
                        <c:v>-28.744898876404495</c:v>
                      </c:pt>
                      <c:pt idx="81" formatCode="General">
                        <c:v>-28.847970037453184</c:v>
                      </c:pt>
                      <c:pt idx="82" formatCode="General">
                        <c:v>-28.951041198501873</c:v>
                      </c:pt>
                      <c:pt idx="83" formatCode="General">
                        <c:v>-29.051396396396395</c:v>
                      </c:pt>
                      <c:pt idx="84" formatCode="General">
                        <c:v>-29.149294294294293</c:v>
                      </c:pt>
                      <c:pt idx="85" formatCode="General">
                        <c:v>-29.247192192192191</c:v>
                      </c:pt>
                      <c:pt idx="86" formatCode="General">
                        <c:v>-29.345090090090089</c:v>
                      </c:pt>
                      <c:pt idx="87" formatCode="General">
                        <c:v>-44.975564356435648</c:v>
                      </c:pt>
                      <c:pt idx="88" formatCode="General">
                        <c:v>-45.122099009900992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C-60C8-4A98-A947-234019680B74}"/>
                  </c:ext>
                </c:extLst>
              </c15:ser>
            </c15:filteredScatterSeries>
            <c15:filteredScatterSeries>
              <c15:ser>
                <c:idx val="42"/>
                <c:order val="43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306</c:v>
                      </c:pt>
                      <c:pt idx="1">
                        <c:v>314</c:v>
                      </c:pt>
                      <c:pt idx="2">
                        <c:v>322</c:v>
                      </c:pt>
                      <c:pt idx="3">
                        <c:v>330</c:v>
                      </c:pt>
                      <c:pt idx="4">
                        <c:v>338</c:v>
                      </c:pt>
                      <c:pt idx="5">
                        <c:v>346</c:v>
                      </c:pt>
                      <c:pt idx="6">
                        <c:v>354</c:v>
                      </c:pt>
                      <c:pt idx="7">
                        <c:v>362</c:v>
                      </c:pt>
                      <c:pt idx="8">
                        <c:v>370</c:v>
                      </c:pt>
                      <c:pt idx="9">
                        <c:v>378</c:v>
                      </c:pt>
                      <c:pt idx="10">
                        <c:v>386</c:v>
                      </c:pt>
                      <c:pt idx="11">
                        <c:v>394</c:v>
                      </c:pt>
                      <c:pt idx="12">
                        <c:v>402</c:v>
                      </c:pt>
                      <c:pt idx="13">
                        <c:v>410</c:v>
                      </c:pt>
                      <c:pt idx="14">
                        <c:v>418</c:v>
                      </c:pt>
                      <c:pt idx="15">
                        <c:v>426</c:v>
                      </c:pt>
                      <c:pt idx="16">
                        <c:v>434</c:v>
                      </c:pt>
                      <c:pt idx="17">
                        <c:v>442</c:v>
                      </c:pt>
                      <c:pt idx="18">
                        <c:v>450</c:v>
                      </c:pt>
                      <c:pt idx="19">
                        <c:v>458</c:v>
                      </c:pt>
                      <c:pt idx="20">
                        <c:v>466</c:v>
                      </c:pt>
                      <c:pt idx="21">
                        <c:v>474</c:v>
                      </c:pt>
                      <c:pt idx="22">
                        <c:v>482</c:v>
                      </c:pt>
                      <c:pt idx="23">
                        <c:v>490</c:v>
                      </c:pt>
                      <c:pt idx="24">
                        <c:v>498</c:v>
                      </c:pt>
                      <c:pt idx="25">
                        <c:v>506</c:v>
                      </c:pt>
                      <c:pt idx="26">
                        <c:v>514</c:v>
                      </c:pt>
                      <c:pt idx="27">
                        <c:v>522</c:v>
                      </c:pt>
                      <c:pt idx="28">
                        <c:v>530</c:v>
                      </c:pt>
                      <c:pt idx="29">
                        <c:v>538</c:v>
                      </c:pt>
                      <c:pt idx="30">
                        <c:v>546</c:v>
                      </c:pt>
                      <c:pt idx="31">
                        <c:v>554</c:v>
                      </c:pt>
                      <c:pt idx="32">
                        <c:v>562</c:v>
                      </c:pt>
                      <c:pt idx="33">
                        <c:v>570</c:v>
                      </c:pt>
                      <c:pt idx="34">
                        <c:v>578</c:v>
                      </c:pt>
                      <c:pt idx="35">
                        <c:v>586</c:v>
                      </c:pt>
                      <c:pt idx="36">
                        <c:v>594</c:v>
                      </c:pt>
                      <c:pt idx="37">
                        <c:v>602</c:v>
                      </c:pt>
                      <c:pt idx="38">
                        <c:v>610</c:v>
                      </c:pt>
                      <c:pt idx="39">
                        <c:v>618</c:v>
                      </c:pt>
                      <c:pt idx="40">
                        <c:v>626</c:v>
                      </c:pt>
                      <c:pt idx="41">
                        <c:v>634</c:v>
                      </c:pt>
                      <c:pt idx="42">
                        <c:v>642</c:v>
                      </c:pt>
                      <c:pt idx="43">
                        <c:v>650</c:v>
                      </c:pt>
                      <c:pt idx="44">
                        <c:v>658</c:v>
                      </c:pt>
                      <c:pt idx="45">
                        <c:v>666</c:v>
                      </c:pt>
                      <c:pt idx="46">
                        <c:v>674</c:v>
                      </c:pt>
                      <c:pt idx="47">
                        <c:v>682</c:v>
                      </c:pt>
                      <c:pt idx="48">
                        <c:v>690</c:v>
                      </c:pt>
                      <c:pt idx="49">
                        <c:v>698</c:v>
                      </c:pt>
                      <c:pt idx="50">
                        <c:v>706</c:v>
                      </c:pt>
                      <c:pt idx="51">
                        <c:v>714</c:v>
                      </c:pt>
                      <c:pt idx="52">
                        <c:v>722</c:v>
                      </c:pt>
                      <c:pt idx="53">
                        <c:v>730</c:v>
                      </c:pt>
                      <c:pt idx="54">
                        <c:v>738</c:v>
                      </c:pt>
                      <c:pt idx="55">
                        <c:v>746</c:v>
                      </c:pt>
                      <c:pt idx="56">
                        <c:v>754</c:v>
                      </c:pt>
                      <c:pt idx="57">
                        <c:v>762</c:v>
                      </c:pt>
                      <c:pt idx="58">
                        <c:v>770</c:v>
                      </c:pt>
                      <c:pt idx="59">
                        <c:v>778</c:v>
                      </c:pt>
                      <c:pt idx="60">
                        <c:v>786</c:v>
                      </c:pt>
                      <c:pt idx="61">
                        <c:v>794</c:v>
                      </c:pt>
                      <c:pt idx="62">
                        <c:v>802</c:v>
                      </c:pt>
                      <c:pt idx="63">
                        <c:v>810</c:v>
                      </c:pt>
                      <c:pt idx="64">
                        <c:v>818</c:v>
                      </c:pt>
                      <c:pt idx="65">
                        <c:v>826</c:v>
                      </c:pt>
                      <c:pt idx="66">
                        <c:v>834</c:v>
                      </c:pt>
                      <c:pt idx="67">
                        <c:v>842</c:v>
                      </c:pt>
                      <c:pt idx="68">
                        <c:v>850</c:v>
                      </c:pt>
                      <c:pt idx="69">
                        <c:v>858</c:v>
                      </c:pt>
                      <c:pt idx="70">
                        <c:v>866</c:v>
                      </c:pt>
                      <c:pt idx="71">
                        <c:v>874</c:v>
                      </c:pt>
                      <c:pt idx="72">
                        <c:v>882</c:v>
                      </c:pt>
                      <c:pt idx="73">
                        <c:v>890</c:v>
                      </c:pt>
                      <c:pt idx="74">
                        <c:v>898</c:v>
                      </c:pt>
                      <c:pt idx="75">
                        <c:v>906</c:v>
                      </c:pt>
                      <c:pt idx="76">
                        <c:v>914</c:v>
                      </c:pt>
                      <c:pt idx="77">
                        <c:v>922</c:v>
                      </c:pt>
                      <c:pt idx="78">
                        <c:v>930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EVALUATION!$B$144:$CP$144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-21.943243243243245</c:v>
                      </c:pt>
                      <c:pt idx="1">
                        <c:v>-21.741441441441442</c:v>
                      </c:pt>
                      <c:pt idx="2">
                        <c:v>-21.539639639639642</c:v>
                      </c:pt>
                      <c:pt idx="3">
                        <c:v>-21.337837837837839</c:v>
                      </c:pt>
                      <c:pt idx="4" formatCode="General">
                        <c:v>-21.317514970059882</c:v>
                      </c:pt>
                      <c:pt idx="5" formatCode="General">
                        <c:v>-21.339071856287426</c:v>
                      </c:pt>
                      <c:pt idx="6" formatCode="General">
                        <c:v>-21.360628742514972</c:v>
                      </c:pt>
                      <c:pt idx="7" formatCode="General">
                        <c:v>-21.382185628742516</c:v>
                      </c:pt>
                      <c:pt idx="8" formatCode="General">
                        <c:v>-21.452604790419162</c:v>
                      </c:pt>
                      <c:pt idx="9" formatCode="General">
                        <c:v>-21.550808383233534</c:v>
                      </c:pt>
                      <c:pt idx="10" formatCode="General">
                        <c:v>-21.649011976047905</c:v>
                      </c:pt>
                      <c:pt idx="11" formatCode="General">
                        <c:v>-21.747215568862277</c:v>
                      </c:pt>
                      <c:pt idx="12" formatCode="General">
                        <c:v>-21.843203592814373</c:v>
                      </c:pt>
                      <c:pt idx="13" formatCode="General">
                        <c:v>-21.936616766467068</c:v>
                      </c:pt>
                      <c:pt idx="14" formatCode="General">
                        <c:v>-22.030029940119761</c:v>
                      </c:pt>
                      <c:pt idx="15" formatCode="General">
                        <c:v>-22.123443113772456</c:v>
                      </c:pt>
                      <c:pt idx="16" formatCode="General">
                        <c:v>-22.209970059880241</c:v>
                      </c:pt>
                      <c:pt idx="17" formatCode="General">
                        <c:v>-22.279431137724551</c:v>
                      </c:pt>
                      <c:pt idx="18" formatCode="General">
                        <c:v>-22.348892215568863</c:v>
                      </c:pt>
                      <c:pt idx="19" formatCode="General">
                        <c:v>-22.418353293413173</c:v>
                      </c:pt>
                      <c:pt idx="20" formatCode="General">
                        <c:v>-22.488353293413173</c:v>
                      </c:pt>
                      <c:pt idx="21" formatCode="General">
                        <c:v>-22.562604790419162</c:v>
                      </c:pt>
                      <c:pt idx="22" formatCode="General">
                        <c:v>-22.63685628742515</c:v>
                      </c:pt>
                      <c:pt idx="23" formatCode="General">
                        <c:v>-22.711107784431139</c:v>
                      </c:pt>
                      <c:pt idx="24" formatCode="General">
                        <c:v>-22.785359281437124</c:v>
                      </c:pt>
                      <c:pt idx="25" formatCode="General">
                        <c:v>-22.846306306306307</c:v>
                      </c:pt>
                      <c:pt idx="26" formatCode="General">
                        <c:v>-22.906366366366367</c:v>
                      </c:pt>
                      <c:pt idx="27" formatCode="General">
                        <c:v>-22.966426426426427</c:v>
                      </c:pt>
                      <c:pt idx="28" formatCode="General">
                        <c:v>-23.026486486486487</c:v>
                      </c:pt>
                      <c:pt idx="29" formatCode="General">
                        <c:v>-23.130958083832336</c:v>
                      </c:pt>
                      <c:pt idx="30" formatCode="General">
                        <c:v>-23.248323353293415</c:v>
                      </c:pt>
                      <c:pt idx="31" formatCode="General">
                        <c:v>-23.36568862275449</c:v>
                      </c:pt>
                      <c:pt idx="32" formatCode="General">
                        <c:v>-23.483053892215569</c:v>
                      </c:pt>
                      <c:pt idx="33" formatCode="General">
                        <c:v>-23.60185628742515</c:v>
                      </c:pt>
                      <c:pt idx="34" formatCode="General">
                        <c:v>-23.721616766467065</c:v>
                      </c:pt>
                      <c:pt idx="35" formatCode="General">
                        <c:v>-23.841377245508983</c:v>
                      </c:pt>
                      <c:pt idx="36" formatCode="General">
                        <c:v>-23.961137724550898</c:v>
                      </c:pt>
                      <c:pt idx="37" formatCode="General">
                        <c:v>-24.078862275449104</c:v>
                      </c:pt>
                      <c:pt idx="38" formatCode="General">
                        <c:v>-24.193832335329343</c:v>
                      </c:pt>
                      <c:pt idx="39" formatCode="General">
                        <c:v>-24.308802395209582</c:v>
                      </c:pt>
                      <c:pt idx="40" formatCode="General">
                        <c:v>-24.423772455089821</c:v>
                      </c:pt>
                      <c:pt idx="41" formatCode="General">
                        <c:v>-24.53874251497006</c:v>
                      </c:pt>
                      <c:pt idx="42" formatCode="General">
                        <c:v>-24.653712574850299</c:v>
                      </c:pt>
                      <c:pt idx="43" formatCode="General">
                        <c:v>-24.768682634730538</c:v>
                      </c:pt>
                      <c:pt idx="44" formatCode="General">
                        <c:v>-24.883652694610777</c:v>
                      </c:pt>
                      <c:pt idx="45" formatCode="General">
                        <c:v>-24.998622754491016</c:v>
                      </c:pt>
                      <c:pt idx="46" formatCode="General">
                        <c:v>-25.113592814371255</c:v>
                      </c:pt>
                      <c:pt idx="47" formatCode="General">
                        <c:v>-25.228562874251494</c:v>
                      </c:pt>
                      <c:pt idx="48" formatCode="General">
                        <c:v>-25.343532934131737</c:v>
                      </c:pt>
                      <c:pt idx="49" formatCode="General">
                        <c:v>-25.458502994011976</c:v>
                      </c:pt>
                      <c:pt idx="50" formatCode="General">
                        <c:v>-25.567617977528091</c:v>
                      </c:pt>
                      <c:pt idx="51" formatCode="General">
                        <c:v>-25.676082397003746</c:v>
                      </c:pt>
                      <c:pt idx="52" formatCode="General">
                        <c:v>-25.784546816479402</c:v>
                      </c:pt>
                      <c:pt idx="53" formatCode="General">
                        <c:v>-25.893011235955058</c:v>
                      </c:pt>
                      <c:pt idx="54" formatCode="General">
                        <c:v>-26.001475655430713</c:v>
                      </c:pt>
                      <c:pt idx="55" formatCode="General">
                        <c:v>-26.109940074906369</c:v>
                      </c:pt>
                      <c:pt idx="56" formatCode="General">
                        <c:v>-26.218404494382021</c:v>
                      </c:pt>
                      <c:pt idx="57" formatCode="General">
                        <c:v>-26.326868913857677</c:v>
                      </c:pt>
                      <c:pt idx="58" formatCode="General">
                        <c:v>-26.435333333333332</c:v>
                      </c:pt>
                      <c:pt idx="59" formatCode="General">
                        <c:v>-26.543797752808988</c:v>
                      </c:pt>
                      <c:pt idx="60" formatCode="General">
                        <c:v>-26.652262172284644</c:v>
                      </c:pt>
                      <c:pt idx="61" formatCode="General">
                        <c:v>-26.760726591760299</c:v>
                      </c:pt>
                      <c:pt idx="62" formatCode="General">
                        <c:v>-26.869191011235955</c:v>
                      </c:pt>
                      <c:pt idx="63" formatCode="General">
                        <c:v>-26.977655430711611</c:v>
                      </c:pt>
                      <c:pt idx="64" formatCode="General">
                        <c:v>-27.086119850187266</c:v>
                      </c:pt>
                      <c:pt idx="65" formatCode="General">
                        <c:v>-27.194584269662922</c:v>
                      </c:pt>
                      <c:pt idx="66" formatCode="General">
                        <c:v>-27.301902621722849</c:v>
                      </c:pt>
                      <c:pt idx="67" formatCode="General">
                        <c:v>-27.404973782771538</c:v>
                      </c:pt>
                      <c:pt idx="68" formatCode="General">
                        <c:v>-27.508044943820227</c:v>
                      </c:pt>
                      <c:pt idx="69" formatCode="General">
                        <c:v>-27.611116104868916</c:v>
                      </c:pt>
                      <c:pt idx="70" formatCode="General">
                        <c:v>-27.714187265917605</c:v>
                      </c:pt>
                      <c:pt idx="71" formatCode="General">
                        <c:v>-27.817258426966294</c:v>
                      </c:pt>
                      <c:pt idx="72" formatCode="General">
                        <c:v>-27.920329588014983</c:v>
                      </c:pt>
                      <c:pt idx="73" formatCode="General">
                        <c:v>-28.023400749063672</c:v>
                      </c:pt>
                      <c:pt idx="74" formatCode="General">
                        <c:v>-28.126471910112361</c:v>
                      </c:pt>
                      <c:pt idx="75" formatCode="General">
                        <c:v>-28.22954307116105</c:v>
                      </c:pt>
                      <c:pt idx="76" formatCode="General">
                        <c:v>-28.332614232209739</c:v>
                      </c:pt>
                      <c:pt idx="77" formatCode="General">
                        <c:v>-28.435685393258428</c:v>
                      </c:pt>
                      <c:pt idx="78" formatCode="General">
                        <c:v>-28.538756554307117</c:v>
                      </c:pt>
                      <c:pt idx="79" formatCode="General">
                        <c:v>-28.641827715355806</c:v>
                      </c:pt>
                      <c:pt idx="80" formatCode="General">
                        <c:v>-28.744898876404495</c:v>
                      </c:pt>
                      <c:pt idx="81" formatCode="General">
                        <c:v>-28.847970037453184</c:v>
                      </c:pt>
                      <c:pt idx="82" formatCode="General">
                        <c:v>-28.951041198501873</c:v>
                      </c:pt>
                      <c:pt idx="83" formatCode="General">
                        <c:v>-29.051396396396395</c:v>
                      </c:pt>
                      <c:pt idx="84" formatCode="General">
                        <c:v>-29.149294294294293</c:v>
                      </c:pt>
                      <c:pt idx="85" formatCode="General">
                        <c:v>-29.247192192192191</c:v>
                      </c:pt>
                      <c:pt idx="86" formatCode="General">
                        <c:v>-29.345090090090089</c:v>
                      </c:pt>
                      <c:pt idx="87" formatCode="General">
                        <c:v>-7.3468118811881187</c:v>
                      </c:pt>
                      <c:pt idx="88" formatCode="General">
                        <c:v>-7.3646336633663365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D-60C8-4A98-A947-234019680B74}"/>
                  </c:ext>
                </c:extLst>
              </c15:ser>
            </c15:filteredScatterSeries>
            <c15:filteredScatterSeries>
              <c15:ser>
                <c:idx val="43"/>
                <c:order val="44"/>
                <c:spPr>
                  <a:ln>
                    <a:solidFill>
                      <a:schemeClr val="accent2">
                        <a:lumMod val="50000"/>
                      </a:schemeClr>
                    </a:solidFill>
                    <a:prstDash val="sysDash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306</c:v>
                      </c:pt>
                      <c:pt idx="1">
                        <c:v>314</c:v>
                      </c:pt>
                      <c:pt idx="2">
                        <c:v>322</c:v>
                      </c:pt>
                      <c:pt idx="3">
                        <c:v>330</c:v>
                      </c:pt>
                      <c:pt idx="4">
                        <c:v>338</c:v>
                      </c:pt>
                      <c:pt idx="5">
                        <c:v>346</c:v>
                      </c:pt>
                      <c:pt idx="6">
                        <c:v>354</c:v>
                      </c:pt>
                      <c:pt idx="7">
                        <c:v>362</c:v>
                      </c:pt>
                      <c:pt idx="8">
                        <c:v>370</c:v>
                      </c:pt>
                      <c:pt idx="9">
                        <c:v>378</c:v>
                      </c:pt>
                      <c:pt idx="10">
                        <c:v>386</c:v>
                      </c:pt>
                      <c:pt idx="11">
                        <c:v>394</c:v>
                      </c:pt>
                      <c:pt idx="12">
                        <c:v>402</c:v>
                      </c:pt>
                      <c:pt idx="13">
                        <c:v>410</c:v>
                      </c:pt>
                      <c:pt idx="14">
                        <c:v>418</c:v>
                      </c:pt>
                      <c:pt idx="15">
                        <c:v>426</c:v>
                      </c:pt>
                      <c:pt idx="16">
                        <c:v>434</c:v>
                      </c:pt>
                      <c:pt idx="17">
                        <c:v>442</c:v>
                      </c:pt>
                      <c:pt idx="18">
                        <c:v>450</c:v>
                      </c:pt>
                      <c:pt idx="19">
                        <c:v>458</c:v>
                      </c:pt>
                      <c:pt idx="20">
                        <c:v>466</c:v>
                      </c:pt>
                      <c:pt idx="21">
                        <c:v>474</c:v>
                      </c:pt>
                      <c:pt idx="22">
                        <c:v>482</c:v>
                      </c:pt>
                      <c:pt idx="23">
                        <c:v>490</c:v>
                      </c:pt>
                      <c:pt idx="24">
                        <c:v>498</c:v>
                      </c:pt>
                      <c:pt idx="25">
                        <c:v>506</c:v>
                      </c:pt>
                      <c:pt idx="26">
                        <c:v>514</c:v>
                      </c:pt>
                      <c:pt idx="27">
                        <c:v>522</c:v>
                      </c:pt>
                      <c:pt idx="28">
                        <c:v>530</c:v>
                      </c:pt>
                      <c:pt idx="29">
                        <c:v>538</c:v>
                      </c:pt>
                      <c:pt idx="30">
                        <c:v>546</c:v>
                      </c:pt>
                      <c:pt idx="31">
                        <c:v>554</c:v>
                      </c:pt>
                      <c:pt idx="32">
                        <c:v>562</c:v>
                      </c:pt>
                      <c:pt idx="33">
                        <c:v>570</c:v>
                      </c:pt>
                      <c:pt idx="34">
                        <c:v>578</c:v>
                      </c:pt>
                      <c:pt idx="35">
                        <c:v>586</c:v>
                      </c:pt>
                      <c:pt idx="36">
                        <c:v>594</c:v>
                      </c:pt>
                      <c:pt idx="37">
                        <c:v>602</c:v>
                      </c:pt>
                      <c:pt idx="38">
                        <c:v>610</c:v>
                      </c:pt>
                      <c:pt idx="39">
                        <c:v>618</c:v>
                      </c:pt>
                      <c:pt idx="40">
                        <c:v>626</c:v>
                      </c:pt>
                      <c:pt idx="41">
                        <c:v>634</c:v>
                      </c:pt>
                      <c:pt idx="42">
                        <c:v>642</c:v>
                      </c:pt>
                      <c:pt idx="43">
                        <c:v>650</c:v>
                      </c:pt>
                      <c:pt idx="44">
                        <c:v>658</c:v>
                      </c:pt>
                      <c:pt idx="45">
                        <c:v>666</c:v>
                      </c:pt>
                      <c:pt idx="46">
                        <c:v>674</c:v>
                      </c:pt>
                      <c:pt idx="47">
                        <c:v>682</c:v>
                      </c:pt>
                      <c:pt idx="48">
                        <c:v>690</c:v>
                      </c:pt>
                      <c:pt idx="49">
                        <c:v>698</c:v>
                      </c:pt>
                      <c:pt idx="50">
                        <c:v>706</c:v>
                      </c:pt>
                      <c:pt idx="51">
                        <c:v>714</c:v>
                      </c:pt>
                      <c:pt idx="52">
                        <c:v>722</c:v>
                      </c:pt>
                      <c:pt idx="53">
                        <c:v>730</c:v>
                      </c:pt>
                      <c:pt idx="54">
                        <c:v>738</c:v>
                      </c:pt>
                      <c:pt idx="55">
                        <c:v>746</c:v>
                      </c:pt>
                      <c:pt idx="56">
                        <c:v>754</c:v>
                      </c:pt>
                      <c:pt idx="57">
                        <c:v>762</c:v>
                      </c:pt>
                      <c:pt idx="58">
                        <c:v>770</c:v>
                      </c:pt>
                      <c:pt idx="59">
                        <c:v>778</c:v>
                      </c:pt>
                      <c:pt idx="60">
                        <c:v>786</c:v>
                      </c:pt>
                      <c:pt idx="61">
                        <c:v>794</c:v>
                      </c:pt>
                      <c:pt idx="62">
                        <c:v>802</c:v>
                      </c:pt>
                      <c:pt idx="63">
                        <c:v>810</c:v>
                      </c:pt>
                      <c:pt idx="64">
                        <c:v>818</c:v>
                      </c:pt>
                      <c:pt idx="65">
                        <c:v>826</c:v>
                      </c:pt>
                      <c:pt idx="66">
                        <c:v>834</c:v>
                      </c:pt>
                      <c:pt idx="67">
                        <c:v>842</c:v>
                      </c:pt>
                      <c:pt idx="68">
                        <c:v>850</c:v>
                      </c:pt>
                      <c:pt idx="69">
                        <c:v>858</c:v>
                      </c:pt>
                      <c:pt idx="70">
                        <c:v>866</c:v>
                      </c:pt>
                      <c:pt idx="71">
                        <c:v>874</c:v>
                      </c:pt>
                      <c:pt idx="72">
                        <c:v>882</c:v>
                      </c:pt>
                      <c:pt idx="73">
                        <c:v>890</c:v>
                      </c:pt>
                      <c:pt idx="74">
                        <c:v>898</c:v>
                      </c:pt>
                      <c:pt idx="75">
                        <c:v>906</c:v>
                      </c:pt>
                      <c:pt idx="76">
                        <c:v>914</c:v>
                      </c:pt>
                      <c:pt idx="77">
                        <c:v>922</c:v>
                      </c:pt>
                      <c:pt idx="78">
                        <c:v>930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EVALUATION!$B$145:$CP$145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-21.943243243243245</c:v>
                      </c:pt>
                      <c:pt idx="1">
                        <c:v>-21.741441441441442</c:v>
                      </c:pt>
                      <c:pt idx="2">
                        <c:v>-21.539639639639642</c:v>
                      </c:pt>
                      <c:pt idx="3">
                        <c:v>-21.337837837837839</c:v>
                      </c:pt>
                      <c:pt idx="4" formatCode="General">
                        <c:v>-21.317514970059882</c:v>
                      </c:pt>
                      <c:pt idx="5" formatCode="General">
                        <c:v>-21.339071856287426</c:v>
                      </c:pt>
                      <c:pt idx="6" formatCode="General">
                        <c:v>-21.360628742514972</c:v>
                      </c:pt>
                      <c:pt idx="7" formatCode="General">
                        <c:v>-21.382185628742516</c:v>
                      </c:pt>
                      <c:pt idx="8" formatCode="General">
                        <c:v>-21.452604790419162</c:v>
                      </c:pt>
                      <c:pt idx="9" formatCode="General">
                        <c:v>-21.550808383233534</c:v>
                      </c:pt>
                      <c:pt idx="10" formatCode="General">
                        <c:v>-21.649011976047905</c:v>
                      </c:pt>
                      <c:pt idx="11" formatCode="General">
                        <c:v>-21.747215568862277</c:v>
                      </c:pt>
                      <c:pt idx="12" formatCode="General">
                        <c:v>-21.843203592814373</c:v>
                      </c:pt>
                      <c:pt idx="13" formatCode="General">
                        <c:v>-21.936616766467068</c:v>
                      </c:pt>
                      <c:pt idx="14" formatCode="General">
                        <c:v>-22.030029940119761</c:v>
                      </c:pt>
                      <c:pt idx="15" formatCode="General">
                        <c:v>-22.123443113772456</c:v>
                      </c:pt>
                      <c:pt idx="16" formatCode="General">
                        <c:v>-22.209970059880241</c:v>
                      </c:pt>
                      <c:pt idx="17" formatCode="General">
                        <c:v>-22.279431137724551</c:v>
                      </c:pt>
                      <c:pt idx="18" formatCode="General">
                        <c:v>-22.348892215568863</c:v>
                      </c:pt>
                      <c:pt idx="19" formatCode="General">
                        <c:v>-22.418353293413173</c:v>
                      </c:pt>
                      <c:pt idx="20" formatCode="General">
                        <c:v>-22.488353293413173</c:v>
                      </c:pt>
                      <c:pt idx="21" formatCode="General">
                        <c:v>-22.562604790419162</c:v>
                      </c:pt>
                      <c:pt idx="22" formatCode="General">
                        <c:v>-22.63685628742515</c:v>
                      </c:pt>
                      <c:pt idx="23" formatCode="General">
                        <c:v>-22.711107784431139</c:v>
                      </c:pt>
                      <c:pt idx="24" formatCode="General">
                        <c:v>-22.785359281437124</c:v>
                      </c:pt>
                      <c:pt idx="25" formatCode="General">
                        <c:v>-22.846306306306307</c:v>
                      </c:pt>
                      <c:pt idx="26" formatCode="General">
                        <c:v>-22.906366366366367</c:v>
                      </c:pt>
                      <c:pt idx="27" formatCode="General">
                        <c:v>-22.966426426426427</c:v>
                      </c:pt>
                      <c:pt idx="28" formatCode="General">
                        <c:v>-23.026486486486487</c:v>
                      </c:pt>
                      <c:pt idx="29" formatCode="General">
                        <c:v>-23.130958083832336</c:v>
                      </c:pt>
                      <c:pt idx="30" formatCode="General">
                        <c:v>-23.248323353293415</c:v>
                      </c:pt>
                      <c:pt idx="31" formatCode="General">
                        <c:v>-23.36568862275449</c:v>
                      </c:pt>
                      <c:pt idx="32" formatCode="General">
                        <c:v>-23.483053892215569</c:v>
                      </c:pt>
                      <c:pt idx="33" formatCode="General">
                        <c:v>-23.60185628742515</c:v>
                      </c:pt>
                      <c:pt idx="34" formatCode="General">
                        <c:v>-23.721616766467065</c:v>
                      </c:pt>
                      <c:pt idx="35" formatCode="General">
                        <c:v>-23.841377245508983</c:v>
                      </c:pt>
                      <c:pt idx="36" formatCode="General">
                        <c:v>-23.961137724550898</c:v>
                      </c:pt>
                      <c:pt idx="37" formatCode="General">
                        <c:v>-24.078862275449104</c:v>
                      </c:pt>
                      <c:pt idx="38" formatCode="General">
                        <c:v>-24.193832335329343</c:v>
                      </c:pt>
                      <c:pt idx="39" formatCode="General">
                        <c:v>-24.308802395209582</c:v>
                      </c:pt>
                      <c:pt idx="40" formatCode="General">
                        <c:v>-24.423772455089821</c:v>
                      </c:pt>
                      <c:pt idx="41" formatCode="General">
                        <c:v>-24.53874251497006</c:v>
                      </c:pt>
                      <c:pt idx="42" formatCode="General">
                        <c:v>-24.653712574850299</c:v>
                      </c:pt>
                      <c:pt idx="43" formatCode="General">
                        <c:v>-24.768682634730538</c:v>
                      </c:pt>
                      <c:pt idx="44" formatCode="General">
                        <c:v>-24.883652694610777</c:v>
                      </c:pt>
                      <c:pt idx="45" formatCode="General">
                        <c:v>-24.998622754491016</c:v>
                      </c:pt>
                      <c:pt idx="46" formatCode="General">
                        <c:v>-25.113592814371255</c:v>
                      </c:pt>
                      <c:pt idx="47" formatCode="General">
                        <c:v>-25.228562874251494</c:v>
                      </c:pt>
                      <c:pt idx="48" formatCode="General">
                        <c:v>-25.343532934131737</c:v>
                      </c:pt>
                      <c:pt idx="49" formatCode="General">
                        <c:v>-25.458502994011976</c:v>
                      </c:pt>
                      <c:pt idx="50" formatCode="General">
                        <c:v>-25.567617977528091</c:v>
                      </c:pt>
                      <c:pt idx="51" formatCode="General">
                        <c:v>-25.676082397003746</c:v>
                      </c:pt>
                      <c:pt idx="52" formatCode="General">
                        <c:v>-25.784546816479402</c:v>
                      </c:pt>
                      <c:pt idx="53" formatCode="General">
                        <c:v>-25.893011235955058</c:v>
                      </c:pt>
                      <c:pt idx="54" formatCode="General">
                        <c:v>-26.001475655430713</c:v>
                      </c:pt>
                      <c:pt idx="55" formatCode="General">
                        <c:v>-26.109940074906369</c:v>
                      </c:pt>
                      <c:pt idx="56" formatCode="General">
                        <c:v>-26.218404494382021</c:v>
                      </c:pt>
                      <c:pt idx="57" formatCode="General">
                        <c:v>-26.326868913857677</c:v>
                      </c:pt>
                      <c:pt idx="58" formatCode="General">
                        <c:v>-26.435333333333332</c:v>
                      </c:pt>
                      <c:pt idx="59" formatCode="General">
                        <c:v>-26.543797752808988</c:v>
                      </c:pt>
                      <c:pt idx="60" formatCode="General">
                        <c:v>-26.652262172284644</c:v>
                      </c:pt>
                      <c:pt idx="61" formatCode="General">
                        <c:v>-26.760726591760299</c:v>
                      </c:pt>
                      <c:pt idx="62" formatCode="General">
                        <c:v>-26.869191011235955</c:v>
                      </c:pt>
                      <c:pt idx="63" formatCode="General">
                        <c:v>-26.977655430711611</c:v>
                      </c:pt>
                      <c:pt idx="64" formatCode="General">
                        <c:v>-27.086119850187266</c:v>
                      </c:pt>
                      <c:pt idx="65" formatCode="General">
                        <c:v>-27.194584269662922</c:v>
                      </c:pt>
                      <c:pt idx="66" formatCode="General">
                        <c:v>-27.301902621722849</c:v>
                      </c:pt>
                      <c:pt idx="67" formatCode="General">
                        <c:v>-27.404973782771538</c:v>
                      </c:pt>
                      <c:pt idx="68" formatCode="General">
                        <c:v>-27.508044943820227</c:v>
                      </c:pt>
                      <c:pt idx="69" formatCode="General">
                        <c:v>-27.611116104868916</c:v>
                      </c:pt>
                      <c:pt idx="70" formatCode="General">
                        <c:v>-27.714187265917605</c:v>
                      </c:pt>
                      <c:pt idx="71" formatCode="General">
                        <c:v>-27.817258426966294</c:v>
                      </c:pt>
                      <c:pt idx="72" formatCode="General">
                        <c:v>-27.920329588014983</c:v>
                      </c:pt>
                      <c:pt idx="73" formatCode="General">
                        <c:v>-28.023400749063672</c:v>
                      </c:pt>
                      <c:pt idx="74" formatCode="General">
                        <c:v>-28.126471910112361</c:v>
                      </c:pt>
                      <c:pt idx="75" formatCode="General">
                        <c:v>-28.22954307116105</c:v>
                      </c:pt>
                      <c:pt idx="76" formatCode="General">
                        <c:v>-28.332614232209739</c:v>
                      </c:pt>
                      <c:pt idx="77" formatCode="General">
                        <c:v>-28.435685393258428</c:v>
                      </c:pt>
                      <c:pt idx="78" formatCode="General">
                        <c:v>-28.538756554307117</c:v>
                      </c:pt>
                      <c:pt idx="79" formatCode="General">
                        <c:v>-28.641827715355806</c:v>
                      </c:pt>
                      <c:pt idx="80" formatCode="General">
                        <c:v>-28.744898876404495</c:v>
                      </c:pt>
                      <c:pt idx="81" formatCode="General">
                        <c:v>-28.847970037453184</c:v>
                      </c:pt>
                      <c:pt idx="82" formatCode="General">
                        <c:v>-28.951041198501873</c:v>
                      </c:pt>
                      <c:pt idx="83" formatCode="General">
                        <c:v>-29.051396396396395</c:v>
                      </c:pt>
                      <c:pt idx="84" formatCode="General">
                        <c:v>-29.149294294294293</c:v>
                      </c:pt>
                      <c:pt idx="85" formatCode="General">
                        <c:v>-29.247192192192191</c:v>
                      </c:pt>
                      <c:pt idx="86" formatCode="General">
                        <c:v>-29.345090090090089</c:v>
                      </c:pt>
                      <c:pt idx="87" formatCode="General">
                        <c:v>-8.1209504950495059</c:v>
                      </c:pt>
                      <c:pt idx="88" formatCode="General">
                        <c:v>-8.1466930693069308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E-60C8-4A98-A947-234019680B74}"/>
                  </c:ext>
                </c:extLst>
              </c15:ser>
            </c15:filteredScatterSeries>
            <c15:filteredScatterSeries>
              <c15:ser>
                <c:idx val="44"/>
                <c:order val="45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306</c:v>
                      </c:pt>
                      <c:pt idx="1">
                        <c:v>314</c:v>
                      </c:pt>
                      <c:pt idx="2">
                        <c:v>322</c:v>
                      </c:pt>
                      <c:pt idx="3">
                        <c:v>330</c:v>
                      </c:pt>
                      <c:pt idx="4">
                        <c:v>338</c:v>
                      </c:pt>
                      <c:pt idx="5">
                        <c:v>346</c:v>
                      </c:pt>
                      <c:pt idx="6">
                        <c:v>354</c:v>
                      </c:pt>
                      <c:pt idx="7">
                        <c:v>362</c:v>
                      </c:pt>
                      <c:pt idx="8">
                        <c:v>370</c:v>
                      </c:pt>
                      <c:pt idx="9">
                        <c:v>378</c:v>
                      </c:pt>
                      <c:pt idx="10">
                        <c:v>386</c:v>
                      </c:pt>
                      <c:pt idx="11">
                        <c:v>394</c:v>
                      </c:pt>
                      <c:pt idx="12">
                        <c:v>402</c:v>
                      </c:pt>
                      <c:pt idx="13">
                        <c:v>410</c:v>
                      </c:pt>
                      <c:pt idx="14">
                        <c:v>418</c:v>
                      </c:pt>
                      <c:pt idx="15">
                        <c:v>426</c:v>
                      </c:pt>
                      <c:pt idx="16">
                        <c:v>434</c:v>
                      </c:pt>
                      <c:pt idx="17">
                        <c:v>442</c:v>
                      </c:pt>
                      <c:pt idx="18">
                        <c:v>450</c:v>
                      </c:pt>
                      <c:pt idx="19">
                        <c:v>458</c:v>
                      </c:pt>
                      <c:pt idx="20">
                        <c:v>466</c:v>
                      </c:pt>
                      <c:pt idx="21">
                        <c:v>474</c:v>
                      </c:pt>
                      <c:pt idx="22">
                        <c:v>482</c:v>
                      </c:pt>
                      <c:pt idx="23">
                        <c:v>490</c:v>
                      </c:pt>
                      <c:pt idx="24">
                        <c:v>498</c:v>
                      </c:pt>
                      <c:pt idx="25">
                        <c:v>506</c:v>
                      </c:pt>
                      <c:pt idx="26">
                        <c:v>514</c:v>
                      </c:pt>
                      <c:pt idx="27">
                        <c:v>522</c:v>
                      </c:pt>
                      <c:pt idx="28">
                        <c:v>530</c:v>
                      </c:pt>
                      <c:pt idx="29">
                        <c:v>538</c:v>
                      </c:pt>
                      <c:pt idx="30">
                        <c:v>546</c:v>
                      </c:pt>
                      <c:pt idx="31">
                        <c:v>554</c:v>
                      </c:pt>
                      <c:pt idx="32">
                        <c:v>562</c:v>
                      </c:pt>
                      <c:pt idx="33">
                        <c:v>570</c:v>
                      </c:pt>
                      <c:pt idx="34">
                        <c:v>578</c:v>
                      </c:pt>
                      <c:pt idx="35">
                        <c:v>586</c:v>
                      </c:pt>
                      <c:pt idx="36">
                        <c:v>594</c:v>
                      </c:pt>
                      <c:pt idx="37">
                        <c:v>602</c:v>
                      </c:pt>
                      <c:pt idx="38">
                        <c:v>610</c:v>
                      </c:pt>
                      <c:pt idx="39">
                        <c:v>618</c:v>
                      </c:pt>
                      <c:pt idx="40">
                        <c:v>626</c:v>
                      </c:pt>
                      <c:pt idx="41">
                        <c:v>634</c:v>
                      </c:pt>
                      <c:pt idx="42">
                        <c:v>642</c:v>
                      </c:pt>
                      <c:pt idx="43">
                        <c:v>650</c:v>
                      </c:pt>
                      <c:pt idx="44">
                        <c:v>658</c:v>
                      </c:pt>
                      <c:pt idx="45">
                        <c:v>666</c:v>
                      </c:pt>
                      <c:pt idx="46">
                        <c:v>674</c:v>
                      </c:pt>
                      <c:pt idx="47">
                        <c:v>682</c:v>
                      </c:pt>
                      <c:pt idx="48">
                        <c:v>690</c:v>
                      </c:pt>
                      <c:pt idx="49">
                        <c:v>698</c:v>
                      </c:pt>
                      <c:pt idx="50">
                        <c:v>706</c:v>
                      </c:pt>
                      <c:pt idx="51">
                        <c:v>714</c:v>
                      </c:pt>
                      <c:pt idx="52">
                        <c:v>722</c:v>
                      </c:pt>
                      <c:pt idx="53">
                        <c:v>730</c:v>
                      </c:pt>
                      <c:pt idx="54">
                        <c:v>738</c:v>
                      </c:pt>
                      <c:pt idx="55">
                        <c:v>746</c:v>
                      </c:pt>
                      <c:pt idx="56">
                        <c:v>754</c:v>
                      </c:pt>
                      <c:pt idx="57">
                        <c:v>762</c:v>
                      </c:pt>
                      <c:pt idx="58">
                        <c:v>770</c:v>
                      </c:pt>
                      <c:pt idx="59">
                        <c:v>778</c:v>
                      </c:pt>
                      <c:pt idx="60">
                        <c:v>786</c:v>
                      </c:pt>
                      <c:pt idx="61">
                        <c:v>794</c:v>
                      </c:pt>
                      <c:pt idx="62">
                        <c:v>802</c:v>
                      </c:pt>
                      <c:pt idx="63">
                        <c:v>810</c:v>
                      </c:pt>
                      <c:pt idx="64">
                        <c:v>818</c:v>
                      </c:pt>
                      <c:pt idx="65">
                        <c:v>826</c:v>
                      </c:pt>
                      <c:pt idx="66">
                        <c:v>834</c:v>
                      </c:pt>
                      <c:pt idx="67">
                        <c:v>842</c:v>
                      </c:pt>
                      <c:pt idx="68">
                        <c:v>850</c:v>
                      </c:pt>
                      <c:pt idx="69">
                        <c:v>858</c:v>
                      </c:pt>
                      <c:pt idx="70">
                        <c:v>866</c:v>
                      </c:pt>
                      <c:pt idx="71">
                        <c:v>874</c:v>
                      </c:pt>
                      <c:pt idx="72">
                        <c:v>882</c:v>
                      </c:pt>
                      <c:pt idx="73">
                        <c:v>890</c:v>
                      </c:pt>
                      <c:pt idx="74">
                        <c:v>898</c:v>
                      </c:pt>
                      <c:pt idx="75">
                        <c:v>906</c:v>
                      </c:pt>
                      <c:pt idx="76">
                        <c:v>914</c:v>
                      </c:pt>
                      <c:pt idx="77">
                        <c:v>922</c:v>
                      </c:pt>
                      <c:pt idx="78">
                        <c:v>930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EVALUATION!$B$146:$CP$146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-15.512792792792792</c:v>
                      </c:pt>
                      <c:pt idx="1">
                        <c:v>-15.013093093093092</c:v>
                      </c:pt>
                      <c:pt idx="2">
                        <c:v>-14.513393393393393</c:v>
                      </c:pt>
                      <c:pt idx="3">
                        <c:v>-14.013693693693693</c:v>
                      </c:pt>
                      <c:pt idx="4" formatCode="General">
                        <c:v>-13.456826347305389</c:v>
                      </c:pt>
                      <c:pt idx="5" formatCode="General">
                        <c:v>-12.886766467065867</c:v>
                      </c:pt>
                      <c:pt idx="6" formatCode="General">
                        <c:v>-12.316706586826346</c:v>
                      </c:pt>
                      <c:pt idx="7" formatCode="General">
                        <c:v>-11.746646706586823</c:v>
                      </c:pt>
                      <c:pt idx="8" formatCode="General">
                        <c:v>-11.204988023952094</c:v>
                      </c:pt>
                      <c:pt idx="9" formatCode="General">
                        <c:v>-10.679479041916167</c:v>
                      </c:pt>
                      <c:pt idx="10" formatCode="General">
                        <c:v>-10.153970059880239</c:v>
                      </c:pt>
                      <c:pt idx="11" formatCode="General">
                        <c:v>-9.628461077844312</c:v>
                      </c:pt>
                      <c:pt idx="12" formatCode="General">
                        <c:v>-9.1539101796407198</c:v>
                      </c:pt>
                      <c:pt idx="13" formatCode="General">
                        <c:v>-8.7385808383233528</c:v>
                      </c:pt>
                      <c:pt idx="14" formatCode="General">
                        <c:v>-8.3232514970059874</c:v>
                      </c:pt>
                      <c:pt idx="15" formatCode="General">
                        <c:v>-7.9079221556886221</c:v>
                      </c:pt>
                      <c:pt idx="16" formatCode="General">
                        <c:v>-7.5390748502994009</c:v>
                      </c:pt>
                      <c:pt idx="17" formatCode="General">
                        <c:v>-7.2854221556886225</c:v>
                      </c:pt>
                      <c:pt idx="18" formatCode="General">
                        <c:v>-7.031769461077845</c:v>
                      </c:pt>
                      <c:pt idx="19" formatCode="General">
                        <c:v>-6.7781167664670665</c:v>
                      </c:pt>
                      <c:pt idx="20" formatCode="General">
                        <c:v>-6.5428413173652693</c:v>
                      </c:pt>
                      <c:pt idx="21" formatCode="General">
                        <c:v>-6.4525419161676645</c:v>
                      </c:pt>
                      <c:pt idx="22" formatCode="General">
                        <c:v>-6.3622425149700597</c:v>
                      </c:pt>
                      <c:pt idx="23" formatCode="General">
                        <c:v>-6.2719431137724548</c:v>
                      </c:pt>
                      <c:pt idx="24" formatCode="General">
                        <c:v>-6.18164371257485</c:v>
                      </c:pt>
                      <c:pt idx="25" formatCode="General">
                        <c:v>-6.3239729729729737</c:v>
                      </c:pt>
                      <c:pt idx="26" formatCode="General">
                        <c:v>-6.4818108108108117</c:v>
                      </c:pt>
                      <c:pt idx="27" formatCode="General">
                        <c:v>-6.6396486486486497</c:v>
                      </c:pt>
                      <c:pt idx="28" formatCode="General">
                        <c:v>-6.7974864864864877</c:v>
                      </c:pt>
                      <c:pt idx="29" formatCode="General">
                        <c:v>-6.8348562874251497</c:v>
                      </c:pt>
                      <c:pt idx="30" formatCode="General">
                        <c:v>-6.8372514970059886</c:v>
                      </c:pt>
                      <c:pt idx="31" formatCode="General">
                        <c:v>-6.8396467065868265</c:v>
                      </c:pt>
                      <c:pt idx="32" formatCode="General">
                        <c:v>-6.8420419161676644</c:v>
                      </c:pt>
                      <c:pt idx="33" formatCode="General">
                        <c:v>-6.8517664670658682</c:v>
                      </c:pt>
                      <c:pt idx="34" formatCode="General">
                        <c:v>-6.866377245508982</c:v>
                      </c:pt>
                      <c:pt idx="35" formatCode="General">
                        <c:v>-6.8809880239520957</c:v>
                      </c:pt>
                      <c:pt idx="36" formatCode="General">
                        <c:v>-6.8955988023952095</c:v>
                      </c:pt>
                      <c:pt idx="37" formatCode="General">
                        <c:v>-6.911838323353293</c:v>
                      </c:pt>
                      <c:pt idx="38" formatCode="General">
                        <c:v>-6.930281437125748</c:v>
                      </c:pt>
                      <c:pt idx="39" formatCode="General">
                        <c:v>-6.9487245508982038</c:v>
                      </c:pt>
                      <c:pt idx="40" formatCode="General">
                        <c:v>-6.9671676646706588</c:v>
                      </c:pt>
                      <c:pt idx="41" formatCode="General">
                        <c:v>-6.9858502994011973</c:v>
                      </c:pt>
                      <c:pt idx="42" formatCode="General">
                        <c:v>-7.0052514970059878</c:v>
                      </c:pt>
                      <c:pt idx="43" formatCode="General">
                        <c:v>-7.0246526946107783</c:v>
                      </c:pt>
                      <c:pt idx="44" formatCode="General">
                        <c:v>-7.0440538922155689</c:v>
                      </c:pt>
                      <c:pt idx="45" formatCode="General">
                        <c:v>-7.0634550898203594</c:v>
                      </c:pt>
                      <c:pt idx="46" formatCode="General">
                        <c:v>-7.0828562874251499</c:v>
                      </c:pt>
                      <c:pt idx="47" formatCode="General">
                        <c:v>-7.1022574850299405</c:v>
                      </c:pt>
                      <c:pt idx="48" formatCode="General">
                        <c:v>-7.1216586826347301</c:v>
                      </c:pt>
                      <c:pt idx="49" formatCode="General">
                        <c:v>-7.1410598802395207</c:v>
                      </c:pt>
                      <c:pt idx="50" formatCode="General">
                        <c:v>-7.1602584269662923</c:v>
                      </c:pt>
                      <c:pt idx="51" formatCode="General">
                        <c:v>-7.1794344569288393</c:v>
                      </c:pt>
                      <c:pt idx="52" formatCode="General">
                        <c:v>-7.1986104868913854</c:v>
                      </c:pt>
                      <c:pt idx="53" formatCode="General">
                        <c:v>-7.2177865168539324</c:v>
                      </c:pt>
                      <c:pt idx="54" formatCode="General">
                        <c:v>-7.2369625468164793</c:v>
                      </c:pt>
                      <c:pt idx="55" formatCode="General">
                        <c:v>-7.2561385767790263</c:v>
                      </c:pt>
                      <c:pt idx="56" formatCode="General">
                        <c:v>-7.2753146067415733</c:v>
                      </c:pt>
                      <c:pt idx="57" formatCode="General">
                        <c:v>-7.2944906367041202</c:v>
                      </c:pt>
                      <c:pt idx="58" formatCode="General">
                        <c:v>-7.3136666666666663</c:v>
                      </c:pt>
                      <c:pt idx="59" formatCode="General">
                        <c:v>-7.3328426966292133</c:v>
                      </c:pt>
                      <c:pt idx="60" formatCode="General">
                        <c:v>-7.3520187265917603</c:v>
                      </c:pt>
                      <c:pt idx="61" formatCode="General">
                        <c:v>-7.3711947565543072</c:v>
                      </c:pt>
                      <c:pt idx="62" formatCode="General">
                        <c:v>-7.3903707865168542</c:v>
                      </c:pt>
                      <c:pt idx="63" formatCode="General">
                        <c:v>-7.4095468164794012</c:v>
                      </c:pt>
                      <c:pt idx="64" formatCode="General">
                        <c:v>-7.4287228464419481</c:v>
                      </c:pt>
                      <c:pt idx="65" formatCode="General">
                        <c:v>-7.4478988764044942</c:v>
                      </c:pt>
                      <c:pt idx="66" formatCode="General">
                        <c:v>-7.4668456928838953</c:v>
                      </c:pt>
                      <c:pt idx="67" formatCode="General">
                        <c:v>-7.484943071161049</c:v>
                      </c:pt>
                      <c:pt idx="68" formatCode="General">
                        <c:v>-7.5030404494382026</c:v>
                      </c:pt>
                      <c:pt idx="69" formatCode="General">
                        <c:v>-7.5211378277153562</c:v>
                      </c:pt>
                      <c:pt idx="70" formatCode="General">
                        <c:v>-7.5392352059925098</c:v>
                      </c:pt>
                      <c:pt idx="71" formatCode="General">
                        <c:v>-7.5573325842696626</c:v>
                      </c:pt>
                      <c:pt idx="72" formatCode="General">
                        <c:v>-7.5754299625468162</c:v>
                      </c:pt>
                      <c:pt idx="73" formatCode="General">
                        <c:v>-7.5935273408239699</c:v>
                      </c:pt>
                      <c:pt idx="74" formatCode="General">
                        <c:v>-7.6116247191011235</c:v>
                      </c:pt>
                      <c:pt idx="75" formatCode="General">
                        <c:v>-7.6297220973782771</c:v>
                      </c:pt>
                      <c:pt idx="76" formatCode="General">
                        <c:v>-7.6478194756554307</c:v>
                      </c:pt>
                      <c:pt idx="77" formatCode="General">
                        <c:v>-7.6659168539325844</c:v>
                      </c:pt>
                      <c:pt idx="78" formatCode="General">
                        <c:v>-7.684014232209738</c:v>
                      </c:pt>
                      <c:pt idx="79" formatCode="General">
                        <c:v>-7.7021116104868916</c:v>
                      </c:pt>
                      <c:pt idx="80" formatCode="General">
                        <c:v>-7.7202089887640444</c:v>
                      </c:pt>
                      <c:pt idx="81" formatCode="General">
                        <c:v>-7.738306367041198</c:v>
                      </c:pt>
                      <c:pt idx="82" formatCode="General">
                        <c:v>-7.7564037453183516</c:v>
                      </c:pt>
                      <c:pt idx="83" formatCode="General">
                        <c:v>-7.7739234234234234</c:v>
                      </c:pt>
                      <c:pt idx="84" formatCode="General">
                        <c:v>-7.7909204204204201</c:v>
                      </c:pt>
                      <c:pt idx="85" formatCode="General">
                        <c:v>-7.8079174174174168</c:v>
                      </c:pt>
                      <c:pt idx="86" formatCode="General">
                        <c:v>-7.8249144144144145</c:v>
                      </c:pt>
                      <c:pt idx="87" formatCode="General">
                        <c:v>-28.733663366336632</c:v>
                      </c:pt>
                      <c:pt idx="88" formatCode="General">
                        <c:v>-28.828712871287127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F-60C8-4A98-A947-234019680B74}"/>
                  </c:ext>
                </c:extLst>
              </c15:ser>
            </c15:filteredScatterSeries>
            <c15:filteredScatterSeries>
              <c15:ser>
                <c:idx val="45"/>
                <c:order val="46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306</c:v>
                      </c:pt>
                      <c:pt idx="1">
                        <c:v>314</c:v>
                      </c:pt>
                      <c:pt idx="2">
                        <c:v>322</c:v>
                      </c:pt>
                      <c:pt idx="3">
                        <c:v>330</c:v>
                      </c:pt>
                      <c:pt idx="4">
                        <c:v>338</c:v>
                      </c:pt>
                      <c:pt idx="5">
                        <c:v>346</c:v>
                      </c:pt>
                      <c:pt idx="6">
                        <c:v>354</c:v>
                      </c:pt>
                      <c:pt idx="7">
                        <c:v>362</c:v>
                      </c:pt>
                      <c:pt idx="8">
                        <c:v>370</c:v>
                      </c:pt>
                      <c:pt idx="9">
                        <c:v>378</c:v>
                      </c:pt>
                      <c:pt idx="10">
                        <c:v>386</c:v>
                      </c:pt>
                      <c:pt idx="11">
                        <c:v>394</c:v>
                      </c:pt>
                      <c:pt idx="12">
                        <c:v>402</c:v>
                      </c:pt>
                      <c:pt idx="13">
                        <c:v>410</c:v>
                      </c:pt>
                      <c:pt idx="14">
                        <c:v>418</c:v>
                      </c:pt>
                      <c:pt idx="15">
                        <c:v>426</c:v>
                      </c:pt>
                      <c:pt idx="16">
                        <c:v>434</c:v>
                      </c:pt>
                      <c:pt idx="17">
                        <c:v>442</c:v>
                      </c:pt>
                      <c:pt idx="18">
                        <c:v>450</c:v>
                      </c:pt>
                      <c:pt idx="19">
                        <c:v>458</c:v>
                      </c:pt>
                      <c:pt idx="20">
                        <c:v>466</c:v>
                      </c:pt>
                      <c:pt idx="21">
                        <c:v>474</c:v>
                      </c:pt>
                      <c:pt idx="22">
                        <c:v>482</c:v>
                      </c:pt>
                      <c:pt idx="23">
                        <c:v>490</c:v>
                      </c:pt>
                      <c:pt idx="24">
                        <c:v>498</c:v>
                      </c:pt>
                      <c:pt idx="25">
                        <c:v>506</c:v>
                      </c:pt>
                      <c:pt idx="26">
                        <c:v>514</c:v>
                      </c:pt>
                      <c:pt idx="27">
                        <c:v>522</c:v>
                      </c:pt>
                      <c:pt idx="28">
                        <c:v>530</c:v>
                      </c:pt>
                      <c:pt idx="29">
                        <c:v>538</c:v>
                      </c:pt>
                      <c:pt idx="30">
                        <c:v>546</c:v>
                      </c:pt>
                      <c:pt idx="31">
                        <c:v>554</c:v>
                      </c:pt>
                      <c:pt idx="32">
                        <c:v>562</c:v>
                      </c:pt>
                      <c:pt idx="33">
                        <c:v>570</c:v>
                      </c:pt>
                      <c:pt idx="34">
                        <c:v>578</c:v>
                      </c:pt>
                      <c:pt idx="35">
                        <c:v>586</c:v>
                      </c:pt>
                      <c:pt idx="36">
                        <c:v>594</c:v>
                      </c:pt>
                      <c:pt idx="37">
                        <c:v>602</c:v>
                      </c:pt>
                      <c:pt idx="38">
                        <c:v>610</c:v>
                      </c:pt>
                      <c:pt idx="39">
                        <c:v>618</c:v>
                      </c:pt>
                      <c:pt idx="40">
                        <c:v>626</c:v>
                      </c:pt>
                      <c:pt idx="41">
                        <c:v>634</c:v>
                      </c:pt>
                      <c:pt idx="42">
                        <c:v>642</c:v>
                      </c:pt>
                      <c:pt idx="43">
                        <c:v>650</c:v>
                      </c:pt>
                      <c:pt idx="44">
                        <c:v>658</c:v>
                      </c:pt>
                      <c:pt idx="45">
                        <c:v>666</c:v>
                      </c:pt>
                      <c:pt idx="46">
                        <c:v>674</c:v>
                      </c:pt>
                      <c:pt idx="47">
                        <c:v>682</c:v>
                      </c:pt>
                      <c:pt idx="48">
                        <c:v>690</c:v>
                      </c:pt>
                      <c:pt idx="49">
                        <c:v>698</c:v>
                      </c:pt>
                      <c:pt idx="50">
                        <c:v>706</c:v>
                      </c:pt>
                      <c:pt idx="51">
                        <c:v>714</c:v>
                      </c:pt>
                      <c:pt idx="52">
                        <c:v>722</c:v>
                      </c:pt>
                      <c:pt idx="53">
                        <c:v>730</c:v>
                      </c:pt>
                      <c:pt idx="54">
                        <c:v>738</c:v>
                      </c:pt>
                      <c:pt idx="55">
                        <c:v>746</c:v>
                      </c:pt>
                      <c:pt idx="56">
                        <c:v>754</c:v>
                      </c:pt>
                      <c:pt idx="57">
                        <c:v>762</c:v>
                      </c:pt>
                      <c:pt idx="58">
                        <c:v>770</c:v>
                      </c:pt>
                      <c:pt idx="59">
                        <c:v>778</c:v>
                      </c:pt>
                      <c:pt idx="60">
                        <c:v>786</c:v>
                      </c:pt>
                      <c:pt idx="61">
                        <c:v>794</c:v>
                      </c:pt>
                      <c:pt idx="62">
                        <c:v>802</c:v>
                      </c:pt>
                      <c:pt idx="63">
                        <c:v>810</c:v>
                      </c:pt>
                      <c:pt idx="64">
                        <c:v>818</c:v>
                      </c:pt>
                      <c:pt idx="65">
                        <c:v>826</c:v>
                      </c:pt>
                      <c:pt idx="66">
                        <c:v>834</c:v>
                      </c:pt>
                      <c:pt idx="67">
                        <c:v>842</c:v>
                      </c:pt>
                      <c:pt idx="68">
                        <c:v>850</c:v>
                      </c:pt>
                      <c:pt idx="69">
                        <c:v>858</c:v>
                      </c:pt>
                      <c:pt idx="70">
                        <c:v>866</c:v>
                      </c:pt>
                      <c:pt idx="71">
                        <c:v>874</c:v>
                      </c:pt>
                      <c:pt idx="72">
                        <c:v>882</c:v>
                      </c:pt>
                      <c:pt idx="73">
                        <c:v>890</c:v>
                      </c:pt>
                      <c:pt idx="74">
                        <c:v>898</c:v>
                      </c:pt>
                      <c:pt idx="75">
                        <c:v>906</c:v>
                      </c:pt>
                      <c:pt idx="76">
                        <c:v>914</c:v>
                      </c:pt>
                      <c:pt idx="77">
                        <c:v>922</c:v>
                      </c:pt>
                      <c:pt idx="78">
                        <c:v>930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EVALUATION!$B$147:$CP$147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-18.877657657657657</c:v>
                      </c:pt>
                      <c:pt idx="1">
                        <c:v>-18.875255255255254</c:v>
                      </c:pt>
                      <c:pt idx="2">
                        <c:v>-18.872852852852855</c:v>
                      </c:pt>
                      <c:pt idx="3">
                        <c:v>-18.870450450450452</c:v>
                      </c:pt>
                      <c:pt idx="4" formatCode="General">
                        <c:v>-18.875838323353292</c:v>
                      </c:pt>
                      <c:pt idx="5" formatCode="General">
                        <c:v>-18.883023952095808</c:v>
                      </c:pt>
                      <c:pt idx="6" formatCode="General">
                        <c:v>-18.890209580838324</c:v>
                      </c:pt>
                      <c:pt idx="7" formatCode="General">
                        <c:v>-18.897395209580836</c:v>
                      </c:pt>
                      <c:pt idx="8" formatCode="General">
                        <c:v>-18.906107784431136</c:v>
                      </c:pt>
                      <c:pt idx="9" formatCode="General">
                        <c:v>-18.915688622754491</c:v>
                      </c:pt>
                      <c:pt idx="10" formatCode="General">
                        <c:v>-18.925269461077846</c:v>
                      </c:pt>
                      <c:pt idx="11" formatCode="General">
                        <c:v>-18.934850299401198</c:v>
                      </c:pt>
                      <c:pt idx="12" formatCode="General">
                        <c:v>-18.945538922155688</c:v>
                      </c:pt>
                      <c:pt idx="13" formatCode="General">
                        <c:v>-18.957514970059879</c:v>
                      </c:pt>
                      <c:pt idx="14" formatCode="General">
                        <c:v>-18.969491017964071</c:v>
                      </c:pt>
                      <c:pt idx="15" formatCode="General">
                        <c:v>-18.981467065868262</c:v>
                      </c:pt>
                      <c:pt idx="16" formatCode="General">
                        <c:v>-18.993443113772454</c:v>
                      </c:pt>
                      <c:pt idx="17" formatCode="General">
                        <c:v>-19.005419161676645</c:v>
                      </c:pt>
                      <c:pt idx="18" formatCode="General">
                        <c:v>-19.017395209580837</c:v>
                      </c:pt>
                      <c:pt idx="19" formatCode="General">
                        <c:v>-19.029371257485028</c:v>
                      </c:pt>
                      <c:pt idx="20" formatCode="General">
                        <c:v>-19.040808383233532</c:v>
                      </c:pt>
                      <c:pt idx="21" formatCode="General">
                        <c:v>-19.047994011976048</c:v>
                      </c:pt>
                      <c:pt idx="22" formatCode="General">
                        <c:v>-19.055179640718563</c:v>
                      </c:pt>
                      <c:pt idx="23" formatCode="General">
                        <c:v>-19.062365269461079</c:v>
                      </c:pt>
                      <c:pt idx="24" formatCode="General">
                        <c:v>-19.069550898203595</c:v>
                      </c:pt>
                      <c:pt idx="25" formatCode="General">
                        <c:v>-19.045225225225227</c:v>
                      </c:pt>
                      <c:pt idx="26" formatCode="General">
                        <c:v>-19.018798798798798</c:v>
                      </c:pt>
                      <c:pt idx="27" formatCode="General">
                        <c:v>-18.992372372372373</c:v>
                      </c:pt>
                      <c:pt idx="28" formatCode="General">
                        <c:v>-18.965945945945947</c:v>
                      </c:pt>
                      <c:pt idx="29" formatCode="General">
                        <c:v>-18.972994011976049</c:v>
                      </c:pt>
                      <c:pt idx="30" formatCode="General">
                        <c:v>-18.989760479041916</c:v>
                      </c:pt>
                      <c:pt idx="31" formatCode="General">
                        <c:v>-19.006526946107787</c:v>
                      </c:pt>
                      <c:pt idx="32" formatCode="General">
                        <c:v>-19.023293413173654</c:v>
                      </c:pt>
                      <c:pt idx="33" formatCode="General">
                        <c:v>-19.040059880239522</c:v>
                      </c:pt>
                      <c:pt idx="34" formatCode="General">
                        <c:v>-19.056826347305389</c:v>
                      </c:pt>
                      <c:pt idx="35" formatCode="General">
                        <c:v>-19.07359281437126</c:v>
                      </c:pt>
                      <c:pt idx="36" formatCode="General">
                        <c:v>-19.090359281437127</c:v>
                      </c:pt>
                      <c:pt idx="37" formatCode="General">
                        <c:v>-19.107125748502995</c:v>
                      </c:pt>
                      <c:pt idx="38" formatCode="General">
                        <c:v>-19.123892215568866</c:v>
                      </c:pt>
                      <c:pt idx="39" formatCode="General">
                        <c:v>-19.140658682634733</c:v>
                      </c:pt>
                      <c:pt idx="40" formatCode="General">
                        <c:v>-19.1574251497006</c:v>
                      </c:pt>
                      <c:pt idx="41" formatCode="General">
                        <c:v>-19.174191616766468</c:v>
                      </c:pt>
                      <c:pt idx="42" formatCode="General">
                        <c:v>-19.190958083832335</c:v>
                      </c:pt>
                      <c:pt idx="43" formatCode="General">
                        <c:v>-19.207724550898202</c:v>
                      </c:pt>
                      <c:pt idx="44" formatCode="General">
                        <c:v>-19.22449101796407</c:v>
                      </c:pt>
                      <c:pt idx="45" formatCode="General">
                        <c:v>-19.241257485029937</c:v>
                      </c:pt>
                      <c:pt idx="46" formatCode="General">
                        <c:v>-19.258023952095808</c:v>
                      </c:pt>
                      <c:pt idx="47" formatCode="General">
                        <c:v>-19.274790419161675</c:v>
                      </c:pt>
                      <c:pt idx="48" formatCode="General">
                        <c:v>-19.291556886227543</c:v>
                      </c:pt>
                      <c:pt idx="49" formatCode="General">
                        <c:v>-19.30832335329341</c:v>
                      </c:pt>
                      <c:pt idx="50" formatCode="General">
                        <c:v>-19.324022471910112</c:v>
                      </c:pt>
                      <c:pt idx="51" formatCode="General">
                        <c:v>-19.33960299625468</c:v>
                      </c:pt>
                      <c:pt idx="52" formatCode="General">
                        <c:v>-19.355183520599251</c:v>
                      </c:pt>
                      <c:pt idx="53" formatCode="General">
                        <c:v>-19.370764044943819</c:v>
                      </c:pt>
                      <c:pt idx="54" formatCode="General">
                        <c:v>-19.38634456928839</c:v>
                      </c:pt>
                      <c:pt idx="55" formatCode="General">
                        <c:v>-19.401925093632958</c:v>
                      </c:pt>
                      <c:pt idx="56" formatCode="General">
                        <c:v>-19.417505617977529</c:v>
                      </c:pt>
                      <c:pt idx="57" formatCode="General">
                        <c:v>-19.433086142322097</c:v>
                      </c:pt>
                      <c:pt idx="58" formatCode="General">
                        <c:v>-19.448666666666668</c:v>
                      </c:pt>
                      <c:pt idx="59" formatCode="General">
                        <c:v>-19.464247191011236</c:v>
                      </c:pt>
                      <c:pt idx="60" formatCode="General">
                        <c:v>-19.479827715355807</c:v>
                      </c:pt>
                      <c:pt idx="61" formatCode="General">
                        <c:v>-19.495408239700375</c:v>
                      </c:pt>
                      <c:pt idx="62" formatCode="General">
                        <c:v>-19.510988764044942</c:v>
                      </c:pt>
                      <c:pt idx="63" formatCode="General">
                        <c:v>-19.526569288389513</c:v>
                      </c:pt>
                      <c:pt idx="64" formatCode="General">
                        <c:v>-19.542149812734081</c:v>
                      </c:pt>
                      <c:pt idx="65" formatCode="General">
                        <c:v>-19.557730337078652</c:v>
                      </c:pt>
                      <c:pt idx="66" formatCode="General">
                        <c:v>-19.573183520599251</c:v>
                      </c:pt>
                      <c:pt idx="67" formatCode="General">
                        <c:v>-19.58816479400749</c:v>
                      </c:pt>
                      <c:pt idx="68" formatCode="General">
                        <c:v>-19.603146067415732</c:v>
                      </c:pt>
                      <c:pt idx="69" formatCode="General">
                        <c:v>-19.618127340823971</c:v>
                      </c:pt>
                      <c:pt idx="70" formatCode="General">
                        <c:v>-19.63310861423221</c:v>
                      </c:pt>
                      <c:pt idx="71" formatCode="General">
                        <c:v>-19.648089887640449</c:v>
                      </c:pt>
                      <c:pt idx="72" formatCode="General">
                        <c:v>-19.663071161048691</c:v>
                      </c:pt>
                      <c:pt idx="73" formatCode="General">
                        <c:v>-19.67805243445693</c:v>
                      </c:pt>
                      <c:pt idx="74" formatCode="General">
                        <c:v>-19.693033707865169</c:v>
                      </c:pt>
                      <c:pt idx="75" formatCode="General">
                        <c:v>-19.708014981273408</c:v>
                      </c:pt>
                      <c:pt idx="76" formatCode="General">
                        <c:v>-19.722996254681647</c:v>
                      </c:pt>
                      <c:pt idx="77" formatCode="General">
                        <c:v>-19.737977528089889</c:v>
                      </c:pt>
                      <c:pt idx="78" formatCode="General">
                        <c:v>-19.752958801498128</c:v>
                      </c:pt>
                      <c:pt idx="79" formatCode="General">
                        <c:v>-19.767940074906367</c:v>
                      </c:pt>
                      <c:pt idx="80" formatCode="General">
                        <c:v>-19.782921348314606</c:v>
                      </c:pt>
                      <c:pt idx="81" formatCode="General">
                        <c:v>-19.797902621722848</c:v>
                      </c:pt>
                      <c:pt idx="82" formatCode="General">
                        <c:v>-19.812883895131087</c:v>
                      </c:pt>
                      <c:pt idx="83" formatCode="General">
                        <c:v>-19.827252252252254</c:v>
                      </c:pt>
                      <c:pt idx="84" formatCode="General">
                        <c:v>-19.841066066066066</c:v>
                      </c:pt>
                      <c:pt idx="85" formatCode="General">
                        <c:v>-19.854879879879881</c:v>
                      </c:pt>
                      <c:pt idx="86" formatCode="General">
                        <c:v>-19.868693693693693</c:v>
                      </c:pt>
                      <c:pt idx="87" formatCode="General">
                        <c:v>-28.733663366336632</c:v>
                      </c:pt>
                      <c:pt idx="88" formatCode="General">
                        <c:v>-28.828712871287127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0-60C8-4A98-A947-234019680B74}"/>
                  </c:ext>
                </c:extLst>
              </c15:ser>
            </c15:filteredScatterSeries>
            <c15:filteredScatterSeries>
              <c15:ser>
                <c:idx val="46"/>
                <c:order val="47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306</c:v>
                      </c:pt>
                      <c:pt idx="1">
                        <c:v>314</c:v>
                      </c:pt>
                      <c:pt idx="2">
                        <c:v>322</c:v>
                      </c:pt>
                      <c:pt idx="3">
                        <c:v>330</c:v>
                      </c:pt>
                      <c:pt idx="4">
                        <c:v>338</c:v>
                      </c:pt>
                      <c:pt idx="5">
                        <c:v>346</c:v>
                      </c:pt>
                      <c:pt idx="6">
                        <c:v>354</c:v>
                      </c:pt>
                      <c:pt idx="7">
                        <c:v>362</c:v>
                      </c:pt>
                      <c:pt idx="8">
                        <c:v>370</c:v>
                      </c:pt>
                      <c:pt idx="9">
                        <c:v>378</c:v>
                      </c:pt>
                      <c:pt idx="10">
                        <c:v>386</c:v>
                      </c:pt>
                      <c:pt idx="11">
                        <c:v>394</c:v>
                      </c:pt>
                      <c:pt idx="12">
                        <c:v>402</c:v>
                      </c:pt>
                      <c:pt idx="13">
                        <c:v>410</c:v>
                      </c:pt>
                      <c:pt idx="14">
                        <c:v>418</c:v>
                      </c:pt>
                      <c:pt idx="15">
                        <c:v>426</c:v>
                      </c:pt>
                      <c:pt idx="16">
                        <c:v>434</c:v>
                      </c:pt>
                      <c:pt idx="17">
                        <c:v>442</c:v>
                      </c:pt>
                      <c:pt idx="18">
                        <c:v>450</c:v>
                      </c:pt>
                      <c:pt idx="19">
                        <c:v>458</c:v>
                      </c:pt>
                      <c:pt idx="20">
                        <c:v>466</c:v>
                      </c:pt>
                      <c:pt idx="21">
                        <c:v>474</c:v>
                      </c:pt>
                      <c:pt idx="22">
                        <c:v>482</c:v>
                      </c:pt>
                      <c:pt idx="23">
                        <c:v>490</c:v>
                      </c:pt>
                      <c:pt idx="24">
                        <c:v>498</c:v>
                      </c:pt>
                      <c:pt idx="25">
                        <c:v>506</c:v>
                      </c:pt>
                      <c:pt idx="26">
                        <c:v>514</c:v>
                      </c:pt>
                      <c:pt idx="27">
                        <c:v>522</c:v>
                      </c:pt>
                      <c:pt idx="28">
                        <c:v>530</c:v>
                      </c:pt>
                      <c:pt idx="29">
                        <c:v>538</c:v>
                      </c:pt>
                      <c:pt idx="30">
                        <c:v>546</c:v>
                      </c:pt>
                      <c:pt idx="31">
                        <c:v>554</c:v>
                      </c:pt>
                      <c:pt idx="32">
                        <c:v>562</c:v>
                      </c:pt>
                      <c:pt idx="33">
                        <c:v>570</c:v>
                      </c:pt>
                      <c:pt idx="34">
                        <c:v>578</c:v>
                      </c:pt>
                      <c:pt idx="35">
                        <c:v>586</c:v>
                      </c:pt>
                      <c:pt idx="36">
                        <c:v>594</c:v>
                      </c:pt>
                      <c:pt idx="37">
                        <c:v>602</c:v>
                      </c:pt>
                      <c:pt idx="38">
                        <c:v>610</c:v>
                      </c:pt>
                      <c:pt idx="39">
                        <c:v>618</c:v>
                      </c:pt>
                      <c:pt idx="40">
                        <c:v>626</c:v>
                      </c:pt>
                      <c:pt idx="41">
                        <c:v>634</c:v>
                      </c:pt>
                      <c:pt idx="42">
                        <c:v>642</c:v>
                      </c:pt>
                      <c:pt idx="43">
                        <c:v>650</c:v>
                      </c:pt>
                      <c:pt idx="44">
                        <c:v>658</c:v>
                      </c:pt>
                      <c:pt idx="45">
                        <c:v>666</c:v>
                      </c:pt>
                      <c:pt idx="46">
                        <c:v>674</c:v>
                      </c:pt>
                      <c:pt idx="47">
                        <c:v>682</c:v>
                      </c:pt>
                      <c:pt idx="48">
                        <c:v>690</c:v>
                      </c:pt>
                      <c:pt idx="49">
                        <c:v>698</c:v>
                      </c:pt>
                      <c:pt idx="50">
                        <c:v>706</c:v>
                      </c:pt>
                      <c:pt idx="51">
                        <c:v>714</c:v>
                      </c:pt>
                      <c:pt idx="52">
                        <c:v>722</c:v>
                      </c:pt>
                      <c:pt idx="53">
                        <c:v>730</c:v>
                      </c:pt>
                      <c:pt idx="54">
                        <c:v>738</c:v>
                      </c:pt>
                      <c:pt idx="55">
                        <c:v>746</c:v>
                      </c:pt>
                      <c:pt idx="56">
                        <c:v>754</c:v>
                      </c:pt>
                      <c:pt idx="57">
                        <c:v>762</c:v>
                      </c:pt>
                      <c:pt idx="58">
                        <c:v>770</c:v>
                      </c:pt>
                      <c:pt idx="59">
                        <c:v>778</c:v>
                      </c:pt>
                      <c:pt idx="60">
                        <c:v>786</c:v>
                      </c:pt>
                      <c:pt idx="61">
                        <c:v>794</c:v>
                      </c:pt>
                      <c:pt idx="62">
                        <c:v>802</c:v>
                      </c:pt>
                      <c:pt idx="63">
                        <c:v>810</c:v>
                      </c:pt>
                      <c:pt idx="64">
                        <c:v>818</c:v>
                      </c:pt>
                      <c:pt idx="65">
                        <c:v>826</c:v>
                      </c:pt>
                      <c:pt idx="66">
                        <c:v>834</c:v>
                      </c:pt>
                      <c:pt idx="67">
                        <c:v>842</c:v>
                      </c:pt>
                      <c:pt idx="68">
                        <c:v>850</c:v>
                      </c:pt>
                      <c:pt idx="69">
                        <c:v>858</c:v>
                      </c:pt>
                      <c:pt idx="70">
                        <c:v>866</c:v>
                      </c:pt>
                      <c:pt idx="71">
                        <c:v>874</c:v>
                      </c:pt>
                      <c:pt idx="72">
                        <c:v>882</c:v>
                      </c:pt>
                      <c:pt idx="73">
                        <c:v>890</c:v>
                      </c:pt>
                      <c:pt idx="74">
                        <c:v>898</c:v>
                      </c:pt>
                      <c:pt idx="75">
                        <c:v>906</c:v>
                      </c:pt>
                      <c:pt idx="76">
                        <c:v>914</c:v>
                      </c:pt>
                      <c:pt idx="77">
                        <c:v>922</c:v>
                      </c:pt>
                      <c:pt idx="78">
                        <c:v>930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EVALUATION!$B$148:$CP$148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-59.157387387387388</c:v>
                      </c:pt>
                      <c:pt idx="1">
                        <c:v>-57.482912912912909</c:v>
                      </c:pt>
                      <c:pt idx="2">
                        <c:v>-55.808438438438436</c:v>
                      </c:pt>
                      <c:pt idx="3">
                        <c:v>-54.133963963963964</c:v>
                      </c:pt>
                      <c:pt idx="4" formatCode="General">
                        <c:v>-52.494700598802396</c:v>
                      </c:pt>
                      <c:pt idx="5" formatCode="General">
                        <c:v>-50.863562874251492</c:v>
                      </c:pt>
                      <c:pt idx="6" formatCode="General">
                        <c:v>-49.232425149700596</c:v>
                      </c:pt>
                      <c:pt idx="7" formatCode="General">
                        <c:v>-47.601287425149692</c:v>
                      </c:pt>
                      <c:pt idx="8" formatCode="General">
                        <c:v>-46.077035928143708</c:v>
                      </c:pt>
                      <c:pt idx="9" formatCode="General">
                        <c:v>-44.613562874251492</c:v>
                      </c:pt>
                      <c:pt idx="10" formatCode="General">
                        <c:v>-43.150089820359277</c:v>
                      </c:pt>
                      <c:pt idx="11" formatCode="General">
                        <c:v>-41.686616766467068</c:v>
                      </c:pt>
                      <c:pt idx="12" formatCode="General">
                        <c:v>-40.325059880239522</c:v>
                      </c:pt>
                      <c:pt idx="13" formatCode="General">
                        <c:v>-39.081946107784432</c:v>
                      </c:pt>
                      <c:pt idx="14" formatCode="General">
                        <c:v>-37.838832335329343</c:v>
                      </c:pt>
                      <c:pt idx="15" formatCode="General">
                        <c:v>-36.595718562874254</c:v>
                      </c:pt>
                      <c:pt idx="16" formatCode="General">
                        <c:v>-35.412514970059881</c:v>
                      </c:pt>
                      <c:pt idx="17" formatCode="General">
                        <c:v>-34.377784431137727</c:v>
                      </c:pt>
                      <c:pt idx="18" formatCode="General">
                        <c:v>-33.343053892215572</c:v>
                      </c:pt>
                      <c:pt idx="19" formatCode="General">
                        <c:v>-32.308323353293417</c:v>
                      </c:pt>
                      <c:pt idx="20" formatCode="General">
                        <c:v>-31.289491017964075</c:v>
                      </c:pt>
                      <c:pt idx="21" formatCode="General">
                        <c:v>-30.396077844311378</c:v>
                      </c:pt>
                      <c:pt idx="22" formatCode="General">
                        <c:v>-29.502664670658685</c:v>
                      </c:pt>
                      <c:pt idx="23" formatCode="General">
                        <c:v>-28.609251497005989</c:v>
                      </c:pt>
                      <c:pt idx="24" formatCode="General">
                        <c:v>-27.715838323353292</c:v>
                      </c:pt>
                      <c:pt idx="25" formatCode="General">
                        <c:v>-27.464054054054053</c:v>
                      </c:pt>
                      <c:pt idx="26" formatCode="General">
                        <c:v>-27.255045045045044</c:v>
                      </c:pt>
                      <c:pt idx="27" formatCode="General">
                        <c:v>-27.046036036036035</c:v>
                      </c:pt>
                      <c:pt idx="28" formatCode="General">
                        <c:v>-26.837027027027027</c:v>
                      </c:pt>
                      <c:pt idx="29" formatCode="General">
                        <c:v>-27.03502994011976</c:v>
                      </c:pt>
                      <c:pt idx="30" formatCode="General">
                        <c:v>-27.351197604790418</c:v>
                      </c:pt>
                      <c:pt idx="31" formatCode="General">
                        <c:v>-27.667365269461076</c:v>
                      </c:pt>
                      <c:pt idx="32" formatCode="General">
                        <c:v>-27.983532934131734</c:v>
                      </c:pt>
                      <c:pt idx="33" formatCode="General">
                        <c:v>-28.296826347305387</c:v>
                      </c:pt>
                      <c:pt idx="34" formatCode="General">
                        <c:v>-28.60820359281437</c:v>
                      </c:pt>
                      <c:pt idx="35" formatCode="General">
                        <c:v>-28.919580838323352</c:v>
                      </c:pt>
                      <c:pt idx="36" formatCode="General">
                        <c:v>-29.230958083832334</c:v>
                      </c:pt>
                      <c:pt idx="37" formatCode="General">
                        <c:v>-29.540299401197604</c:v>
                      </c:pt>
                      <c:pt idx="38" formatCode="General">
                        <c:v>-29.84688622754491</c:v>
                      </c:pt>
                      <c:pt idx="39" formatCode="General">
                        <c:v>-30.153473053892217</c:v>
                      </c:pt>
                      <c:pt idx="40" formatCode="General">
                        <c:v>-30.460059880239523</c:v>
                      </c:pt>
                      <c:pt idx="41" formatCode="General">
                        <c:v>-30.7648502994012</c:v>
                      </c:pt>
                      <c:pt idx="42" formatCode="General">
                        <c:v>-31.064251497005991</c:v>
                      </c:pt>
                      <c:pt idx="43" formatCode="General">
                        <c:v>-31.363652694610781</c:v>
                      </c:pt>
                      <c:pt idx="44" formatCode="General">
                        <c:v>-31.663053892215572</c:v>
                      </c:pt>
                      <c:pt idx="45" formatCode="General">
                        <c:v>-31.961916167664672</c:v>
                      </c:pt>
                      <c:pt idx="46" formatCode="General">
                        <c:v>-32.254131736526951</c:v>
                      </c:pt>
                      <c:pt idx="47" formatCode="General">
                        <c:v>-32.546347305389219</c:v>
                      </c:pt>
                      <c:pt idx="48" formatCode="General">
                        <c:v>-32.838562874251494</c:v>
                      </c:pt>
                      <c:pt idx="49" formatCode="General">
                        <c:v>-33.130778443113769</c:v>
                      </c:pt>
                      <c:pt idx="50" formatCode="General">
                        <c:v>-33.403235955056175</c:v>
                      </c:pt>
                      <c:pt idx="51" formatCode="General">
                        <c:v>-33.673498127340821</c:v>
                      </c:pt>
                      <c:pt idx="52" formatCode="General">
                        <c:v>-33.943760299625467</c:v>
                      </c:pt>
                      <c:pt idx="53" formatCode="General">
                        <c:v>-34.214022471910113</c:v>
                      </c:pt>
                      <c:pt idx="54" formatCode="General">
                        <c:v>-34.484284644194759</c:v>
                      </c:pt>
                      <c:pt idx="55" formatCode="General">
                        <c:v>-34.754546816479397</c:v>
                      </c:pt>
                      <c:pt idx="56" formatCode="General">
                        <c:v>-35.024808988764043</c:v>
                      </c:pt>
                      <c:pt idx="57" formatCode="General">
                        <c:v>-35.295071161048689</c:v>
                      </c:pt>
                      <c:pt idx="58" formatCode="General">
                        <c:v>-35.565333333333335</c:v>
                      </c:pt>
                      <c:pt idx="59" formatCode="General">
                        <c:v>-35.835595505617981</c:v>
                      </c:pt>
                      <c:pt idx="60" formatCode="General">
                        <c:v>-36.10585767790262</c:v>
                      </c:pt>
                      <c:pt idx="61" formatCode="General">
                        <c:v>-36.376119850187266</c:v>
                      </c:pt>
                      <c:pt idx="62" formatCode="General">
                        <c:v>-36.646382022471911</c:v>
                      </c:pt>
                      <c:pt idx="63" formatCode="General">
                        <c:v>-36.916644194756557</c:v>
                      </c:pt>
                      <c:pt idx="64" formatCode="General">
                        <c:v>-37.186906367041203</c:v>
                      </c:pt>
                      <c:pt idx="65" formatCode="General">
                        <c:v>-37.457168539325849</c:v>
                      </c:pt>
                      <c:pt idx="66" formatCode="General">
                        <c:v>-37.717880149812736</c:v>
                      </c:pt>
                      <c:pt idx="67" formatCode="General">
                        <c:v>-37.943198501872665</c:v>
                      </c:pt>
                      <c:pt idx="68" formatCode="General">
                        <c:v>-38.168516853932587</c:v>
                      </c:pt>
                      <c:pt idx="69" formatCode="General">
                        <c:v>-38.393835205992509</c:v>
                      </c:pt>
                      <c:pt idx="70" formatCode="General">
                        <c:v>-38.619153558052439</c:v>
                      </c:pt>
                      <c:pt idx="71" formatCode="General">
                        <c:v>-38.844471910112361</c:v>
                      </c:pt>
                      <c:pt idx="72" formatCode="General">
                        <c:v>-39.06979026217229</c:v>
                      </c:pt>
                      <c:pt idx="73" formatCode="General">
                        <c:v>-39.295108614232213</c:v>
                      </c:pt>
                      <c:pt idx="74" formatCode="General">
                        <c:v>-39.520426966292135</c:v>
                      </c:pt>
                      <c:pt idx="75" formatCode="General">
                        <c:v>-39.745745318352064</c:v>
                      </c:pt>
                      <c:pt idx="76" formatCode="General">
                        <c:v>-39.971063670411986</c:v>
                      </c:pt>
                      <c:pt idx="77" formatCode="General">
                        <c:v>-40.196382022471909</c:v>
                      </c:pt>
                      <c:pt idx="78" formatCode="General">
                        <c:v>-40.421700374531838</c:v>
                      </c:pt>
                      <c:pt idx="79" formatCode="General">
                        <c:v>-40.64701872659176</c:v>
                      </c:pt>
                      <c:pt idx="80" formatCode="General">
                        <c:v>-40.87233707865169</c:v>
                      </c:pt>
                      <c:pt idx="81" formatCode="General">
                        <c:v>-41.097655430711612</c:v>
                      </c:pt>
                      <c:pt idx="82" formatCode="General">
                        <c:v>-41.322973782771534</c:v>
                      </c:pt>
                      <c:pt idx="83" formatCode="General">
                        <c:v>-41.521441441441439</c:v>
                      </c:pt>
                      <c:pt idx="84" formatCode="General">
                        <c:v>-41.695615615615615</c:v>
                      </c:pt>
                      <c:pt idx="85" formatCode="General">
                        <c:v>-41.869789789789792</c:v>
                      </c:pt>
                      <c:pt idx="86" formatCode="General">
                        <c:v>-42.043963963963961</c:v>
                      </c:pt>
                      <c:pt idx="87" formatCode="General">
                        <c:v>-28.733663366336632</c:v>
                      </c:pt>
                      <c:pt idx="88" formatCode="General">
                        <c:v>-28.828712871287127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1-60C8-4A98-A947-234019680B74}"/>
                  </c:ext>
                </c:extLst>
              </c15:ser>
            </c15:filteredScatterSeries>
            <c15:filteredScatterSeries>
              <c15:ser>
                <c:idx val="47"/>
                <c:order val="48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306</c:v>
                      </c:pt>
                      <c:pt idx="1">
                        <c:v>314</c:v>
                      </c:pt>
                      <c:pt idx="2">
                        <c:v>322</c:v>
                      </c:pt>
                      <c:pt idx="3">
                        <c:v>330</c:v>
                      </c:pt>
                      <c:pt idx="4">
                        <c:v>338</c:v>
                      </c:pt>
                      <c:pt idx="5">
                        <c:v>346</c:v>
                      </c:pt>
                      <c:pt idx="6">
                        <c:v>354</c:v>
                      </c:pt>
                      <c:pt idx="7">
                        <c:v>362</c:v>
                      </c:pt>
                      <c:pt idx="8">
                        <c:v>370</c:v>
                      </c:pt>
                      <c:pt idx="9">
                        <c:v>378</c:v>
                      </c:pt>
                      <c:pt idx="10">
                        <c:v>386</c:v>
                      </c:pt>
                      <c:pt idx="11">
                        <c:v>394</c:v>
                      </c:pt>
                      <c:pt idx="12">
                        <c:v>402</c:v>
                      </c:pt>
                      <c:pt idx="13">
                        <c:v>410</c:v>
                      </c:pt>
                      <c:pt idx="14">
                        <c:v>418</c:v>
                      </c:pt>
                      <c:pt idx="15">
                        <c:v>426</c:v>
                      </c:pt>
                      <c:pt idx="16">
                        <c:v>434</c:v>
                      </c:pt>
                      <c:pt idx="17">
                        <c:v>442</c:v>
                      </c:pt>
                      <c:pt idx="18">
                        <c:v>450</c:v>
                      </c:pt>
                      <c:pt idx="19">
                        <c:v>458</c:v>
                      </c:pt>
                      <c:pt idx="20">
                        <c:v>466</c:v>
                      </c:pt>
                      <c:pt idx="21">
                        <c:v>474</c:v>
                      </c:pt>
                      <c:pt idx="22">
                        <c:v>482</c:v>
                      </c:pt>
                      <c:pt idx="23">
                        <c:v>490</c:v>
                      </c:pt>
                      <c:pt idx="24">
                        <c:v>498</c:v>
                      </c:pt>
                      <c:pt idx="25">
                        <c:v>506</c:v>
                      </c:pt>
                      <c:pt idx="26">
                        <c:v>514</c:v>
                      </c:pt>
                      <c:pt idx="27">
                        <c:v>522</c:v>
                      </c:pt>
                      <c:pt idx="28">
                        <c:v>530</c:v>
                      </c:pt>
                      <c:pt idx="29">
                        <c:v>538</c:v>
                      </c:pt>
                      <c:pt idx="30">
                        <c:v>546</c:v>
                      </c:pt>
                      <c:pt idx="31">
                        <c:v>554</c:v>
                      </c:pt>
                      <c:pt idx="32">
                        <c:v>562</c:v>
                      </c:pt>
                      <c:pt idx="33">
                        <c:v>570</c:v>
                      </c:pt>
                      <c:pt idx="34">
                        <c:v>578</c:v>
                      </c:pt>
                      <c:pt idx="35">
                        <c:v>586</c:v>
                      </c:pt>
                      <c:pt idx="36">
                        <c:v>594</c:v>
                      </c:pt>
                      <c:pt idx="37">
                        <c:v>602</c:v>
                      </c:pt>
                      <c:pt idx="38">
                        <c:v>610</c:v>
                      </c:pt>
                      <c:pt idx="39">
                        <c:v>618</c:v>
                      </c:pt>
                      <c:pt idx="40">
                        <c:v>626</c:v>
                      </c:pt>
                      <c:pt idx="41">
                        <c:v>634</c:v>
                      </c:pt>
                      <c:pt idx="42">
                        <c:v>642</c:v>
                      </c:pt>
                      <c:pt idx="43">
                        <c:v>650</c:v>
                      </c:pt>
                      <c:pt idx="44">
                        <c:v>658</c:v>
                      </c:pt>
                      <c:pt idx="45">
                        <c:v>666</c:v>
                      </c:pt>
                      <c:pt idx="46">
                        <c:v>674</c:v>
                      </c:pt>
                      <c:pt idx="47">
                        <c:v>682</c:v>
                      </c:pt>
                      <c:pt idx="48">
                        <c:v>690</c:v>
                      </c:pt>
                      <c:pt idx="49">
                        <c:v>698</c:v>
                      </c:pt>
                      <c:pt idx="50">
                        <c:v>706</c:v>
                      </c:pt>
                      <c:pt idx="51">
                        <c:v>714</c:v>
                      </c:pt>
                      <c:pt idx="52">
                        <c:v>722</c:v>
                      </c:pt>
                      <c:pt idx="53">
                        <c:v>730</c:v>
                      </c:pt>
                      <c:pt idx="54">
                        <c:v>738</c:v>
                      </c:pt>
                      <c:pt idx="55">
                        <c:v>746</c:v>
                      </c:pt>
                      <c:pt idx="56">
                        <c:v>754</c:v>
                      </c:pt>
                      <c:pt idx="57">
                        <c:v>762</c:v>
                      </c:pt>
                      <c:pt idx="58">
                        <c:v>770</c:v>
                      </c:pt>
                      <c:pt idx="59">
                        <c:v>778</c:v>
                      </c:pt>
                      <c:pt idx="60">
                        <c:v>786</c:v>
                      </c:pt>
                      <c:pt idx="61">
                        <c:v>794</c:v>
                      </c:pt>
                      <c:pt idx="62">
                        <c:v>802</c:v>
                      </c:pt>
                      <c:pt idx="63">
                        <c:v>810</c:v>
                      </c:pt>
                      <c:pt idx="64">
                        <c:v>818</c:v>
                      </c:pt>
                      <c:pt idx="65">
                        <c:v>826</c:v>
                      </c:pt>
                      <c:pt idx="66">
                        <c:v>834</c:v>
                      </c:pt>
                      <c:pt idx="67">
                        <c:v>842</c:v>
                      </c:pt>
                      <c:pt idx="68">
                        <c:v>850</c:v>
                      </c:pt>
                      <c:pt idx="69">
                        <c:v>858</c:v>
                      </c:pt>
                      <c:pt idx="70">
                        <c:v>866</c:v>
                      </c:pt>
                      <c:pt idx="71">
                        <c:v>874</c:v>
                      </c:pt>
                      <c:pt idx="72">
                        <c:v>882</c:v>
                      </c:pt>
                      <c:pt idx="73">
                        <c:v>890</c:v>
                      </c:pt>
                      <c:pt idx="74">
                        <c:v>898</c:v>
                      </c:pt>
                      <c:pt idx="75">
                        <c:v>906</c:v>
                      </c:pt>
                      <c:pt idx="76">
                        <c:v>914</c:v>
                      </c:pt>
                      <c:pt idx="77">
                        <c:v>922</c:v>
                      </c:pt>
                      <c:pt idx="78">
                        <c:v>930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EVALUATION!$B$149:$CP$149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-15.512792792792792</c:v>
                      </c:pt>
                      <c:pt idx="1">
                        <c:v>-15.013093093093092</c:v>
                      </c:pt>
                      <c:pt idx="2">
                        <c:v>-14.513393393393393</c:v>
                      </c:pt>
                      <c:pt idx="3">
                        <c:v>-14.013693693693693</c:v>
                      </c:pt>
                      <c:pt idx="4" formatCode="General">
                        <c:v>-13.456826347305389</c:v>
                      </c:pt>
                      <c:pt idx="5" formatCode="General">
                        <c:v>-12.886766467065867</c:v>
                      </c:pt>
                      <c:pt idx="6" formatCode="General">
                        <c:v>-12.316706586826346</c:v>
                      </c:pt>
                      <c:pt idx="7" formatCode="General">
                        <c:v>-11.746646706586823</c:v>
                      </c:pt>
                      <c:pt idx="8" formatCode="General">
                        <c:v>-11.204988023952094</c:v>
                      </c:pt>
                      <c:pt idx="9" formatCode="General">
                        <c:v>-10.679479041916167</c:v>
                      </c:pt>
                      <c:pt idx="10" formatCode="General">
                        <c:v>-10.153970059880239</c:v>
                      </c:pt>
                      <c:pt idx="11" formatCode="General">
                        <c:v>-9.628461077844312</c:v>
                      </c:pt>
                      <c:pt idx="12" formatCode="General">
                        <c:v>-9.1539101796407198</c:v>
                      </c:pt>
                      <c:pt idx="13" formatCode="General">
                        <c:v>-8.7385808383233528</c:v>
                      </c:pt>
                      <c:pt idx="14" formatCode="General">
                        <c:v>-8.3232514970059874</c:v>
                      </c:pt>
                      <c:pt idx="15" formatCode="General">
                        <c:v>-7.9079221556886221</c:v>
                      </c:pt>
                      <c:pt idx="16" formatCode="General">
                        <c:v>-7.5390748502994009</c:v>
                      </c:pt>
                      <c:pt idx="17" formatCode="General">
                        <c:v>-7.2854221556886225</c:v>
                      </c:pt>
                      <c:pt idx="18" formatCode="General">
                        <c:v>-7.031769461077845</c:v>
                      </c:pt>
                      <c:pt idx="19" formatCode="General">
                        <c:v>-6.7781167664670665</c:v>
                      </c:pt>
                      <c:pt idx="20" formatCode="General">
                        <c:v>-6.5428413173652693</c:v>
                      </c:pt>
                      <c:pt idx="21" formatCode="General">
                        <c:v>-6.4525419161676645</c:v>
                      </c:pt>
                      <c:pt idx="22" formatCode="General">
                        <c:v>-6.3622425149700597</c:v>
                      </c:pt>
                      <c:pt idx="23" formatCode="General">
                        <c:v>-6.2719431137724548</c:v>
                      </c:pt>
                      <c:pt idx="24" formatCode="General">
                        <c:v>-6.18164371257485</c:v>
                      </c:pt>
                      <c:pt idx="25" formatCode="General">
                        <c:v>-6.3239729729729737</c:v>
                      </c:pt>
                      <c:pt idx="26" formatCode="General">
                        <c:v>-6.4818108108108117</c:v>
                      </c:pt>
                      <c:pt idx="27" formatCode="General">
                        <c:v>-6.6396486486486497</c:v>
                      </c:pt>
                      <c:pt idx="28" formatCode="General">
                        <c:v>-6.7974864864864877</c:v>
                      </c:pt>
                      <c:pt idx="29" formatCode="General">
                        <c:v>-6.8348562874251497</c:v>
                      </c:pt>
                      <c:pt idx="30" formatCode="General">
                        <c:v>-6.8372514970059886</c:v>
                      </c:pt>
                      <c:pt idx="31" formatCode="General">
                        <c:v>-6.8396467065868265</c:v>
                      </c:pt>
                      <c:pt idx="32" formatCode="General">
                        <c:v>-6.8420419161676644</c:v>
                      </c:pt>
                      <c:pt idx="33" formatCode="General">
                        <c:v>-6.8517664670658682</c:v>
                      </c:pt>
                      <c:pt idx="34" formatCode="General">
                        <c:v>-6.866377245508982</c:v>
                      </c:pt>
                      <c:pt idx="35" formatCode="General">
                        <c:v>-6.8809880239520957</c:v>
                      </c:pt>
                      <c:pt idx="36" formatCode="General">
                        <c:v>-6.8955988023952095</c:v>
                      </c:pt>
                      <c:pt idx="37" formatCode="General">
                        <c:v>-6.911838323353293</c:v>
                      </c:pt>
                      <c:pt idx="38" formatCode="General">
                        <c:v>-6.930281437125748</c:v>
                      </c:pt>
                      <c:pt idx="39" formatCode="General">
                        <c:v>-6.9487245508982038</c:v>
                      </c:pt>
                      <c:pt idx="40" formatCode="General">
                        <c:v>-6.9671676646706588</c:v>
                      </c:pt>
                      <c:pt idx="41" formatCode="General">
                        <c:v>-6.9858502994011973</c:v>
                      </c:pt>
                      <c:pt idx="42" formatCode="General">
                        <c:v>-7.0052514970059878</c:v>
                      </c:pt>
                      <c:pt idx="43" formatCode="General">
                        <c:v>-7.0246526946107783</c:v>
                      </c:pt>
                      <c:pt idx="44" formatCode="General">
                        <c:v>-7.0440538922155689</c:v>
                      </c:pt>
                      <c:pt idx="45" formatCode="General">
                        <c:v>-7.0634550898203594</c:v>
                      </c:pt>
                      <c:pt idx="46" formatCode="General">
                        <c:v>-7.0828562874251499</c:v>
                      </c:pt>
                      <c:pt idx="47" formatCode="General">
                        <c:v>-7.1022574850299405</c:v>
                      </c:pt>
                      <c:pt idx="48" formatCode="General">
                        <c:v>-7.1216586826347301</c:v>
                      </c:pt>
                      <c:pt idx="49" formatCode="General">
                        <c:v>-7.1410598802395207</c:v>
                      </c:pt>
                      <c:pt idx="50" formatCode="General">
                        <c:v>-7.1602584269662923</c:v>
                      </c:pt>
                      <c:pt idx="51" formatCode="General">
                        <c:v>-7.1794344569288393</c:v>
                      </c:pt>
                      <c:pt idx="52" formatCode="General">
                        <c:v>-7.1986104868913854</c:v>
                      </c:pt>
                      <c:pt idx="53" formatCode="General">
                        <c:v>-7.2177865168539324</c:v>
                      </c:pt>
                      <c:pt idx="54" formatCode="General">
                        <c:v>-7.2369625468164793</c:v>
                      </c:pt>
                      <c:pt idx="55" formatCode="General">
                        <c:v>-7.2561385767790263</c:v>
                      </c:pt>
                      <c:pt idx="56" formatCode="General">
                        <c:v>-7.2753146067415733</c:v>
                      </c:pt>
                      <c:pt idx="57" formatCode="General">
                        <c:v>-7.2944906367041202</c:v>
                      </c:pt>
                      <c:pt idx="58" formatCode="General">
                        <c:v>-7.3136666666666663</c:v>
                      </c:pt>
                      <c:pt idx="59" formatCode="General">
                        <c:v>-7.3328426966292133</c:v>
                      </c:pt>
                      <c:pt idx="60" formatCode="General">
                        <c:v>-7.3520187265917603</c:v>
                      </c:pt>
                      <c:pt idx="61" formatCode="General">
                        <c:v>-7.3711947565543072</c:v>
                      </c:pt>
                      <c:pt idx="62" formatCode="General">
                        <c:v>-7.3903707865168542</c:v>
                      </c:pt>
                      <c:pt idx="63" formatCode="General">
                        <c:v>-7.4095468164794012</c:v>
                      </c:pt>
                      <c:pt idx="64" formatCode="General">
                        <c:v>-7.4287228464419481</c:v>
                      </c:pt>
                      <c:pt idx="65" formatCode="General">
                        <c:v>-7.4478988764044942</c:v>
                      </c:pt>
                      <c:pt idx="66" formatCode="General">
                        <c:v>-7.4668456928838953</c:v>
                      </c:pt>
                      <c:pt idx="67" formatCode="General">
                        <c:v>-7.484943071161049</c:v>
                      </c:pt>
                      <c:pt idx="68" formatCode="General">
                        <c:v>-7.5030404494382026</c:v>
                      </c:pt>
                      <c:pt idx="69" formatCode="General">
                        <c:v>-7.5211378277153562</c:v>
                      </c:pt>
                      <c:pt idx="70" formatCode="General">
                        <c:v>-7.5392352059925098</c:v>
                      </c:pt>
                      <c:pt idx="71" formatCode="General">
                        <c:v>-7.5573325842696626</c:v>
                      </c:pt>
                      <c:pt idx="72" formatCode="General">
                        <c:v>-7.5754299625468162</c:v>
                      </c:pt>
                      <c:pt idx="73" formatCode="General">
                        <c:v>-7.5935273408239699</c:v>
                      </c:pt>
                      <c:pt idx="74" formatCode="General">
                        <c:v>-7.6116247191011235</c:v>
                      </c:pt>
                      <c:pt idx="75" formatCode="General">
                        <c:v>-7.6297220973782771</c:v>
                      </c:pt>
                      <c:pt idx="76" formatCode="General">
                        <c:v>-7.6478194756554307</c:v>
                      </c:pt>
                      <c:pt idx="77" formatCode="General">
                        <c:v>-7.6659168539325844</c:v>
                      </c:pt>
                      <c:pt idx="78" formatCode="General">
                        <c:v>-7.684014232209738</c:v>
                      </c:pt>
                      <c:pt idx="79" formatCode="General">
                        <c:v>-7.7021116104868916</c:v>
                      </c:pt>
                      <c:pt idx="80" formatCode="General">
                        <c:v>-7.7202089887640444</c:v>
                      </c:pt>
                      <c:pt idx="81" formatCode="General">
                        <c:v>-7.738306367041198</c:v>
                      </c:pt>
                      <c:pt idx="82" formatCode="General">
                        <c:v>-7.7564037453183516</c:v>
                      </c:pt>
                      <c:pt idx="83" formatCode="General">
                        <c:v>-7.7739234234234234</c:v>
                      </c:pt>
                      <c:pt idx="84" formatCode="General">
                        <c:v>-7.7909204204204201</c:v>
                      </c:pt>
                      <c:pt idx="85" formatCode="General">
                        <c:v>-7.8079174174174168</c:v>
                      </c:pt>
                      <c:pt idx="86" formatCode="General">
                        <c:v>-7.8249144144144145</c:v>
                      </c:pt>
                      <c:pt idx="87" formatCode="General">
                        <c:v>-28.733663366336632</c:v>
                      </c:pt>
                      <c:pt idx="88" formatCode="General">
                        <c:v>-28.828712871287127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2-60C8-4A98-A947-234019680B74}"/>
                  </c:ext>
                </c:extLst>
              </c15:ser>
            </c15:filteredScatterSeries>
            <c15:filteredScatterSeries>
              <c15:ser>
                <c:idx val="48"/>
                <c:order val="49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306</c:v>
                      </c:pt>
                      <c:pt idx="1">
                        <c:v>314</c:v>
                      </c:pt>
                      <c:pt idx="2">
                        <c:v>322</c:v>
                      </c:pt>
                      <c:pt idx="3">
                        <c:v>330</c:v>
                      </c:pt>
                      <c:pt idx="4">
                        <c:v>338</c:v>
                      </c:pt>
                      <c:pt idx="5">
                        <c:v>346</c:v>
                      </c:pt>
                      <c:pt idx="6">
                        <c:v>354</c:v>
                      </c:pt>
                      <c:pt idx="7">
                        <c:v>362</c:v>
                      </c:pt>
                      <c:pt idx="8">
                        <c:v>370</c:v>
                      </c:pt>
                      <c:pt idx="9">
                        <c:v>378</c:v>
                      </c:pt>
                      <c:pt idx="10">
                        <c:v>386</c:v>
                      </c:pt>
                      <c:pt idx="11">
                        <c:v>394</c:v>
                      </c:pt>
                      <c:pt idx="12">
                        <c:v>402</c:v>
                      </c:pt>
                      <c:pt idx="13">
                        <c:v>410</c:v>
                      </c:pt>
                      <c:pt idx="14">
                        <c:v>418</c:v>
                      </c:pt>
                      <c:pt idx="15">
                        <c:v>426</c:v>
                      </c:pt>
                      <c:pt idx="16">
                        <c:v>434</c:v>
                      </c:pt>
                      <c:pt idx="17">
                        <c:v>442</c:v>
                      </c:pt>
                      <c:pt idx="18">
                        <c:v>450</c:v>
                      </c:pt>
                      <c:pt idx="19">
                        <c:v>458</c:v>
                      </c:pt>
                      <c:pt idx="20">
                        <c:v>466</c:v>
                      </c:pt>
                      <c:pt idx="21">
                        <c:v>474</c:v>
                      </c:pt>
                      <c:pt idx="22">
                        <c:v>482</c:v>
                      </c:pt>
                      <c:pt idx="23">
                        <c:v>490</c:v>
                      </c:pt>
                      <c:pt idx="24">
                        <c:v>498</c:v>
                      </c:pt>
                      <c:pt idx="25">
                        <c:v>506</c:v>
                      </c:pt>
                      <c:pt idx="26">
                        <c:v>514</c:v>
                      </c:pt>
                      <c:pt idx="27">
                        <c:v>522</c:v>
                      </c:pt>
                      <c:pt idx="28">
                        <c:v>530</c:v>
                      </c:pt>
                      <c:pt idx="29">
                        <c:v>538</c:v>
                      </c:pt>
                      <c:pt idx="30">
                        <c:v>546</c:v>
                      </c:pt>
                      <c:pt idx="31">
                        <c:v>554</c:v>
                      </c:pt>
                      <c:pt idx="32">
                        <c:v>562</c:v>
                      </c:pt>
                      <c:pt idx="33">
                        <c:v>570</c:v>
                      </c:pt>
                      <c:pt idx="34">
                        <c:v>578</c:v>
                      </c:pt>
                      <c:pt idx="35">
                        <c:v>586</c:v>
                      </c:pt>
                      <c:pt idx="36">
                        <c:v>594</c:v>
                      </c:pt>
                      <c:pt idx="37">
                        <c:v>602</c:v>
                      </c:pt>
                      <c:pt idx="38">
                        <c:v>610</c:v>
                      </c:pt>
                      <c:pt idx="39">
                        <c:v>618</c:v>
                      </c:pt>
                      <c:pt idx="40">
                        <c:v>626</c:v>
                      </c:pt>
                      <c:pt idx="41">
                        <c:v>634</c:v>
                      </c:pt>
                      <c:pt idx="42">
                        <c:v>642</c:v>
                      </c:pt>
                      <c:pt idx="43">
                        <c:v>650</c:v>
                      </c:pt>
                      <c:pt idx="44">
                        <c:v>658</c:v>
                      </c:pt>
                      <c:pt idx="45">
                        <c:v>666</c:v>
                      </c:pt>
                      <c:pt idx="46">
                        <c:v>674</c:v>
                      </c:pt>
                      <c:pt idx="47">
                        <c:v>682</c:v>
                      </c:pt>
                      <c:pt idx="48">
                        <c:v>690</c:v>
                      </c:pt>
                      <c:pt idx="49">
                        <c:v>698</c:v>
                      </c:pt>
                      <c:pt idx="50">
                        <c:v>706</c:v>
                      </c:pt>
                      <c:pt idx="51">
                        <c:v>714</c:v>
                      </c:pt>
                      <c:pt idx="52">
                        <c:v>722</c:v>
                      </c:pt>
                      <c:pt idx="53">
                        <c:v>730</c:v>
                      </c:pt>
                      <c:pt idx="54">
                        <c:v>738</c:v>
                      </c:pt>
                      <c:pt idx="55">
                        <c:v>746</c:v>
                      </c:pt>
                      <c:pt idx="56">
                        <c:v>754</c:v>
                      </c:pt>
                      <c:pt idx="57">
                        <c:v>762</c:v>
                      </c:pt>
                      <c:pt idx="58">
                        <c:v>770</c:v>
                      </c:pt>
                      <c:pt idx="59">
                        <c:v>778</c:v>
                      </c:pt>
                      <c:pt idx="60">
                        <c:v>786</c:v>
                      </c:pt>
                      <c:pt idx="61">
                        <c:v>794</c:v>
                      </c:pt>
                      <c:pt idx="62">
                        <c:v>802</c:v>
                      </c:pt>
                      <c:pt idx="63">
                        <c:v>810</c:v>
                      </c:pt>
                      <c:pt idx="64">
                        <c:v>818</c:v>
                      </c:pt>
                      <c:pt idx="65">
                        <c:v>826</c:v>
                      </c:pt>
                      <c:pt idx="66">
                        <c:v>834</c:v>
                      </c:pt>
                      <c:pt idx="67">
                        <c:v>842</c:v>
                      </c:pt>
                      <c:pt idx="68">
                        <c:v>850</c:v>
                      </c:pt>
                      <c:pt idx="69">
                        <c:v>858</c:v>
                      </c:pt>
                      <c:pt idx="70">
                        <c:v>866</c:v>
                      </c:pt>
                      <c:pt idx="71">
                        <c:v>874</c:v>
                      </c:pt>
                      <c:pt idx="72">
                        <c:v>882</c:v>
                      </c:pt>
                      <c:pt idx="73">
                        <c:v>890</c:v>
                      </c:pt>
                      <c:pt idx="74">
                        <c:v>898</c:v>
                      </c:pt>
                      <c:pt idx="75">
                        <c:v>906</c:v>
                      </c:pt>
                      <c:pt idx="76">
                        <c:v>914</c:v>
                      </c:pt>
                      <c:pt idx="77">
                        <c:v>922</c:v>
                      </c:pt>
                      <c:pt idx="78">
                        <c:v>930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EVALUATION!$B$150:$CP$150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-21.943243243243245</c:v>
                      </c:pt>
                      <c:pt idx="1">
                        <c:v>-21.741441441441442</c:v>
                      </c:pt>
                      <c:pt idx="2">
                        <c:v>-21.539639639639642</c:v>
                      </c:pt>
                      <c:pt idx="3">
                        <c:v>-21.337837837837839</c:v>
                      </c:pt>
                      <c:pt idx="4" formatCode="General">
                        <c:v>-21.317514970059882</c:v>
                      </c:pt>
                      <c:pt idx="5" formatCode="General">
                        <c:v>-21.339071856287426</c:v>
                      </c:pt>
                      <c:pt idx="6" formatCode="General">
                        <c:v>-21.360628742514972</c:v>
                      </c:pt>
                      <c:pt idx="7" formatCode="General">
                        <c:v>-21.382185628742516</c:v>
                      </c:pt>
                      <c:pt idx="8" formatCode="General">
                        <c:v>-21.452604790419162</c:v>
                      </c:pt>
                      <c:pt idx="9" formatCode="General">
                        <c:v>-21.550808383233534</c:v>
                      </c:pt>
                      <c:pt idx="10" formatCode="General">
                        <c:v>-21.649011976047905</c:v>
                      </c:pt>
                      <c:pt idx="11" formatCode="General">
                        <c:v>-21.747215568862277</c:v>
                      </c:pt>
                      <c:pt idx="12" formatCode="General">
                        <c:v>-21.843203592814373</c:v>
                      </c:pt>
                      <c:pt idx="13" formatCode="General">
                        <c:v>-21.936616766467068</c:v>
                      </c:pt>
                      <c:pt idx="14" formatCode="General">
                        <c:v>-22.030029940119761</c:v>
                      </c:pt>
                      <c:pt idx="15" formatCode="General">
                        <c:v>-22.123443113772456</c:v>
                      </c:pt>
                      <c:pt idx="16" formatCode="General">
                        <c:v>-22.209970059880241</c:v>
                      </c:pt>
                      <c:pt idx="17" formatCode="General">
                        <c:v>-22.279431137724551</c:v>
                      </c:pt>
                      <c:pt idx="18" formatCode="General">
                        <c:v>-22.348892215568863</c:v>
                      </c:pt>
                      <c:pt idx="19" formatCode="General">
                        <c:v>-22.418353293413173</c:v>
                      </c:pt>
                      <c:pt idx="20" formatCode="General">
                        <c:v>-22.488353293413173</c:v>
                      </c:pt>
                      <c:pt idx="21" formatCode="General">
                        <c:v>-22.562604790419162</c:v>
                      </c:pt>
                      <c:pt idx="22" formatCode="General">
                        <c:v>-22.63685628742515</c:v>
                      </c:pt>
                      <c:pt idx="23" formatCode="General">
                        <c:v>-22.711107784431139</c:v>
                      </c:pt>
                      <c:pt idx="24" formatCode="General">
                        <c:v>-22.785359281437124</c:v>
                      </c:pt>
                      <c:pt idx="25" formatCode="General">
                        <c:v>-22.846306306306307</c:v>
                      </c:pt>
                      <c:pt idx="26" formatCode="General">
                        <c:v>-22.906366366366367</c:v>
                      </c:pt>
                      <c:pt idx="27" formatCode="General">
                        <c:v>-22.966426426426427</c:v>
                      </c:pt>
                      <c:pt idx="28" formatCode="General">
                        <c:v>-23.026486486486487</c:v>
                      </c:pt>
                      <c:pt idx="29" formatCode="General">
                        <c:v>-23.130958083832336</c:v>
                      </c:pt>
                      <c:pt idx="30" formatCode="General">
                        <c:v>-23.248323353293415</c:v>
                      </c:pt>
                      <c:pt idx="31" formatCode="General">
                        <c:v>-23.36568862275449</c:v>
                      </c:pt>
                      <c:pt idx="32" formatCode="General">
                        <c:v>-23.483053892215569</c:v>
                      </c:pt>
                      <c:pt idx="33" formatCode="General">
                        <c:v>-23.60185628742515</c:v>
                      </c:pt>
                      <c:pt idx="34" formatCode="General">
                        <c:v>-23.721616766467065</c:v>
                      </c:pt>
                      <c:pt idx="35" formatCode="General">
                        <c:v>-23.841377245508983</c:v>
                      </c:pt>
                      <c:pt idx="36" formatCode="General">
                        <c:v>-23.961137724550898</c:v>
                      </c:pt>
                      <c:pt idx="37" formatCode="General">
                        <c:v>-24.078862275449104</c:v>
                      </c:pt>
                      <c:pt idx="38" formatCode="General">
                        <c:v>-24.193832335329343</c:v>
                      </c:pt>
                      <c:pt idx="39" formatCode="General">
                        <c:v>-24.308802395209582</c:v>
                      </c:pt>
                      <c:pt idx="40" formatCode="General">
                        <c:v>-24.423772455089821</c:v>
                      </c:pt>
                      <c:pt idx="41" formatCode="General">
                        <c:v>-24.53874251497006</c:v>
                      </c:pt>
                      <c:pt idx="42" formatCode="General">
                        <c:v>-24.653712574850299</c:v>
                      </c:pt>
                      <c:pt idx="43" formatCode="General">
                        <c:v>-24.768682634730538</c:v>
                      </c:pt>
                      <c:pt idx="44" formatCode="General">
                        <c:v>-24.883652694610777</c:v>
                      </c:pt>
                      <c:pt idx="45" formatCode="General">
                        <c:v>-24.998622754491016</c:v>
                      </c:pt>
                      <c:pt idx="46" formatCode="General">
                        <c:v>-25.113592814371255</c:v>
                      </c:pt>
                      <c:pt idx="47" formatCode="General">
                        <c:v>-25.228562874251494</c:v>
                      </c:pt>
                      <c:pt idx="48" formatCode="General">
                        <c:v>-25.343532934131737</c:v>
                      </c:pt>
                      <c:pt idx="49" formatCode="General">
                        <c:v>-25.458502994011976</c:v>
                      </c:pt>
                      <c:pt idx="50" formatCode="General">
                        <c:v>-25.567617977528091</c:v>
                      </c:pt>
                      <c:pt idx="51" formatCode="General">
                        <c:v>-25.676082397003746</c:v>
                      </c:pt>
                      <c:pt idx="52" formatCode="General">
                        <c:v>-25.784546816479402</c:v>
                      </c:pt>
                      <c:pt idx="53" formatCode="General">
                        <c:v>-25.893011235955058</c:v>
                      </c:pt>
                      <c:pt idx="54" formatCode="General">
                        <c:v>-26.001475655430713</c:v>
                      </c:pt>
                      <c:pt idx="55" formatCode="General">
                        <c:v>-26.109940074906369</c:v>
                      </c:pt>
                      <c:pt idx="56" formatCode="General">
                        <c:v>-26.218404494382021</c:v>
                      </c:pt>
                      <c:pt idx="57" formatCode="General">
                        <c:v>-26.326868913857677</c:v>
                      </c:pt>
                      <c:pt idx="58" formatCode="General">
                        <c:v>-26.435333333333332</c:v>
                      </c:pt>
                      <c:pt idx="59" formatCode="General">
                        <c:v>-26.543797752808988</c:v>
                      </c:pt>
                      <c:pt idx="60" formatCode="General">
                        <c:v>-26.652262172284644</c:v>
                      </c:pt>
                      <c:pt idx="61" formatCode="General">
                        <c:v>-26.760726591760299</c:v>
                      </c:pt>
                      <c:pt idx="62" formatCode="General">
                        <c:v>-26.869191011235955</c:v>
                      </c:pt>
                      <c:pt idx="63" formatCode="General">
                        <c:v>-26.977655430711611</c:v>
                      </c:pt>
                      <c:pt idx="64" formatCode="General">
                        <c:v>-27.086119850187266</c:v>
                      </c:pt>
                      <c:pt idx="65" formatCode="General">
                        <c:v>-27.194584269662922</c:v>
                      </c:pt>
                      <c:pt idx="66" formatCode="General">
                        <c:v>-27.301902621722849</c:v>
                      </c:pt>
                      <c:pt idx="67" formatCode="General">
                        <c:v>-27.404973782771538</c:v>
                      </c:pt>
                      <c:pt idx="68" formatCode="General">
                        <c:v>-27.508044943820227</c:v>
                      </c:pt>
                      <c:pt idx="69" formatCode="General">
                        <c:v>-27.611116104868916</c:v>
                      </c:pt>
                      <c:pt idx="70" formatCode="General">
                        <c:v>-27.714187265917605</c:v>
                      </c:pt>
                      <c:pt idx="71" formatCode="General">
                        <c:v>-27.817258426966294</c:v>
                      </c:pt>
                      <c:pt idx="72" formatCode="General">
                        <c:v>-27.920329588014983</c:v>
                      </c:pt>
                      <c:pt idx="73" formatCode="General">
                        <c:v>-28.023400749063672</c:v>
                      </c:pt>
                      <c:pt idx="74" formatCode="General">
                        <c:v>-28.126471910112361</c:v>
                      </c:pt>
                      <c:pt idx="75" formatCode="General">
                        <c:v>-28.22954307116105</c:v>
                      </c:pt>
                      <c:pt idx="76" formatCode="General">
                        <c:v>-28.332614232209739</c:v>
                      </c:pt>
                      <c:pt idx="77" formatCode="General">
                        <c:v>-28.435685393258428</c:v>
                      </c:pt>
                      <c:pt idx="78" formatCode="General">
                        <c:v>-28.538756554307117</c:v>
                      </c:pt>
                      <c:pt idx="79" formatCode="General">
                        <c:v>-28.641827715355806</c:v>
                      </c:pt>
                      <c:pt idx="80" formatCode="General">
                        <c:v>-28.744898876404495</c:v>
                      </c:pt>
                      <c:pt idx="81" formatCode="General">
                        <c:v>-28.847970037453184</c:v>
                      </c:pt>
                      <c:pt idx="82" formatCode="General">
                        <c:v>-28.951041198501873</c:v>
                      </c:pt>
                      <c:pt idx="83" formatCode="General">
                        <c:v>-29.051396396396395</c:v>
                      </c:pt>
                      <c:pt idx="84" formatCode="General">
                        <c:v>-29.149294294294293</c:v>
                      </c:pt>
                      <c:pt idx="85" formatCode="General">
                        <c:v>-29.247192192192191</c:v>
                      </c:pt>
                      <c:pt idx="86" formatCode="General">
                        <c:v>-29.345090090090089</c:v>
                      </c:pt>
                      <c:pt idx="87" formatCode="General">
                        <c:v>-7.3468118811881187</c:v>
                      </c:pt>
                      <c:pt idx="88" formatCode="General">
                        <c:v>-7.3646336633663365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3-60C8-4A98-A947-234019680B74}"/>
                  </c:ext>
                </c:extLst>
              </c15:ser>
            </c15:filteredScatterSeries>
            <c15:filteredScatterSeries>
              <c15:ser>
                <c:idx val="49"/>
                <c:order val="50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306</c:v>
                      </c:pt>
                      <c:pt idx="1">
                        <c:v>314</c:v>
                      </c:pt>
                      <c:pt idx="2">
                        <c:v>322</c:v>
                      </c:pt>
                      <c:pt idx="3">
                        <c:v>330</c:v>
                      </c:pt>
                      <c:pt idx="4">
                        <c:v>338</c:v>
                      </c:pt>
                      <c:pt idx="5">
                        <c:v>346</c:v>
                      </c:pt>
                      <c:pt idx="6">
                        <c:v>354</c:v>
                      </c:pt>
                      <c:pt idx="7">
                        <c:v>362</c:v>
                      </c:pt>
                      <c:pt idx="8">
                        <c:v>370</c:v>
                      </c:pt>
                      <c:pt idx="9">
                        <c:v>378</c:v>
                      </c:pt>
                      <c:pt idx="10">
                        <c:v>386</c:v>
                      </c:pt>
                      <c:pt idx="11">
                        <c:v>394</c:v>
                      </c:pt>
                      <c:pt idx="12">
                        <c:v>402</c:v>
                      </c:pt>
                      <c:pt idx="13">
                        <c:v>410</c:v>
                      </c:pt>
                      <c:pt idx="14">
                        <c:v>418</c:v>
                      </c:pt>
                      <c:pt idx="15">
                        <c:v>426</c:v>
                      </c:pt>
                      <c:pt idx="16">
                        <c:v>434</c:v>
                      </c:pt>
                      <c:pt idx="17">
                        <c:v>442</c:v>
                      </c:pt>
                      <c:pt idx="18">
                        <c:v>450</c:v>
                      </c:pt>
                      <c:pt idx="19">
                        <c:v>458</c:v>
                      </c:pt>
                      <c:pt idx="20">
                        <c:v>466</c:v>
                      </c:pt>
                      <c:pt idx="21">
                        <c:v>474</c:v>
                      </c:pt>
                      <c:pt idx="22">
                        <c:v>482</c:v>
                      </c:pt>
                      <c:pt idx="23">
                        <c:v>490</c:v>
                      </c:pt>
                      <c:pt idx="24">
                        <c:v>498</c:v>
                      </c:pt>
                      <c:pt idx="25">
                        <c:v>506</c:v>
                      </c:pt>
                      <c:pt idx="26">
                        <c:v>514</c:v>
                      </c:pt>
                      <c:pt idx="27">
                        <c:v>522</c:v>
                      </c:pt>
                      <c:pt idx="28">
                        <c:v>530</c:v>
                      </c:pt>
                      <c:pt idx="29">
                        <c:v>538</c:v>
                      </c:pt>
                      <c:pt idx="30">
                        <c:v>546</c:v>
                      </c:pt>
                      <c:pt idx="31">
                        <c:v>554</c:v>
                      </c:pt>
                      <c:pt idx="32">
                        <c:v>562</c:v>
                      </c:pt>
                      <c:pt idx="33">
                        <c:v>570</c:v>
                      </c:pt>
                      <c:pt idx="34">
                        <c:v>578</c:v>
                      </c:pt>
                      <c:pt idx="35">
                        <c:v>586</c:v>
                      </c:pt>
                      <c:pt idx="36">
                        <c:v>594</c:v>
                      </c:pt>
                      <c:pt idx="37">
                        <c:v>602</c:v>
                      </c:pt>
                      <c:pt idx="38">
                        <c:v>610</c:v>
                      </c:pt>
                      <c:pt idx="39">
                        <c:v>618</c:v>
                      </c:pt>
                      <c:pt idx="40">
                        <c:v>626</c:v>
                      </c:pt>
                      <c:pt idx="41">
                        <c:v>634</c:v>
                      </c:pt>
                      <c:pt idx="42">
                        <c:v>642</c:v>
                      </c:pt>
                      <c:pt idx="43">
                        <c:v>650</c:v>
                      </c:pt>
                      <c:pt idx="44">
                        <c:v>658</c:v>
                      </c:pt>
                      <c:pt idx="45">
                        <c:v>666</c:v>
                      </c:pt>
                      <c:pt idx="46">
                        <c:v>674</c:v>
                      </c:pt>
                      <c:pt idx="47">
                        <c:v>682</c:v>
                      </c:pt>
                      <c:pt idx="48">
                        <c:v>690</c:v>
                      </c:pt>
                      <c:pt idx="49">
                        <c:v>698</c:v>
                      </c:pt>
                      <c:pt idx="50">
                        <c:v>706</c:v>
                      </c:pt>
                      <c:pt idx="51">
                        <c:v>714</c:v>
                      </c:pt>
                      <c:pt idx="52">
                        <c:v>722</c:v>
                      </c:pt>
                      <c:pt idx="53">
                        <c:v>730</c:v>
                      </c:pt>
                      <c:pt idx="54">
                        <c:v>738</c:v>
                      </c:pt>
                      <c:pt idx="55">
                        <c:v>746</c:v>
                      </c:pt>
                      <c:pt idx="56">
                        <c:v>754</c:v>
                      </c:pt>
                      <c:pt idx="57">
                        <c:v>762</c:v>
                      </c:pt>
                      <c:pt idx="58">
                        <c:v>770</c:v>
                      </c:pt>
                      <c:pt idx="59">
                        <c:v>778</c:v>
                      </c:pt>
                      <c:pt idx="60">
                        <c:v>786</c:v>
                      </c:pt>
                      <c:pt idx="61">
                        <c:v>794</c:v>
                      </c:pt>
                      <c:pt idx="62">
                        <c:v>802</c:v>
                      </c:pt>
                      <c:pt idx="63">
                        <c:v>810</c:v>
                      </c:pt>
                      <c:pt idx="64">
                        <c:v>818</c:v>
                      </c:pt>
                      <c:pt idx="65">
                        <c:v>826</c:v>
                      </c:pt>
                      <c:pt idx="66">
                        <c:v>834</c:v>
                      </c:pt>
                      <c:pt idx="67">
                        <c:v>842</c:v>
                      </c:pt>
                      <c:pt idx="68">
                        <c:v>850</c:v>
                      </c:pt>
                      <c:pt idx="69">
                        <c:v>858</c:v>
                      </c:pt>
                      <c:pt idx="70">
                        <c:v>866</c:v>
                      </c:pt>
                      <c:pt idx="71">
                        <c:v>874</c:v>
                      </c:pt>
                      <c:pt idx="72">
                        <c:v>882</c:v>
                      </c:pt>
                      <c:pt idx="73">
                        <c:v>890</c:v>
                      </c:pt>
                      <c:pt idx="74">
                        <c:v>898</c:v>
                      </c:pt>
                      <c:pt idx="75">
                        <c:v>906</c:v>
                      </c:pt>
                      <c:pt idx="76">
                        <c:v>914</c:v>
                      </c:pt>
                      <c:pt idx="77">
                        <c:v>922</c:v>
                      </c:pt>
                      <c:pt idx="78">
                        <c:v>930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EVALUATION!$B$151:$CP$151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4-60C8-4A98-A947-234019680B74}"/>
                  </c:ext>
                </c:extLst>
              </c15:ser>
            </c15:filteredScatterSeries>
            <c15:filteredScatterSeries>
              <c15:ser>
                <c:idx val="50"/>
                <c:order val="51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306</c:v>
                      </c:pt>
                      <c:pt idx="1">
                        <c:v>314</c:v>
                      </c:pt>
                      <c:pt idx="2">
                        <c:v>322</c:v>
                      </c:pt>
                      <c:pt idx="3">
                        <c:v>330</c:v>
                      </c:pt>
                      <c:pt idx="4">
                        <c:v>338</c:v>
                      </c:pt>
                      <c:pt idx="5">
                        <c:v>346</c:v>
                      </c:pt>
                      <c:pt idx="6">
                        <c:v>354</c:v>
                      </c:pt>
                      <c:pt idx="7">
                        <c:v>362</c:v>
                      </c:pt>
                      <c:pt idx="8">
                        <c:v>370</c:v>
                      </c:pt>
                      <c:pt idx="9">
                        <c:v>378</c:v>
                      </c:pt>
                      <c:pt idx="10">
                        <c:v>386</c:v>
                      </c:pt>
                      <c:pt idx="11">
                        <c:v>394</c:v>
                      </c:pt>
                      <c:pt idx="12">
                        <c:v>402</c:v>
                      </c:pt>
                      <c:pt idx="13">
                        <c:v>410</c:v>
                      </c:pt>
                      <c:pt idx="14">
                        <c:v>418</c:v>
                      </c:pt>
                      <c:pt idx="15">
                        <c:v>426</c:v>
                      </c:pt>
                      <c:pt idx="16">
                        <c:v>434</c:v>
                      </c:pt>
                      <c:pt idx="17">
                        <c:v>442</c:v>
                      </c:pt>
                      <c:pt idx="18">
                        <c:v>450</c:v>
                      </c:pt>
                      <c:pt idx="19">
                        <c:v>458</c:v>
                      </c:pt>
                      <c:pt idx="20">
                        <c:v>466</c:v>
                      </c:pt>
                      <c:pt idx="21">
                        <c:v>474</c:v>
                      </c:pt>
                      <c:pt idx="22">
                        <c:v>482</c:v>
                      </c:pt>
                      <c:pt idx="23">
                        <c:v>490</c:v>
                      </c:pt>
                      <c:pt idx="24">
                        <c:v>498</c:v>
                      </c:pt>
                      <c:pt idx="25">
                        <c:v>506</c:v>
                      </c:pt>
                      <c:pt idx="26">
                        <c:v>514</c:v>
                      </c:pt>
                      <c:pt idx="27">
                        <c:v>522</c:v>
                      </c:pt>
                      <c:pt idx="28">
                        <c:v>530</c:v>
                      </c:pt>
                      <c:pt idx="29">
                        <c:v>538</c:v>
                      </c:pt>
                      <c:pt idx="30">
                        <c:v>546</c:v>
                      </c:pt>
                      <c:pt idx="31">
                        <c:v>554</c:v>
                      </c:pt>
                      <c:pt idx="32">
                        <c:v>562</c:v>
                      </c:pt>
                      <c:pt idx="33">
                        <c:v>570</c:v>
                      </c:pt>
                      <c:pt idx="34">
                        <c:v>578</c:v>
                      </c:pt>
                      <c:pt idx="35">
                        <c:v>586</c:v>
                      </c:pt>
                      <c:pt idx="36">
                        <c:v>594</c:v>
                      </c:pt>
                      <c:pt idx="37">
                        <c:v>602</c:v>
                      </c:pt>
                      <c:pt idx="38">
                        <c:v>610</c:v>
                      </c:pt>
                      <c:pt idx="39">
                        <c:v>618</c:v>
                      </c:pt>
                      <c:pt idx="40">
                        <c:v>626</c:v>
                      </c:pt>
                      <c:pt idx="41">
                        <c:v>634</c:v>
                      </c:pt>
                      <c:pt idx="42">
                        <c:v>642</c:v>
                      </c:pt>
                      <c:pt idx="43">
                        <c:v>650</c:v>
                      </c:pt>
                      <c:pt idx="44">
                        <c:v>658</c:v>
                      </c:pt>
                      <c:pt idx="45">
                        <c:v>666</c:v>
                      </c:pt>
                      <c:pt idx="46">
                        <c:v>674</c:v>
                      </c:pt>
                      <c:pt idx="47">
                        <c:v>682</c:v>
                      </c:pt>
                      <c:pt idx="48">
                        <c:v>690</c:v>
                      </c:pt>
                      <c:pt idx="49">
                        <c:v>698</c:v>
                      </c:pt>
                      <c:pt idx="50">
                        <c:v>706</c:v>
                      </c:pt>
                      <c:pt idx="51">
                        <c:v>714</c:v>
                      </c:pt>
                      <c:pt idx="52">
                        <c:v>722</c:v>
                      </c:pt>
                      <c:pt idx="53">
                        <c:v>730</c:v>
                      </c:pt>
                      <c:pt idx="54">
                        <c:v>738</c:v>
                      </c:pt>
                      <c:pt idx="55">
                        <c:v>746</c:v>
                      </c:pt>
                      <c:pt idx="56">
                        <c:v>754</c:v>
                      </c:pt>
                      <c:pt idx="57">
                        <c:v>762</c:v>
                      </c:pt>
                      <c:pt idx="58">
                        <c:v>770</c:v>
                      </c:pt>
                      <c:pt idx="59">
                        <c:v>778</c:v>
                      </c:pt>
                      <c:pt idx="60">
                        <c:v>786</c:v>
                      </c:pt>
                      <c:pt idx="61">
                        <c:v>794</c:v>
                      </c:pt>
                      <c:pt idx="62">
                        <c:v>802</c:v>
                      </c:pt>
                      <c:pt idx="63">
                        <c:v>810</c:v>
                      </c:pt>
                      <c:pt idx="64">
                        <c:v>818</c:v>
                      </c:pt>
                      <c:pt idx="65">
                        <c:v>826</c:v>
                      </c:pt>
                      <c:pt idx="66">
                        <c:v>834</c:v>
                      </c:pt>
                      <c:pt idx="67">
                        <c:v>842</c:v>
                      </c:pt>
                      <c:pt idx="68">
                        <c:v>850</c:v>
                      </c:pt>
                      <c:pt idx="69">
                        <c:v>858</c:v>
                      </c:pt>
                      <c:pt idx="70">
                        <c:v>866</c:v>
                      </c:pt>
                      <c:pt idx="71">
                        <c:v>874</c:v>
                      </c:pt>
                      <c:pt idx="72">
                        <c:v>882</c:v>
                      </c:pt>
                      <c:pt idx="73">
                        <c:v>890</c:v>
                      </c:pt>
                      <c:pt idx="74">
                        <c:v>898</c:v>
                      </c:pt>
                      <c:pt idx="75">
                        <c:v>906</c:v>
                      </c:pt>
                      <c:pt idx="76">
                        <c:v>914</c:v>
                      </c:pt>
                      <c:pt idx="77">
                        <c:v>922</c:v>
                      </c:pt>
                      <c:pt idx="78">
                        <c:v>930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EVALUATION!$B$152:$CP$152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5-60C8-4A98-A947-234019680B74}"/>
                  </c:ext>
                </c:extLst>
              </c15:ser>
            </c15:filteredScatterSeries>
            <c15:filteredScatterSeries>
              <c15:ser>
                <c:idx val="51"/>
                <c:order val="52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306</c:v>
                      </c:pt>
                      <c:pt idx="1">
                        <c:v>314</c:v>
                      </c:pt>
                      <c:pt idx="2">
                        <c:v>322</c:v>
                      </c:pt>
                      <c:pt idx="3">
                        <c:v>330</c:v>
                      </c:pt>
                      <c:pt idx="4">
                        <c:v>338</c:v>
                      </c:pt>
                      <c:pt idx="5">
                        <c:v>346</c:v>
                      </c:pt>
                      <c:pt idx="6">
                        <c:v>354</c:v>
                      </c:pt>
                      <c:pt idx="7">
                        <c:v>362</c:v>
                      </c:pt>
                      <c:pt idx="8">
                        <c:v>370</c:v>
                      </c:pt>
                      <c:pt idx="9">
                        <c:v>378</c:v>
                      </c:pt>
                      <c:pt idx="10">
                        <c:v>386</c:v>
                      </c:pt>
                      <c:pt idx="11">
                        <c:v>394</c:v>
                      </c:pt>
                      <c:pt idx="12">
                        <c:v>402</c:v>
                      </c:pt>
                      <c:pt idx="13">
                        <c:v>410</c:v>
                      </c:pt>
                      <c:pt idx="14">
                        <c:v>418</c:v>
                      </c:pt>
                      <c:pt idx="15">
                        <c:v>426</c:v>
                      </c:pt>
                      <c:pt idx="16">
                        <c:v>434</c:v>
                      </c:pt>
                      <c:pt idx="17">
                        <c:v>442</c:v>
                      </c:pt>
                      <c:pt idx="18">
                        <c:v>450</c:v>
                      </c:pt>
                      <c:pt idx="19">
                        <c:v>458</c:v>
                      </c:pt>
                      <c:pt idx="20">
                        <c:v>466</c:v>
                      </c:pt>
                      <c:pt idx="21">
                        <c:v>474</c:v>
                      </c:pt>
                      <c:pt idx="22">
                        <c:v>482</c:v>
                      </c:pt>
                      <c:pt idx="23">
                        <c:v>490</c:v>
                      </c:pt>
                      <c:pt idx="24">
                        <c:v>498</c:v>
                      </c:pt>
                      <c:pt idx="25">
                        <c:v>506</c:v>
                      </c:pt>
                      <c:pt idx="26">
                        <c:v>514</c:v>
                      </c:pt>
                      <c:pt idx="27">
                        <c:v>522</c:v>
                      </c:pt>
                      <c:pt idx="28">
                        <c:v>530</c:v>
                      </c:pt>
                      <c:pt idx="29">
                        <c:v>538</c:v>
                      </c:pt>
                      <c:pt idx="30">
                        <c:v>546</c:v>
                      </c:pt>
                      <c:pt idx="31">
                        <c:v>554</c:v>
                      </c:pt>
                      <c:pt idx="32">
                        <c:v>562</c:v>
                      </c:pt>
                      <c:pt idx="33">
                        <c:v>570</c:v>
                      </c:pt>
                      <c:pt idx="34">
                        <c:v>578</c:v>
                      </c:pt>
                      <c:pt idx="35">
                        <c:v>586</c:v>
                      </c:pt>
                      <c:pt idx="36">
                        <c:v>594</c:v>
                      </c:pt>
                      <c:pt idx="37">
                        <c:v>602</c:v>
                      </c:pt>
                      <c:pt idx="38">
                        <c:v>610</c:v>
                      </c:pt>
                      <c:pt idx="39">
                        <c:v>618</c:v>
                      </c:pt>
                      <c:pt idx="40">
                        <c:v>626</c:v>
                      </c:pt>
                      <c:pt idx="41">
                        <c:v>634</c:v>
                      </c:pt>
                      <c:pt idx="42">
                        <c:v>642</c:v>
                      </c:pt>
                      <c:pt idx="43">
                        <c:v>650</c:v>
                      </c:pt>
                      <c:pt idx="44">
                        <c:v>658</c:v>
                      </c:pt>
                      <c:pt idx="45">
                        <c:v>666</c:v>
                      </c:pt>
                      <c:pt idx="46">
                        <c:v>674</c:v>
                      </c:pt>
                      <c:pt idx="47">
                        <c:v>682</c:v>
                      </c:pt>
                      <c:pt idx="48">
                        <c:v>690</c:v>
                      </c:pt>
                      <c:pt idx="49">
                        <c:v>698</c:v>
                      </c:pt>
                      <c:pt idx="50">
                        <c:v>706</c:v>
                      </c:pt>
                      <c:pt idx="51">
                        <c:v>714</c:v>
                      </c:pt>
                      <c:pt idx="52">
                        <c:v>722</c:v>
                      </c:pt>
                      <c:pt idx="53">
                        <c:v>730</c:v>
                      </c:pt>
                      <c:pt idx="54">
                        <c:v>738</c:v>
                      </c:pt>
                      <c:pt idx="55">
                        <c:v>746</c:v>
                      </c:pt>
                      <c:pt idx="56">
                        <c:v>754</c:v>
                      </c:pt>
                      <c:pt idx="57">
                        <c:v>762</c:v>
                      </c:pt>
                      <c:pt idx="58">
                        <c:v>770</c:v>
                      </c:pt>
                      <c:pt idx="59">
                        <c:v>778</c:v>
                      </c:pt>
                      <c:pt idx="60">
                        <c:v>786</c:v>
                      </c:pt>
                      <c:pt idx="61">
                        <c:v>794</c:v>
                      </c:pt>
                      <c:pt idx="62">
                        <c:v>802</c:v>
                      </c:pt>
                      <c:pt idx="63">
                        <c:v>810</c:v>
                      </c:pt>
                      <c:pt idx="64">
                        <c:v>818</c:v>
                      </c:pt>
                      <c:pt idx="65">
                        <c:v>826</c:v>
                      </c:pt>
                      <c:pt idx="66">
                        <c:v>834</c:v>
                      </c:pt>
                      <c:pt idx="67">
                        <c:v>842</c:v>
                      </c:pt>
                      <c:pt idx="68">
                        <c:v>850</c:v>
                      </c:pt>
                      <c:pt idx="69">
                        <c:v>858</c:v>
                      </c:pt>
                      <c:pt idx="70">
                        <c:v>866</c:v>
                      </c:pt>
                      <c:pt idx="71">
                        <c:v>874</c:v>
                      </c:pt>
                      <c:pt idx="72">
                        <c:v>882</c:v>
                      </c:pt>
                      <c:pt idx="73">
                        <c:v>890</c:v>
                      </c:pt>
                      <c:pt idx="74">
                        <c:v>898</c:v>
                      </c:pt>
                      <c:pt idx="75">
                        <c:v>906</c:v>
                      </c:pt>
                      <c:pt idx="76">
                        <c:v>914</c:v>
                      </c:pt>
                      <c:pt idx="77">
                        <c:v>922</c:v>
                      </c:pt>
                      <c:pt idx="78">
                        <c:v>930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EVALUATION!$B$153:$CP$153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6-60C8-4A98-A947-234019680B74}"/>
                  </c:ext>
                </c:extLst>
              </c15:ser>
            </c15:filteredScatterSeries>
            <c15:filteredScatterSeries>
              <c15:ser>
                <c:idx val="52"/>
                <c:order val="53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306</c:v>
                      </c:pt>
                      <c:pt idx="1">
                        <c:v>314</c:v>
                      </c:pt>
                      <c:pt idx="2">
                        <c:v>322</c:v>
                      </c:pt>
                      <c:pt idx="3">
                        <c:v>330</c:v>
                      </c:pt>
                      <c:pt idx="4">
                        <c:v>338</c:v>
                      </c:pt>
                      <c:pt idx="5">
                        <c:v>346</c:v>
                      </c:pt>
                      <c:pt idx="6">
                        <c:v>354</c:v>
                      </c:pt>
                      <c:pt idx="7">
                        <c:v>362</c:v>
                      </c:pt>
                      <c:pt idx="8">
                        <c:v>370</c:v>
                      </c:pt>
                      <c:pt idx="9">
                        <c:v>378</c:v>
                      </c:pt>
                      <c:pt idx="10">
                        <c:v>386</c:v>
                      </c:pt>
                      <c:pt idx="11">
                        <c:v>394</c:v>
                      </c:pt>
                      <c:pt idx="12">
                        <c:v>402</c:v>
                      </c:pt>
                      <c:pt idx="13">
                        <c:v>410</c:v>
                      </c:pt>
                      <c:pt idx="14">
                        <c:v>418</c:v>
                      </c:pt>
                      <c:pt idx="15">
                        <c:v>426</c:v>
                      </c:pt>
                      <c:pt idx="16">
                        <c:v>434</c:v>
                      </c:pt>
                      <c:pt idx="17">
                        <c:v>442</c:v>
                      </c:pt>
                      <c:pt idx="18">
                        <c:v>450</c:v>
                      </c:pt>
                      <c:pt idx="19">
                        <c:v>458</c:v>
                      </c:pt>
                      <c:pt idx="20">
                        <c:v>466</c:v>
                      </c:pt>
                      <c:pt idx="21">
                        <c:v>474</c:v>
                      </c:pt>
                      <c:pt idx="22">
                        <c:v>482</c:v>
                      </c:pt>
                      <c:pt idx="23">
                        <c:v>490</c:v>
                      </c:pt>
                      <c:pt idx="24">
                        <c:v>498</c:v>
                      </c:pt>
                      <c:pt idx="25">
                        <c:v>506</c:v>
                      </c:pt>
                      <c:pt idx="26">
                        <c:v>514</c:v>
                      </c:pt>
                      <c:pt idx="27">
                        <c:v>522</c:v>
                      </c:pt>
                      <c:pt idx="28">
                        <c:v>530</c:v>
                      </c:pt>
                      <c:pt idx="29">
                        <c:v>538</c:v>
                      </c:pt>
                      <c:pt idx="30">
                        <c:v>546</c:v>
                      </c:pt>
                      <c:pt idx="31">
                        <c:v>554</c:v>
                      </c:pt>
                      <c:pt idx="32">
                        <c:v>562</c:v>
                      </c:pt>
                      <c:pt idx="33">
                        <c:v>570</c:v>
                      </c:pt>
                      <c:pt idx="34">
                        <c:v>578</c:v>
                      </c:pt>
                      <c:pt idx="35">
                        <c:v>586</c:v>
                      </c:pt>
                      <c:pt idx="36">
                        <c:v>594</c:v>
                      </c:pt>
                      <c:pt idx="37">
                        <c:v>602</c:v>
                      </c:pt>
                      <c:pt idx="38">
                        <c:v>610</c:v>
                      </c:pt>
                      <c:pt idx="39">
                        <c:v>618</c:v>
                      </c:pt>
                      <c:pt idx="40">
                        <c:v>626</c:v>
                      </c:pt>
                      <c:pt idx="41">
                        <c:v>634</c:v>
                      </c:pt>
                      <c:pt idx="42">
                        <c:v>642</c:v>
                      </c:pt>
                      <c:pt idx="43">
                        <c:v>650</c:v>
                      </c:pt>
                      <c:pt idx="44">
                        <c:v>658</c:v>
                      </c:pt>
                      <c:pt idx="45">
                        <c:v>666</c:v>
                      </c:pt>
                      <c:pt idx="46">
                        <c:v>674</c:v>
                      </c:pt>
                      <c:pt idx="47">
                        <c:v>682</c:v>
                      </c:pt>
                      <c:pt idx="48">
                        <c:v>690</c:v>
                      </c:pt>
                      <c:pt idx="49">
                        <c:v>698</c:v>
                      </c:pt>
                      <c:pt idx="50">
                        <c:v>706</c:v>
                      </c:pt>
                      <c:pt idx="51">
                        <c:v>714</c:v>
                      </c:pt>
                      <c:pt idx="52">
                        <c:v>722</c:v>
                      </c:pt>
                      <c:pt idx="53">
                        <c:v>730</c:v>
                      </c:pt>
                      <c:pt idx="54">
                        <c:v>738</c:v>
                      </c:pt>
                      <c:pt idx="55">
                        <c:v>746</c:v>
                      </c:pt>
                      <c:pt idx="56">
                        <c:v>754</c:v>
                      </c:pt>
                      <c:pt idx="57">
                        <c:v>762</c:v>
                      </c:pt>
                      <c:pt idx="58">
                        <c:v>770</c:v>
                      </c:pt>
                      <c:pt idx="59">
                        <c:v>778</c:v>
                      </c:pt>
                      <c:pt idx="60">
                        <c:v>786</c:v>
                      </c:pt>
                      <c:pt idx="61">
                        <c:v>794</c:v>
                      </c:pt>
                      <c:pt idx="62">
                        <c:v>802</c:v>
                      </c:pt>
                      <c:pt idx="63">
                        <c:v>810</c:v>
                      </c:pt>
                      <c:pt idx="64">
                        <c:v>818</c:v>
                      </c:pt>
                      <c:pt idx="65">
                        <c:v>826</c:v>
                      </c:pt>
                      <c:pt idx="66">
                        <c:v>834</c:v>
                      </c:pt>
                      <c:pt idx="67">
                        <c:v>842</c:v>
                      </c:pt>
                      <c:pt idx="68">
                        <c:v>850</c:v>
                      </c:pt>
                      <c:pt idx="69">
                        <c:v>858</c:v>
                      </c:pt>
                      <c:pt idx="70">
                        <c:v>866</c:v>
                      </c:pt>
                      <c:pt idx="71">
                        <c:v>874</c:v>
                      </c:pt>
                      <c:pt idx="72">
                        <c:v>882</c:v>
                      </c:pt>
                      <c:pt idx="73">
                        <c:v>890</c:v>
                      </c:pt>
                      <c:pt idx="74">
                        <c:v>898</c:v>
                      </c:pt>
                      <c:pt idx="75">
                        <c:v>906</c:v>
                      </c:pt>
                      <c:pt idx="76">
                        <c:v>914</c:v>
                      </c:pt>
                      <c:pt idx="77">
                        <c:v>922</c:v>
                      </c:pt>
                      <c:pt idx="78">
                        <c:v>930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EVALUATION!$B$154:$CP$154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7-60C8-4A98-A947-234019680B74}"/>
                  </c:ext>
                </c:extLst>
              </c15:ser>
            </c15:filteredScatterSeries>
          </c:ext>
        </c:extLst>
      </c:scatterChart>
      <c:valAx>
        <c:axId val="938785983"/>
        <c:scaling>
          <c:orientation val="minMax"/>
          <c:max val="1000"/>
          <c:min val="3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38775583"/>
        <c:crosses val="autoZero"/>
        <c:crossBetween val="midCat"/>
        <c:majorUnit val="100"/>
      </c:valAx>
      <c:valAx>
        <c:axId val="938775583"/>
        <c:scaling>
          <c:orientation val="minMax"/>
          <c:max val="-20"/>
          <c:min val="-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38785983"/>
        <c:crosses val="autoZero"/>
        <c:crossBetween val="midCat"/>
      </c:valAx>
    </c:plotArea>
    <c:plotVisOnly val="0"/>
    <c:dispBlanksAs val="gap"/>
    <c:showDLblsOverMax val="0"/>
    <c:extLst/>
  </c:chart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1" i="1" u="none" strike="noStrike" kern="1200" spc="0" baseline="0">
                <a:solidFill>
                  <a:schemeClr val="accent2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000" b="1" i="1">
                <a:solidFill>
                  <a:schemeClr val="accent2">
                    <a:lumMod val="50000"/>
                  </a:schemeClr>
                </a:solidFill>
              </a:rPr>
              <a:t>GeSe2</a:t>
            </a:r>
          </a:p>
        </c:rich>
      </c:tx>
      <c:layout>
        <c:manualLayout>
          <c:xMode val="edge"/>
          <c:yMode val="edge"/>
          <c:x val="0.45923209945810856"/>
          <c:y val="0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3565836995543892"/>
          <c:y val="0.10656915812117258"/>
          <c:w val="0.79872285919300678"/>
          <c:h val="0.79349420735008158"/>
        </c:manualLayout>
      </c:layout>
      <c:scatterChart>
        <c:scatterStyle val="smoothMarker"/>
        <c:varyColors val="0"/>
        <c:ser>
          <c:idx val="4"/>
          <c:order val="6"/>
          <c:spPr>
            <a:ln>
              <a:solidFill>
                <a:schemeClr val="accent4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EVALUATION!$B$100:$CP$100</c:f>
              <c:numCache>
                <c:formatCode>0</c:formatCode>
                <c:ptCount val="93"/>
                <c:pt idx="0">
                  <c:v>306</c:v>
                </c:pt>
                <c:pt idx="1">
                  <c:v>314</c:v>
                </c:pt>
                <c:pt idx="2">
                  <c:v>322</c:v>
                </c:pt>
                <c:pt idx="3">
                  <c:v>330</c:v>
                </c:pt>
                <c:pt idx="4">
                  <c:v>338</c:v>
                </c:pt>
                <c:pt idx="5">
                  <c:v>346</c:v>
                </c:pt>
                <c:pt idx="6">
                  <c:v>354</c:v>
                </c:pt>
                <c:pt idx="7">
                  <c:v>362</c:v>
                </c:pt>
                <c:pt idx="8">
                  <c:v>370</c:v>
                </c:pt>
                <c:pt idx="9">
                  <c:v>378</c:v>
                </c:pt>
                <c:pt idx="10">
                  <c:v>386</c:v>
                </c:pt>
                <c:pt idx="11">
                  <c:v>394</c:v>
                </c:pt>
                <c:pt idx="12">
                  <c:v>402</c:v>
                </c:pt>
                <c:pt idx="13">
                  <c:v>410</c:v>
                </c:pt>
                <c:pt idx="14">
                  <c:v>418</c:v>
                </c:pt>
                <c:pt idx="15">
                  <c:v>426</c:v>
                </c:pt>
                <c:pt idx="16">
                  <c:v>434</c:v>
                </c:pt>
                <c:pt idx="17">
                  <c:v>442</c:v>
                </c:pt>
                <c:pt idx="18">
                  <c:v>450</c:v>
                </c:pt>
                <c:pt idx="19">
                  <c:v>458</c:v>
                </c:pt>
                <c:pt idx="20">
                  <c:v>466</c:v>
                </c:pt>
                <c:pt idx="21">
                  <c:v>474</c:v>
                </c:pt>
                <c:pt idx="22">
                  <c:v>482</c:v>
                </c:pt>
                <c:pt idx="23">
                  <c:v>490</c:v>
                </c:pt>
                <c:pt idx="24">
                  <c:v>498</c:v>
                </c:pt>
                <c:pt idx="25">
                  <c:v>506</c:v>
                </c:pt>
                <c:pt idx="26">
                  <c:v>514</c:v>
                </c:pt>
                <c:pt idx="27">
                  <c:v>522</c:v>
                </c:pt>
                <c:pt idx="28">
                  <c:v>530</c:v>
                </c:pt>
                <c:pt idx="29">
                  <c:v>538</c:v>
                </c:pt>
                <c:pt idx="30">
                  <c:v>546</c:v>
                </c:pt>
                <c:pt idx="31">
                  <c:v>554</c:v>
                </c:pt>
                <c:pt idx="32">
                  <c:v>562</c:v>
                </c:pt>
                <c:pt idx="33">
                  <c:v>570</c:v>
                </c:pt>
                <c:pt idx="34">
                  <c:v>578</c:v>
                </c:pt>
                <c:pt idx="35">
                  <c:v>586</c:v>
                </c:pt>
                <c:pt idx="36">
                  <c:v>594</c:v>
                </c:pt>
                <c:pt idx="37">
                  <c:v>602</c:v>
                </c:pt>
                <c:pt idx="38">
                  <c:v>610</c:v>
                </c:pt>
                <c:pt idx="39">
                  <c:v>618</c:v>
                </c:pt>
                <c:pt idx="40">
                  <c:v>626</c:v>
                </c:pt>
                <c:pt idx="41">
                  <c:v>634</c:v>
                </c:pt>
                <c:pt idx="42">
                  <c:v>642</c:v>
                </c:pt>
                <c:pt idx="43">
                  <c:v>650</c:v>
                </c:pt>
                <c:pt idx="44">
                  <c:v>658</c:v>
                </c:pt>
                <c:pt idx="45">
                  <c:v>666</c:v>
                </c:pt>
                <c:pt idx="46">
                  <c:v>674</c:v>
                </c:pt>
                <c:pt idx="47">
                  <c:v>682</c:v>
                </c:pt>
                <c:pt idx="48">
                  <c:v>690</c:v>
                </c:pt>
                <c:pt idx="49">
                  <c:v>698</c:v>
                </c:pt>
                <c:pt idx="50">
                  <c:v>706</c:v>
                </c:pt>
                <c:pt idx="51">
                  <c:v>714</c:v>
                </c:pt>
                <c:pt idx="52">
                  <c:v>722</c:v>
                </c:pt>
                <c:pt idx="53">
                  <c:v>730</c:v>
                </c:pt>
                <c:pt idx="54">
                  <c:v>738</c:v>
                </c:pt>
                <c:pt idx="55">
                  <c:v>746</c:v>
                </c:pt>
                <c:pt idx="56">
                  <c:v>754</c:v>
                </c:pt>
                <c:pt idx="57">
                  <c:v>762</c:v>
                </c:pt>
                <c:pt idx="58">
                  <c:v>770</c:v>
                </c:pt>
                <c:pt idx="59">
                  <c:v>778</c:v>
                </c:pt>
                <c:pt idx="60">
                  <c:v>786</c:v>
                </c:pt>
                <c:pt idx="61">
                  <c:v>794</c:v>
                </c:pt>
                <c:pt idx="62">
                  <c:v>802</c:v>
                </c:pt>
                <c:pt idx="63">
                  <c:v>810</c:v>
                </c:pt>
                <c:pt idx="64">
                  <c:v>818</c:v>
                </c:pt>
                <c:pt idx="65">
                  <c:v>826</c:v>
                </c:pt>
                <c:pt idx="66">
                  <c:v>834</c:v>
                </c:pt>
                <c:pt idx="67">
                  <c:v>842</c:v>
                </c:pt>
                <c:pt idx="68">
                  <c:v>850</c:v>
                </c:pt>
                <c:pt idx="69">
                  <c:v>858</c:v>
                </c:pt>
                <c:pt idx="70">
                  <c:v>866</c:v>
                </c:pt>
                <c:pt idx="71">
                  <c:v>874</c:v>
                </c:pt>
                <c:pt idx="72">
                  <c:v>882</c:v>
                </c:pt>
                <c:pt idx="73">
                  <c:v>890</c:v>
                </c:pt>
                <c:pt idx="74">
                  <c:v>898</c:v>
                </c:pt>
                <c:pt idx="75">
                  <c:v>906</c:v>
                </c:pt>
                <c:pt idx="76">
                  <c:v>914</c:v>
                </c:pt>
                <c:pt idx="77">
                  <c:v>922</c:v>
                </c:pt>
                <c:pt idx="78">
                  <c:v>930</c:v>
                </c:pt>
                <c:pt idx="79">
                  <c:v>938</c:v>
                </c:pt>
                <c:pt idx="80">
                  <c:v>946</c:v>
                </c:pt>
                <c:pt idx="81">
                  <c:v>954</c:v>
                </c:pt>
                <c:pt idx="82">
                  <c:v>962</c:v>
                </c:pt>
                <c:pt idx="83">
                  <c:v>970</c:v>
                </c:pt>
                <c:pt idx="84">
                  <c:v>978</c:v>
                </c:pt>
                <c:pt idx="85">
                  <c:v>986</c:v>
                </c:pt>
                <c:pt idx="86">
                  <c:v>994</c:v>
                </c:pt>
              </c:numCache>
            </c:numRef>
          </c:xVal>
          <c:yVal>
            <c:numRef>
              <c:f>EVALUATION!$B$107:$CP$107</c:f>
              <c:numCache>
                <c:formatCode>0</c:formatCode>
                <c:ptCount val="93"/>
                <c:pt idx="0">
                  <c:v>-58.064234234234235</c:v>
                </c:pt>
                <c:pt idx="1">
                  <c:v>-56.971141141141139</c:v>
                </c:pt>
                <c:pt idx="2">
                  <c:v>-55.878048048048043</c:v>
                </c:pt>
                <c:pt idx="3">
                  <c:v>-54.784954954954955</c:v>
                </c:pt>
                <c:pt idx="4" formatCode="General">
                  <c:v>-54.124610778443113</c:v>
                </c:pt>
                <c:pt idx="5" formatCode="General">
                  <c:v>-53.564131736526946</c:v>
                </c:pt>
                <c:pt idx="6" formatCode="General">
                  <c:v>-53.003652694610771</c:v>
                </c:pt>
                <c:pt idx="7" formatCode="General">
                  <c:v>-52.443173652694604</c:v>
                </c:pt>
                <c:pt idx="8" formatCode="General">
                  <c:v>-52.043023952095801</c:v>
                </c:pt>
                <c:pt idx="9" formatCode="General">
                  <c:v>-51.734041916167662</c:v>
                </c:pt>
                <c:pt idx="10" formatCode="General">
                  <c:v>-51.425059880239516</c:v>
                </c:pt>
                <c:pt idx="11" formatCode="General">
                  <c:v>-51.11607784431137</c:v>
                </c:pt>
                <c:pt idx="12" formatCode="General">
                  <c:v>-50.842655688622749</c:v>
                </c:pt>
                <c:pt idx="13" formatCode="General">
                  <c:v>-50.610559880239521</c:v>
                </c:pt>
                <c:pt idx="14" formatCode="General">
                  <c:v>-50.378464071856285</c:v>
                </c:pt>
                <c:pt idx="15" formatCode="General">
                  <c:v>-50.146368263473057</c:v>
                </c:pt>
                <c:pt idx="16" formatCode="General">
                  <c:v>-49.931350299401196</c:v>
                </c:pt>
                <c:pt idx="17" formatCode="General">
                  <c:v>-49.758655688622753</c:v>
                </c:pt>
                <c:pt idx="18" formatCode="General">
                  <c:v>-49.58596107784431</c:v>
                </c:pt>
                <c:pt idx="19" formatCode="General">
                  <c:v>-49.413266467065867</c:v>
                </c:pt>
                <c:pt idx="20" formatCode="General">
                  <c:v>-49.246419161676648</c:v>
                </c:pt>
                <c:pt idx="21" formatCode="General">
                  <c:v>-49.125700598802396</c:v>
                </c:pt>
                <c:pt idx="22" formatCode="General">
                  <c:v>-49.004982035928144</c:v>
                </c:pt>
                <c:pt idx="23" formatCode="General">
                  <c:v>-48.884263473053892</c:v>
                </c:pt>
                <c:pt idx="24" formatCode="General">
                  <c:v>-48.76354491017964</c:v>
                </c:pt>
                <c:pt idx="25" formatCode="General">
                  <c:v>-48.847216216216218</c:v>
                </c:pt>
                <c:pt idx="26" formatCode="General">
                  <c:v>-48.944513513513513</c:v>
                </c:pt>
                <c:pt idx="27" formatCode="General">
                  <c:v>-49.041810810810816</c:v>
                </c:pt>
                <c:pt idx="28" formatCode="General">
                  <c:v>-49.139108108108111</c:v>
                </c:pt>
                <c:pt idx="29" formatCode="General">
                  <c:v>-49.365562874251502</c:v>
                </c:pt>
                <c:pt idx="30" formatCode="General">
                  <c:v>-49.62951497005988</c:v>
                </c:pt>
                <c:pt idx="31" formatCode="General">
                  <c:v>-49.893467065868265</c:v>
                </c:pt>
                <c:pt idx="32" formatCode="General">
                  <c:v>-50.157419161676643</c:v>
                </c:pt>
                <c:pt idx="33" formatCode="General">
                  <c:v>-50.414257485029935</c:v>
                </c:pt>
                <c:pt idx="34" formatCode="General">
                  <c:v>-50.666353293413174</c:v>
                </c:pt>
                <c:pt idx="35" formatCode="General">
                  <c:v>-50.918449101796405</c:v>
                </c:pt>
                <c:pt idx="36" formatCode="General">
                  <c:v>-51.170544910179636</c:v>
                </c:pt>
                <c:pt idx="37" formatCode="General">
                  <c:v>-51.422640718562874</c:v>
                </c:pt>
                <c:pt idx="38" formatCode="General">
                  <c:v>-51.674736526946106</c:v>
                </c:pt>
                <c:pt idx="39" formatCode="General">
                  <c:v>-51.926832335329337</c:v>
                </c:pt>
                <c:pt idx="40" formatCode="General">
                  <c:v>-52.178928143712575</c:v>
                </c:pt>
                <c:pt idx="41" formatCode="General">
                  <c:v>-52.431023952095806</c:v>
                </c:pt>
                <c:pt idx="42" formatCode="General">
                  <c:v>-52.683119760479038</c:v>
                </c:pt>
                <c:pt idx="43" formatCode="General">
                  <c:v>-52.935215568862276</c:v>
                </c:pt>
                <c:pt idx="44" formatCode="General">
                  <c:v>-53.187311377245507</c:v>
                </c:pt>
                <c:pt idx="45" formatCode="General">
                  <c:v>-53.439407185628738</c:v>
                </c:pt>
                <c:pt idx="46" formatCode="General">
                  <c:v>-53.691502994011977</c:v>
                </c:pt>
                <c:pt idx="47" formatCode="General">
                  <c:v>-53.943598802395208</c:v>
                </c:pt>
                <c:pt idx="48" formatCode="General">
                  <c:v>-54.195694610778446</c:v>
                </c:pt>
                <c:pt idx="49" formatCode="General">
                  <c:v>-54.447790419161677</c:v>
                </c:pt>
                <c:pt idx="50" formatCode="General">
                  <c:v>-54.685494382022469</c:v>
                </c:pt>
                <c:pt idx="51" formatCode="General">
                  <c:v>-54.921599250936332</c:v>
                </c:pt>
                <c:pt idx="52" formatCode="General">
                  <c:v>-55.157704119850187</c:v>
                </c:pt>
                <c:pt idx="53" formatCode="General">
                  <c:v>-55.393808988764043</c:v>
                </c:pt>
                <c:pt idx="54" formatCode="General">
                  <c:v>-55.629913857677906</c:v>
                </c:pt>
                <c:pt idx="55" formatCode="General">
                  <c:v>-55.866018726591761</c:v>
                </c:pt>
                <c:pt idx="56" formatCode="General">
                  <c:v>-56.102123595505617</c:v>
                </c:pt>
                <c:pt idx="57" formatCode="General">
                  <c:v>-56.338228464419473</c:v>
                </c:pt>
                <c:pt idx="58" formatCode="General">
                  <c:v>-56.574333333333335</c:v>
                </c:pt>
                <c:pt idx="59" formatCode="General">
                  <c:v>-56.810438202247191</c:v>
                </c:pt>
                <c:pt idx="60" formatCode="General">
                  <c:v>-57.046543071161047</c:v>
                </c:pt>
                <c:pt idx="61" formatCode="General">
                  <c:v>-57.282647940074902</c:v>
                </c:pt>
                <c:pt idx="62" formatCode="General">
                  <c:v>-57.518752808988765</c:v>
                </c:pt>
                <c:pt idx="63" formatCode="General">
                  <c:v>-57.754857677902621</c:v>
                </c:pt>
                <c:pt idx="64" formatCode="General">
                  <c:v>-57.990962546816476</c:v>
                </c:pt>
                <c:pt idx="65" formatCode="General">
                  <c:v>-58.227067415730332</c:v>
                </c:pt>
                <c:pt idx="66" formatCode="General">
                  <c:v>-58.460650936329586</c:v>
                </c:pt>
                <c:pt idx="67" formatCode="General">
                  <c:v>-58.684890636704118</c:v>
                </c:pt>
                <c:pt idx="68" formatCode="General">
                  <c:v>-58.909130337078651</c:v>
                </c:pt>
                <c:pt idx="69" formatCode="General">
                  <c:v>-59.133370037453183</c:v>
                </c:pt>
                <c:pt idx="70" formatCode="General">
                  <c:v>-59.357609737827715</c:v>
                </c:pt>
                <c:pt idx="71" formatCode="General">
                  <c:v>-59.581849438202241</c:v>
                </c:pt>
                <c:pt idx="72" formatCode="General">
                  <c:v>-59.806089138576773</c:v>
                </c:pt>
                <c:pt idx="73" formatCode="General">
                  <c:v>-60.030328838951306</c:v>
                </c:pt>
                <c:pt idx="74" formatCode="General">
                  <c:v>-60.254568539325838</c:v>
                </c:pt>
                <c:pt idx="75" formatCode="General">
                  <c:v>-60.478808239700371</c:v>
                </c:pt>
                <c:pt idx="76" formatCode="General">
                  <c:v>-60.703047940074903</c:v>
                </c:pt>
                <c:pt idx="77" formatCode="General">
                  <c:v>-60.927287640449435</c:v>
                </c:pt>
                <c:pt idx="78" formatCode="General">
                  <c:v>-61.151527340823968</c:v>
                </c:pt>
                <c:pt idx="79" formatCode="General">
                  <c:v>-61.3757670411985</c:v>
                </c:pt>
                <c:pt idx="80" formatCode="General">
                  <c:v>-61.600006741573026</c:v>
                </c:pt>
                <c:pt idx="81" formatCode="General">
                  <c:v>-61.824246441947558</c:v>
                </c:pt>
                <c:pt idx="82" formatCode="General">
                  <c:v>-62.048486142322091</c:v>
                </c:pt>
                <c:pt idx="83" formatCode="General">
                  <c:v>-62.267167664670652</c:v>
                </c:pt>
                <c:pt idx="84" formatCode="General">
                  <c:v>-62.480820359281431</c:v>
                </c:pt>
                <c:pt idx="85" formatCode="General">
                  <c:v>-62.69447305389221</c:v>
                </c:pt>
                <c:pt idx="86" formatCode="General">
                  <c:v>-62.908125748502989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F43-47D9-9E15-19AA26622F09}"/>
            </c:ext>
          </c:extLst>
        </c:ser>
        <c:ser>
          <c:idx val="34"/>
          <c:order val="36"/>
          <c:spPr>
            <a:ln>
              <a:solidFill>
                <a:schemeClr val="accent4">
                  <a:lumMod val="50000"/>
                </a:schemeClr>
              </a:solidFill>
              <a:prstDash val="sysDash"/>
            </a:ln>
          </c:spPr>
          <c:marker>
            <c:symbol val="none"/>
          </c:marker>
          <c:xVal>
            <c:numRef>
              <c:f>EVALUATION!$B$100:$CP$100</c:f>
              <c:numCache>
                <c:formatCode>0</c:formatCode>
                <c:ptCount val="93"/>
                <c:pt idx="0">
                  <c:v>306</c:v>
                </c:pt>
                <c:pt idx="1">
                  <c:v>314</c:v>
                </c:pt>
                <c:pt idx="2">
                  <c:v>322</c:v>
                </c:pt>
                <c:pt idx="3">
                  <c:v>330</c:v>
                </c:pt>
                <c:pt idx="4">
                  <c:v>338</c:v>
                </c:pt>
                <c:pt idx="5">
                  <c:v>346</c:v>
                </c:pt>
                <c:pt idx="6">
                  <c:v>354</c:v>
                </c:pt>
                <c:pt idx="7">
                  <c:v>362</c:v>
                </c:pt>
                <c:pt idx="8">
                  <c:v>370</c:v>
                </c:pt>
                <c:pt idx="9">
                  <c:v>378</c:v>
                </c:pt>
                <c:pt idx="10">
                  <c:v>386</c:v>
                </c:pt>
                <c:pt idx="11">
                  <c:v>394</c:v>
                </c:pt>
                <c:pt idx="12">
                  <c:v>402</c:v>
                </c:pt>
                <c:pt idx="13">
                  <c:v>410</c:v>
                </c:pt>
                <c:pt idx="14">
                  <c:v>418</c:v>
                </c:pt>
                <c:pt idx="15">
                  <c:v>426</c:v>
                </c:pt>
                <c:pt idx="16">
                  <c:v>434</c:v>
                </c:pt>
                <c:pt idx="17">
                  <c:v>442</c:v>
                </c:pt>
                <c:pt idx="18">
                  <c:v>450</c:v>
                </c:pt>
                <c:pt idx="19">
                  <c:v>458</c:v>
                </c:pt>
                <c:pt idx="20">
                  <c:v>466</c:v>
                </c:pt>
                <c:pt idx="21">
                  <c:v>474</c:v>
                </c:pt>
                <c:pt idx="22">
                  <c:v>482</c:v>
                </c:pt>
                <c:pt idx="23">
                  <c:v>490</c:v>
                </c:pt>
                <c:pt idx="24">
                  <c:v>498</c:v>
                </c:pt>
                <c:pt idx="25">
                  <c:v>506</c:v>
                </c:pt>
                <c:pt idx="26">
                  <c:v>514</c:v>
                </c:pt>
                <c:pt idx="27">
                  <c:v>522</c:v>
                </c:pt>
                <c:pt idx="28">
                  <c:v>530</c:v>
                </c:pt>
                <c:pt idx="29">
                  <c:v>538</c:v>
                </c:pt>
                <c:pt idx="30">
                  <c:v>546</c:v>
                </c:pt>
                <c:pt idx="31">
                  <c:v>554</c:v>
                </c:pt>
                <c:pt idx="32">
                  <c:v>562</c:v>
                </c:pt>
                <c:pt idx="33">
                  <c:v>570</c:v>
                </c:pt>
                <c:pt idx="34">
                  <c:v>578</c:v>
                </c:pt>
                <c:pt idx="35">
                  <c:v>586</c:v>
                </c:pt>
                <c:pt idx="36">
                  <c:v>594</c:v>
                </c:pt>
                <c:pt idx="37">
                  <c:v>602</c:v>
                </c:pt>
                <c:pt idx="38">
                  <c:v>610</c:v>
                </c:pt>
                <c:pt idx="39">
                  <c:v>618</c:v>
                </c:pt>
                <c:pt idx="40">
                  <c:v>626</c:v>
                </c:pt>
                <c:pt idx="41">
                  <c:v>634</c:v>
                </c:pt>
                <c:pt idx="42">
                  <c:v>642</c:v>
                </c:pt>
                <c:pt idx="43">
                  <c:v>650</c:v>
                </c:pt>
                <c:pt idx="44">
                  <c:v>658</c:v>
                </c:pt>
                <c:pt idx="45">
                  <c:v>666</c:v>
                </c:pt>
                <c:pt idx="46">
                  <c:v>674</c:v>
                </c:pt>
                <c:pt idx="47">
                  <c:v>682</c:v>
                </c:pt>
                <c:pt idx="48">
                  <c:v>690</c:v>
                </c:pt>
                <c:pt idx="49">
                  <c:v>698</c:v>
                </c:pt>
                <c:pt idx="50">
                  <c:v>706</c:v>
                </c:pt>
                <c:pt idx="51">
                  <c:v>714</c:v>
                </c:pt>
                <c:pt idx="52">
                  <c:v>722</c:v>
                </c:pt>
                <c:pt idx="53">
                  <c:v>730</c:v>
                </c:pt>
                <c:pt idx="54">
                  <c:v>738</c:v>
                </c:pt>
                <c:pt idx="55">
                  <c:v>746</c:v>
                </c:pt>
                <c:pt idx="56">
                  <c:v>754</c:v>
                </c:pt>
                <c:pt idx="57">
                  <c:v>762</c:v>
                </c:pt>
                <c:pt idx="58">
                  <c:v>770</c:v>
                </c:pt>
                <c:pt idx="59">
                  <c:v>778</c:v>
                </c:pt>
                <c:pt idx="60">
                  <c:v>786</c:v>
                </c:pt>
                <c:pt idx="61">
                  <c:v>794</c:v>
                </c:pt>
                <c:pt idx="62">
                  <c:v>802</c:v>
                </c:pt>
                <c:pt idx="63">
                  <c:v>810</c:v>
                </c:pt>
                <c:pt idx="64">
                  <c:v>818</c:v>
                </c:pt>
                <c:pt idx="65">
                  <c:v>826</c:v>
                </c:pt>
                <c:pt idx="66">
                  <c:v>834</c:v>
                </c:pt>
                <c:pt idx="67">
                  <c:v>842</c:v>
                </c:pt>
                <c:pt idx="68">
                  <c:v>850</c:v>
                </c:pt>
                <c:pt idx="69">
                  <c:v>858</c:v>
                </c:pt>
                <c:pt idx="70">
                  <c:v>866</c:v>
                </c:pt>
                <c:pt idx="71">
                  <c:v>874</c:v>
                </c:pt>
                <c:pt idx="72">
                  <c:v>882</c:v>
                </c:pt>
                <c:pt idx="73">
                  <c:v>890</c:v>
                </c:pt>
                <c:pt idx="74">
                  <c:v>898</c:v>
                </c:pt>
                <c:pt idx="75">
                  <c:v>906</c:v>
                </c:pt>
                <c:pt idx="76">
                  <c:v>914</c:v>
                </c:pt>
                <c:pt idx="77">
                  <c:v>922</c:v>
                </c:pt>
                <c:pt idx="78">
                  <c:v>930</c:v>
                </c:pt>
                <c:pt idx="79">
                  <c:v>938</c:v>
                </c:pt>
                <c:pt idx="80">
                  <c:v>946</c:v>
                </c:pt>
                <c:pt idx="81">
                  <c:v>954</c:v>
                </c:pt>
                <c:pt idx="82">
                  <c:v>962</c:v>
                </c:pt>
                <c:pt idx="83">
                  <c:v>970</c:v>
                </c:pt>
                <c:pt idx="84">
                  <c:v>978</c:v>
                </c:pt>
                <c:pt idx="85">
                  <c:v>986</c:v>
                </c:pt>
                <c:pt idx="86">
                  <c:v>994</c:v>
                </c:pt>
              </c:numCache>
            </c:numRef>
          </c:xVal>
          <c:yVal>
            <c:numRef>
              <c:f>EVALUATION!$B$137:$CP$137</c:f>
              <c:numCache>
                <c:formatCode>0</c:formatCode>
                <c:ptCount val="93"/>
                <c:pt idx="0">
                  <c:v>-59.399279279279277</c:v>
                </c:pt>
                <c:pt idx="1">
                  <c:v>-58.495975975975981</c:v>
                </c:pt>
                <c:pt idx="2">
                  <c:v>-57.592672672672677</c:v>
                </c:pt>
                <c:pt idx="3">
                  <c:v>-56.689369369369373</c:v>
                </c:pt>
                <c:pt idx="4" formatCode="General">
                  <c:v>-56.091856287425152</c:v>
                </c:pt>
                <c:pt idx="5" formatCode="General">
                  <c:v>-55.564910179640719</c:v>
                </c:pt>
                <c:pt idx="6" formatCode="General">
                  <c:v>-55.037964071856287</c:v>
                </c:pt>
                <c:pt idx="7" formatCode="General">
                  <c:v>-54.511017964071854</c:v>
                </c:pt>
                <c:pt idx="8" formatCode="General">
                  <c:v>-54.110197604790422</c:v>
                </c:pt>
                <c:pt idx="9" formatCode="General">
                  <c:v>-53.781095808383235</c:v>
                </c:pt>
                <c:pt idx="10" formatCode="General">
                  <c:v>-53.451994011976048</c:v>
                </c:pt>
                <c:pt idx="11" formatCode="General">
                  <c:v>-53.122892215568861</c:v>
                </c:pt>
                <c:pt idx="12" formatCode="General">
                  <c:v>-52.840317365269463</c:v>
                </c:pt>
                <c:pt idx="13" formatCode="General">
                  <c:v>-52.611814371257488</c:v>
                </c:pt>
                <c:pt idx="14" formatCode="General">
                  <c:v>-52.383311377245512</c:v>
                </c:pt>
                <c:pt idx="15" formatCode="General">
                  <c:v>-52.154808383233537</c:v>
                </c:pt>
                <c:pt idx="16" formatCode="General">
                  <c:v>-51.959014970059883</c:v>
                </c:pt>
                <c:pt idx="17" formatCode="General">
                  <c:v>-51.84428443113773</c:v>
                </c:pt>
                <c:pt idx="18" formatCode="General">
                  <c:v>-51.72955389221557</c:v>
                </c:pt>
                <c:pt idx="19" formatCode="General">
                  <c:v>-51.61482335329341</c:v>
                </c:pt>
                <c:pt idx="20" formatCode="General">
                  <c:v>-51.519547904191612</c:v>
                </c:pt>
                <c:pt idx="21" formatCode="General">
                  <c:v>-51.577751497005984</c:v>
                </c:pt>
                <c:pt idx="22" formatCode="General">
                  <c:v>-51.635955089820357</c:v>
                </c:pt>
                <c:pt idx="23" formatCode="General">
                  <c:v>-51.694158682634729</c:v>
                </c:pt>
                <c:pt idx="24" formatCode="General">
                  <c:v>-51.752362275449102</c:v>
                </c:pt>
                <c:pt idx="25" formatCode="General">
                  <c:v>-52.016585585585588</c:v>
                </c:pt>
                <c:pt idx="26" formatCode="General">
                  <c:v>-52.29454354354354</c:v>
                </c:pt>
                <c:pt idx="27" formatCode="General">
                  <c:v>-52.572501501501499</c:v>
                </c:pt>
                <c:pt idx="28" formatCode="General">
                  <c:v>-52.850459459459458</c:v>
                </c:pt>
                <c:pt idx="29" formatCode="General">
                  <c:v>-53.09677245508982</c:v>
                </c:pt>
                <c:pt idx="30" formatCode="General">
                  <c:v>-53.333898203592817</c:v>
                </c:pt>
                <c:pt idx="31" formatCode="General">
                  <c:v>-53.571023952095814</c:v>
                </c:pt>
                <c:pt idx="32" formatCode="General">
                  <c:v>-53.808149700598804</c:v>
                </c:pt>
                <c:pt idx="33" formatCode="General">
                  <c:v>-54.055479041916172</c:v>
                </c:pt>
                <c:pt idx="34" formatCode="General">
                  <c:v>-54.309610778443115</c:v>
                </c:pt>
                <c:pt idx="35" formatCode="General">
                  <c:v>-54.563742514970059</c:v>
                </c:pt>
                <c:pt idx="36" formatCode="General">
                  <c:v>-54.817874251497003</c:v>
                </c:pt>
                <c:pt idx="37" formatCode="General">
                  <c:v>-55.069562874251496</c:v>
                </c:pt>
                <c:pt idx="38" formatCode="General">
                  <c:v>-55.317946107784429</c:v>
                </c:pt>
                <c:pt idx="39" formatCode="General">
                  <c:v>-55.56632934131737</c:v>
                </c:pt>
                <c:pt idx="40" formatCode="General">
                  <c:v>-55.814712574850304</c:v>
                </c:pt>
                <c:pt idx="41" formatCode="General">
                  <c:v>-56.063335329341321</c:v>
                </c:pt>
                <c:pt idx="42" formatCode="General">
                  <c:v>-56.312676646706592</c:v>
                </c:pt>
                <c:pt idx="43" formatCode="General">
                  <c:v>-56.562017964071856</c:v>
                </c:pt>
                <c:pt idx="44" formatCode="General">
                  <c:v>-56.81135928143712</c:v>
                </c:pt>
                <c:pt idx="45" formatCode="General">
                  <c:v>-57.060700598802391</c:v>
                </c:pt>
                <c:pt idx="46" formatCode="General">
                  <c:v>-57.310041916167663</c:v>
                </c:pt>
                <c:pt idx="47" formatCode="General">
                  <c:v>-57.559383233532934</c:v>
                </c:pt>
                <c:pt idx="48" formatCode="General">
                  <c:v>-57.808724550898205</c:v>
                </c:pt>
                <c:pt idx="49" formatCode="General">
                  <c:v>-58.058065868263469</c:v>
                </c:pt>
                <c:pt idx="50" formatCode="General">
                  <c:v>-58.295494382022468</c:v>
                </c:pt>
                <c:pt idx="51" formatCode="General">
                  <c:v>-58.531599250936331</c:v>
                </c:pt>
                <c:pt idx="52" formatCode="General">
                  <c:v>-58.767704119850187</c:v>
                </c:pt>
                <c:pt idx="53" formatCode="General">
                  <c:v>-59.003808988764042</c:v>
                </c:pt>
                <c:pt idx="54" formatCode="General">
                  <c:v>-59.239913857677905</c:v>
                </c:pt>
                <c:pt idx="55" formatCode="General">
                  <c:v>-59.476018726591761</c:v>
                </c:pt>
                <c:pt idx="56" formatCode="General">
                  <c:v>-59.712123595505616</c:v>
                </c:pt>
                <c:pt idx="57" formatCode="General">
                  <c:v>-59.948228464419479</c:v>
                </c:pt>
                <c:pt idx="58" formatCode="General">
                  <c:v>-60.184333333333335</c:v>
                </c:pt>
                <c:pt idx="59" formatCode="General">
                  <c:v>-60.42043820224719</c:v>
                </c:pt>
                <c:pt idx="60" formatCode="General">
                  <c:v>-60.656543071161053</c:v>
                </c:pt>
                <c:pt idx="61" formatCode="General">
                  <c:v>-60.892647940074909</c:v>
                </c:pt>
                <c:pt idx="62" formatCode="General">
                  <c:v>-61.128752808988764</c:v>
                </c:pt>
                <c:pt idx="63" formatCode="General">
                  <c:v>-61.364857677902627</c:v>
                </c:pt>
                <c:pt idx="64" formatCode="General">
                  <c:v>-61.600962546816483</c:v>
                </c:pt>
                <c:pt idx="65" formatCode="General">
                  <c:v>-61.837067415730338</c:v>
                </c:pt>
                <c:pt idx="66" formatCode="General">
                  <c:v>-62.070650936329592</c:v>
                </c:pt>
                <c:pt idx="67" formatCode="General">
                  <c:v>-62.294890636704125</c:v>
                </c:pt>
                <c:pt idx="68" formatCode="General">
                  <c:v>-62.519130337078657</c:v>
                </c:pt>
                <c:pt idx="69" formatCode="General">
                  <c:v>-62.74337003745319</c:v>
                </c:pt>
                <c:pt idx="70" formatCode="General">
                  <c:v>-62.967609737827722</c:v>
                </c:pt>
                <c:pt idx="71" formatCode="General">
                  <c:v>-63.191849438202254</c:v>
                </c:pt>
                <c:pt idx="72" formatCode="General">
                  <c:v>-63.41608913857678</c:v>
                </c:pt>
                <c:pt idx="73" formatCode="General">
                  <c:v>-63.640328838951312</c:v>
                </c:pt>
                <c:pt idx="74" formatCode="General">
                  <c:v>-63.864568539325845</c:v>
                </c:pt>
                <c:pt idx="75" formatCode="General">
                  <c:v>-64.088808239700384</c:v>
                </c:pt>
                <c:pt idx="76" formatCode="General">
                  <c:v>-64.31304794007491</c:v>
                </c:pt>
                <c:pt idx="77" formatCode="General">
                  <c:v>-64.537287640449435</c:v>
                </c:pt>
                <c:pt idx="78" formatCode="General">
                  <c:v>-64.761527340823974</c:v>
                </c:pt>
                <c:pt idx="79" formatCode="General">
                  <c:v>-64.9857670411985</c:v>
                </c:pt>
                <c:pt idx="80" formatCode="General">
                  <c:v>-65.210006741573039</c:v>
                </c:pt>
                <c:pt idx="81" formatCode="General">
                  <c:v>-65.434246441947565</c:v>
                </c:pt>
                <c:pt idx="82" formatCode="General">
                  <c:v>-65.658486142322104</c:v>
                </c:pt>
                <c:pt idx="83" formatCode="General">
                  <c:v>-65.876716216216224</c:v>
                </c:pt>
                <c:pt idx="84" formatCode="General">
                  <c:v>-66.089509009009006</c:v>
                </c:pt>
                <c:pt idx="85" formatCode="General">
                  <c:v>-66.302301801801804</c:v>
                </c:pt>
                <c:pt idx="86" formatCode="General">
                  <c:v>-66.515094594594601</c:v>
                </c:pt>
                <c:pt idx="87" formatCode="General">
                  <c:v>-44.975564356435648</c:v>
                </c:pt>
                <c:pt idx="88" formatCode="General">
                  <c:v>-45.122099009900992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F43-47D9-9E15-19AA26622F09}"/>
            </c:ext>
          </c:extLst>
        </c:ser>
        <c:ser>
          <c:idx val="53"/>
          <c:order val="54"/>
          <c:tx>
            <c:v>temp</c:v>
          </c:tx>
          <c:marker>
            <c:symbol val="none"/>
          </c:marker>
          <c:dPt>
            <c:idx val="1"/>
            <c:bubble3D val="0"/>
            <c:spPr>
              <a:ln>
                <a:solidFill>
                  <a:schemeClr val="tx1"/>
                </a:solidFill>
              </a:ln>
            </c:spPr>
            <c:extLst>
              <c:ext xmlns:c16="http://schemas.microsoft.com/office/drawing/2014/chart" uri="{C3380CC4-5D6E-409C-BE32-E72D297353CC}">
                <c16:uniqueId val="{00000003-7F43-47D9-9E15-19AA26622F09}"/>
              </c:ext>
            </c:extLst>
          </c:dPt>
          <c:xVal>
            <c:numRef>
              <c:f>EVALUATION!$A$98:$A$99</c:f>
              <c:numCache>
                <c:formatCode>General</c:formatCode>
                <c:ptCount val="2"/>
                <c:pt idx="0">
                  <c:v>700</c:v>
                </c:pt>
                <c:pt idx="1">
                  <c:v>700</c:v>
                </c:pt>
              </c:numCache>
            </c:numRef>
          </c:xVal>
          <c:yVal>
            <c:numRef>
              <c:f>EVALUATION!$B$98:$B$99</c:f>
              <c:numCache>
                <c:formatCode>0</c:formatCode>
                <c:ptCount val="2"/>
                <c:pt idx="0">
                  <c:v>-184.14450450450451</c:v>
                </c:pt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7F43-47D9-9E15-19AA26622F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38785983"/>
        <c:axId val="938775583"/>
        <c:extLst>
          <c:ext xmlns:c15="http://schemas.microsoft.com/office/drawing/2012/chart" uri="{02D57815-91ED-43cb-92C2-25804820EDAC}">
            <c15:filteredScatterSeries>
              <c15:ser>
                <c:idx val="0"/>
                <c:order val="0"/>
                <c:spPr>
                  <a:ln w="19050" cap="rnd">
                    <a:solidFill>
                      <a:srgbClr val="FF0000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306</c:v>
                      </c:pt>
                      <c:pt idx="1">
                        <c:v>314</c:v>
                      </c:pt>
                      <c:pt idx="2">
                        <c:v>322</c:v>
                      </c:pt>
                      <c:pt idx="3">
                        <c:v>330</c:v>
                      </c:pt>
                      <c:pt idx="4">
                        <c:v>338</c:v>
                      </c:pt>
                      <c:pt idx="5">
                        <c:v>346</c:v>
                      </c:pt>
                      <c:pt idx="6">
                        <c:v>354</c:v>
                      </c:pt>
                      <c:pt idx="7">
                        <c:v>362</c:v>
                      </c:pt>
                      <c:pt idx="8">
                        <c:v>370</c:v>
                      </c:pt>
                      <c:pt idx="9">
                        <c:v>378</c:v>
                      </c:pt>
                      <c:pt idx="10">
                        <c:v>386</c:v>
                      </c:pt>
                      <c:pt idx="11">
                        <c:v>394</c:v>
                      </c:pt>
                      <c:pt idx="12">
                        <c:v>402</c:v>
                      </c:pt>
                      <c:pt idx="13">
                        <c:v>410</c:v>
                      </c:pt>
                      <c:pt idx="14">
                        <c:v>418</c:v>
                      </c:pt>
                      <c:pt idx="15">
                        <c:v>426</c:v>
                      </c:pt>
                      <c:pt idx="16">
                        <c:v>434</c:v>
                      </c:pt>
                      <c:pt idx="17">
                        <c:v>442</c:v>
                      </c:pt>
                      <c:pt idx="18">
                        <c:v>450</c:v>
                      </c:pt>
                      <c:pt idx="19">
                        <c:v>458</c:v>
                      </c:pt>
                      <c:pt idx="20">
                        <c:v>466</c:v>
                      </c:pt>
                      <c:pt idx="21">
                        <c:v>474</c:v>
                      </c:pt>
                      <c:pt idx="22">
                        <c:v>482</c:v>
                      </c:pt>
                      <c:pt idx="23">
                        <c:v>490</c:v>
                      </c:pt>
                      <c:pt idx="24">
                        <c:v>498</c:v>
                      </c:pt>
                      <c:pt idx="25">
                        <c:v>506</c:v>
                      </c:pt>
                      <c:pt idx="26">
                        <c:v>514</c:v>
                      </c:pt>
                      <c:pt idx="27">
                        <c:v>522</c:v>
                      </c:pt>
                      <c:pt idx="28">
                        <c:v>530</c:v>
                      </c:pt>
                      <c:pt idx="29">
                        <c:v>538</c:v>
                      </c:pt>
                      <c:pt idx="30">
                        <c:v>546</c:v>
                      </c:pt>
                      <c:pt idx="31">
                        <c:v>554</c:v>
                      </c:pt>
                      <c:pt idx="32">
                        <c:v>562</c:v>
                      </c:pt>
                      <c:pt idx="33">
                        <c:v>570</c:v>
                      </c:pt>
                      <c:pt idx="34">
                        <c:v>578</c:v>
                      </c:pt>
                      <c:pt idx="35">
                        <c:v>586</c:v>
                      </c:pt>
                      <c:pt idx="36">
                        <c:v>594</c:v>
                      </c:pt>
                      <c:pt idx="37">
                        <c:v>602</c:v>
                      </c:pt>
                      <c:pt idx="38">
                        <c:v>610</c:v>
                      </c:pt>
                      <c:pt idx="39">
                        <c:v>618</c:v>
                      </c:pt>
                      <c:pt idx="40">
                        <c:v>626</c:v>
                      </c:pt>
                      <c:pt idx="41">
                        <c:v>634</c:v>
                      </c:pt>
                      <c:pt idx="42">
                        <c:v>642</c:v>
                      </c:pt>
                      <c:pt idx="43">
                        <c:v>650</c:v>
                      </c:pt>
                      <c:pt idx="44">
                        <c:v>658</c:v>
                      </c:pt>
                      <c:pt idx="45">
                        <c:v>666</c:v>
                      </c:pt>
                      <c:pt idx="46">
                        <c:v>674</c:v>
                      </c:pt>
                      <c:pt idx="47">
                        <c:v>682</c:v>
                      </c:pt>
                      <c:pt idx="48">
                        <c:v>690</c:v>
                      </c:pt>
                      <c:pt idx="49">
                        <c:v>698</c:v>
                      </c:pt>
                      <c:pt idx="50">
                        <c:v>706</c:v>
                      </c:pt>
                      <c:pt idx="51">
                        <c:v>714</c:v>
                      </c:pt>
                      <c:pt idx="52">
                        <c:v>722</c:v>
                      </c:pt>
                      <c:pt idx="53">
                        <c:v>730</c:v>
                      </c:pt>
                      <c:pt idx="54">
                        <c:v>738</c:v>
                      </c:pt>
                      <c:pt idx="55">
                        <c:v>746</c:v>
                      </c:pt>
                      <c:pt idx="56">
                        <c:v>754</c:v>
                      </c:pt>
                      <c:pt idx="57">
                        <c:v>762</c:v>
                      </c:pt>
                      <c:pt idx="58">
                        <c:v>770</c:v>
                      </c:pt>
                      <c:pt idx="59">
                        <c:v>778</c:v>
                      </c:pt>
                      <c:pt idx="60">
                        <c:v>786</c:v>
                      </c:pt>
                      <c:pt idx="61">
                        <c:v>794</c:v>
                      </c:pt>
                      <c:pt idx="62">
                        <c:v>802</c:v>
                      </c:pt>
                      <c:pt idx="63">
                        <c:v>810</c:v>
                      </c:pt>
                      <c:pt idx="64">
                        <c:v>818</c:v>
                      </c:pt>
                      <c:pt idx="65">
                        <c:v>826</c:v>
                      </c:pt>
                      <c:pt idx="66">
                        <c:v>834</c:v>
                      </c:pt>
                      <c:pt idx="67">
                        <c:v>842</c:v>
                      </c:pt>
                      <c:pt idx="68">
                        <c:v>850</c:v>
                      </c:pt>
                      <c:pt idx="69">
                        <c:v>858</c:v>
                      </c:pt>
                      <c:pt idx="70">
                        <c:v>866</c:v>
                      </c:pt>
                      <c:pt idx="71">
                        <c:v>874</c:v>
                      </c:pt>
                      <c:pt idx="72">
                        <c:v>882</c:v>
                      </c:pt>
                      <c:pt idx="73">
                        <c:v>890</c:v>
                      </c:pt>
                      <c:pt idx="74">
                        <c:v>898</c:v>
                      </c:pt>
                      <c:pt idx="75">
                        <c:v>906</c:v>
                      </c:pt>
                      <c:pt idx="76">
                        <c:v>914</c:v>
                      </c:pt>
                      <c:pt idx="77">
                        <c:v>922</c:v>
                      </c:pt>
                      <c:pt idx="78">
                        <c:v>930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EVALUATION!$B$101:$CP$101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-15.118108108108107</c:v>
                      </c:pt>
                      <c:pt idx="1">
                        <c:v>-14.88027027027027</c:v>
                      </c:pt>
                      <c:pt idx="2">
                        <c:v>-14.642432432432432</c:v>
                      </c:pt>
                      <c:pt idx="3">
                        <c:v>-14.404594594594593</c:v>
                      </c:pt>
                      <c:pt idx="4" formatCode="General">
                        <c:v>-13.959101796407184</c:v>
                      </c:pt>
                      <c:pt idx="5" formatCode="General">
                        <c:v>-13.46568862275449</c:v>
                      </c:pt>
                      <c:pt idx="6" formatCode="General">
                        <c:v>-12.972275449101796</c:v>
                      </c:pt>
                      <c:pt idx="7" formatCode="General">
                        <c:v>-12.478862275449101</c:v>
                      </c:pt>
                      <c:pt idx="8" formatCode="General">
                        <c:v>-11.950329341317365</c:v>
                      </c:pt>
                      <c:pt idx="9" formatCode="General">
                        <c:v>-11.40182634730539</c:v>
                      </c:pt>
                      <c:pt idx="10" formatCode="General">
                        <c:v>-10.853323353293414</c:v>
                      </c:pt>
                      <c:pt idx="11" formatCode="General">
                        <c:v>-10.304820359281438</c:v>
                      </c:pt>
                      <c:pt idx="12" formatCode="General">
                        <c:v>-9.7896616766467073</c:v>
                      </c:pt>
                      <c:pt idx="13" formatCode="General">
                        <c:v>-9.3132544910179647</c:v>
                      </c:pt>
                      <c:pt idx="14" formatCode="General">
                        <c:v>-8.836847305389222</c:v>
                      </c:pt>
                      <c:pt idx="15" formatCode="General">
                        <c:v>-8.3604401197604794</c:v>
                      </c:pt>
                      <c:pt idx="16" formatCode="General">
                        <c:v>-7.9011107784431145</c:v>
                      </c:pt>
                      <c:pt idx="17" formatCode="General">
                        <c:v>-7.4841047904191624</c:v>
                      </c:pt>
                      <c:pt idx="18" formatCode="General">
                        <c:v>-7.0670988023952104</c:v>
                      </c:pt>
                      <c:pt idx="19" formatCode="General">
                        <c:v>-6.6500928143712592</c:v>
                      </c:pt>
                      <c:pt idx="20" formatCode="General">
                        <c:v>-6.2383952095808395</c:v>
                      </c:pt>
                      <c:pt idx="21" formatCode="General">
                        <c:v>-5.8685748502994022</c:v>
                      </c:pt>
                      <c:pt idx="22" formatCode="General">
                        <c:v>-5.4987544910179649</c:v>
                      </c:pt>
                      <c:pt idx="23" formatCode="General">
                        <c:v>-5.1289341317365267</c:v>
                      </c:pt>
                      <c:pt idx="24" formatCode="General">
                        <c:v>-4.7591137724550894</c:v>
                      </c:pt>
                      <c:pt idx="25" formatCode="General">
                        <c:v>-4.6019909909909904</c:v>
                      </c:pt>
                      <c:pt idx="26" formatCode="General">
                        <c:v>-4.4590480480480474</c:v>
                      </c:pt>
                      <c:pt idx="27" formatCode="General">
                        <c:v>-4.3161051051051045</c:v>
                      </c:pt>
                      <c:pt idx="28" formatCode="General">
                        <c:v>-4.1731621621621615</c:v>
                      </c:pt>
                      <c:pt idx="29" formatCode="General">
                        <c:v>-4.1562215568862273</c:v>
                      </c:pt>
                      <c:pt idx="30" formatCode="General">
                        <c:v>-4.1758622754491022</c:v>
                      </c:pt>
                      <c:pt idx="31" formatCode="General">
                        <c:v>-4.1955029940119761</c:v>
                      </c:pt>
                      <c:pt idx="32" formatCode="General">
                        <c:v>-4.2151437125748501</c:v>
                      </c:pt>
                      <c:pt idx="33" formatCode="General">
                        <c:v>-4.2348562874251492</c:v>
                      </c:pt>
                      <c:pt idx="34" formatCode="General">
                        <c:v>-4.2546167664670653</c:v>
                      </c:pt>
                      <c:pt idx="35" formatCode="General">
                        <c:v>-4.2743772455089815</c:v>
                      </c:pt>
                      <c:pt idx="36" formatCode="General">
                        <c:v>-4.2941377245508976</c:v>
                      </c:pt>
                      <c:pt idx="37" formatCode="General">
                        <c:v>-4.3138982035928146</c:v>
                      </c:pt>
                      <c:pt idx="38" formatCode="General">
                        <c:v>-4.3336586826347308</c:v>
                      </c:pt>
                      <c:pt idx="39" formatCode="General">
                        <c:v>-4.3534191616766469</c:v>
                      </c:pt>
                      <c:pt idx="40" formatCode="General">
                        <c:v>-4.373179640718563</c:v>
                      </c:pt>
                      <c:pt idx="41" formatCode="General">
                        <c:v>-4.3929401197604792</c:v>
                      </c:pt>
                      <c:pt idx="42" formatCode="General">
                        <c:v>-4.4127005988023953</c:v>
                      </c:pt>
                      <c:pt idx="43" formatCode="General">
                        <c:v>-4.4324610778443114</c:v>
                      </c:pt>
                      <c:pt idx="44" formatCode="General">
                        <c:v>-4.4522215568862276</c:v>
                      </c:pt>
                      <c:pt idx="45" formatCode="General">
                        <c:v>-4.4719820359281437</c:v>
                      </c:pt>
                      <c:pt idx="46" formatCode="General">
                        <c:v>-4.4917425149700598</c:v>
                      </c:pt>
                      <c:pt idx="47" formatCode="General">
                        <c:v>-4.511502994011976</c:v>
                      </c:pt>
                      <c:pt idx="48" formatCode="General">
                        <c:v>-4.5312634730538921</c:v>
                      </c:pt>
                      <c:pt idx="49" formatCode="General">
                        <c:v>-4.5510239520958082</c:v>
                      </c:pt>
                      <c:pt idx="50" formatCode="General">
                        <c:v>-4.5702584269662925</c:v>
                      </c:pt>
                      <c:pt idx="51" formatCode="General">
                        <c:v>-4.5894344569288394</c:v>
                      </c:pt>
                      <c:pt idx="52" formatCode="General">
                        <c:v>-4.6086104868913855</c:v>
                      </c:pt>
                      <c:pt idx="53" formatCode="General">
                        <c:v>-4.6277865168539325</c:v>
                      </c:pt>
                      <c:pt idx="54" formatCode="General">
                        <c:v>-4.6469625468164795</c:v>
                      </c:pt>
                      <c:pt idx="55" formatCode="General">
                        <c:v>-4.6661385767790264</c:v>
                      </c:pt>
                      <c:pt idx="56" formatCode="General">
                        <c:v>-4.6853146067415734</c:v>
                      </c:pt>
                      <c:pt idx="57" formatCode="General">
                        <c:v>-4.7044906367041204</c:v>
                      </c:pt>
                      <c:pt idx="58" formatCode="General">
                        <c:v>-4.7236666666666665</c:v>
                      </c:pt>
                      <c:pt idx="59" formatCode="General">
                        <c:v>-4.7428426966292134</c:v>
                      </c:pt>
                      <c:pt idx="60" formatCode="General">
                        <c:v>-4.7620187265917604</c:v>
                      </c:pt>
                      <c:pt idx="61" formatCode="General">
                        <c:v>-4.7811947565543074</c:v>
                      </c:pt>
                      <c:pt idx="62" formatCode="General">
                        <c:v>-4.8003707865168543</c:v>
                      </c:pt>
                      <c:pt idx="63" formatCode="General">
                        <c:v>-4.8195468164794013</c:v>
                      </c:pt>
                      <c:pt idx="64" formatCode="General">
                        <c:v>-4.8387228464419483</c:v>
                      </c:pt>
                      <c:pt idx="65" formatCode="General">
                        <c:v>-4.8578988764044944</c:v>
                      </c:pt>
                      <c:pt idx="66" formatCode="General">
                        <c:v>-4.8768456928838955</c:v>
                      </c:pt>
                      <c:pt idx="67" formatCode="General">
                        <c:v>-4.8949430711610491</c:v>
                      </c:pt>
                      <c:pt idx="68" formatCode="General">
                        <c:v>-4.9130404494382027</c:v>
                      </c:pt>
                      <c:pt idx="69" formatCode="General">
                        <c:v>-4.9311378277153564</c:v>
                      </c:pt>
                      <c:pt idx="70" formatCode="General">
                        <c:v>-4.94923520599251</c:v>
                      </c:pt>
                      <c:pt idx="71" formatCode="General">
                        <c:v>-4.9673325842696627</c:v>
                      </c:pt>
                      <c:pt idx="72" formatCode="General">
                        <c:v>-4.9854299625468164</c:v>
                      </c:pt>
                      <c:pt idx="73" formatCode="General">
                        <c:v>-5.00352734082397</c:v>
                      </c:pt>
                      <c:pt idx="74" formatCode="General">
                        <c:v>-5.0216247191011236</c:v>
                      </c:pt>
                      <c:pt idx="75" formatCode="General">
                        <c:v>-5.0397220973782773</c:v>
                      </c:pt>
                      <c:pt idx="76" formatCode="General">
                        <c:v>-5.0578194756554309</c:v>
                      </c:pt>
                      <c:pt idx="77" formatCode="General">
                        <c:v>-5.0759168539325845</c:v>
                      </c:pt>
                      <c:pt idx="78" formatCode="General">
                        <c:v>-5.0940142322097381</c:v>
                      </c:pt>
                      <c:pt idx="79" formatCode="General">
                        <c:v>-5.1121116104868918</c:v>
                      </c:pt>
                      <c:pt idx="80" formatCode="General">
                        <c:v>-5.1302089887640445</c:v>
                      </c:pt>
                      <c:pt idx="81" formatCode="General">
                        <c:v>-5.1483063670411982</c:v>
                      </c:pt>
                      <c:pt idx="82" formatCode="General">
                        <c:v>-5.1664037453183518</c:v>
                      </c:pt>
                      <c:pt idx="83" formatCode="General">
                        <c:v>-5.1840538922155686</c:v>
                      </c:pt>
                      <c:pt idx="84" formatCode="General">
                        <c:v>-5.2012994011976046</c:v>
                      </c:pt>
                      <c:pt idx="85" formatCode="General">
                        <c:v>-5.2185449101796406</c:v>
                      </c:pt>
                      <c:pt idx="86" formatCode="General">
                        <c:v>-5.2357904191616766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5-7F43-47D9-9E15-19AA26622F09}"/>
                  </c:ext>
                </c:extLst>
              </c15:ser>
            </c15:filteredScatterSeries>
            <c15:filteredScatterSeries>
              <c15:ser>
                <c:idx val="39"/>
                <c:order val="1"/>
                <c:spPr>
                  <a:ln w="19050" cap="rnd">
                    <a:solidFill>
                      <a:srgbClr val="FF0000"/>
                    </a:solidFill>
                    <a:prstDash val="sysDash"/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306</c:v>
                      </c:pt>
                      <c:pt idx="1">
                        <c:v>314</c:v>
                      </c:pt>
                      <c:pt idx="2">
                        <c:v>322</c:v>
                      </c:pt>
                      <c:pt idx="3">
                        <c:v>330</c:v>
                      </c:pt>
                      <c:pt idx="4">
                        <c:v>338</c:v>
                      </c:pt>
                      <c:pt idx="5">
                        <c:v>346</c:v>
                      </c:pt>
                      <c:pt idx="6">
                        <c:v>354</c:v>
                      </c:pt>
                      <c:pt idx="7">
                        <c:v>362</c:v>
                      </c:pt>
                      <c:pt idx="8">
                        <c:v>370</c:v>
                      </c:pt>
                      <c:pt idx="9">
                        <c:v>378</c:v>
                      </c:pt>
                      <c:pt idx="10">
                        <c:v>386</c:v>
                      </c:pt>
                      <c:pt idx="11">
                        <c:v>394</c:v>
                      </c:pt>
                      <c:pt idx="12">
                        <c:v>402</c:v>
                      </c:pt>
                      <c:pt idx="13">
                        <c:v>410</c:v>
                      </c:pt>
                      <c:pt idx="14">
                        <c:v>418</c:v>
                      </c:pt>
                      <c:pt idx="15">
                        <c:v>426</c:v>
                      </c:pt>
                      <c:pt idx="16">
                        <c:v>434</c:v>
                      </c:pt>
                      <c:pt idx="17">
                        <c:v>442</c:v>
                      </c:pt>
                      <c:pt idx="18">
                        <c:v>450</c:v>
                      </c:pt>
                      <c:pt idx="19">
                        <c:v>458</c:v>
                      </c:pt>
                      <c:pt idx="20">
                        <c:v>466</c:v>
                      </c:pt>
                      <c:pt idx="21">
                        <c:v>474</c:v>
                      </c:pt>
                      <c:pt idx="22">
                        <c:v>482</c:v>
                      </c:pt>
                      <c:pt idx="23">
                        <c:v>490</c:v>
                      </c:pt>
                      <c:pt idx="24">
                        <c:v>498</c:v>
                      </c:pt>
                      <c:pt idx="25">
                        <c:v>506</c:v>
                      </c:pt>
                      <c:pt idx="26">
                        <c:v>514</c:v>
                      </c:pt>
                      <c:pt idx="27">
                        <c:v>522</c:v>
                      </c:pt>
                      <c:pt idx="28">
                        <c:v>530</c:v>
                      </c:pt>
                      <c:pt idx="29">
                        <c:v>538</c:v>
                      </c:pt>
                      <c:pt idx="30">
                        <c:v>546</c:v>
                      </c:pt>
                      <c:pt idx="31">
                        <c:v>554</c:v>
                      </c:pt>
                      <c:pt idx="32">
                        <c:v>562</c:v>
                      </c:pt>
                      <c:pt idx="33">
                        <c:v>570</c:v>
                      </c:pt>
                      <c:pt idx="34">
                        <c:v>578</c:v>
                      </c:pt>
                      <c:pt idx="35">
                        <c:v>586</c:v>
                      </c:pt>
                      <c:pt idx="36">
                        <c:v>594</c:v>
                      </c:pt>
                      <c:pt idx="37">
                        <c:v>602</c:v>
                      </c:pt>
                      <c:pt idx="38">
                        <c:v>610</c:v>
                      </c:pt>
                      <c:pt idx="39">
                        <c:v>618</c:v>
                      </c:pt>
                      <c:pt idx="40">
                        <c:v>626</c:v>
                      </c:pt>
                      <c:pt idx="41">
                        <c:v>634</c:v>
                      </c:pt>
                      <c:pt idx="42">
                        <c:v>642</c:v>
                      </c:pt>
                      <c:pt idx="43">
                        <c:v>650</c:v>
                      </c:pt>
                      <c:pt idx="44">
                        <c:v>658</c:v>
                      </c:pt>
                      <c:pt idx="45">
                        <c:v>666</c:v>
                      </c:pt>
                      <c:pt idx="46">
                        <c:v>674</c:v>
                      </c:pt>
                      <c:pt idx="47">
                        <c:v>682</c:v>
                      </c:pt>
                      <c:pt idx="48">
                        <c:v>690</c:v>
                      </c:pt>
                      <c:pt idx="49">
                        <c:v>698</c:v>
                      </c:pt>
                      <c:pt idx="50">
                        <c:v>706</c:v>
                      </c:pt>
                      <c:pt idx="51">
                        <c:v>714</c:v>
                      </c:pt>
                      <c:pt idx="52">
                        <c:v>722</c:v>
                      </c:pt>
                      <c:pt idx="53">
                        <c:v>730</c:v>
                      </c:pt>
                      <c:pt idx="54">
                        <c:v>738</c:v>
                      </c:pt>
                      <c:pt idx="55">
                        <c:v>746</c:v>
                      </c:pt>
                      <c:pt idx="56">
                        <c:v>754</c:v>
                      </c:pt>
                      <c:pt idx="57">
                        <c:v>762</c:v>
                      </c:pt>
                      <c:pt idx="58">
                        <c:v>770</c:v>
                      </c:pt>
                      <c:pt idx="59">
                        <c:v>778</c:v>
                      </c:pt>
                      <c:pt idx="60">
                        <c:v>786</c:v>
                      </c:pt>
                      <c:pt idx="61">
                        <c:v>794</c:v>
                      </c:pt>
                      <c:pt idx="62">
                        <c:v>802</c:v>
                      </c:pt>
                      <c:pt idx="63">
                        <c:v>810</c:v>
                      </c:pt>
                      <c:pt idx="64">
                        <c:v>818</c:v>
                      </c:pt>
                      <c:pt idx="65">
                        <c:v>826</c:v>
                      </c:pt>
                      <c:pt idx="66">
                        <c:v>834</c:v>
                      </c:pt>
                      <c:pt idx="67">
                        <c:v>842</c:v>
                      </c:pt>
                      <c:pt idx="68">
                        <c:v>850</c:v>
                      </c:pt>
                      <c:pt idx="69">
                        <c:v>858</c:v>
                      </c:pt>
                      <c:pt idx="70">
                        <c:v>866</c:v>
                      </c:pt>
                      <c:pt idx="71">
                        <c:v>874</c:v>
                      </c:pt>
                      <c:pt idx="72">
                        <c:v>882</c:v>
                      </c:pt>
                      <c:pt idx="73">
                        <c:v>890</c:v>
                      </c:pt>
                      <c:pt idx="74">
                        <c:v>898</c:v>
                      </c:pt>
                      <c:pt idx="75">
                        <c:v>906</c:v>
                      </c:pt>
                      <c:pt idx="76">
                        <c:v>914</c:v>
                      </c:pt>
                      <c:pt idx="77">
                        <c:v>922</c:v>
                      </c:pt>
                      <c:pt idx="78">
                        <c:v>930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EVALUATION!$B$102:$CP$102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-15.118108108108107</c:v>
                      </c:pt>
                      <c:pt idx="1">
                        <c:v>-14.88027027027027</c:v>
                      </c:pt>
                      <c:pt idx="2">
                        <c:v>-14.642432432432432</c:v>
                      </c:pt>
                      <c:pt idx="3">
                        <c:v>-14.404594594594593</c:v>
                      </c:pt>
                      <c:pt idx="4" formatCode="General">
                        <c:v>-13.959101796407184</c:v>
                      </c:pt>
                      <c:pt idx="5" formatCode="General">
                        <c:v>-13.46568862275449</c:v>
                      </c:pt>
                      <c:pt idx="6" formatCode="General">
                        <c:v>-12.972275449101796</c:v>
                      </c:pt>
                      <c:pt idx="7" formatCode="General">
                        <c:v>-12.478862275449101</c:v>
                      </c:pt>
                      <c:pt idx="8" formatCode="General">
                        <c:v>-11.950329341317365</c:v>
                      </c:pt>
                      <c:pt idx="9" formatCode="General">
                        <c:v>-11.40182634730539</c:v>
                      </c:pt>
                      <c:pt idx="10" formatCode="General">
                        <c:v>-10.853323353293414</c:v>
                      </c:pt>
                      <c:pt idx="11" formatCode="General">
                        <c:v>-10.304820359281438</c:v>
                      </c:pt>
                      <c:pt idx="12" formatCode="General">
                        <c:v>-9.7896616766467073</c:v>
                      </c:pt>
                      <c:pt idx="13" formatCode="General">
                        <c:v>-9.3132544910179647</c:v>
                      </c:pt>
                      <c:pt idx="14" formatCode="General">
                        <c:v>-8.836847305389222</c:v>
                      </c:pt>
                      <c:pt idx="15" formatCode="General">
                        <c:v>-8.3604401197604794</c:v>
                      </c:pt>
                      <c:pt idx="16" formatCode="General">
                        <c:v>-7.9011107784431145</c:v>
                      </c:pt>
                      <c:pt idx="17" formatCode="General">
                        <c:v>-7.4841047904191624</c:v>
                      </c:pt>
                      <c:pt idx="18" formatCode="General">
                        <c:v>-7.0670988023952104</c:v>
                      </c:pt>
                      <c:pt idx="19" formatCode="General">
                        <c:v>-6.6500928143712592</c:v>
                      </c:pt>
                      <c:pt idx="20" formatCode="General">
                        <c:v>-6.2383952095808395</c:v>
                      </c:pt>
                      <c:pt idx="21" formatCode="General">
                        <c:v>-5.8685748502994022</c:v>
                      </c:pt>
                      <c:pt idx="22" formatCode="General">
                        <c:v>-5.4987544910179649</c:v>
                      </c:pt>
                      <c:pt idx="23" formatCode="General">
                        <c:v>-5.1289341317365267</c:v>
                      </c:pt>
                      <c:pt idx="24" formatCode="General">
                        <c:v>-4.7591137724550894</c:v>
                      </c:pt>
                      <c:pt idx="25" formatCode="General">
                        <c:v>-4.6019909909909904</c:v>
                      </c:pt>
                      <c:pt idx="26" formatCode="General">
                        <c:v>-4.4590480480480474</c:v>
                      </c:pt>
                      <c:pt idx="27" formatCode="General">
                        <c:v>-4.3161051051051045</c:v>
                      </c:pt>
                      <c:pt idx="28" formatCode="General">
                        <c:v>-4.1731621621621615</c:v>
                      </c:pt>
                      <c:pt idx="29" formatCode="General">
                        <c:v>-4.1562215568862273</c:v>
                      </c:pt>
                      <c:pt idx="30" formatCode="General">
                        <c:v>-4.1758622754491022</c:v>
                      </c:pt>
                      <c:pt idx="31" formatCode="General">
                        <c:v>-4.1955029940119761</c:v>
                      </c:pt>
                      <c:pt idx="32" formatCode="General">
                        <c:v>-4.2151437125748501</c:v>
                      </c:pt>
                      <c:pt idx="33" formatCode="General">
                        <c:v>-4.2348562874251492</c:v>
                      </c:pt>
                      <c:pt idx="34" formatCode="General">
                        <c:v>-4.2546167664670653</c:v>
                      </c:pt>
                      <c:pt idx="35" formatCode="General">
                        <c:v>-4.2743772455089815</c:v>
                      </c:pt>
                      <c:pt idx="36" formatCode="General">
                        <c:v>-4.2941377245508976</c:v>
                      </c:pt>
                      <c:pt idx="37" formatCode="General">
                        <c:v>-4.3138982035928146</c:v>
                      </c:pt>
                      <c:pt idx="38" formatCode="General">
                        <c:v>-4.3336586826347308</c:v>
                      </c:pt>
                      <c:pt idx="39" formatCode="General">
                        <c:v>-4.3534191616766469</c:v>
                      </c:pt>
                      <c:pt idx="40" formatCode="General">
                        <c:v>-4.373179640718563</c:v>
                      </c:pt>
                      <c:pt idx="41" formatCode="General">
                        <c:v>-4.3929401197604792</c:v>
                      </c:pt>
                      <c:pt idx="42" formatCode="General">
                        <c:v>-4.4127005988023953</c:v>
                      </c:pt>
                      <c:pt idx="43" formatCode="General">
                        <c:v>-4.4324610778443114</c:v>
                      </c:pt>
                      <c:pt idx="44" formatCode="General">
                        <c:v>-4.4522215568862276</c:v>
                      </c:pt>
                      <c:pt idx="45" formatCode="General">
                        <c:v>-4.4719820359281437</c:v>
                      </c:pt>
                      <c:pt idx="46" formatCode="General">
                        <c:v>-4.4917425149700598</c:v>
                      </c:pt>
                      <c:pt idx="47" formatCode="General">
                        <c:v>-4.511502994011976</c:v>
                      </c:pt>
                      <c:pt idx="48" formatCode="General">
                        <c:v>-4.5312634730538921</c:v>
                      </c:pt>
                      <c:pt idx="49" formatCode="General">
                        <c:v>-4.5510239520958082</c:v>
                      </c:pt>
                      <c:pt idx="50" formatCode="General">
                        <c:v>-4.5702584269662925</c:v>
                      </c:pt>
                      <c:pt idx="51" formatCode="General">
                        <c:v>-4.5894344569288394</c:v>
                      </c:pt>
                      <c:pt idx="52" formatCode="General">
                        <c:v>-4.6086104868913855</c:v>
                      </c:pt>
                      <c:pt idx="53" formatCode="General">
                        <c:v>-4.6277865168539325</c:v>
                      </c:pt>
                      <c:pt idx="54" formatCode="General">
                        <c:v>-4.6469625468164795</c:v>
                      </c:pt>
                      <c:pt idx="55" formatCode="General">
                        <c:v>-4.6661385767790264</c:v>
                      </c:pt>
                      <c:pt idx="56" formatCode="General">
                        <c:v>-4.6853146067415734</c:v>
                      </c:pt>
                      <c:pt idx="57" formatCode="General">
                        <c:v>-4.7044906367041204</c:v>
                      </c:pt>
                      <c:pt idx="58" formatCode="General">
                        <c:v>-4.7236666666666665</c:v>
                      </c:pt>
                      <c:pt idx="59" formatCode="General">
                        <c:v>-4.7428426966292134</c:v>
                      </c:pt>
                      <c:pt idx="60" formatCode="General">
                        <c:v>-4.7620187265917604</c:v>
                      </c:pt>
                      <c:pt idx="61" formatCode="General">
                        <c:v>-4.7811947565543074</c:v>
                      </c:pt>
                      <c:pt idx="62" formatCode="General">
                        <c:v>-4.8003707865168543</c:v>
                      </c:pt>
                      <c:pt idx="63" formatCode="General">
                        <c:v>-4.8195468164794013</c:v>
                      </c:pt>
                      <c:pt idx="64" formatCode="General">
                        <c:v>-4.8387228464419483</c:v>
                      </c:pt>
                      <c:pt idx="65" formatCode="General">
                        <c:v>-4.8578988764044944</c:v>
                      </c:pt>
                      <c:pt idx="66" formatCode="General">
                        <c:v>-4.8768456928838955</c:v>
                      </c:pt>
                      <c:pt idx="67" formatCode="General">
                        <c:v>-4.8949430711610491</c:v>
                      </c:pt>
                      <c:pt idx="68" formatCode="General">
                        <c:v>-4.9130404494382027</c:v>
                      </c:pt>
                      <c:pt idx="69" formatCode="General">
                        <c:v>-4.9311378277153564</c:v>
                      </c:pt>
                      <c:pt idx="70" formatCode="General">
                        <c:v>-4.94923520599251</c:v>
                      </c:pt>
                      <c:pt idx="71" formatCode="General">
                        <c:v>-4.9673325842696627</c:v>
                      </c:pt>
                      <c:pt idx="72" formatCode="General">
                        <c:v>-4.9854299625468164</c:v>
                      </c:pt>
                      <c:pt idx="73" formatCode="General">
                        <c:v>-5.00352734082397</c:v>
                      </c:pt>
                      <c:pt idx="74" formatCode="General">
                        <c:v>-5.0216247191011236</c:v>
                      </c:pt>
                      <c:pt idx="75" formatCode="General">
                        <c:v>-5.0397220973782773</c:v>
                      </c:pt>
                      <c:pt idx="76" formatCode="General">
                        <c:v>-5.0578194756554309</c:v>
                      </c:pt>
                      <c:pt idx="77" formatCode="General">
                        <c:v>-5.0759168539325845</c:v>
                      </c:pt>
                      <c:pt idx="78" formatCode="General">
                        <c:v>-5.0940142322097381</c:v>
                      </c:pt>
                      <c:pt idx="79" formatCode="General">
                        <c:v>-5.1121116104868918</c:v>
                      </c:pt>
                      <c:pt idx="80" formatCode="General">
                        <c:v>-5.1302089887640445</c:v>
                      </c:pt>
                      <c:pt idx="81" formatCode="General">
                        <c:v>-5.1483063670411982</c:v>
                      </c:pt>
                      <c:pt idx="82" formatCode="General">
                        <c:v>-5.1664037453183518</c:v>
                      </c:pt>
                      <c:pt idx="83" formatCode="General">
                        <c:v>-5.1840538922155686</c:v>
                      </c:pt>
                      <c:pt idx="84" formatCode="General">
                        <c:v>-5.2012994011976046</c:v>
                      </c:pt>
                      <c:pt idx="85" formatCode="General">
                        <c:v>-5.2185449101796406</c:v>
                      </c:pt>
                      <c:pt idx="86" formatCode="General">
                        <c:v>-5.2357904191616766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6-7F43-47D9-9E15-19AA26622F09}"/>
                  </c:ext>
                </c:extLst>
              </c15:ser>
            </c15:filteredScatterSeries>
            <c15:filteredScatterSeries>
              <c15:ser>
                <c:idx val="54"/>
                <c:order val="2"/>
                <c:spPr>
                  <a:ln w="19050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none"/>
                </c:marker>
                <c:dPt>
                  <c:idx val="1"/>
                  <c:bubble3D val="0"/>
                  <c:spPr>
                    <a:ln w="19050" cap="rnd">
                      <a:solidFill>
                        <a:schemeClr val="tx1"/>
                      </a:solidFill>
                      <a:round/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08-7F43-47D9-9E15-19AA26622F09}"/>
                    </c:ext>
                  </c:extLst>
                </c:dPt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306</c:v>
                      </c:pt>
                      <c:pt idx="1">
                        <c:v>314</c:v>
                      </c:pt>
                      <c:pt idx="2">
                        <c:v>322</c:v>
                      </c:pt>
                      <c:pt idx="3">
                        <c:v>330</c:v>
                      </c:pt>
                      <c:pt idx="4">
                        <c:v>338</c:v>
                      </c:pt>
                      <c:pt idx="5">
                        <c:v>346</c:v>
                      </c:pt>
                      <c:pt idx="6">
                        <c:v>354</c:v>
                      </c:pt>
                      <c:pt idx="7">
                        <c:v>362</c:v>
                      </c:pt>
                      <c:pt idx="8">
                        <c:v>370</c:v>
                      </c:pt>
                      <c:pt idx="9">
                        <c:v>378</c:v>
                      </c:pt>
                      <c:pt idx="10">
                        <c:v>386</c:v>
                      </c:pt>
                      <c:pt idx="11">
                        <c:v>394</c:v>
                      </c:pt>
                      <c:pt idx="12">
                        <c:v>402</c:v>
                      </c:pt>
                      <c:pt idx="13">
                        <c:v>410</c:v>
                      </c:pt>
                      <c:pt idx="14">
                        <c:v>418</c:v>
                      </c:pt>
                      <c:pt idx="15">
                        <c:v>426</c:v>
                      </c:pt>
                      <c:pt idx="16">
                        <c:v>434</c:v>
                      </c:pt>
                      <c:pt idx="17">
                        <c:v>442</c:v>
                      </c:pt>
                      <c:pt idx="18">
                        <c:v>450</c:v>
                      </c:pt>
                      <c:pt idx="19">
                        <c:v>458</c:v>
                      </c:pt>
                      <c:pt idx="20">
                        <c:v>466</c:v>
                      </c:pt>
                      <c:pt idx="21">
                        <c:v>474</c:v>
                      </c:pt>
                      <c:pt idx="22">
                        <c:v>482</c:v>
                      </c:pt>
                      <c:pt idx="23">
                        <c:v>490</c:v>
                      </c:pt>
                      <c:pt idx="24">
                        <c:v>498</c:v>
                      </c:pt>
                      <c:pt idx="25">
                        <c:v>506</c:v>
                      </c:pt>
                      <c:pt idx="26">
                        <c:v>514</c:v>
                      </c:pt>
                      <c:pt idx="27">
                        <c:v>522</c:v>
                      </c:pt>
                      <c:pt idx="28">
                        <c:v>530</c:v>
                      </c:pt>
                      <c:pt idx="29">
                        <c:v>538</c:v>
                      </c:pt>
                      <c:pt idx="30">
                        <c:v>546</c:v>
                      </c:pt>
                      <c:pt idx="31">
                        <c:v>554</c:v>
                      </c:pt>
                      <c:pt idx="32">
                        <c:v>562</c:v>
                      </c:pt>
                      <c:pt idx="33">
                        <c:v>570</c:v>
                      </c:pt>
                      <c:pt idx="34">
                        <c:v>578</c:v>
                      </c:pt>
                      <c:pt idx="35">
                        <c:v>586</c:v>
                      </c:pt>
                      <c:pt idx="36">
                        <c:v>594</c:v>
                      </c:pt>
                      <c:pt idx="37">
                        <c:v>602</c:v>
                      </c:pt>
                      <c:pt idx="38">
                        <c:v>610</c:v>
                      </c:pt>
                      <c:pt idx="39">
                        <c:v>618</c:v>
                      </c:pt>
                      <c:pt idx="40">
                        <c:v>626</c:v>
                      </c:pt>
                      <c:pt idx="41">
                        <c:v>634</c:v>
                      </c:pt>
                      <c:pt idx="42">
                        <c:v>642</c:v>
                      </c:pt>
                      <c:pt idx="43">
                        <c:v>650</c:v>
                      </c:pt>
                      <c:pt idx="44">
                        <c:v>658</c:v>
                      </c:pt>
                      <c:pt idx="45">
                        <c:v>666</c:v>
                      </c:pt>
                      <c:pt idx="46">
                        <c:v>674</c:v>
                      </c:pt>
                      <c:pt idx="47">
                        <c:v>682</c:v>
                      </c:pt>
                      <c:pt idx="48">
                        <c:v>690</c:v>
                      </c:pt>
                      <c:pt idx="49">
                        <c:v>698</c:v>
                      </c:pt>
                      <c:pt idx="50">
                        <c:v>706</c:v>
                      </c:pt>
                      <c:pt idx="51">
                        <c:v>714</c:v>
                      </c:pt>
                      <c:pt idx="52">
                        <c:v>722</c:v>
                      </c:pt>
                      <c:pt idx="53">
                        <c:v>730</c:v>
                      </c:pt>
                      <c:pt idx="54">
                        <c:v>738</c:v>
                      </c:pt>
                      <c:pt idx="55">
                        <c:v>746</c:v>
                      </c:pt>
                      <c:pt idx="56">
                        <c:v>754</c:v>
                      </c:pt>
                      <c:pt idx="57">
                        <c:v>762</c:v>
                      </c:pt>
                      <c:pt idx="58">
                        <c:v>770</c:v>
                      </c:pt>
                      <c:pt idx="59">
                        <c:v>778</c:v>
                      </c:pt>
                      <c:pt idx="60">
                        <c:v>786</c:v>
                      </c:pt>
                      <c:pt idx="61">
                        <c:v>794</c:v>
                      </c:pt>
                      <c:pt idx="62">
                        <c:v>802</c:v>
                      </c:pt>
                      <c:pt idx="63">
                        <c:v>810</c:v>
                      </c:pt>
                      <c:pt idx="64">
                        <c:v>818</c:v>
                      </c:pt>
                      <c:pt idx="65">
                        <c:v>826</c:v>
                      </c:pt>
                      <c:pt idx="66">
                        <c:v>834</c:v>
                      </c:pt>
                      <c:pt idx="67">
                        <c:v>842</c:v>
                      </c:pt>
                      <c:pt idx="68">
                        <c:v>850</c:v>
                      </c:pt>
                      <c:pt idx="69">
                        <c:v>858</c:v>
                      </c:pt>
                      <c:pt idx="70">
                        <c:v>866</c:v>
                      </c:pt>
                      <c:pt idx="71">
                        <c:v>874</c:v>
                      </c:pt>
                      <c:pt idx="72">
                        <c:v>882</c:v>
                      </c:pt>
                      <c:pt idx="73">
                        <c:v>890</c:v>
                      </c:pt>
                      <c:pt idx="74">
                        <c:v>898</c:v>
                      </c:pt>
                      <c:pt idx="75">
                        <c:v>906</c:v>
                      </c:pt>
                      <c:pt idx="76">
                        <c:v>914</c:v>
                      </c:pt>
                      <c:pt idx="77">
                        <c:v>922</c:v>
                      </c:pt>
                      <c:pt idx="78">
                        <c:v>930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EVALUATION!$B$103:$CP$103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-36.591171171171169</c:v>
                      </c:pt>
                      <c:pt idx="1">
                        <c:v>-35.925705705705703</c:v>
                      </c:pt>
                      <c:pt idx="2">
                        <c:v>-35.260240240240236</c:v>
                      </c:pt>
                      <c:pt idx="3">
                        <c:v>-34.594774774774777</c:v>
                      </c:pt>
                      <c:pt idx="4" formatCode="General">
                        <c:v>-34.041856287425148</c:v>
                      </c:pt>
                      <c:pt idx="5" formatCode="General">
                        <c:v>-33.514910179640715</c:v>
                      </c:pt>
                      <c:pt idx="6" formatCode="General">
                        <c:v>-32.987964071856283</c:v>
                      </c:pt>
                      <c:pt idx="7" formatCode="General">
                        <c:v>-32.46101796407185</c:v>
                      </c:pt>
                      <c:pt idx="8" formatCode="General">
                        <c:v>-31.996676646706582</c:v>
                      </c:pt>
                      <c:pt idx="9" formatCode="General">
                        <c:v>-31.567934131736521</c:v>
                      </c:pt>
                      <c:pt idx="10" formatCode="General">
                        <c:v>-31.139191616766464</c:v>
                      </c:pt>
                      <c:pt idx="11" formatCode="General">
                        <c:v>-30.710449101796403</c:v>
                      </c:pt>
                      <c:pt idx="12" formatCode="General">
                        <c:v>-30.316158682634729</c:v>
                      </c:pt>
                      <c:pt idx="13" formatCode="General">
                        <c:v>-29.961907185628743</c:v>
                      </c:pt>
                      <c:pt idx="14" formatCode="General">
                        <c:v>-29.607655688622753</c:v>
                      </c:pt>
                      <c:pt idx="15" formatCode="General">
                        <c:v>-29.253404191616767</c:v>
                      </c:pt>
                      <c:pt idx="16" formatCode="General">
                        <c:v>-28.916230538922157</c:v>
                      </c:pt>
                      <c:pt idx="17" formatCode="General">
                        <c:v>-28.62138023952096</c:v>
                      </c:pt>
                      <c:pt idx="18" formatCode="General">
                        <c:v>-28.326529940119762</c:v>
                      </c:pt>
                      <c:pt idx="19" formatCode="General">
                        <c:v>-28.031679640718565</c:v>
                      </c:pt>
                      <c:pt idx="20" formatCode="General">
                        <c:v>-27.742407185628743</c:v>
                      </c:pt>
                      <c:pt idx="21" formatCode="General">
                        <c:v>-27.4971377245509</c:v>
                      </c:pt>
                      <c:pt idx="22" formatCode="General">
                        <c:v>-27.251868263473057</c:v>
                      </c:pt>
                      <c:pt idx="23" formatCode="General">
                        <c:v>-27.00659880239521</c:v>
                      </c:pt>
                      <c:pt idx="24" formatCode="General">
                        <c:v>-26.761329341317367</c:v>
                      </c:pt>
                      <c:pt idx="25" formatCode="General">
                        <c:v>-26.724603603603605</c:v>
                      </c:pt>
                      <c:pt idx="26" formatCode="General">
                        <c:v>-26.701780780780783</c:v>
                      </c:pt>
                      <c:pt idx="27" formatCode="General">
                        <c:v>-26.678957957957962</c:v>
                      </c:pt>
                      <c:pt idx="28" formatCode="General">
                        <c:v>-26.656135135135138</c:v>
                      </c:pt>
                      <c:pt idx="29" formatCode="General">
                        <c:v>-26.760892215568866</c:v>
                      </c:pt>
                      <c:pt idx="30" formatCode="General">
                        <c:v>-26.902688622754493</c:v>
                      </c:pt>
                      <c:pt idx="31" formatCode="General">
                        <c:v>-27.04448502994012</c:v>
                      </c:pt>
                      <c:pt idx="32" formatCode="General">
                        <c:v>-27.186281437125746</c:v>
                      </c:pt>
                      <c:pt idx="33" formatCode="General">
                        <c:v>-27.324556886227544</c:v>
                      </c:pt>
                      <c:pt idx="34" formatCode="General">
                        <c:v>-27.460485029940116</c:v>
                      </c:pt>
                      <c:pt idx="35" formatCode="General">
                        <c:v>-27.596413173652692</c:v>
                      </c:pt>
                      <c:pt idx="36" formatCode="General">
                        <c:v>-27.732341317365268</c:v>
                      </c:pt>
                      <c:pt idx="37" formatCode="General">
                        <c:v>-27.868269461077844</c:v>
                      </c:pt>
                      <c:pt idx="38" formatCode="General">
                        <c:v>-28.00419760479042</c:v>
                      </c:pt>
                      <c:pt idx="39" formatCode="General">
                        <c:v>-28.140125748502992</c:v>
                      </c:pt>
                      <c:pt idx="40" formatCode="General">
                        <c:v>-28.276053892215568</c:v>
                      </c:pt>
                      <c:pt idx="41" formatCode="General">
                        <c:v>-28.411982035928144</c:v>
                      </c:pt>
                      <c:pt idx="42" formatCode="General">
                        <c:v>-28.54791017964072</c:v>
                      </c:pt>
                      <c:pt idx="43" formatCode="General">
                        <c:v>-28.683838323353296</c:v>
                      </c:pt>
                      <c:pt idx="44" formatCode="General">
                        <c:v>-28.819766467065868</c:v>
                      </c:pt>
                      <c:pt idx="45" formatCode="General">
                        <c:v>-28.955694610778444</c:v>
                      </c:pt>
                      <c:pt idx="46" formatCode="General">
                        <c:v>-29.09162275449102</c:v>
                      </c:pt>
                      <c:pt idx="47" formatCode="General">
                        <c:v>-29.227550898203596</c:v>
                      </c:pt>
                      <c:pt idx="48" formatCode="General">
                        <c:v>-29.363479041916172</c:v>
                      </c:pt>
                      <c:pt idx="49" formatCode="General">
                        <c:v>-29.499407185628744</c:v>
                      </c:pt>
                      <c:pt idx="50" formatCode="General">
                        <c:v>-29.627876404494383</c:v>
                      </c:pt>
                      <c:pt idx="51" formatCode="General">
                        <c:v>-29.755516853932587</c:v>
                      </c:pt>
                      <c:pt idx="52" formatCode="General">
                        <c:v>-29.88315730337079</c:v>
                      </c:pt>
                      <c:pt idx="53" formatCode="General">
                        <c:v>-30.01079775280899</c:v>
                      </c:pt>
                      <c:pt idx="54" formatCode="General">
                        <c:v>-30.138438202247194</c:v>
                      </c:pt>
                      <c:pt idx="55" formatCode="General">
                        <c:v>-30.266078651685394</c:v>
                      </c:pt>
                      <c:pt idx="56" formatCode="General">
                        <c:v>-30.393719101123597</c:v>
                      </c:pt>
                      <c:pt idx="57" formatCode="General">
                        <c:v>-30.521359550561801</c:v>
                      </c:pt>
                      <c:pt idx="58" formatCode="General">
                        <c:v>-30.649000000000001</c:v>
                      </c:pt>
                      <c:pt idx="59" formatCode="General">
                        <c:v>-30.776640449438204</c:v>
                      </c:pt>
                      <c:pt idx="60" formatCode="General">
                        <c:v>-30.904280898876408</c:v>
                      </c:pt>
                      <c:pt idx="61" formatCode="General">
                        <c:v>-31.031921348314608</c:v>
                      </c:pt>
                      <c:pt idx="62" formatCode="General">
                        <c:v>-31.159561797752811</c:v>
                      </c:pt>
                      <c:pt idx="63" formatCode="General">
                        <c:v>-31.287202247191011</c:v>
                      </c:pt>
                      <c:pt idx="64" formatCode="General">
                        <c:v>-31.414842696629215</c:v>
                      </c:pt>
                      <c:pt idx="65" formatCode="General">
                        <c:v>-31.542483146067418</c:v>
                      </c:pt>
                      <c:pt idx="66" formatCode="General">
                        <c:v>-31.668748314606741</c:v>
                      </c:pt>
                      <c:pt idx="67" formatCode="General">
                        <c:v>-31.789916853932585</c:v>
                      </c:pt>
                      <c:pt idx="68" formatCode="General">
                        <c:v>-31.911085393258428</c:v>
                      </c:pt>
                      <c:pt idx="69" formatCode="General">
                        <c:v>-32.032253932584268</c:v>
                      </c:pt>
                      <c:pt idx="70" formatCode="General">
                        <c:v>-32.153422471910112</c:v>
                      </c:pt>
                      <c:pt idx="71" formatCode="General">
                        <c:v>-32.274591011235955</c:v>
                      </c:pt>
                      <c:pt idx="72" formatCode="General">
                        <c:v>-32.395759550561799</c:v>
                      </c:pt>
                      <c:pt idx="73" formatCode="General">
                        <c:v>-32.516928089887642</c:v>
                      </c:pt>
                      <c:pt idx="74" formatCode="General">
                        <c:v>-32.638096629213486</c:v>
                      </c:pt>
                      <c:pt idx="75" formatCode="General">
                        <c:v>-32.759265168539329</c:v>
                      </c:pt>
                      <c:pt idx="76" formatCode="General">
                        <c:v>-32.880433707865166</c:v>
                      </c:pt>
                      <c:pt idx="77" formatCode="General">
                        <c:v>-33.001602247191009</c:v>
                      </c:pt>
                      <c:pt idx="78" formatCode="General">
                        <c:v>-33.122770786516853</c:v>
                      </c:pt>
                      <c:pt idx="79" formatCode="General">
                        <c:v>-33.243939325842696</c:v>
                      </c:pt>
                      <c:pt idx="80" formatCode="General">
                        <c:v>-33.36510786516854</c:v>
                      </c:pt>
                      <c:pt idx="81" formatCode="General">
                        <c:v>-33.486276404494383</c:v>
                      </c:pt>
                      <c:pt idx="82" formatCode="General">
                        <c:v>-33.607444943820227</c:v>
                      </c:pt>
                      <c:pt idx="83" formatCode="General">
                        <c:v>-33.725610778443112</c:v>
                      </c:pt>
                      <c:pt idx="84" formatCode="General">
                        <c:v>-33.84105988023952</c:v>
                      </c:pt>
                      <c:pt idx="85" formatCode="General">
                        <c:v>-33.956508982035928</c:v>
                      </c:pt>
                      <c:pt idx="86" formatCode="General">
                        <c:v>-34.071958083832335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7F43-47D9-9E15-19AA26622F09}"/>
                  </c:ext>
                </c:extLst>
              </c15:ser>
            </c15:filteredScatterSeries>
            <c15:filteredScatterSeries>
              <c15:ser>
                <c:idx val="1"/>
                <c:order val="3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306</c:v>
                      </c:pt>
                      <c:pt idx="1">
                        <c:v>314</c:v>
                      </c:pt>
                      <c:pt idx="2">
                        <c:v>322</c:v>
                      </c:pt>
                      <c:pt idx="3">
                        <c:v>330</c:v>
                      </c:pt>
                      <c:pt idx="4">
                        <c:v>338</c:v>
                      </c:pt>
                      <c:pt idx="5">
                        <c:v>346</c:v>
                      </c:pt>
                      <c:pt idx="6">
                        <c:v>354</c:v>
                      </c:pt>
                      <c:pt idx="7">
                        <c:v>362</c:v>
                      </c:pt>
                      <c:pt idx="8">
                        <c:v>370</c:v>
                      </c:pt>
                      <c:pt idx="9">
                        <c:v>378</c:v>
                      </c:pt>
                      <c:pt idx="10">
                        <c:v>386</c:v>
                      </c:pt>
                      <c:pt idx="11">
                        <c:v>394</c:v>
                      </c:pt>
                      <c:pt idx="12">
                        <c:v>402</c:v>
                      </c:pt>
                      <c:pt idx="13">
                        <c:v>410</c:v>
                      </c:pt>
                      <c:pt idx="14">
                        <c:v>418</c:v>
                      </c:pt>
                      <c:pt idx="15">
                        <c:v>426</c:v>
                      </c:pt>
                      <c:pt idx="16">
                        <c:v>434</c:v>
                      </c:pt>
                      <c:pt idx="17">
                        <c:v>442</c:v>
                      </c:pt>
                      <c:pt idx="18">
                        <c:v>450</c:v>
                      </c:pt>
                      <c:pt idx="19">
                        <c:v>458</c:v>
                      </c:pt>
                      <c:pt idx="20">
                        <c:v>466</c:v>
                      </c:pt>
                      <c:pt idx="21">
                        <c:v>474</c:v>
                      </c:pt>
                      <c:pt idx="22">
                        <c:v>482</c:v>
                      </c:pt>
                      <c:pt idx="23">
                        <c:v>490</c:v>
                      </c:pt>
                      <c:pt idx="24">
                        <c:v>498</c:v>
                      </c:pt>
                      <c:pt idx="25">
                        <c:v>506</c:v>
                      </c:pt>
                      <c:pt idx="26">
                        <c:v>514</c:v>
                      </c:pt>
                      <c:pt idx="27">
                        <c:v>522</c:v>
                      </c:pt>
                      <c:pt idx="28">
                        <c:v>530</c:v>
                      </c:pt>
                      <c:pt idx="29">
                        <c:v>538</c:v>
                      </c:pt>
                      <c:pt idx="30">
                        <c:v>546</c:v>
                      </c:pt>
                      <c:pt idx="31">
                        <c:v>554</c:v>
                      </c:pt>
                      <c:pt idx="32">
                        <c:v>562</c:v>
                      </c:pt>
                      <c:pt idx="33">
                        <c:v>570</c:v>
                      </c:pt>
                      <c:pt idx="34">
                        <c:v>578</c:v>
                      </c:pt>
                      <c:pt idx="35">
                        <c:v>586</c:v>
                      </c:pt>
                      <c:pt idx="36">
                        <c:v>594</c:v>
                      </c:pt>
                      <c:pt idx="37">
                        <c:v>602</c:v>
                      </c:pt>
                      <c:pt idx="38">
                        <c:v>610</c:v>
                      </c:pt>
                      <c:pt idx="39">
                        <c:v>618</c:v>
                      </c:pt>
                      <c:pt idx="40">
                        <c:v>626</c:v>
                      </c:pt>
                      <c:pt idx="41">
                        <c:v>634</c:v>
                      </c:pt>
                      <c:pt idx="42">
                        <c:v>642</c:v>
                      </c:pt>
                      <c:pt idx="43">
                        <c:v>650</c:v>
                      </c:pt>
                      <c:pt idx="44">
                        <c:v>658</c:v>
                      </c:pt>
                      <c:pt idx="45">
                        <c:v>666</c:v>
                      </c:pt>
                      <c:pt idx="46">
                        <c:v>674</c:v>
                      </c:pt>
                      <c:pt idx="47">
                        <c:v>682</c:v>
                      </c:pt>
                      <c:pt idx="48">
                        <c:v>690</c:v>
                      </c:pt>
                      <c:pt idx="49">
                        <c:v>698</c:v>
                      </c:pt>
                      <c:pt idx="50">
                        <c:v>706</c:v>
                      </c:pt>
                      <c:pt idx="51">
                        <c:v>714</c:v>
                      </c:pt>
                      <c:pt idx="52">
                        <c:v>722</c:v>
                      </c:pt>
                      <c:pt idx="53">
                        <c:v>730</c:v>
                      </c:pt>
                      <c:pt idx="54">
                        <c:v>738</c:v>
                      </c:pt>
                      <c:pt idx="55">
                        <c:v>746</c:v>
                      </c:pt>
                      <c:pt idx="56">
                        <c:v>754</c:v>
                      </c:pt>
                      <c:pt idx="57">
                        <c:v>762</c:v>
                      </c:pt>
                      <c:pt idx="58">
                        <c:v>770</c:v>
                      </c:pt>
                      <c:pt idx="59">
                        <c:v>778</c:v>
                      </c:pt>
                      <c:pt idx="60">
                        <c:v>786</c:v>
                      </c:pt>
                      <c:pt idx="61">
                        <c:v>794</c:v>
                      </c:pt>
                      <c:pt idx="62">
                        <c:v>802</c:v>
                      </c:pt>
                      <c:pt idx="63">
                        <c:v>810</c:v>
                      </c:pt>
                      <c:pt idx="64">
                        <c:v>818</c:v>
                      </c:pt>
                      <c:pt idx="65">
                        <c:v>826</c:v>
                      </c:pt>
                      <c:pt idx="66">
                        <c:v>834</c:v>
                      </c:pt>
                      <c:pt idx="67">
                        <c:v>842</c:v>
                      </c:pt>
                      <c:pt idx="68">
                        <c:v>850</c:v>
                      </c:pt>
                      <c:pt idx="69">
                        <c:v>858</c:v>
                      </c:pt>
                      <c:pt idx="70">
                        <c:v>866</c:v>
                      </c:pt>
                      <c:pt idx="71">
                        <c:v>874</c:v>
                      </c:pt>
                      <c:pt idx="72">
                        <c:v>882</c:v>
                      </c:pt>
                      <c:pt idx="73">
                        <c:v>890</c:v>
                      </c:pt>
                      <c:pt idx="74">
                        <c:v>898</c:v>
                      </c:pt>
                      <c:pt idx="75">
                        <c:v>906</c:v>
                      </c:pt>
                      <c:pt idx="76">
                        <c:v>914</c:v>
                      </c:pt>
                      <c:pt idx="77">
                        <c:v>922</c:v>
                      </c:pt>
                      <c:pt idx="78">
                        <c:v>930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EVALUATION!$B$104:$CP$104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-59.678288288288286</c:v>
                      </c:pt>
                      <c:pt idx="1">
                        <c:v>-58.332942942942942</c:v>
                      </c:pt>
                      <c:pt idx="2">
                        <c:v>-56.987597597597599</c:v>
                      </c:pt>
                      <c:pt idx="3">
                        <c:v>-55.642252252252256</c:v>
                      </c:pt>
                      <c:pt idx="4" formatCode="General">
                        <c:v>-54.130868263473054</c:v>
                      </c:pt>
                      <c:pt idx="5" formatCode="General">
                        <c:v>-52.581167664670659</c:v>
                      </c:pt>
                      <c:pt idx="6" formatCode="General">
                        <c:v>-51.031467065868263</c:v>
                      </c:pt>
                      <c:pt idx="7" formatCode="General">
                        <c:v>-49.481766467065867</c:v>
                      </c:pt>
                      <c:pt idx="8" formatCode="General">
                        <c:v>-47.964131736526944</c:v>
                      </c:pt>
                      <c:pt idx="9" formatCode="General">
                        <c:v>-46.464730538922154</c:v>
                      </c:pt>
                      <c:pt idx="10" formatCode="General">
                        <c:v>-44.965329341317364</c:v>
                      </c:pt>
                      <c:pt idx="11" formatCode="General">
                        <c:v>-43.465928143712574</c:v>
                      </c:pt>
                      <c:pt idx="12" formatCode="General">
                        <c:v>-42.064011976047901</c:v>
                      </c:pt>
                      <c:pt idx="13" formatCode="General">
                        <c:v>-40.775389221556885</c:v>
                      </c:pt>
                      <c:pt idx="14" formatCode="General">
                        <c:v>-39.48676646706587</c:v>
                      </c:pt>
                      <c:pt idx="15" formatCode="General">
                        <c:v>-38.198143712574847</c:v>
                      </c:pt>
                      <c:pt idx="16" formatCode="General">
                        <c:v>-36.957724550898206</c:v>
                      </c:pt>
                      <c:pt idx="17" formatCode="General">
                        <c:v>-35.836766467065871</c:v>
                      </c:pt>
                      <c:pt idx="18" formatCode="General">
                        <c:v>-34.715808383233536</c:v>
                      </c:pt>
                      <c:pt idx="19" formatCode="General">
                        <c:v>-33.594850299401202</c:v>
                      </c:pt>
                      <c:pt idx="20" formatCode="General">
                        <c:v>-32.488982035928146</c:v>
                      </c:pt>
                      <c:pt idx="21" formatCode="General">
                        <c:v>-31.502155688622757</c:v>
                      </c:pt>
                      <c:pt idx="22" formatCode="General">
                        <c:v>-30.515329341317369</c:v>
                      </c:pt>
                      <c:pt idx="23" formatCode="General">
                        <c:v>-29.528502994011976</c:v>
                      </c:pt>
                      <c:pt idx="24" formatCode="General">
                        <c:v>-28.541676646706588</c:v>
                      </c:pt>
                      <c:pt idx="25" formatCode="General">
                        <c:v>-27.788558558558559</c:v>
                      </c:pt>
                      <c:pt idx="26" formatCode="General">
                        <c:v>-27.051021021021018</c:v>
                      </c:pt>
                      <c:pt idx="27" formatCode="General">
                        <c:v>-26.313483483483481</c:v>
                      </c:pt>
                      <c:pt idx="28" formatCode="General">
                        <c:v>-25.575945945945943</c:v>
                      </c:pt>
                      <c:pt idx="29" formatCode="General">
                        <c:v>-25.655029940119761</c:v>
                      </c:pt>
                      <c:pt idx="30" formatCode="General">
                        <c:v>-25.971197604790419</c:v>
                      </c:pt>
                      <c:pt idx="31" formatCode="General">
                        <c:v>-26.287365269461077</c:v>
                      </c:pt>
                      <c:pt idx="32" formatCode="General">
                        <c:v>-26.603532934131735</c:v>
                      </c:pt>
                      <c:pt idx="33" formatCode="General">
                        <c:v>-26.911437125748503</c:v>
                      </c:pt>
                      <c:pt idx="34" formatCode="General">
                        <c:v>-27.213832335329339</c:v>
                      </c:pt>
                      <c:pt idx="35" formatCode="General">
                        <c:v>-27.51622754491018</c:v>
                      </c:pt>
                      <c:pt idx="36" formatCode="General">
                        <c:v>-27.818622754491017</c:v>
                      </c:pt>
                      <c:pt idx="37" formatCode="General">
                        <c:v>-28.121017964071857</c:v>
                      </c:pt>
                      <c:pt idx="38" formatCode="General">
                        <c:v>-28.423413173652694</c:v>
                      </c:pt>
                      <c:pt idx="39" formatCode="General">
                        <c:v>-28.725808383233534</c:v>
                      </c:pt>
                      <c:pt idx="40" formatCode="General">
                        <c:v>-29.028203592814371</c:v>
                      </c:pt>
                      <c:pt idx="41" formatCode="General">
                        <c:v>-29.330598802395212</c:v>
                      </c:pt>
                      <c:pt idx="42" formatCode="General">
                        <c:v>-29.632994011976049</c:v>
                      </c:pt>
                      <c:pt idx="43" formatCode="General">
                        <c:v>-29.935389221556889</c:v>
                      </c:pt>
                      <c:pt idx="44" formatCode="General">
                        <c:v>-30.237784431137726</c:v>
                      </c:pt>
                      <c:pt idx="45" formatCode="General">
                        <c:v>-30.540179640718566</c:v>
                      </c:pt>
                      <c:pt idx="46" formatCode="General">
                        <c:v>-30.842574850299403</c:v>
                      </c:pt>
                      <c:pt idx="47" formatCode="General">
                        <c:v>-31.144970059880244</c:v>
                      </c:pt>
                      <c:pt idx="48" formatCode="General">
                        <c:v>-31.447365269461081</c:v>
                      </c:pt>
                      <c:pt idx="49" formatCode="General">
                        <c:v>-31.749760479041917</c:v>
                      </c:pt>
                      <c:pt idx="50" formatCode="General">
                        <c:v>-32.022696629213485</c:v>
                      </c:pt>
                      <c:pt idx="51" formatCode="General">
                        <c:v>-32.292359550561798</c:v>
                      </c:pt>
                      <c:pt idx="52" formatCode="General">
                        <c:v>-32.562022471910112</c:v>
                      </c:pt>
                      <c:pt idx="53" formatCode="General">
                        <c:v>-32.831685393258432</c:v>
                      </c:pt>
                      <c:pt idx="54" formatCode="General">
                        <c:v>-33.101348314606746</c:v>
                      </c:pt>
                      <c:pt idx="55" formatCode="General">
                        <c:v>-33.371011235955059</c:v>
                      </c:pt>
                      <c:pt idx="56" formatCode="General">
                        <c:v>-33.640674157303373</c:v>
                      </c:pt>
                      <c:pt idx="57" formatCode="General">
                        <c:v>-33.910337078651686</c:v>
                      </c:pt>
                      <c:pt idx="58" formatCode="General">
                        <c:v>-34.18</c:v>
                      </c:pt>
                      <c:pt idx="59" formatCode="General">
                        <c:v>-34.44966292134832</c:v>
                      </c:pt>
                      <c:pt idx="60" formatCode="General">
                        <c:v>-34.719325842696634</c:v>
                      </c:pt>
                      <c:pt idx="61" formatCode="General">
                        <c:v>-34.988988764044947</c:v>
                      </c:pt>
                      <c:pt idx="62" formatCode="General">
                        <c:v>-35.258651685393261</c:v>
                      </c:pt>
                      <c:pt idx="63" formatCode="General">
                        <c:v>-35.528314606741574</c:v>
                      </c:pt>
                      <c:pt idx="64" formatCode="General">
                        <c:v>-35.797977528089888</c:v>
                      </c:pt>
                      <c:pt idx="65" formatCode="General">
                        <c:v>-36.067640449438201</c:v>
                      </c:pt>
                      <c:pt idx="66" formatCode="General">
                        <c:v>-36.328007490636708</c:v>
                      </c:pt>
                      <c:pt idx="67" formatCode="General">
                        <c:v>-36.553925093632962</c:v>
                      </c:pt>
                      <c:pt idx="68" formatCode="General">
                        <c:v>-36.779842696629217</c:v>
                      </c:pt>
                      <c:pt idx="69" formatCode="General">
                        <c:v>-37.005760299625472</c:v>
                      </c:pt>
                      <c:pt idx="70" formatCode="General">
                        <c:v>-37.231677902621726</c:v>
                      </c:pt>
                      <c:pt idx="71" formatCode="General">
                        <c:v>-37.457595505617981</c:v>
                      </c:pt>
                      <c:pt idx="72" formatCode="General">
                        <c:v>-37.683513108614235</c:v>
                      </c:pt>
                      <c:pt idx="73" formatCode="General">
                        <c:v>-37.90943071161049</c:v>
                      </c:pt>
                      <c:pt idx="74" formatCode="General">
                        <c:v>-38.135348314606745</c:v>
                      </c:pt>
                      <c:pt idx="75" formatCode="General">
                        <c:v>-38.361265917602999</c:v>
                      </c:pt>
                      <c:pt idx="76" formatCode="General">
                        <c:v>-38.587183520599254</c:v>
                      </c:pt>
                      <c:pt idx="77" formatCode="General">
                        <c:v>-38.813101123595509</c:v>
                      </c:pt>
                      <c:pt idx="78" formatCode="General">
                        <c:v>-39.039018726591763</c:v>
                      </c:pt>
                      <c:pt idx="79" formatCode="General">
                        <c:v>-39.264936329588011</c:v>
                      </c:pt>
                      <c:pt idx="80" formatCode="General">
                        <c:v>-39.490853932584265</c:v>
                      </c:pt>
                      <c:pt idx="81" formatCode="General">
                        <c:v>-39.71677153558052</c:v>
                      </c:pt>
                      <c:pt idx="82" formatCode="General">
                        <c:v>-39.942689138576775</c:v>
                      </c:pt>
                      <c:pt idx="83" formatCode="General">
                        <c:v>-40.151856287425147</c:v>
                      </c:pt>
                      <c:pt idx="84" formatCode="General">
                        <c:v>-40.345868263473051</c:v>
                      </c:pt>
                      <c:pt idx="85" formatCode="General">
                        <c:v>-40.539880239520954</c:v>
                      </c:pt>
                      <c:pt idx="86" formatCode="General">
                        <c:v>-40.733892215568858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A-7F43-47D9-9E15-19AA26622F09}"/>
                  </c:ext>
                </c:extLst>
              </c15:ser>
            </c15:filteredScatterSeries>
            <c15:filteredScatterSeries>
              <c15:ser>
                <c:idx val="2"/>
                <c:order val="4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306</c:v>
                      </c:pt>
                      <c:pt idx="1">
                        <c:v>314</c:v>
                      </c:pt>
                      <c:pt idx="2">
                        <c:v>322</c:v>
                      </c:pt>
                      <c:pt idx="3">
                        <c:v>330</c:v>
                      </c:pt>
                      <c:pt idx="4">
                        <c:v>338</c:v>
                      </c:pt>
                      <c:pt idx="5">
                        <c:v>346</c:v>
                      </c:pt>
                      <c:pt idx="6">
                        <c:v>354</c:v>
                      </c:pt>
                      <c:pt idx="7">
                        <c:v>362</c:v>
                      </c:pt>
                      <c:pt idx="8">
                        <c:v>370</c:v>
                      </c:pt>
                      <c:pt idx="9">
                        <c:v>378</c:v>
                      </c:pt>
                      <c:pt idx="10">
                        <c:v>386</c:v>
                      </c:pt>
                      <c:pt idx="11">
                        <c:v>394</c:v>
                      </c:pt>
                      <c:pt idx="12">
                        <c:v>402</c:v>
                      </c:pt>
                      <c:pt idx="13">
                        <c:v>410</c:v>
                      </c:pt>
                      <c:pt idx="14">
                        <c:v>418</c:v>
                      </c:pt>
                      <c:pt idx="15">
                        <c:v>426</c:v>
                      </c:pt>
                      <c:pt idx="16">
                        <c:v>434</c:v>
                      </c:pt>
                      <c:pt idx="17">
                        <c:v>442</c:v>
                      </c:pt>
                      <c:pt idx="18">
                        <c:v>450</c:v>
                      </c:pt>
                      <c:pt idx="19">
                        <c:v>458</c:v>
                      </c:pt>
                      <c:pt idx="20">
                        <c:v>466</c:v>
                      </c:pt>
                      <c:pt idx="21">
                        <c:v>474</c:v>
                      </c:pt>
                      <c:pt idx="22">
                        <c:v>482</c:v>
                      </c:pt>
                      <c:pt idx="23">
                        <c:v>490</c:v>
                      </c:pt>
                      <c:pt idx="24">
                        <c:v>498</c:v>
                      </c:pt>
                      <c:pt idx="25">
                        <c:v>506</c:v>
                      </c:pt>
                      <c:pt idx="26">
                        <c:v>514</c:v>
                      </c:pt>
                      <c:pt idx="27">
                        <c:v>522</c:v>
                      </c:pt>
                      <c:pt idx="28">
                        <c:v>530</c:v>
                      </c:pt>
                      <c:pt idx="29">
                        <c:v>538</c:v>
                      </c:pt>
                      <c:pt idx="30">
                        <c:v>546</c:v>
                      </c:pt>
                      <c:pt idx="31">
                        <c:v>554</c:v>
                      </c:pt>
                      <c:pt idx="32">
                        <c:v>562</c:v>
                      </c:pt>
                      <c:pt idx="33">
                        <c:v>570</c:v>
                      </c:pt>
                      <c:pt idx="34">
                        <c:v>578</c:v>
                      </c:pt>
                      <c:pt idx="35">
                        <c:v>586</c:v>
                      </c:pt>
                      <c:pt idx="36">
                        <c:v>594</c:v>
                      </c:pt>
                      <c:pt idx="37">
                        <c:v>602</c:v>
                      </c:pt>
                      <c:pt idx="38">
                        <c:v>610</c:v>
                      </c:pt>
                      <c:pt idx="39">
                        <c:v>618</c:v>
                      </c:pt>
                      <c:pt idx="40">
                        <c:v>626</c:v>
                      </c:pt>
                      <c:pt idx="41">
                        <c:v>634</c:v>
                      </c:pt>
                      <c:pt idx="42">
                        <c:v>642</c:v>
                      </c:pt>
                      <c:pt idx="43">
                        <c:v>650</c:v>
                      </c:pt>
                      <c:pt idx="44">
                        <c:v>658</c:v>
                      </c:pt>
                      <c:pt idx="45">
                        <c:v>666</c:v>
                      </c:pt>
                      <c:pt idx="46">
                        <c:v>674</c:v>
                      </c:pt>
                      <c:pt idx="47">
                        <c:v>682</c:v>
                      </c:pt>
                      <c:pt idx="48">
                        <c:v>690</c:v>
                      </c:pt>
                      <c:pt idx="49">
                        <c:v>698</c:v>
                      </c:pt>
                      <c:pt idx="50">
                        <c:v>706</c:v>
                      </c:pt>
                      <c:pt idx="51">
                        <c:v>714</c:v>
                      </c:pt>
                      <c:pt idx="52">
                        <c:v>722</c:v>
                      </c:pt>
                      <c:pt idx="53">
                        <c:v>730</c:v>
                      </c:pt>
                      <c:pt idx="54">
                        <c:v>738</c:v>
                      </c:pt>
                      <c:pt idx="55">
                        <c:v>746</c:v>
                      </c:pt>
                      <c:pt idx="56">
                        <c:v>754</c:v>
                      </c:pt>
                      <c:pt idx="57">
                        <c:v>762</c:v>
                      </c:pt>
                      <c:pt idx="58">
                        <c:v>770</c:v>
                      </c:pt>
                      <c:pt idx="59">
                        <c:v>778</c:v>
                      </c:pt>
                      <c:pt idx="60">
                        <c:v>786</c:v>
                      </c:pt>
                      <c:pt idx="61">
                        <c:v>794</c:v>
                      </c:pt>
                      <c:pt idx="62">
                        <c:v>802</c:v>
                      </c:pt>
                      <c:pt idx="63">
                        <c:v>810</c:v>
                      </c:pt>
                      <c:pt idx="64">
                        <c:v>818</c:v>
                      </c:pt>
                      <c:pt idx="65">
                        <c:v>826</c:v>
                      </c:pt>
                      <c:pt idx="66">
                        <c:v>834</c:v>
                      </c:pt>
                      <c:pt idx="67">
                        <c:v>842</c:v>
                      </c:pt>
                      <c:pt idx="68">
                        <c:v>850</c:v>
                      </c:pt>
                      <c:pt idx="69">
                        <c:v>858</c:v>
                      </c:pt>
                      <c:pt idx="70">
                        <c:v>866</c:v>
                      </c:pt>
                      <c:pt idx="71">
                        <c:v>874</c:v>
                      </c:pt>
                      <c:pt idx="72">
                        <c:v>882</c:v>
                      </c:pt>
                      <c:pt idx="73">
                        <c:v>890</c:v>
                      </c:pt>
                      <c:pt idx="74">
                        <c:v>898</c:v>
                      </c:pt>
                      <c:pt idx="75">
                        <c:v>906</c:v>
                      </c:pt>
                      <c:pt idx="76">
                        <c:v>914</c:v>
                      </c:pt>
                      <c:pt idx="77">
                        <c:v>922</c:v>
                      </c:pt>
                      <c:pt idx="78">
                        <c:v>930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EVALUATION!$B$105:$CP$105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-15.118108108108107</c:v>
                      </c:pt>
                      <c:pt idx="1">
                        <c:v>-14.88027027027027</c:v>
                      </c:pt>
                      <c:pt idx="2">
                        <c:v>-14.642432432432432</c:v>
                      </c:pt>
                      <c:pt idx="3">
                        <c:v>-14.404594594594593</c:v>
                      </c:pt>
                      <c:pt idx="4" formatCode="General">
                        <c:v>-13.959101796407184</c:v>
                      </c:pt>
                      <c:pt idx="5" formatCode="General">
                        <c:v>-13.46568862275449</c:v>
                      </c:pt>
                      <c:pt idx="6" formatCode="General">
                        <c:v>-12.972275449101796</c:v>
                      </c:pt>
                      <c:pt idx="7" formatCode="General">
                        <c:v>-12.478862275449101</c:v>
                      </c:pt>
                      <c:pt idx="8" formatCode="General">
                        <c:v>-11.950329341317365</c:v>
                      </c:pt>
                      <c:pt idx="9" formatCode="General">
                        <c:v>-11.40182634730539</c:v>
                      </c:pt>
                      <c:pt idx="10" formatCode="General">
                        <c:v>-10.853323353293414</c:v>
                      </c:pt>
                      <c:pt idx="11" formatCode="General">
                        <c:v>-10.304820359281438</c:v>
                      </c:pt>
                      <c:pt idx="12" formatCode="General">
                        <c:v>-9.7896616766467073</c:v>
                      </c:pt>
                      <c:pt idx="13" formatCode="General">
                        <c:v>-9.3132544910179647</c:v>
                      </c:pt>
                      <c:pt idx="14" formatCode="General">
                        <c:v>-8.836847305389222</c:v>
                      </c:pt>
                      <c:pt idx="15" formatCode="General">
                        <c:v>-8.3604401197604794</c:v>
                      </c:pt>
                      <c:pt idx="16" formatCode="General">
                        <c:v>-7.9011107784431145</c:v>
                      </c:pt>
                      <c:pt idx="17" formatCode="General">
                        <c:v>-7.4841047904191624</c:v>
                      </c:pt>
                      <c:pt idx="18" formatCode="General">
                        <c:v>-7.0670988023952104</c:v>
                      </c:pt>
                      <c:pt idx="19" formatCode="General">
                        <c:v>-6.6500928143712592</c:v>
                      </c:pt>
                      <c:pt idx="20" formatCode="General">
                        <c:v>-6.2383952095808395</c:v>
                      </c:pt>
                      <c:pt idx="21" formatCode="General">
                        <c:v>-5.8685748502994022</c:v>
                      </c:pt>
                      <c:pt idx="22" formatCode="General">
                        <c:v>-5.4987544910179649</c:v>
                      </c:pt>
                      <c:pt idx="23" formatCode="General">
                        <c:v>-5.1289341317365267</c:v>
                      </c:pt>
                      <c:pt idx="24" formatCode="General">
                        <c:v>-4.7591137724550894</c:v>
                      </c:pt>
                      <c:pt idx="25" formatCode="General">
                        <c:v>-4.6019909909909904</c:v>
                      </c:pt>
                      <c:pt idx="26" formatCode="General">
                        <c:v>-4.4590480480480474</c:v>
                      </c:pt>
                      <c:pt idx="27" formatCode="General">
                        <c:v>-4.3161051051051045</c:v>
                      </c:pt>
                      <c:pt idx="28" formatCode="General">
                        <c:v>-4.1731621621621615</c:v>
                      </c:pt>
                      <c:pt idx="29" formatCode="General">
                        <c:v>-4.1562215568862273</c:v>
                      </c:pt>
                      <c:pt idx="30" formatCode="General">
                        <c:v>-4.1758622754491022</c:v>
                      </c:pt>
                      <c:pt idx="31" formatCode="General">
                        <c:v>-4.1955029940119761</c:v>
                      </c:pt>
                      <c:pt idx="32" formatCode="General">
                        <c:v>-4.2151437125748501</c:v>
                      </c:pt>
                      <c:pt idx="33" formatCode="General">
                        <c:v>-4.2348562874251492</c:v>
                      </c:pt>
                      <c:pt idx="34" formatCode="General">
                        <c:v>-4.2546167664670653</c:v>
                      </c:pt>
                      <c:pt idx="35" formatCode="General">
                        <c:v>-4.2743772455089815</c:v>
                      </c:pt>
                      <c:pt idx="36" formatCode="General">
                        <c:v>-4.2941377245508976</c:v>
                      </c:pt>
                      <c:pt idx="37" formatCode="General">
                        <c:v>-4.3138982035928146</c:v>
                      </c:pt>
                      <c:pt idx="38" formatCode="General">
                        <c:v>-4.3336586826347308</c:v>
                      </c:pt>
                      <c:pt idx="39" formatCode="General">
                        <c:v>-4.3534191616766469</c:v>
                      </c:pt>
                      <c:pt idx="40" formatCode="General">
                        <c:v>-4.373179640718563</c:v>
                      </c:pt>
                      <c:pt idx="41" formatCode="General">
                        <c:v>-4.3929401197604792</c:v>
                      </c:pt>
                      <c:pt idx="42" formatCode="General">
                        <c:v>-4.4127005988023953</c:v>
                      </c:pt>
                      <c:pt idx="43" formatCode="General">
                        <c:v>-4.4324610778443114</c:v>
                      </c:pt>
                      <c:pt idx="44" formatCode="General">
                        <c:v>-4.4522215568862276</c:v>
                      </c:pt>
                      <c:pt idx="45" formatCode="General">
                        <c:v>-4.4719820359281437</c:v>
                      </c:pt>
                      <c:pt idx="46" formatCode="General">
                        <c:v>-4.4917425149700598</c:v>
                      </c:pt>
                      <c:pt idx="47" formatCode="General">
                        <c:v>-4.511502994011976</c:v>
                      </c:pt>
                      <c:pt idx="48" formatCode="General">
                        <c:v>-4.5312634730538921</c:v>
                      </c:pt>
                      <c:pt idx="49" formatCode="General">
                        <c:v>-4.5510239520958082</c:v>
                      </c:pt>
                      <c:pt idx="50" formatCode="General">
                        <c:v>-4.5702584269662925</c:v>
                      </c:pt>
                      <c:pt idx="51" formatCode="General">
                        <c:v>-4.5894344569288394</c:v>
                      </c:pt>
                      <c:pt idx="52" formatCode="General">
                        <c:v>-4.6086104868913855</c:v>
                      </c:pt>
                      <c:pt idx="53" formatCode="General">
                        <c:v>-4.6277865168539325</c:v>
                      </c:pt>
                      <c:pt idx="54" formatCode="General">
                        <c:v>-4.6469625468164795</c:v>
                      </c:pt>
                      <c:pt idx="55" formatCode="General">
                        <c:v>-4.6661385767790264</c:v>
                      </c:pt>
                      <c:pt idx="56" formatCode="General">
                        <c:v>-4.6853146067415734</c:v>
                      </c:pt>
                      <c:pt idx="57" formatCode="General">
                        <c:v>-4.7044906367041204</c:v>
                      </c:pt>
                      <c:pt idx="58" formatCode="General">
                        <c:v>-4.7236666666666665</c:v>
                      </c:pt>
                      <c:pt idx="59" formatCode="General">
                        <c:v>-4.7428426966292134</c:v>
                      </c:pt>
                      <c:pt idx="60" formatCode="General">
                        <c:v>-4.7620187265917604</c:v>
                      </c:pt>
                      <c:pt idx="61" formatCode="General">
                        <c:v>-4.7811947565543074</c:v>
                      </c:pt>
                      <c:pt idx="62" formatCode="General">
                        <c:v>-4.8003707865168543</c:v>
                      </c:pt>
                      <c:pt idx="63" formatCode="General">
                        <c:v>-4.8195468164794013</c:v>
                      </c:pt>
                      <c:pt idx="64" formatCode="General">
                        <c:v>-4.8387228464419483</c:v>
                      </c:pt>
                      <c:pt idx="65" formatCode="General">
                        <c:v>-4.8578988764044944</c:v>
                      </c:pt>
                      <c:pt idx="66" formatCode="General">
                        <c:v>-4.8768456928838955</c:v>
                      </c:pt>
                      <c:pt idx="67" formatCode="General">
                        <c:v>-4.8949430711610491</c:v>
                      </c:pt>
                      <c:pt idx="68" formatCode="General">
                        <c:v>-4.9130404494382027</c:v>
                      </c:pt>
                      <c:pt idx="69" formatCode="General">
                        <c:v>-4.9311378277153564</c:v>
                      </c:pt>
                      <c:pt idx="70" formatCode="General">
                        <c:v>-4.94923520599251</c:v>
                      </c:pt>
                      <c:pt idx="71" formatCode="General">
                        <c:v>-4.9673325842696627</c:v>
                      </c:pt>
                      <c:pt idx="72" formatCode="General">
                        <c:v>-4.9854299625468164</c:v>
                      </c:pt>
                      <c:pt idx="73" formatCode="General">
                        <c:v>-5.00352734082397</c:v>
                      </c:pt>
                      <c:pt idx="74" formatCode="General">
                        <c:v>-5.0216247191011236</c:v>
                      </c:pt>
                      <c:pt idx="75" formatCode="General">
                        <c:v>-5.0397220973782773</c:v>
                      </c:pt>
                      <c:pt idx="76" formatCode="General">
                        <c:v>-5.0578194756554309</c:v>
                      </c:pt>
                      <c:pt idx="77" formatCode="General">
                        <c:v>-5.0759168539325845</c:v>
                      </c:pt>
                      <c:pt idx="78" formatCode="General">
                        <c:v>-5.0940142322097381</c:v>
                      </c:pt>
                      <c:pt idx="79" formatCode="General">
                        <c:v>-5.1121116104868918</c:v>
                      </c:pt>
                      <c:pt idx="80" formatCode="General">
                        <c:v>-5.1302089887640445</c:v>
                      </c:pt>
                      <c:pt idx="81" formatCode="General">
                        <c:v>-5.1483063670411982</c:v>
                      </c:pt>
                      <c:pt idx="82" formatCode="General">
                        <c:v>-5.1664037453183518</c:v>
                      </c:pt>
                      <c:pt idx="83" formatCode="General">
                        <c:v>-5.1840538922155686</c:v>
                      </c:pt>
                      <c:pt idx="84" formatCode="General">
                        <c:v>-5.2012994011976046</c:v>
                      </c:pt>
                      <c:pt idx="85" formatCode="General">
                        <c:v>-5.2185449101796406</c:v>
                      </c:pt>
                      <c:pt idx="86" formatCode="General">
                        <c:v>-5.2357904191616766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B-7F43-47D9-9E15-19AA26622F09}"/>
                  </c:ext>
                </c:extLst>
              </c15:ser>
            </c15:filteredScatterSeries>
            <c15:filteredScatterSeries>
              <c15:ser>
                <c:idx val="3"/>
                <c:order val="5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306</c:v>
                      </c:pt>
                      <c:pt idx="1">
                        <c:v>314</c:v>
                      </c:pt>
                      <c:pt idx="2">
                        <c:v>322</c:v>
                      </c:pt>
                      <c:pt idx="3">
                        <c:v>330</c:v>
                      </c:pt>
                      <c:pt idx="4">
                        <c:v>338</c:v>
                      </c:pt>
                      <c:pt idx="5">
                        <c:v>346</c:v>
                      </c:pt>
                      <c:pt idx="6">
                        <c:v>354</c:v>
                      </c:pt>
                      <c:pt idx="7">
                        <c:v>362</c:v>
                      </c:pt>
                      <c:pt idx="8">
                        <c:v>370</c:v>
                      </c:pt>
                      <c:pt idx="9">
                        <c:v>378</c:v>
                      </c:pt>
                      <c:pt idx="10">
                        <c:v>386</c:v>
                      </c:pt>
                      <c:pt idx="11">
                        <c:v>394</c:v>
                      </c:pt>
                      <c:pt idx="12">
                        <c:v>402</c:v>
                      </c:pt>
                      <c:pt idx="13">
                        <c:v>410</c:v>
                      </c:pt>
                      <c:pt idx="14">
                        <c:v>418</c:v>
                      </c:pt>
                      <c:pt idx="15">
                        <c:v>426</c:v>
                      </c:pt>
                      <c:pt idx="16">
                        <c:v>434</c:v>
                      </c:pt>
                      <c:pt idx="17">
                        <c:v>442</c:v>
                      </c:pt>
                      <c:pt idx="18">
                        <c:v>450</c:v>
                      </c:pt>
                      <c:pt idx="19">
                        <c:v>458</c:v>
                      </c:pt>
                      <c:pt idx="20">
                        <c:v>466</c:v>
                      </c:pt>
                      <c:pt idx="21">
                        <c:v>474</c:v>
                      </c:pt>
                      <c:pt idx="22">
                        <c:v>482</c:v>
                      </c:pt>
                      <c:pt idx="23">
                        <c:v>490</c:v>
                      </c:pt>
                      <c:pt idx="24">
                        <c:v>498</c:v>
                      </c:pt>
                      <c:pt idx="25">
                        <c:v>506</c:v>
                      </c:pt>
                      <c:pt idx="26">
                        <c:v>514</c:v>
                      </c:pt>
                      <c:pt idx="27">
                        <c:v>522</c:v>
                      </c:pt>
                      <c:pt idx="28">
                        <c:v>530</c:v>
                      </c:pt>
                      <c:pt idx="29">
                        <c:v>538</c:v>
                      </c:pt>
                      <c:pt idx="30">
                        <c:v>546</c:v>
                      </c:pt>
                      <c:pt idx="31">
                        <c:v>554</c:v>
                      </c:pt>
                      <c:pt idx="32">
                        <c:v>562</c:v>
                      </c:pt>
                      <c:pt idx="33">
                        <c:v>570</c:v>
                      </c:pt>
                      <c:pt idx="34">
                        <c:v>578</c:v>
                      </c:pt>
                      <c:pt idx="35">
                        <c:v>586</c:v>
                      </c:pt>
                      <c:pt idx="36">
                        <c:v>594</c:v>
                      </c:pt>
                      <c:pt idx="37">
                        <c:v>602</c:v>
                      </c:pt>
                      <c:pt idx="38">
                        <c:v>610</c:v>
                      </c:pt>
                      <c:pt idx="39">
                        <c:v>618</c:v>
                      </c:pt>
                      <c:pt idx="40">
                        <c:v>626</c:v>
                      </c:pt>
                      <c:pt idx="41">
                        <c:v>634</c:v>
                      </c:pt>
                      <c:pt idx="42">
                        <c:v>642</c:v>
                      </c:pt>
                      <c:pt idx="43">
                        <c:v>650</c:v>
                      </c:pt>
                      <c:pt idx="44">
                        <c:v>658</c:v>
                      </c:pt>
                      <c:pt idx="45">
                        <c:v>666</c:v>
                      </c:pt>
                      <c:pt idx="46">
                        <c:v>674</c:v>
                      </c:pt>
                      <c:pt idx="47">
                        <c:v>682</c:v>
                      </c:pt>
                      <c:pt idx="48">
                        <c:v>690</c:v>
                      </c:pt>
                      <c:pt idx="49">
                        <c:v>698</c:v>
                      </c:pt>
                      <c:pt idx="50">
                        <c:v>706</c:v>
                      </c:pt>
                      <c:pt idx="51">
                        <c:v>714</c:v>
                      </c:pt>
                      <c:pt idx="52">
                        <c:v>722</c:v>
                      </c:pt>
                      <c:pt idx="53">
                        <c:v>730</c:v>
                      </c:pt>
                      <c:pt idx="54">
                        <c:v>738</c:v>
                      </c:pt>
                      <c:pt idx="55">
                        <c:v>746</c:v>
                      </c:pt>
                      <c:pt idx="56">
                        <c:v>754</c:v>
                      </c:pt>
                      <c:pt idx="57">
                        <c:v>762</c:v>
                      </c:pt>
                      <c:pt idx="58">
                        <c:v>770</c:v>
                      </c:pt>
                      <c:pt idx="59">
                        <c:v>778</c:v>
                      </c:pt>
                      <c:pt idx="60">
                        <c:v>786</c:v>
                      </c:pt>
                      <c:pt idx="61">
                        <c:v>794</c:v>
                      </c:pt>
                      <c:pt idx="62">
                        <c:v>802</c:v>
                      </c:pt>
                      <c:pt idx="63">
                        <c:v>810</c:v>
                      </c:pt>
                      <c:pt idx="64">
                        <c:v>818</c:v>
                      </c:pt>
                      <c:pt idx="65">
                        <c:v>826</c:v>
                      </c:pt>
                      <c:pt idx="66">
                        <c:v>834</c:v>
                      </c:pt>
                      <c:pt idx="67">
                        <c:v>842</c:v>
                      </c:pt>
                      <c:pt idx="68">
                        <c:v>850</c:v>
                      </c:pt>
                      <c:pt idx="69">
                        <c:v>858</c:v>
                      </c:pt>
                      <c:pt idx="70">
                        <c:v>866</c:v>
                      </c:pt>
                      <c:pt idx="71">
                        <c:v>874</c:v>
                      </c:pt>
                      <c:pt idx="72">
                        <c:v>882</c:v>
                      </c:pt>
                      <c:pt idx="73">
                        <c:v>890</c:v>
                      </c:pt>
                      <c:pt idx="74">
                        <c:v>898</c:v>
                      </c:pt>
                      <c:pt idx="75">
                        <c:v>906</c:v>
                      </c:pt>
                      <c:pt idx="76">
                        <c:v>914</c:v>
                      </c:pt>
                      <c:pt idx="77">
                        <c:v>922</c:v>
                      </c:pt>
                      <c:pt idx="78">
                        <c:v>930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EVALUATION!$B$106:$CP$106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-21.473063063063062</c:v>
                      </c:pt>
                      <c:pt idx="1">
                        <c:v>-21.045435435435436</c:v>
                      </c:pt>
                      <c:pt idx="2">
                        <c:v>-20.617807807807807</c:v>
                      </c:pt>
                      <c:pt idx="3">
                        <c:v>-20.190180180180178</c:v>
                      </c:pt>
                      <c:pt idx="4" formatCode="General">
                        <c:v>-20.082754491017962</c:v>
                      </c:pt>
                      <c:pt idx="5" formatCode="General">
                        <c:v>-20.049221556886227</c:v>
                      </c:pt>
                      <c:pt idx="6" formatCode="General">
                        <c:v>-20.015688622754489</c:v>
                      </c:pt>
                      <c:pt idx="7" formatCode="General">
                        <c:v>-19.982155688622754</c:v>
                      </c:pt>
                      <c:pt idx="8" formatCode="General">
                        <c:v>-20.046347305389222</c:v>
                      </c:pt>
                      <c:pt idx="9" formatCode="General">
                        <c:v>-20.166107784431137</c:v>
                      </c:pt>
                      <c:pt idx="10" formatCode="General">
                        <c:v>-20.285868263473052</c:v>
                      </c:pt>
                      <c:pt idx="11" formatCode="General">
                        <c:v>-20.40562874251497</c:v>
                      </c:pt>
                      <c:pt idx="12" formatCode="General">
                        <c:v>-20.526497005988023</c:v>
                      </c:pt>
                      <c:pt idx="13" formatCode="General">
                        <c:v>-20.648652694610778</c:v>
                      </c:pt>
                      <c:pt idx="14" formatCode="General">
                        <c:v>-20.770808383233533</c:v>
                      </c:pt>
                      <c:pt idx="15" formatCode="General">
                        <c:v>-20.892964071856287</c:v>
                      </c:pt>
                      <c:pt idx="16" formatCode="General">
                        <c:v>-21.015119760479042</c:v>
                      </c:pt>
                      <c:pt idx="17" formatCode="General">
                        <c:v>-21.137275449101796</c:v>
                      </c:pt>
                      <c:pt idx="18" formatCode="General">
                        <c:v>-21.259431137724551</c:v>
                      </c:pt>
                      <c:pt idx="19" formatCode="General">
                        <c:v>-21.381586826347306</c:v>
                      </c:pt>
                      <c:pt idx="20" formatCode="General">
                        <c:v>-21.504011976047902</c:v>
                      </c:pt>
                      <c:pt idx="21" formatCode="General">
                        <c:v>-21.628562874251497</c:v>
                      </c:pt>
                      <c:pt idx="22" formatCode="General">
                        <c:v>-21.753113772455091</c:v>
                      </c:pt>
                      <c:pt idx="23" formatCode="General">
                        <c:v>-21.877664670658682</c:v>
                      </c:pt>
                      <c:pt idx="24" formatCode="General">
                        <c:v>-22.002215568862276</c:v>
                      </c:pt>
                      <c:pt idx="25" formatCode="General">
                        <c:v>-22.122612612612613</c:v>
                      </c:pt>
                      <c:pt idx="26" formatCode="General">
                        <c:v>-22.242732732732733</c:v>
                      </c:pt>
                      <c:pt idx="27" formatCode="General">
                        <c:v>-22.362852852852853</c:v>
                      </c:pt>
                      <c:pt idx="28" formatCode="General">
                        <c:v>-22.482972972972973</c:v>
                      </c:pt>
                      <c:pt idx="29" formatCode="General">
                        <c:v>-22.604670658682636</c:v>
                      </c:pt>
                      <c:pt idx="30" formatCode="General">
                        <c:v>-22.726826347305391</c:v>
                      </c:pt>
                      <c:pt idx="31" formatCode="General">
                        <c:v>-22.848982035928145</c:v>
                      </c:pt>
                      <c:pt idx="32" formatCode="General">
                        <c:v>-22.971137724550896</c:v>
                      </c:pt>
                      <c:pt idx="33" formatCode="General">
                        <c:v>-23.089700598802395</c:v>
                      </c:pt>
                      <c:pt idx="34" formatCode="General">
                        <c:v>-23.205868263473054</c:v>
                      </c:pt>
                      <c:pt idx="35" formatCode="General">
                        <c:v>-23.322035928143713</c:v>
                      </c:pt>
                      <c:pt idx="36" formatCode="General">
                        <c:v>-23.438203592814371</c:v>
                      </c:pt>
                      <c:pt idx="37" formatCode="General">
                        <c:v>-23.55437125748503</c:v>
                      </c:pt>
                      <c:pt idx="38" formatCode="General">
                        <c:v>-23.670538922155689</c:v>
                      </c:pt>
                      <c:pt idx="39" formatCode="General">
                        <c:v>-23.786706586826348</c:v>
                      </c:pt>
                      <c:pt idx="40" formatCode="General">
                        <c:v>-23.902874251497007</c:v>
                      </c:pt>
                      <c:pt idx="41" formatCode="General">
                        <c:v>-24.019041916167666</c:v>
                      </c:pt>
                      <c:pt idx="42" formatCode="General">
                        <c:v>-24.135209580838325</c:v>
                      </c:pt>
                      <c:pt idx="43" formatCode="General">
                        <c:v>-24.251377245508984</c:v>
                      </c:pt>
                      <c:pt idx="44" formatCode="General">
                        <c:v>-24.367544910179642</c:v>
                      </c:pt>
                      <c:pt idx="45" formatCode="General">
                        <c:v>-24.483712574850301</c:v>
                      </c:pt>
                      <c:pt idx="46" formatCode="General">
                        <c:v>-24.59988023952096</c:v>
                      </c:pt>
                      <c:pt idx="47" formatCode="General">
                        <c:v>-24.716047904191619</c:v>
                      </c:pt>
                      <c:pt idx="48" formatCode="General">
                        <c:v>-24.832215568862278</c:v>
                      </c:pt>
                      <c:pt idx="49" formatCode="General">
                        <c:v>-24.948383233532937</c:v>
                      </c:pt>
                      <c:pt idx="50" formatCode="General">
                        <c:v>-25.057617977528093</c:v>
                      </c:pt>
                      <c:pt idx="51" formatCode="General">
                        <c:v>-25.166082397003748</c:v>
                      </c:pt>
                      <c:pt idx="52" formatCode="General">
                        <c:v>-25.2745468164794</c:v>
                      </c:pt>
                      <c:pt idx="53" formatCode="General">
                        <c:v>-25.383011235955056</c:v>
                      </c:pt>
                      <c:pt idx="54" formatCode="General">
                        <c:v>-25.491475655430712</c:v>
                      </c:pt>
                      <c:pt idx="55" formatCode="General">
                        <c:v>-25.599940074906367</c:v>
                      </c:pt>
                      <c:pt idx="56" formatCode="General">
                        <c:v>-25.708404494382023</c:v>
                      </c:pt>
                      <c:pt idx="57" formatCode="General">
                        <c:v>-25.816868913857679</c:v>
                      </c:pt>
                      <c:pt idx="58" formatCode="General">
                        <c:v>-25.925333333333334</c:v>
                      </c:pt>
                      <c:pt idx="59" formatCode="General">
                        <c:v>-26.03379775280899</c:v>
                      </c:pt>
                      <c:pt idx="60" formatCode="General">
                        <c:v>-26.142262172284646</c:v>
                      </c:pt>
                      <c:pt idx="61" formatCode="General">
                        <c:v>-26.250726591760301</c:v>
                      </c:pt>
                      <c:pt idx="62" formatCode="General">
                        <c:v>-26.359191011235957</c:v>
                      </c:pt>
                      <c:pt idx="63" formatCode="General">
                        <c:v>-26.467655430711609</c:v>
                      </c:pt>
                      <c:pt idx="64" formatCode="General">
                        <c:v>-26.576119850187265</c:v>
                      </c:pt>
                      <c:pt idx="65" formatCode="General">
                        <c:v>-26.684584269662921</c:v>
                      </c:pt>
                      <c:pt idx="66" formatCode="General">
                        <c:v>-26.791902621722848</c:v>
                      </c:pt>
                      <c:pt idx="67" formatCode="General">
                        <c:v>-26.894973782771537</c:v>
                      </c:pt>
                      <c:pt idx="68" formatCode="General">
                        <c:v>-26.998044943820226</c:v>
                      </c:pt>
                      <c:pt idx="69" formatCode="General">
                        <c:v>-27.101116104868915</c:v>
                      </c:pt>
                      <c:pt idx="70" formatCode="General">
                        <c:v>-27.204187265917604</c:v>
                      </c:pt>
                      <c:pt idx="71" formatCode="General">
                        <c:v>-27.307258426966293</c:v>
                      </c:pt>
                      <c:pt idx="72" formatCode="General">
                        <c:v>-27.410329588014982</c:v>
                      </c:pt>
                      <c:pt idx="73" formatCode="General">
                        <c:v>-27.513400749063671</c:v>
                      </c:pt>
                      <c:pt idx="74" formatCode="General">
                        <c:v>-27.616471910112359</c:v>
                      </c:pt>
                      <c:pt idx="75" formatCode="General">
                        <c:v>-27.719543071161048</c:v>
                      </c:pt>
                      <c:pt idx="76" formatCode="General">
                        <c:v>-27.822614232209737</c:v>
                      </c:pt>
                      <c:pt idx="77" formatCode="General">
                        <c:v>-27.925685393258426</c:v>
                      </c:pt>
                      <c:pt idx="78" formatCode="General">
                        <c:v>-28.028756554307115</c:v>
                      </c:pt>
                      <c:pt idx="79" formatCode="General">
                        <c:v>-28.131827715355804</c:v>
                      </c:pt>
                      <c:pt idx="80" formatCode="General">
                        <c:v>-28.234898876404493</c:v>
                      </c:pt>
                      <c:pt idx="81" formatCode="General">
                        <c:v>-28.337970037453182</c:v>
                      </c:pt>
                      <c:pt idx="82" formatCode="General">
                        <c:v>-28.441041198501871</c:v>
                      </c:pt>
                      <c:pt idx="83" formatCode="General">
                        <c:v>-28.541556886227543</c:v>
                      </c:pt>
                      <c:pt idx="84" formatCode="General">
                        <c:v>-28.639760479041914</c:v>
                      </c:pt>
                      <c:pt idx="85" formatCode="General">
                        <c:v>-28.737964071856286</c:v>
                      </c:pt>
                      <c:pt idx="86" formatCode="General">
                        <c:v>-28.836167664670658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C-7F43-47D9-9E15-19AA26622F09}"/>
                  </c:ext>
                </c:extLst>
              </c15:ser>
            </c15:filteredScatterSeries>
            <c15:filteredScatterSeries>
              <c15:ser>
                <c:idx val="5"/>
                <c:order val="7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306</c:v>
                      </c:pt>
                      <c:pt idx="1">
                        <c:v>314</c:v>
                      </c:pt>
                      <c:pt idx="2">
                        <c:v>322</c:v>
                      </c:pt>
                      <c:pt idx="3">
                        <c:v>330</c:v>
                      </c:pt>
                      <c:pt idx="4">
                        <c:v>338</c:v>
                      </c:pt>
                      <c:pt idx="5">
                        <c:v>346</c:v>
                      </c:pt>
                      <c:pt idx="6">
                        <c:v>354</c:v>
                      </c:pt>
                      <c:pt idx="7">
                        <c:v>362</c:v>
                      </c:pt>
                      <c:pt idx="8">
                        <c:v>370</c:v>
                      </c:pt>
                      <c:pt idx="9">
                        <c:v>378</c:v>
                      </c:pt>
                      <c:pt idx="10">
                        <c:v>386</c:v>
                      </c:pt>
                      <c:pt idx="11">
                        <c:v>394</c:v>
                      </c:pt>
                      <c:pt idx="12">
                        <c:v>402</c:v>
                      </c:pt>
                      <c:pt idx="13">
                        <c:v>410</c:v>
                      </c:pt>
                      <c:pt idx="14">
                        <c:v>418</c:v>
                      </c:pt>
                      <c:pt idx="15">
                        <c:v>426</c:v>
                      </c:pt>
                      <c:pt idx="16">
                        <c:v>434</c:v>
                      </c:pt>
                      <c:pt idx="17">
                        <c:v>442</c:v>
                      </c:pt>
                      <c:pt idx="18">
                        <c:v>450</c:v>
                      </c:pt>
                      <c:pt idx="19">
                        <c:v>458</c:v>
                      </c:pt>
                      <c:pt idx="20">
                        <c:v>466</c:v>
                      </c:pt>
                      <c:pt idx="21">
                        <c:v>474</c:v>
                      </c:pt>
                      <c:pt idx="22">
                        <c:v>482</c:v>
                      </c:pt>
                      <c:pt idx="23">
                        <c:v>490</c:v>
                      </c:pt>
                      <c:pt idx="24">
                        <c:v>498</c:v>
                      </c:pt>
                      <c:pt idx="25">
                        <c:v>506</c:v>
                      </c:pt>
                      <c:pt idx="26">
                        <c:v>514</c:v>
                      </c:pt>
                      <c:pt idx="27">
                        <c:v>522</c:v>
                      </c:pt>
                      <c:pt idx="28">
                        <c:v>530</c:v>
                      </c:pt>
                      <c:pt idx="29">
                        <c:v>538</c:v>
                      </c:pt>
                      <c:pt idx="30">
                        <c:v>546</c:v>
                      </c:pt>
                      <c:pt idx="31">
                        <c:v>554</c:v>
                      </c:pt>
                      <c:pt idx="32">
                        <c:v>562</c:v>
                      </c:pt>
                      <c:pt idx="33">
                        <c:v>570</c:v>
                      </c:pt>
                      <c:pt idx="34">
                        <c:v>578</c:v>
                      </c:pt>
                      <c:pt idx="35">
                        <c:v>586</c:v>
                      </c:pt>
                      <c:pt idx="36">
                        <c:v>594</c:v>
                      </c:pt>
                      <c:pt idx="37">
                        <c:v>602</c:v>
                      </c:pt>
                      <c:pt idx="38">
                        <c:v>610</c:v>
                      </c:pt>
                      <c:pt idx="39">
                        <c:v>618</c:v>
                      </c:pt>
                      <c:pt idx="40">
                        <c:v>626</c:v>
                      </c:pt>
                      <c:pt idx="41">
                        <c:v>634</c:v>
                      </c:pt>
                      <c:pt idx="42">
                        <c:v>642</c:v>
                      </c:pt>
                      <c:pt idx="43">
                        <c:v>650</c:v>
                      </c:pt>
                      <c:pt idx="44">
                        <c:v>658</c:v>
                      </c:pt>
                      <c:pt idx="45">
                        <c:v>666</c:v>
                      </c:pt>
                      <c:pt idx="46">
                        <c:v>674</c:v>
                      </c:pt>
                      <c:pt idx="47">
                        <c:v>682</c:v>
                      </c:pt>
                      <c:pt idx="48">
                        <c:v>690</c:v>
                      </c:pt>
                      <c:pt idx="49">
                        <c:v>698</c:v>
                      </c:pt>
                      <c:pt idx="50">
                        <c:v>706</c:v>
                      </c:pt>
                      <c:pt idx="51">
                        <c:v>714</c:v>
                      </c:pt>
                      <c:pt idx="52">
                        <c:v>722</c:v>
                      </c:pt>
                      <c:pt idx="53">
                        <c:v>730</c:v>
                      </c:pt>
                      <c:pt idx="54">
                        <c:v>738</c:v>
                      </c:pt>
                      <c:pt idx="55">
                        <c:v>746</c:v>
                      </c:pt>
                      <c:pt idx="56">
                        <c:v>754</c:v>
                      </c:pt>
                      <c:pt idx="57">
                        <c:v>762</c:v>
                      </c:pt>
                      <c:pt idx="58">
                        <c:v>770</c:v>
                      </c:pt>
                      <c:pt idx="59">
                        <c:v>778</c:v>
                      </c:pt>
                      <c:pt idx="60">
                        <c:v>786</c:v>
                      </c:pt>
                      <c:pt idx="61">
                        <c:v>794</c:v>
                      </c:pt>
                      <c:pt idx="62">
                        <c:v>802</c:v>
                      </c:pt>
                      <c:pt idx="63">
                        <c:v>810</c:v>
                      </c:pt>
                      <c:pt idx="64">
                        <c:v>818</c:v>
                      </c:pt>
                      <c:pt idx="65">
                        <c:v>826</c:v>
                      </c:pt>
                      <c:pt idx="66">
                        <c:v>834</c:v>
                      </c:pt>
                      <c:pt idx="67">
                        <c:v>842</c:v>
                      </c:pt>
                      <c:pt idx="68">
                        <c:v>850</c:v>
                      </c:pt>
                      <c:pt idx="69">
                        <c:v>858</c:v>
                      </c:pt>
                      <c:pt idx="70">
                        <c:v>866</c:v>
                      </c:pt>
                      <c:pt idx="71">
                        <c:v>874</c:v>
                      </c:pt>
                      <c:pt idx="72">
                        <c:v>882</c:v>
                      </c:pt>
                      <c:pt idx="73">
                        <c:v>890</c:v>
                      </c:pt>
                      <c:pt idx="74">
                        <c:v>898</c:v>
                      </c:pt>
                      <c:pt idx="75">
                        <c:v>906</c:v>
                      </c:pt>
                      <c:pt idx="76">
                        <c:v>914</c:v>
                      </c:pt>
                      <c:pt idx="77">
                        <c:v>922</c:v>
                      </c:pt>
                      <c:pt idx="78">
                        <c:v>930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EVALUATION!$B$108:$CP$108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-183.77576576576575</c:v>
                      </c:pt>
                      <c:pt idx="1">
                        <c:v>-179.80219219219219</c:v>
                      </c:pt>
                      <c:pt idx="2">
                        <c:v>-175.82861861861863</c:v>
                      </c:pt>
                      <c:pt idx="3">
                        <c:v>-171.85504504504505</c:v>
                      </c:pt>
                      <c:pt idx="4" formatCode="General">
                        <c:v>-168.51000000000002</c:v>
                      </c:pt>
                      <c:pt idx="5" formatCode="General">
                        <c:v>-165.31</c:v>
                      </c:pt>
                      <c:pt idx="6" formatCode="General">
                        <c:v>-162.10999999999999</c:v>
                      </c:pt>
                      <c:pt idx="7" formatCode="General">
                        <c:v>-158.91</c:v>
                      </c:pt>
                      <c:pt idx="8" formatCode="General">
                        <c:v>-156.06730538922156</c:v>
                      </c:pt>
                      <c:pt idx="9" formatCode="General">
                        <c:v>-153.42778443113772</c:v>
                      </c:pt>
                      <c:pt idx="10" formatCode="General">
                        <c:v>-150.78826347305389</c:v>
                      </c:pt>
                      <c:pt idx="11" formatCode="General">
                        <c:v>-148.14874251497005</c:v>
                      </c:pt>
                      <c:pt idx="12" formatCode="General">
                        <c:v>-145.70751497005986</c:v>
                      </c:pt>
                      <c:pt idx="13" formatCode="General">
                        <c:v>-143.49673652694611</c:v>
                      </c:pt>
                      <c:pt idx="14" formatCode="General">
                        <c:v>-141.28595808383233</c:v>
                      </c:pt>
                      <c:pt idx="15" formatCode="General">
                        <c:v>-139.07517964071855</c:v>
                      </c:pt>
                      <c:pt idx="16" formatCode="General">
                        <c:v>-136.96080838323354</c:v>
                      </c:pt>
                      <c:pt idx="17" formatCode="General">
                        <c:v>-135.08535928143712</c:v>
                      </c:pt>
                      <c:pt idx="18" formatCode="General">
                        <c:v>-133.20991017964073</c:v>
                      </c:pt>
                      <c:pt idx="19" formatCode="General">
                        <c:v>-131.33446107784434</c:v>
                      </c:pt>
                      <c:pt idx="20" formatCode="General">
                        <c:v>-129.49</c:v>
                      </c:pt>
                      <c:pt idx="21" formatCode="General">
                        <c:v>-127.89000000000001</c:v>
                      </c:pt>
                      <c:pt idx="22" formatCode="General">
                        <c:v>-126.29000000000002</c:v>
                      </c:pt>
                      <c:pt idx="23" formatCode="General">
                        <c:v>-124.69000000000001</c:v>
                      </c:pt>
                      <c:pt idx="24" formatCode="General">
                        <c:v>-123.09</c:v>
                      </c:pt>
                      <c:pt idx="25" formatCode="General">
                        <c:v>-121.94495495495497</c:v>
                      </c:pt>
                      <c:pt idx="26" formatCode="General">
                        <c:v>-120.83024024024024</c:v>
                      </c:pt>
                      <c:pt idx="27" formatCode="General">
                        <c:v>-119.71552552552552</c:v>
                      </c:pt>
                      <c:pt idx="28" formatCode="General">
                        <c:v>-118.6008108108108</c:v>
                      </c:pt>
                      <c:pt idx="29" formatCode="General">
                        <c:v>-119.12407185628743</c:v>
                      </c:pt>
                      <c:pt idx="30" formatCode="General">
                        <c:v>-120.12287425149701</c:v>
                      </c:pt>
                      <c:pt idx="31" formatCode="General">
                        <c:v>-121.12167664670659</c:v>
                      </c:pt>
                      <c:pt idx="32" formatCode="General">
                        <c:v>-122.12047904191617</c:v>
                      </c:pt>
                      <c:pt idx="33" formatCode="General">
                        <c:v>-123.0919760479042</c:v>
                      </c:pt>
                      <c:pt idx="34" formatCode="General">
                        <c:v>-124.04526946107785</c:v>
                      </c:pt>
                      <c:pt idx="35" formatCode="General">
                        <c:v>-124.9985628742515</c:v>
                      </c:pt>
                      <c:pt idx="36" formatCode="General">
                        <c:v>-125.95185628742516</c:v>
                      </c:pt>
                      <c:pt idx="37" formatCode="General">
                        <c:v>-126.90514970059881</c:v>
                      </c:pt>
                      <c:pt idx="38" formatCode="General">
                        <c:v>-127.85844311377247</c:v>
                      </c:pt>
                      <c:pt idx="39" formatCode="General">
                        <c:v>-128.81173652694611</c:v>
                      </c:pt>
                      <c:pt idx="40" formatCode="General">
                        <c:v>-129.76502994011977</c:v>
                      </c:pt>
                      <c:pt idx="41" formatCode="General">
                        <c:v>-130.71832335329341</c:v>
                      </c:pt>
                      <c:pt idx="42" formatCode="General">
                        <c:v>-131.67161676646708</c:v>
                      </c:pt>
                      <c:pt idx="43" formatCode="General">
                        <c:v>-132.62491017964072</c:v>
                      </c:pt>
                      <c:pt idx="44" formatCode="General">
                        <c:v>-133.57820359281436</c:v>
                      </c:pt>
                      <c:pt idx="45" formatCode="General">
                        <c:v>-134.53149700598803</c:v>
                      </c:pt>
                      <c:pt idx="46" formatCode="General">
                        <c:v>-135.48479041916167</c:v>
                      </c:pt>
                      <c:pt idx="47" formatCode="General">
                        <c:v>-136.43808383233534</c:v>
                      </c:pt>
                      <c:pt idx="48" formatCode="General">
                        <c:v>-137.39137724550898</c:v>
                      </c:pt>
                      <c:pt idx="49" formatCode="General">
                        <c:v>-138.34467065868265</c:v>
                      </c:pt>
                      <c:pt idx="50" formatCode="General">
                        <c:v>-139.21824719101124</c:v>
                      </c:pt>
                      <c:pt idx="51" formatCode="General">
                        <c:v>-140.08296629213484</c:v>
                      </c:pt>
                      <c:pt idx="52" formatCode="General">
                        <c:v>-140.94768539325844</c:v>
                      </c:pt>
                      <c:pt idx="53" formatCode="General">
                        <c:v>-141.81240449438204</c:v>
                      </c:pt>
                      <c:pt idx="54" formatCode="General">
                        <c:v>-142.67712359550563</c:v>
                      </c:pt>
                      <c:pt idx="55" formatCode="General">
                        <c:v>-143.54184269662923</c:v>
                      </c:pt>
                      <c:pt idx="56" formatCode="General">
                        <c:v>-144.40656179775283</c:v>
                      </c:pt>
                      <c:pt idx="57" formatCode="General">
                        <c:v>-145.2712808988764</c:v>
                      </c:pt>
                      <c:pt idx="58" formatCode="General">
                        <c:v>-146.136</c:v>
                      </c:pt>
                      <c:pt idx="59" formatCode="General">
                        <c:v>-147.00071910112359</c:v>
                      </c:pt>
                      <c:pt idx="60" formatCode="General">
                        <c:v>-147.86543820224719</c:v>
                      </c:pt>
                      <c:pt idx="61" formatCode="General">
                        <c:v>-148.73015730337079</c:v>
                      </c:pt>
                      <c:pt idx="62" formatCode="General">
                        <c:v>-149.59487640449439</c:v>
                      </c:pt>
                      <c:pt idx="63" formatCode="General">
                        <c:v>-150.45959550561798</c:v>
                      </c:pt>
                      <c:pt idx="64" formatCode="General">
                        <c:v>-151.32431460674158</c:v>
                      </c:pt>
                      <c:pt idx="65" formatCode="General">
                        <c:v>-152.18903370786518</c:v>
                      </c:pt>
                      <c:pt idx="66" formatCode="General">
                        <c:v>-153.03172284644197</c:v>
                      </c:pt>
                      <c:pt idx="67" formatCode="General">
                        <c:v>-153.79277153558053</c:v>
                      </c:pt>
                      <c:pt idx="68" formatCode="General">
                        <c:v>-154.55382022471912</c:v>
                      </c:pt>
                      <c:pt idx="69" formatCode="General">
                        <c:v>-155.31486891385768</c:v>
                      </c:pt>
                      <c:pt idx="70" formatCode="General">
                        <c:v>-156.07591760299627</c:v>
                      </c:pt>
                      <c:pt idx="71" formatCode="General">
                        <c:v>-156.83696629213483</c:v>
                      </c:pt>
                      <c:pt idx="72" formatCode="General">
                        <c:v>-157.59801498127342</c:v>
                      </c:pt>
                      <c:pt idx="73" formatCode="General">
                        <c:v>-158.35906367041198</c:v>
                      </c:pt>
                      <c:pt idx="74" formatCode="General">
                        <c:v>-159.12011235955057</c:v>
                      </c:pt>
                      <c:pt idx="75" formatCode="General">
                        <c:v>-159.88116104868914</c:v>
                      </c:pt>
                      <c:pt idx="76" formatCode="General">
                        <c:v>-160.64220973782773</c:v>
                      </c:pt>
                      <c:pt idx="77" formatCode="General">
                        <c:v>-161.40325842696629</c:v>
                      </c:pt>
                      <c:pt idx="78" formatCode="General">
                        <c:v>-162.16430711610488</c:v>
                      </c:pt>
                      <c:pt idx="79" formatCode="General">
                        <c:v>-162.92535580524344</c:v>
                      </c:pt>
                      <c:pt idx="80" formatCode="General">
                        <c:v>-163.68640449438203</c:v>
                      </c:pt>
                      <c:pt idx="81" formatCode="General">
                        <c:v>-164.44745318352059</c:v>
                      </c:pt>
                      <c:pt idx="82" formatCode="General">
                        <c:v>-165.20850187265918</c:v>
                      </c:pt>
                      <c:pt idx="83" formatCode="General">
                        <c:v>-165.92838323353294</c:v>
                      </c:pt>
                      <c:pt idx="84" formatCode="General">
                        <c:v>-166.61101796407183</c:v>
                      </c:pt>
                      <c:pt idx="85" formatCode="General">
                        <c:v>-167.29365269461076</c:v>
                      </c:pt>
                      <c:pt idx="86" formatCode="General">
                        <c:v>-167.97628742514968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D-7F43-47D9-9E15-19AA26622F09}"/>
                  </c:ext>
                </c:extLst>
              </c15:ser>
            </c15:filteredScatterSeries>
            <c15:filteredScatterSeries>
              <c15:ser>
                <c:idx val="6"/>
                <c:order val="8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306</c:v>
                      </c:pt>
                      <c:pt idx="1">
                        <c:v>314</c:v>
                      </c:pt>
                      <c:pt idx="2">
                        <c:v>322</c:v>
                      </c:pt>
                      <c:pt idx="3">
                        <c:v>330</c:v>
                      </c:pt>
                      <c:pt idx="4">
                        <c:v>338</c:v>
                      </c:pt>
                      <c:pt idx="5">
                        <c:v>346</c:v>
                      </c:pt>
                      <c:pt idx="6">
                        <c:v>354</c:v>
                      </c:pt>
                      <c:pt idx="7">
                        <c:v>362</c:v>
                      </c:pt>
                      <c:pt idx="8">
                        <c:v>370</c:v>
                      </c:pt>
                      <c:pt idx="9">
                        <c:v>378</c:v>
                      </c:pt>
                      <c:pt idx="10">
                        <c:v>386</c:v>
                      </c:pt>
                      <c:pt idx="11">
                        <c:v>394</c:v>
                      </c:pt>
                      <c:pt idx="12">
                        <c:v>402</c:v>
                      </c:pt>
                      <c:pt idx="13">
                        <c:v>410</c:v>
                      </c:pt>
                      <c:pt idx="14">
                        <c:v>418</c:v>
                      </c:pt>
                      <c:pt idx="15">
                        <c:v>426</c:v>
                      </c:pt>
                      <c:pt idx="16">
                        <c:v>434</c:v>
                      </c:pt>
                      <c:pt idx="17">
                        <c:v>442</c:v>
                      </c:pt>
                      <c:pt idx="18">
                        <c:v>450</c:v>
                      </c:pt>
                      <c:pt idx="19">
                        <c:v>458</c:v>
                      </c:pt>
                      <c:pt idx="20">
                        <c:v>466</c:v>
                      </c:pt>
                      <c:pt idx="21">
                        <c:v>474</c:v>
                      </c:pt>
                      <c:pt idx="22">
                        <c:v>482</c:v>
                      </c:pt>
                      <c:pt idx="23">
                        <c:v>490</c:v>
                      </c:pt>
                      <c:pt idx="24">
                        <c:v>498</c:v>
                      </c:pt>
                      <c:pt idx="25">
                        <c:v>506</c:v>
                      </c:pt>
                      <c:pt idx="26">
                        <c:v>514</c:v>
                      </c:pt>
                      <c:pt idx="27">
                        <c:v>522</c:v>
                      </c:pt>
                      <c:pt idx="28">
                        <c:v>530</c:v>
                      </c:pt>
                      <c:pt idx="29">
                        <c:v>538</c:v>
                      </c:pt>
                      <c:pt idx="30">
                        <c:v>546</c:v>
                      </c:pt>
                      <c:pt idx="31">
                        <c:v>554</c:v>
                      </c:pt>
                      <c:pt idx="32">
                        <c:v>562</c:v>
                      </c:pt>
                      <c:pt idx="33">
                        <c:v>570</c:v>
                      </c:pt>
                      <c:pt idx="34">
                        <c:v>578</c:v>
                      </c:pt>
                      <c:pt idx="35">
                        <c:v>586</c:v>
                      </c:pt>
                      <c:pt idx="36">
                        <c:v>594</c:v>
                      </c:pt>
                      <c:pt idx="37">
                        <c:v>602</c:v>
                      </c:pt>
                      <c:pt idx="38">
                        <c:v>610</c:v>
                      </c:pt>
                      <c:pt idx="39">
                        <c:v>618</c:v>
                      </c:pt>
                      <c:pt idx="40">
                        <c:v>626</c:v>
                      </c:pt>
                      <c:pt idx="41">
                        <c:v>634</c:v>
                      </c:pt>
                      <c:pt idx="42">
                        <c:v>642</c:v>
                      </c:pt>
                      <c:pt idx="43">
                        <c:v>650</c:v>
                      </c:pt>
                      <c:pt idx="44">
                        <c:v>658</c:v>
                      </c:pt>
                      <c:pt idx="45">
                        <c:v>666</c:v>
                      </c:pt>
                      <c:pt idx="46">
                        <c:v>674</c:v>
                      </c:pt>
                      <c:pt idx="47">
                        <c:v>682</c:v>
                      </c:pt>
                      <c:pt idx="48">
                        <c:v>690</c:v>
                      </c:pt>
                      <c:pt idx="49">
                        <c:v>698</c:v>
                      </c:pt>
                      <c:pt idx="50">
                        <c:v>706</c:v>
                      </c:pt>
                      <c:pt idx="51">
                        <c:v>714</c:v>
                      </c:pt>
                      <c:pt idx="52">
                        <c:v>722</c:v>
                      </c:pt>
                      <c:pt idx="53">
                        <c:v>730</c:v>
                      </c:pt>
                      <c:pt idx="54">
                        <c:v>738</c:v>
                      </c:pt>
                      <c:pt idx="55">
                        <c:v>746</c:v>
                      </c:pt>
                      <c:pt idx="56">
                        <c:v>754</c:v>
                      </c:pt>
                      <c:pt idx="57">
                        <c:v>762</c:v>
                      </c:pt>
                      <c:pt idx="58">
                        <c:v>770</c:v>
                      </c:pt>
                      <c:pt idx="59">
                        <c:v>778</c:v>
                      </c:pt>
                      <c:pt idx="60">
                        <c:v>786</c:v>
                      </c:pt>
                      <c:pt idx="61">
                        <c:v>794</c:v>
                      </c:pt>
                      <c:pt idx="62">
                        <c:v>802</c:v>
                      </c:pt>
                      <c:pt idx="63">
                        <c:v>810</c:v>
                      </c:pt>
                      <c:pt idx="64">
                        <c:v>818</c:v>
                      </c:pt>
                      <c:pt idx="65">
                        <c:v>826</c:v>
                      </c:pt>
                      <c:pt idx="66">
                        <c:v>834</c:v>
                      </c:pt>
                      <c:pt idx="67">
                        <c:v>842</c:v>
                      </c:pt>
                      <c:pt idx="68">
                        <c:v>850</c:v>
                      </c:pt>
                      <c:pt idx="69">
                        <c:v>858</c:v>
                      </c:pt>
                      <c:pt idx="70">
                        <c:v>866</c:v>
                      </c:pt>
                      <c:pt idx="71">
                        <c:v>874</c:v>
                      </c:pt>
                      <c:pt idx="72">
                        <c:v>882</c:v>
                      </c:pt>
                      <c:pt idx="73">
                        <c:v>890</c:v>
                      </c:pt>
                      <c:pt idx="74">
                        <c:v>898</c:v>
                      </c:pt>
                      <c:pt idx="75">
                        <c:v>906</c:v>
                      </c:pt>
                      <c:pt idx="76">
                        <c:v>914</c:v>
                      </c:pt>
                      <c:pt idx="77">
                        <c:v>922</c:v>
                      </c:pt>
                      <c:pt idx="78">
                        <c:v>930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EVALUATION!$B$109:$CP$109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-30.236216216216214</c:v>
                      </c:pt>
                      <c:pt idx="1">
                        <c:v>-29.760540540540539</c:v>
                      </c:pt>
                      <c:pt idx="2">
                        <c:v>-29.284864864864865</c:v>
                      </c:pt>
                      <c:pt idx="3">
                        <c:v>-28.809189189189187</c:v>
                      </c:pt>
                      <c:pt idx="4" formatCode="General">
                        <c:v>-27.918203592814368</c:v>
                      </c:pt>
                      <c:pt idx="5" formatCode="General">
                        <c:v>-26.93137724550898</c:v>
                      </c:pt>
                      <c:pt idx="6" formatCode="General">
                        <c:v>-25.944550898203591</c:v>
                      </c:pt>
                      <c:pt idx="7" formatCode="General">
                        <c:v>-24.957724550898202</c:v>
                      </c:pt>
                      <c:pt idx="8" formatCode="General">
                        <c:v>-23.900658682634731</c:v>
                      </c:pt>
                      <c:pt idx="9" formatCode="General">
                        <c:v>-22.803652694610779</c:v>
                      </c:pt>
                      <c:pt idx="10" formatCode="General">
                        <c:v>-21.706646706586827</c:v>
                      </c:pt>
                      <c:pt idx="11" formatCode="General">
                        <c:v>-20.609640718562876</c:v>
                      </c:pt>
                      <c:pt idx="12" formatCode="General">
                        <c:v>-19.579323353293415</c:v>
                      </c:pt>
                      <c:pt idx="13" formatCode="General">
                        <c:v>-18.626508982035929</c:v>
                      </c:pt>
                      <c:pt idx="14" formatCode="General">
                        <c:v>-17.673694610778444</c:v>
                      </c:pt>
                      <c:pt idx="15" formatCode="General">
                        <c:v>-16.720880239520959</c:v>
                      </c:pt>
                      <c:pt idx="16" formatCode="General">
                        <c:v>-15.802221556886229</c:v>
                      </c:pt>
                      <c:pt idx="17" formatCode="General">
                        <c:v>-14.968209580838325</c:v>
                      </c:pt>
                      <c:pt idx="18" formatCode="General">
                        <c:v>-14.134197604790421</c:v>
                      </c:pt>
                      <c:pt idx="19" formatCode="General">
                        <c:v>-13.300185628742518</c:v>
                      </c:pt>
                      <c:pt idx="20" formatCode="General">
                        <c:v>-12.476790419161679</c:v>
                      </c:pt>
                      <c:pt idx="21" formatCode="General">
                        <c:v>-11.737149700598804</c:v>
                      </c:pt>
                      <c:pt idx="22" formatCode="General">
                        <c:v>-10.99750898203593</c:v>
                      </c:pt>
                      <c:pt idx="23" formatCode="General">
                        <c:v>-10.257868263473053</c:v>
                      </c:pt>
                      <c:pt idx="24" formatCode="General">
                        <c:v>-9.5182275449101788</c:v>
                      </c:pt>
                      <c:pt idx="25" formatCode="General">
                        <c:v>-9.2039819819819808</c:v>
                      </c:pt>
                      <c:pt idx="26" formatCode="General">
                        <c:v>-8.9180960960960949</c:v>
                      </c:pt>
                      <c:pt idx="27" formatCode="General">
                        <c:v>-8.632210210210209</c:v>
                      </c:pt>
                      <c:pt idx="28" formatCode="General">
                        <c:v>-8.346324324324323</c:v>
                      </c:pt>
                      <c:pt idx="29" formatCode="General">
                        <c:v>-8.3124431137724546</c:v>
                      </c:pt>
                      <c:pt idx="30" formatCode="General">
                        <c:v>-8.3517245508982043</c:v>
                      </c:pt>
                      <c:pt idx="31" formatCode="General">
                        <c:v>-8.3910059880239523</c:v>
                      </c:pt>
                      <c:pt idx="32" formatCode="General">
                        <c:v>-8.4302874251497002</c:v>
                      </c:pt>
                      <c:pt idx="33" formatCode="General">
                        <c:v>-8.4697125748502984</c:v>
                      </c:pt>
                      <c:pt idx="34" formatCode="General">
                        <c:v>-8.5092335329341307</c:v>
                      </c:pt>
                      <c:pt idx="35" formatCode="General">
                        <c:v>-8.5487544910179629</c:v>
                      </c:pt>
                      <c:pt idx="36" formatCode="General">
                        <c:v>-8.5882754491017952</c:v>
                      </c:pt>
                      <c:pt idx="37" formatCode="General">
                        <c:v>-8.6277964071856292</c:v>
                      </c:pt>
                      <c:pt idx="38" formatCode="General">
                        <c:v>-8.6673173652694615</c:v>
                      </c:pt>
                      <c:pt idx="39" formatCode="General">
                        <c:v>-8.7068383233532938</c:v>
                      </c:pt>
                      <c:pt idx="40" formatCode="General">
                        <c:v>-8.746359281437126</c:v>
                      </c:pt>
                      <c:pt idx="41" formatCode="General">
                        <c:v>-8.7858802395209583</c:v>
                      </c:pt>
                      <c:pt idx="42" formatCode="General">
                        <c:v>-8.8254011976047906</c:v>
                      </c:pt>
                      <c:pt idx="43" formatCode="General">
                        <c:v>-8.8649221556886229</c:v>
                      </c:pt>
                      <c:pt idx="44" formatCode="General">
                        <c:v>-8.9044431137724551</c:v>
                      </c:pt>
                      <c:pt idx="45" formatCode="General">
                        <c:v>-8.9439640718562874</c:v>
                      </c:pt>
                      <c:pt idx="46" formatCode="General">
                        <c:v>-8.9834850299401197</c:v>
                      </c:pt>
                      <c:pt idx="47" formatCode="General">
                        <c:v>-9.0230059880239519</c:v>
                      </c:pt>
                      <c:pt idx="48" formatCode="General">
                        <c:v>-9.0625269461077842</c:v>
                      </c:pt>
                      <c:pt idx="49" formatCode="General">
                        <c:v>-9.1020479041916165</c:v>
                      </c:pt>
                      <c:pt idx="50" formatCode="General">
                        <c:v>-9.140516853932585</c:v>
                      </c:pt>
                      <c:pt idx="51" formatCode="General">
                        <c:v>-9.1788689138576789</c:v>
                      </c:pt>
                      <c:pt idx="52" formatCode="General">
                        <c:v>-9.2172209737827711</c:v>
                      </c:pt>
                      <c:pt idx="53" formatCode="General">
                        <c:v>-9.255573033707865</c:v>
                      </c:pt>
                      <c:pt idx="54" formatCode="General">
                        <c:v>-9.2939250936329589</c:v>
                      </c:pt>
                      <c:pt idx="55" formatCode="General">
                        <c:v>-9.3322771535580529</c:v>
                      </c:pt>
                      <c:pt idx="56" formatCode="General">
                        <c:v>-9.3706292134831468</c:v>
                      </c:pt>
                      <c:pt idx="57" formatCode="General">
                        <c:v>-9.4089812734082408</c:v>
                      </c:pt>
                      <c:pt idx="58" formatCode="General">
                        <c:v>-9.4473333333333329</c:v>
                      </c:pt>
                      <c:pt idx="59" formatCode="General">
                        <c:v>-9.4856853932584269</c:v>
                      </c:pt>
                      <c:pt idx="60" formatCode="General">
                        <c:v>-9.5240374531835208</c:v>
                      </c:pt>
                      <c:pt idx="61" formatCode="General">
                        <c:v>-9.5623895131086147</c:v>
                      </c:pt>
                      <c:pt idx="62" formatCode="General">
                        <c:v>-9.6007415730337087</c:v>
                      </c:pt>
                      <c:pt idx="63" formatCode="General">
                        <c:v>-9.6390936329588026</c:v>
                      </c:pt>
                      <c:pt idx="64" formatCode="General">
                        <c:v>-9.6774456928838966</c:v>
                      </c:pt>
                      <c:pt idx="65" formatCode="General">
                        <c:v>-9.7157977528089887</c:v>
                      </c:pt>
                      <c:pt idx="66" formatCode="General">
                        <c:v>-9.7536913857677909</c:v>
                      </c:pt>
                      <c:pt idx="67" formatCode="General">
                        <c:v>-9.7898861423220982</c:v>
                      </c:pt>
                      <c:pt idx="68" formatCode="General">
                        <c:v>-9.8260808988764055</c:v>
                      </c:pt>
                      <c:pt idx="69" formatCode="General">
                        <c:v>-9.8622756554307127</c:v>
                      </c:pt>
                      <c:pt idx="70" formatCode="General">
                        <c:v>-9.89847041198502</c:v>
                      </c:pt>
                      <c:pt idx="71" formatCode="General">
                        <c:v>-9.9346651685393255</c:v>
                      </c:pt>
                      <c:pt idx="72" formatCode="General">
                        <c:v>-9.9708599250936327</c:v>
                      </c:pt>
                      <c:pt idx="73" formatCode="General">
                        <c:v>-10.00705468164794</c:v>
                      </c:pt>
                      <c:pt idx="74" formatCode="General">
                        <c:v>-10.043249438202247</c:v>
                      </c:pt>
                      <c:pt idx="75" formatCode="General">
                        <c:v>-10.079444194756555</c:v>
                      </c:pt>
                      <c:pt idx="76" formatCode="General">
                        <c:v>-10.115638951310862</c:v>
                      </c:pt>
                      <c:pt idx="77" formatCode="General">
                        <c:v>-10.151833707865169</c:v>
                      </c:pt>
                      <c:pt idx="78" formatCode="General">
                        <c:v>-10.188028464419476</c:v>
                      </c:pt>
                      <c:pt idx="79" formatCode="General">
                        <c:v>-10.224223220973784</c:v>
                      </c:pt>
                      <c:pt idx="80" formatCode="General">
                        <c:v>-10.260417977528089</c:v>
                      </c:pt>
                      <c:pt idx="81" formatCode="General">
                        <c:v>-10.296612734082396</c:v>
                      </c:pt>
                      <c:pt idx="82" formatCode="General">
                        <c:v>-10.332807490636704</c:v>
                      </c:pt>
                      <c:pt idx="83" formatCode="General">
                        <c:v>-10.368107784431137</c:v>
                      </c:pt>
                      <c:pt idx="84" formatCode="General">
                        <c:v>-10.402598802395209</c:v>
                      </c:pt>
                      <c:pt idx="85" formatCode="General">
                        <c:v>-10.437089820359281</c:v>
                      </c:pt>
                      <c:pt idx="86" formatCode="General">
                        <c:v>-10.471580838323353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E-7F43-47D9-9E15-19AA26622F09}"/>
                  </c:ext>
                </c:extLst>
              </c15:ser>
            </c15:filteredScatterSeries>
            <c15:filteredScatterSeries>
              <c15:ser>
                <c:idx val="7"/>
                <c:order val="9"/>
                <c:spPr>
                  <a:ln>
                    <a:solidFill>
                      <a:srgbClr val="FFC000"/>
                    </a:solidFill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306</c:v>
                      </c:pt>
                      <c:pt idx="1">
                        <c:v>314</c:v>
                      </c:pt>
                      <c:pt idx="2">
                        <c:v>322</c:v>
                      </c:pt>
                      <c:pt idx="3">
                        <c:v>330</c:v>
                      </c:pt>
                      <c:pt idx="4">
                        <c:v>338</c:v>
                      </c:pt>
                      <c:pt idx="5">
                        <c:v>346</c:v>
                      </c:pt>
                      <c:pt idx="6">
                        <c:v>354</c:v>
                      </c:pt>
                      <c:pt idx="7">
                        <c:v>362</c:v>
                      </c:pt>
                      <c:pt idx="8">
                        <c:v>370</c:v>
                      </c:pt>
                      <c:pt idx="9">
                        <c:v>378</c:v>
                      </c:pt>
                      <c:pt idx="10">
                        <c:v>386</c:v>
                      </c:pt>
                      <c:pt idx="11">
                        <c:v>394</c:v>
                      </c:pt>
                      <c:pt idx="12">
                        <c:v>402</c:v>
                      </c:pt>
                      <c:pt idx="13">
                        <c:v>410</c:v>
                      </c:pt>
                      <c:pt idx="14">
                        <c:v>418</c:v>
                      </c:pt>
                      <c:pt idx="15">
                        <c:v>426</c:v>
                      </c:pt>
                      <c:pt idx="16">
                        <c:v>434</c:v>
                      </c:pt>
                      <c:pt idx="17">
                        <c:v>442</c:v>
                      </c:pt>
                      <c:pt idx="18">
                        <c:v>450</c:v>
                      </c:pt>
                      <c:pt idx="19">
                        <c:v>458</c:v>
                      </c:pt>
                      <c:pt idx="20">
                        <c:v>466</c:v>
                      </c:pt>
                      <c:pt idx="21">
                        <c:v>474</c:v>
                      </c:pt>
                      <c:pt idx="22">
                        <c:v>482</c:v>
                      </c:pt>
                      <c:pt idx="23">
                        <c:v>490</c:v>
                      </c:pt>
                      <c:pt idx="24">
                        <c:v>498</c:v>
                      </c:pt>
                      <c:pt idx="25">
                        <c:v>506</c:v>
                      </c:pt>
                      <c:pt idx="26">
                        <c:v>514</c:v>
                      </c:pt>
                      <c:pt idx="27">
                        <c:v>522</c:v>
                      </c:pt>
                      <c:pt idx="28">
                        <c:v>530</c:v>
                      </c:pt>
                      <c:pt idx="29">
                        <c:v>538</c:v>
                      </c:pt>
                      <c:pt idx="30">
                        <c:v>546</c:v>
                      </c:pt>
                      <c:pt idx="31">
                        <c:v>554</c:v>
                      </c:pt>
                      <c:pt idx="32">
                        <c:v>562</c:v>
                      </c:pt>
                      <c:pt idx="33">
                        <c:v>570</c:v>
                      </c:pt>
                      <c:pt idx="34">
                        <c:v>578</c:v>
                      </c:pt>
                      <c:pt idx="35">
                        <c:v>586</c:v>
                      </c:pt>
                      <c:pt idx="36">
                        <c:v>594</c:v>
                      </c:pt>
                      <c:pt idx="37">
                        <c:v>602</c:v>
                      </c:pt>
                      <c:pt idx="38">
                        <c:v>610</c:v>
                      </c:pt>
                      <c:pt idx="39">
                        <c:v>618</c:v>
                      </c:pt>
                      <c:pt idx="40">
                        <c:v>626</c:v>
                      </c:pt>
                      <c:pt idx="41">
                        <c:v>634</c:v>
                      </c:pt>
                      <c:pt idx="42">
                        <c:v>642</c:v>
                      </c:pt>
                      <c:pt idx="43">
                        <c:v>650</c:v>
                      </c:pt>
                      <c:pt idx="44">
                        <c:v>658</c:v>
                      </c:pt>
                      <c:pt idx="45">
                        <c:v>666</c:v>
                      </c:pt>
                      <c:pt idx="46">
                        <c:v>674</c:v>
                      </c:pt>
                      <c:pt idx="47">
                        <c:v>682</c:v>
                      </c:pt>
                      <c:pt idx="48">
                        <c:v>690</c:v>
                      </c:pt>
                      <c:pt idx="49">
                        <c:v>698</c:v>
                      </c:pt>
                      <c:pt idx="50">
                        <c:v>706</c:v>
                      </c:pt>
                      <c:pt idx="51">
                        <c:v>714</c:v>
                      </c:pt>
                      <c:pt idx="52">
                        <c:v>722</c:v>
                      </c:pt>
                      <c:pt idx="53">
                        <c:v>730</c:v>
                      </c:pt>
                      <c:pt idx="54">
                        <c:v>738</c:v>
                      </c:pt>
                      <c:pt idx="55">
                        <c:v>746</c:v>
                      </c:pt>
                      <c:pt idx="56">
                        <c:v>754</c:v>
                      </c:pt>
                      <c:pt idx="57">
                        <c:v>762</c:v>
                      </c:pt>
                      <c:pt idx="58">
                        <c:v>770</c:v>
                      </c:pt>
                      <c:pt idx="59">
                        <c:v>778</c:v>
                      </c:pt>
                      <c:pt idx="60">
                        <c:v>786</c:v>
                      </c:pt>
                      <c:pt idx="61">
                        <c:v>794</c:v>
                      </c:pt>
                      <c:pt idx="62">
                        <c:v>802</c:v>
                      </c:pt>
                      <c:pt idx="63">
                        <c:v>810</c:v>
                      </c:pt>
                      <c:pt idx="64">
                        <c:v>818</c:v>
                      </c:pt>
                      <c:pt idx="65">
                        <c:v>826</c:v>
                      </c:pt>
                      <c:pt idx="66">
                        <c:v>834</c:v>
                      </c:pt>
                      <c:pt idx="67">
                        <c:v>842</c:v>
                      </c:pt>
                      <c:pt idx="68">
                        <c:v>850</c:v>
                      </c:pt>
                      <c:pt idx="69">
                        <c:v>858</c:v>
                      </c:pt>
                      <c:pt idx="70">
                        <c:v>866</c:v>
                      </c:pt>
                      <c:pt idx="71">
                        <c:v>874</c:v>
                      </c:pt>
                      <c:pt idx="72">
                        <c:v>882</c:v>
                      </c:pt>
                      <c:pt idx="73">
                        <c:v>890</c:v>
                      </c:pt>
                      <c:pt idx="74">
                        <c:v>898</c:v>
                      </c:pt>
                      <c:pt idx="75">
                        <c:v>906</c:v>
                      </c:pt>
                      <c:pt idx="76">
                        <c:v>914</c:v>
                      </c:pt>
                      <c:pt idx="77">
                        <c:v>922</c:v>
                      </c:pt>
                      <c:pt idx="78">
                        <c:v>930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EVALUATION!$B$110:$CP$110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-15.118108108108107</c:v>
                      </c:pt>
                      <c:pt idx="1">
                        <c:v>-14.88027027027027</c:v>
                      </c:pt>
                      <c:pt idx="2">
                        <c:v>-14.642432432432432</c:v>
                      </c:pt>
                      <c:pt idx="3">
                        <c:v>-14.404594594594593</c:v>
                      </c:pt>
                      <c:pt idx="4" formatCode="General">
                        <c:v>-13.959101796407184</c:v>
                      </c:pt>
                      <c:pt idx="5" formatCode="General">
                        <c:v>-13.46568862275449</c:v>
                      </c:pt>
                      <c:pt idx="6" formatCode="General">
                        <c:v>-12.972275449101796</c:v>
                      </c:pt>
                      <c:pt idx="7" formatCode="General">
                        <c:v>-12.478862275449101</c:v>
                      </c:pt>
                      <c:pt idx="8" formatCode="General">
                        <c:v>-11.950329341317365</c:v>
                      </c:pt>
                      <c:pt idx="9" formatCode="General">
                        <c:v>-11.40182634730539</c:v>
                      </c:pt>
                      <c:pt idx="10" formatCode="General">
                        <c:v>-10.853323353293414</c:v>
                      </c:pt>
                      <c:pt idx="11" formatCode="General">
                        <c:v>-10.304820359281438</c:v>
                      </c:pt>
                      <c:pt idx="12" formatCode="General">
                        <c:v>-9.7896616766467073</c:v>
                      </c:pt>
                      <c:pt idx="13" formatCode="General">
                        <c:v>-9.3132544910179647</c:v>
                      </c:pt>
                      <c:pt idx="14" formatCode="General">
                        <c:v>-8.836847305389222</c:v>
                      </c:pt>
                      <c:pt idx="15" formatCode="General">
                        <c:v>-8.3604401197604794</c:v>
                      </c:pt>
                      <c:pt idx="16" formatCode="General">
                        <c:v>-7.9011107784431145</c:v>
                      </c:pt>
                      <c:pt idx="17" formatCode="General">
                        <c:v>-7.4841047904191624</c:v>
                      </c:pt>
                      <c:pt idx="18" formatCode="General">
                        <c:v>-7.0670988023952104</c:v>
                      </c:pt>
                      <c:pt idx="19" formatCode="General">
                        <c:v>-6.6500928143712592</c:v>
                      </c:pt>
                      <c:pt idx="20" formatCode="General">
                        <c:v>-6.2383952095808395</c:v>
                      </c:pt>
                      <c:pt idx="21" formatCode="General">
                        <c:v>-5.8685748502994022</c:v>
                      </c:pt>
                      <c:pt idx="22" formatCode="General">
                        <c:v>-5.4987544910179649</c:v>
                      </c:pt>
                      <c:pt idx="23" formatCode="General">
                        <c:v>-5.1289341317365267</c:v>
                      </c:pt>
                      <c:pt idx="24" formatCode="General">
                        <c:v>-4.7591137724550894</c:v>
                      </c:pt>
                      <c:pt idx="25" formatCode="General">
                        <c:v>-4.6019909909909904</c:v>
                      </c:pt>
                      <c:pt idx="26" formatCode="General">
                        <c:v>-4.4590480480480474</c:v>
                      </c:pt>
                      <c:pt idx="27" formatCode="General">
                        <c:v>-4.3161051051051045</c:v>
                      </c:pt>
                      <c:pt idx="28" formatCode="General">
                        <c:v>-4.1731621621621615</c:v>
                      </c:pt>
                      <c:pt idx="29" formatCode="General">
                        <c:v>-4.1562215568862273</c:v>
                      </c:pt>
                      <c:pt idx="30" formatCode="General">
                        <c:v>-4.1758622754491022</c:v>
                      </c:pt>
                      <c:pt idx="31" formatCode="General">
                        <c:v>-4.1955029940119761</c:v>
                      </c:pt>
                      <c:pt idx="32" formatCode="General">
                        <c:v>-4.2151437125748501</c:v>
                      </c:pt>
                      <c:pt idx="33" formatCode="General">
                        <c:v>-4.2348562874251492</c:v>
                      </c:pt>
                      <c:pt idx="34" formatCode="General">
                        <c:v>-4.2546167664670653</c:v>
                      </c:pt>
                      <c:pt idx="35" formatCode="General">
                        <c:v>-4.2743772455089815</c:v>
                      </c:pt>
                      <c:pt idx="36" formatCode="General">
                        <c:v>-4.2941377245508976</c:v>
                      </c:pt>
                      <c:pt idx="37" formatCode="General">
                        <c:v>-4.3138982035928146</c:v>
                      </c:pt>
                      <c:pt idx="38" formatCode="General">
                        <c:v>-4.3336586826347308</c:v>
                      </c:pt>
                      <c:pt idx="39" formatCode="General">
                        <c:v>-4.3534191616766469</c:v>
                      </c:pt>
                      <c:pt idx="40" formatCode="General">
                        <c:v>-4.373179640718563</c:v>
                      </c:pt>
                      <c:pt idx="41" formatCode="General">
                        <c:v>-4.3929401197604792</c:v>
                      </c:pt>
                      <c:pt idx="42" formatCode="General">
                        <c:v>-4.4127005988023953</c:v>
                      </c:pt>
                      <c:pt idx="43" formatCode="General">
                        <c:v>-4.4324610778443114</c:v>
                      </c:pt>
                      <c:pt idx="44" formatCode="General">
                        <c:v>-4.4522215568862276</c:v>
                      </c:pt>
                      <c:pt idx="45" formatCode="General">
                        <c:v>-4.4719820359281437</c:v>
                      </c:pt>
                      <c:pt idx="46" formatCode="General">
                        <c:v>-4.4917425149700598</c:v>
                      </c:pt>
                      <c:pt idx="47" formatCode="General">
                        <c:v>-4.511502994011976</c:v>
                      </c:pt>
                      <c:pt idx="48" formatCode="General">
                        <c:v>-4.5312634730538921</c:v>
                      </c:pt>
                      <c:pt idx="49" formatCode="General">
                        <c:v>-4.5510239520958082</c:v>
                      </c:pt>
                      <c:pt idx="50" formatCode="General">
                        <c:v>-4.5702584269662925</c:v>
                      </c:pt>
                      <c:pt idx="51" formatCode="General">
                        <c:v>-4.5894344569288394</c:v>
                      </c:pt>
                      <c:pt idx="52" formatCode="General">
                        <c:v>-4.6086104868913855</c:v>
                      </c:pt>
                      <c:pt idx="53" formatCode="General">
                        <c:v>-4.6277865168539325</c:v>
                      </c:pt>
                      <c:pt idx="54" formatCode="General">
                        <c:v>-4.6469625468164795</c:v>
                      </c:pt>
                      <c:pt idx="55" formatCode="General">
                        <c:v>-4.6661385767790264</c:v>
                      </c:pt>
                      <c:pt idx="56" formatCode="General">
                        <c:v>-4.6853146067415734</c:v>
                      </c:pt>
                      <c:pt idx="57" formatCode="General">
                        <c:v>-4.7044906367041204</c:v>
                      </c:pt>
                      <c:pt idx="58" formatCode="General">
                        <c:v>-4.7236666666666665</c:v>
                      </c:pt>
                      <c:pt idx="59" formatCode="General">
                        <c:v>-4.7428426966292134</c:v>
                      </c:pt>
                      <c:pt idx="60" formatCode="General">
                        <c:v>-4.7620187265917604</c:v>
                      </c:pt>
                      <c:pt idx="61" formatCode="General">
                        <c:v>-4.7811947565543074</c:v>
                      </c:pt>
                      <c:pt idx="62" formatCode="General">
                        <c:v>-4.8003707865168543</c:v>
                      </c:pt>
                      <c:pt idx="63" formatCode="General">
                        <c:v>-4.8195468164794013</c:v>
                      </c:pt>
                      <c:pt idx="64" formatCode="General">
                        <c:v>-4.8387228464419483</c:v>
                      </c:pt>
                      <c:pt idx="65" formatCode="General">
                        <c:v>-4.8578988764044944</c:v>
                      </c:pt>
                      <c:pt idx="66" formatCode="General">
                        <c:v>-4.8768456928838955</c:v>
                      </c:pt>
                      <c:pt idx="67" formatCode="General">
                        <c:v>-4.8949430711610491</c:v>
                      </c:pt>
                      <c:pt idx="68" formatCode="General">
                        <c:v>-4.9130404494382027</c:v>
                      </c:pt>
                      <c:pt idx="69" formatCode="General">
                        <c:v>-4.9311378277153564</c:v>
                      </c:pt>
                      <c:pt idx="70" formatCode="General">
                        <c:v>-4.94923520599251</c:v>
                      </c:pt>
                      <c:pt idx="71" formatCode="General">
                        <c:v>-4.9673325842696627</c:v>
                      </c:pt>
                      <c:pt idx="72" formatCode="General">
                        <c:v>-4.9854299625468164</c:v>
                      </c:pt>
                      <c:pt idx="73" formatCode="General">
                        <c:v>-5.00352734082397</c:v>
                      </c:pt>
                      <c:pt idx="74" formatCode="General">
                        <c:v>-5.0216247191011236</c:v>
                      </c:pt>
                      <c:pt idx="75" formatCode="General">
                        <c:v>-5.0397220973782773</c:v>
                      </c:pt>
                      <c:pt idx="76" formatCode="General">
                        <c:v>-5.0578194756554309</c:v>
                      </c:pt>
                      <c:pt idx="77" formatCode="General">
                        <c:v>-5.0759168539325845</c:v>
                      </c:pt>
                      <c:pt idx="78" formatCode="General">
                        <c:v>-5.0940142322097381</c:v>
                      </c:pt>
                      <c:pt idx="79" formatCode="General">
                        <c:v>-5.1121116104868918</c:v>
                      </c:pt>
                      <c:pt idx="80" formatCode="General">
                        <c:v>-5.1302089887640445</c:v>
                      </c:pt>
                      <c:pt idx="81" formatCode="General">
                        <c:v>-5.1483063670411982</c:v>
                      </c:pt>
                      <c:pt idx="82" formatCode="General">
                        <c:v>-5.1664037453183518</c:v>
                      </c:pt>
                      <c:pt idx="83" formatCode="General">
                        <c:v>-5.1840538922155686</c:v>
                      </c:pt>
                      <c:pt idx="84" formatCode="General">
                        <c:v>-5.2012994011976046</c:v>
                      </c:pt>
                      <c:pt idx="85" formatCode="General">
                        <c:v>-5.2185449101796406</c:v>
                      </c:pt>
                      <c:pt idx="86" formatCode="General">
                        <c:v>-5.2357904191616766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F-7F43-47D9-9E15-19AA26622F09}"/>
                  </c:ext>
                </c:extLst>
              </c15:ser>
            </c15:filteredScatterSeries>
            <c15:filteredScatterSeries>
              <c15:ser>
                <c:idx val="8"/>
                <c:order val="10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306</c:v>
                      </c:pt>
                      <c:pt idx="1">
                        <c:v>314</c:v>
                      </c:pt>
                      <c:pt idx="2">
                        <c:v>322</c:v>
                      </c:pt>
                      <c:pt idx="3">
                        <c:v>330</c:v>
                      </c:pt>
                      <c:pt idx="4">
                        <c:v>338</c:v>
                      </c:pt>
                      <c:pt idx="5">
                        <c:v>346</c:v>
                      </c:pt>
                      <c:pt idx="6">
                        <c:v>354</c:v>
                      </c:pt>
                      <c:pt idx="7">
                        <c:v>362</c:v>
                      </c:pt>
                      <c:pt idx="8">
                        <c:v>370</c:v>
                      </c:pt>
                      <c:pt idx="9">
                        <c:v>378</c:v>
                      </c:pt>
                      <c:pt idx="10">
                        <c:v>386</c:v>
                      </c:pt>
                      <c:pt idx="11">
                        <c:v>394</c:v>
                      </c:pt>
                      <c:pt idx="12">
                        <c:v>402</c:v>
                      </c:pt>
                      <c:pt idx="13">
                        <c:v>410</c:v>
                      </c:pt>
                      <c:pt idx="14">
                        <c:v>418</c:v>
                      </c:pt>
                      <c:pt idx="15">
                        <c:v>426</c:v>
                      </c:pt>
                      <c:pt idx="16">
                        <c:v>434</c:v>
                      </c:pt>
                      <c:pt idx="17">
                        <c:v>442</c:v>
                      </c:pt>
                      <c:pt idx="18">
                        <c:v>450</c:v>
                      </c:pt>
                      <c:pt idx="19">
                        <c:v>458</c:v>
                      </c:pt>
                      <c:pt idx="20">
                        <c:v>466</c:v>
                      </c:pt>
                      <c:pt idx="21">
                        <c:v>474</c:v>
                      </c:pt>
                      <c:pt idx="22">
                        <c:v>482</c:v>
                      </c:pt>
                      <c:pt idx="23">
                        <c:v>490</c:v>
                      </c:pt>
                      <c:pt idx="24">
                        <c:v>498</c:v>
                      </c:pt>
                      <c:pt idx="25">
                        <c:v>506</c:v>
                      </c:pt>
                      <c:pt idx="26">
                        <c:v>514</c:v>
                      </c:pt>
                      <c:pt idx="27">
                        <c:v>522</c:v>
                      </c:pt>
                      <c:pt idx="28">
                        <c:v>530</c:v>
                      </c:pt>
                      <c:pt idx="29">
                        <c:v>538</c:v>
                      </c:pt>
                      <c:pt idx="30">
                        <c:v>546</c:v>
                      </c:pt>
                      <c:pt idx="31">
                        <c:v>554</c:v>
                      </c:pt>
                      <c:pt idx="32">
                        <c:v>562</c:v>
                      </c:pt>
                      <c:pt idx="33">
                        <c:v>570</c:v>
                      </c:pt>
                      <c:pt idx="34">
                        <c:v>578</c:v>
                      </c:pt>
                      <c:pt idx="35">
                        <c:v>586</c:v>
                      </c:pt>
                      <c:pt idx="36">
                        <c:v>594</c:v>
                      </c:pt>
                      <c:pt idx="37">
                        <c:v>602</c:v>
                      </c:pt>
                      <c:pt idx="38">
                        <c:v>610</c:v>
                      </c:pt>
                      <c:pt idx="39">
                        <c:v>618</c:v>
                      </c:pt>
                      <c:pt idx="40">
                        <c:v>626</c:v>
                      </c:pt>
                      <c:pt idx="41">
                        <c:v>634</c:v>
                      </c:pt>
                      <c:pt idx="42">
                        <c:v>642</c:v>
                      </c:pt>
                      <c:pt idx="43">
                        <c:v>650</c:v>
                      </c:pt>
                      <c:pt idx="44">
                        <c:v>658</c:v>
                      </c:pt>
                      <c:pt idx="45">
                        <c:v>666</c:v>
                      </c:pt>
                      <c:pt idx="46">
                        <c:v>674</c:v>
                      </c:pt>
                      <c:pt idx="47">
                        <c:v>682</c:v>
                      </c:pt>
                      <c:pt idx="48">
                        <c:v>690</c:v>
                      </c:pt>
                      <c:pt idx="49">
                        <c:v>698</c:v>
                      </c:pt>
                      <c:pt idx="50">
                        <c:v>706</c:v>
                      </c:pt>
                      <c:pt idx="51">
                        <c:v>714</c:v>
                      </c:pt>
                      <c:pt idx="52">
                        <c:v>722</c:v>
                      </c:pt>
                      <c:pt idx="53">
                        <c:v>730</c:v>
                      </c:pt>
                      <c:pt idx="54">
                        <c:v>738</c:v>
                      </c:pt>
                      <c:pt idx="55">
                        <c:v>746</c:v>
                      </c:pt>
                      <c:pt idx="56">
                        <c:v>754</c:v>
                      </c:pt>
                      <c:pt idx="57">
                        <c:v>762</c:v>
                      </c:pt>
                      <c:pt idx="58">
                        <c:v>770</c:v>
                      </c:pt>
                      <c:pt idx="59">
                        <c:v>778</c:v>
                      </c:pt>
                      <c:pt idx="60">
                        <c:v>786</c:v>
                      </c:pt>
                      <c:pt idx="61">
                        <c:v>794</c:v>
                      </c:pt>
                      <c:pt idx="62">
                        <c:v>802</c:v>
                      </c:pt>
                      <c:pt idx="63">
                        <c:v>810</c:v>
                      </c:pt>
                      <c:pt idx="64">
                        <c:v>818</c:v>
                      </c:pt>
                      <c:pt idx="65">
                        <c:v>826</c:v>
                      </c:pt>
                      <c:pt idx="66">
                        <c:v>834</c:v>
                      </c:pt>
                      <c:pt idx="67">
                        <c:v>842</c:v>
                      </c:pt>
                      <c:pt idx="68">
                        <c:v>850</c:v>
                      </c:pt>
                      <c:pt idx="69">
                        <c:v>858</c:v>
                      </c:pt>
                      <c:pt idx="70">
                        <c:v>866</c:v>
                      </c:pt>
                      <c:pt idx="71">
                        <c:v>874</c:v>
                      </c:pt>
                      <c:pt idx="72">
                        <c:v>882</c:v>
                      </c:pt>
                      <c:pt idx="73">
                        <c:v>890</c:v>
                      </c:pt>
                      <c:pt idx="74">
                        <c:v>898</c:v>
                      </c:pt>
                      <c:pt idx="75">
                        <c:v>906</c:v>
                      </c:pt>
                      <c:pt idx="76">
                        <c:v>914</c:v>
                      </c:pt>
                      <c:pt idx="77">
                        <c:v>922</c:v>
                      </c:pt>
                      <c:pt idx="78">
                        <c:v>930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EVALUATION!$B$111:$CP$111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-19.022342342342341</c:v>
                      </c:pt>
                      <c:pt idx="1">
                        <c:v>-19.024744744744744</c:v>
                      </c:pt>
                      <c:pt idx="2">
                        <c:v>-19.027147147147147</c:v>
                      </c:pt>
                      <c:pt idx="3">
                        <c:v>-19.02954954954955</c:v>
                      </c:pt>
                      <c:pt idx="4" formatCode="General">
                        <c:v>-19.035838323353293</c:v>
                      </c:pt>
                      <c:pt idx="5" formatCode="General">
                        <c:v>-19.043023952095808</c:v>
                      </c:pt>
                      <c:pt idx="6" formatCode="General">
                        <c:v>-19.050209580838324</c:v>
                      </c:pt>
                      <c:pt idx="7" formatCode="General">
                        <c:v>-19.057395209580836</c:v>
                      </c:pt>
                      <c:pt idx="8" formatCode="General">
                        <c:v>-19.06763473053892</c:v>
                      </c:pt>
                      <c:pt idx="9" formatCode="General">
                        <c:v>-19.079610778443111</c:v>
                      </c:pt>
                      <c:pt idx="10" formatCode="General">
                        <c:v>-19.091586826347303</c:v>
                      </c:pt>
                      <c:pt idx="11" formatCode="General">
                        <c:v>-19.103562874251498</c:v>
                      </c:pt>
                      <c:pt idx="12" formatCode="General">
                        <c:v>-19.116646706586828</c:v>
                      </c:pt>
                      <c:pt idx="13" formatCode="General">
                        <c:v>-19.131017964071855</c:v>
                      </c:pt>
                      <c:pt idx="14" formatCode="General">
                        <c:v>-19.145389221556886</c:v>
                      </c:pt>
                      <c:pt idx="15" formatCode="General">
                        <c:v>-19.159760479041918</c:v>
                      </c:pt>
                      <c:pt idx="16" formatCode="General">
                        <c:v>-19.174131736526949</c:v>
                      </c:pt>
                      <c:pt idx="17" formatCode="General">
                        <c:v>-19.188502994011976</c:v>
                      </c:pt>
                      <c:pt idx="18" formatCode="General">
                        <c:v>-19.202874251497008</c:v>
                      </c:pt>
                      <c:pt idx="19" formatCode="General">
                        <c:v>-19.217245508982035</c:v>
                      </c:pt>
                      <c:pt idx="20" formatCode="General">
                        <c:v>-19.231886227544912</c:v>
                      </c:pt>
                      <c:pt idx="21" formatCode="General">
                        <c:v>-19.248652694610779</c:v>
                      </c:pt>
                      <c:pt idx="22" formatCode="General">
                        <c:v>-19.265419161676647</c:v>
                      </c:pt>
                      <c:pt idx="23" formatCode="General">
                        <c:v>-19.282185628742514</c:v>
                      </c:pt>
                      <c:pt idx="24" formatCode="General">
                        <c:v>-19.298952095808385</c:v>
                      </c:pt>
                      <c:pt idx="25" formatCode="General">
                        <c:v>-19.2481981981982</c:v>
                      </c:pt>
                      <c:pt idx="26" formatCode="General">
                        <c:v>-19.192942942942942</c:v>
                      </c:pt>
                      <c:pt idx="27" formatCode="General">
                        <c:v>-19.137687687687688</c:v>
                      </c:pt>
                      <c:pt idx="28" formatCode="General">
                        <c:v>-19.082432432432434</c:v>
                      </c:pt>
                      <c:pt idx="29" formatCode="General">
                        <c:v>-19.062574850299402</c:v>
                      </c:pt>
                      <c:pt idx="30" formatCode="General">
                        <c:v>-19.052994011976047</c:v>
                      </c:pt>
                      <c:pt idx="31" formatCode="General">
                        <c:v>-19.043413173652695</c:v>
                      </c:pt>
                      <c:pt idx="32" formatCode="General">
                        <c:v>-19.033832335329343</c:v>
                      </c:pt>
                      <c:pt idx="33" formatCode="General">
                        <c:v>-19.040059880239522</c:v>
                      </c:pt>
                      <c:pt idx="34" formatCode="General">
                        <c:v>-19.056826347305389</c:v>
                      </c:pt>
                      <c:pt idx="35" formatCode="General">
                        <c:v>-19.07359281437126</c:v>
                      </c:pt>
                      <c:pt idx="36" formatCode="General">
                        <c:v>-19.090359281437127</c:v>
                      </c:pt>
                      <c:pt idx="37" formatCode="General">
                        <c:v>-19.107125748502995</c:v>
                      </c:pt>
                      <c:pt idx="38" formatCode="General">
                        <c:v>-19.123892215568862</c:v>
                      </c:pt>
                      <c:pt idx="39" formatCode="General">
                        <c:v>-19.140658682634729</c:v>
                      </c:pt>
                      <c:pt idx="40" formatCode="General">
                        <c:v>-19.1574251497006</c:v>
                      </c:pt>
                      <c:pt idx="41" formatCode="General">
                        <c:v>-19.174191616766468</c:v>
                      </c:pt>
                      <c:pt idx="42" formatCode="General">
                        <c:v>-19.190958083832335</c:v>
                      </c:pt>
                      <c:pt idx="43" formatCode="General">
                        <c:v>-19.207724550898202</c:v>
                      </c:pt>
                      <c:pt idx="44" formatCode="General">
                        <c:v>-19.22449101796407</c:v>
                      </c:pt>
                      <c:pt idx="45" formatCode="General">
                        <c:v>-19.241257485029941</c:v>
                      </c:pt>
                      <c:pt idx="46" formatCode="General">
                        <c:v>-19.258023952095808</c:v>
                      </c:pt>
                      <c:pt idx="47" formatCode="General">
                        <c:v>-19.274790419161675</c:v>
                      </c:pt>
                      <c:pt idx="48" formatCode="General">
                        <c:v>-19.291556886227543</c:v>
                      </c:pt>
                      <c:pt idx="49" formatCode="General">
                        <c:v>-19.30832335329341</c:v>
                      </c:pt>
                      <c:pt idx="50" formatCode="General">
                        <c:v>-19.324022471910112</c:v>
                      </c:pt>
                      <c:pt idx="51" formatCode="General">
                        <c:v>-19.33960299625468</c:v>
                      </c:pt>
                      <c:pt idx="52" formatCode="General">
                        <c:v>-19.355183520599251</c:v>
                      </c:pt>
                      <c:pt idx="53" formatCode="General">
                        <c:v>-19.370764044943819</c:v>
                      </c:pt>
                      <c:pt idx="54" formatCode="General">
                        <c:v>-19.38634456928839</c:v>
                      </c:pt>
                      <c:pt idx="55" formatCode="General">
                        <c:v>-19.401925093632958</c:v>
                      </c:pt>
                      <c:pt idx="56" formatCode="General">
                        <c:v>-19.417505617977529</c:v>
                      </c:pt>
                      <c:pt idx="57" formatCode="General">
                        <c:v>-19.433086142322097</c:v>
                      </c:pt>
                      <c:pt idx="58" formatCode="General">
                        <c:v>-19.448666666666668</c:v>
                      </c:pt>
                      <c:pt idx="59" formatCode="General">
                        <c:v>-19.464247191011236</c:v>
                      </c:pt>
                      <c:pt idx="60" formatCode="General">
                        <c:v>-19.479827715355807</c:v>
                      </c:pt>
                      <c:pt idx="61" formatCode="General">
                        <c:v>-19.495408239700375</c:v>
                      </c:pt>
                      <c:pt idx="62" formatCode="General">
                        <c:v>-19.510988764044942</c:v>
                      </c:pt>
                      <c:pt idx="63" formatCode="General">
                        <c:v>-19.526569288389513</c:v>
                      </c:pt>
                      <c:pt idx="64" formatCode="General">
                        <c:v>-19.542149812734081</c:v>
                      </c:pt>
                      <c:pt idx="65" formatCode="General">
                        <c:v>-19.557730337078652</c:v>
                      </c:pt>
                      <c:pt idx="66" formatCode="General">
                        <c:v>-19.573183520599251</c:v>
                      </c:pt>
                      <c:pt idx="67" formatCode="General">
                        <c:v>-19.58816479400749</c:v>
                      </c:pt>
                      <c:pt idx="68" formatCode="General">
                        <c:v>-19.603146067415732</c:v>
                      </c:pt>
                      <c:pt idx="69" formatCode="General">
                        <c:v>-19.618127340823971</c:v>
                      </c:pt>
                      <c:pt idx="70" formatCode="General">
                        <c:v>-19.63310861423221</c:v>
                      </c:pt>
                      <c:pt idx="71" formatCode="General">
                        <c:v>-19.648089887640449</c:v>
                      </c:pt>
                      <c:pt idx="72" formatCode="General">
                        <c:v>-19.663071161048691</c:v>
                      </c:pt>
                      <c:pt idx="73" formatCode="General">
                        <c:v>-19.67805243445693</c:v>
                      </c:pt>
                      <c:pt idx="74" formatCode="General">
                        <c:v>-19.693033707865169</c:v>
                      </c:pt>
                      <c:pt idx="75" formatCode="General">
                        <c:v>-19.708014981273408</c:v>
                      </c:pt>
                      <c:pt idx="76" formatCode="General">
                        <c:v>-19.722996254681647</c:v>
                      </c:pt>
                      <c:pt idx="77" formatCode="General">
                        <c:v>-19.737977528089889</c:v>
                      </c:pt>
                      <c:pt idx="78" formatCode="General">
                        <c:v>-19.752958801498128</c:v>
                      </c:pt>
                      <c:pt idx="79" formatCode="General">
                        <c:v>-19.767940074906367</c:v>
                      </c:pt>
                      <c:pt idx="80" formatCode="General">
                        <c:v>-19.782921348314606</c:v>
                      </c:pt>
                      <c:pt idx="81" formatCode="General">
                        <c:v>-19.797902621722848</c:v>
                      </c:pt>
                      <c:pt idx="82" formatCode="General">
                        <c:v>-19.812883895131087</c:v>
                      </c:pt>
                      <c:pt idx="83" formatCode="General">
                        <c:v>-19.82754491017964</c:v>
                      </c:pt>
                      <c:pt idx="84" formatCode="General">
                        <c:v>-19.841916167664671</c:v>
                      </c:pt>
                      <c:pt idx="85" formatCode="General">
                        <c:v>-19.856287425149699</c:v>
                      </c:pt>
                      <c:pt idx="86" formatCode="General">
                        <c:v>-19.87065868263473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0-7F43-47D9-9E15-19AA26622F09}"/>
                  </c:ext>
                </c:extLst>
              </c15:ser>
            </c15:filteredScatterSeries>
            <c15:filteredScatterSeries>
              <c15:ser>
                <c:idx val="9"/>
                <c:order val="11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306</c:v>
                      </c:pt>
                      <c:pt idx="1">
                        <c:v>314</c:v>
                      </c:pt>
                      <c:pt idx="2">
                        <c:v>322</c:v>
                      </c:pt>
                      <c:pt idx="3">
                        <c:v>330</c:v>
                      </c:pt>
                      <c:pt idx="4">
                        <c:v>338</c:v>
                      </c:pt>
                      <c:pt idx="5">
                        <c:v>346</c:v>
                      </c:pt>
                      <c:pt idx="6">
                        <c:v>354</c:v>
                      </c:pt>
                      <c:pt idx="7">
                        <c:v>362</c:v>
                      </c:pt>
                      <c:pt idx="8">
                        <c:v>370</c:v>
                      </c:pt>
                      <c:pt idx="9">
                        <c:v>378</c:v>
                      </c:pt>
                      <c:pt idx="10">
                        <c:v>386</c:v>
                      </c:pt>
                      <c:pt idx="11">
                        <c:v>394</c:v>
                      </c:pt>
                      <c:pt idx="12">
                        <c:v>402</c:v>
                      </c:pt>
                      <c:pt idx="13">
                        <c:v>410</c:v>
                      </c:pt>
                      <c:pt idx="14">
                        <c:v>418</c:v>
                      </c:pt>
                      <c:pt idx="15">
                        <c:v>426</c:v>
                      </c:pt>
                      <c:pt idx="16">
                        <c:v>434</c:v>
                      </c:pt>
                      <c:pt idx="17">
                        <c:v>442</c:v>
                      </c:pt>
                      <c:pt idx="18">
                        <c:v>450</c:v>
                      </c:pt>
                      <c:pt idx="19">
                        <c:v>458</c:v>
                      </c:pt>
                      <c:pt idx="20">
                        <c:v>466</c:v>
                      </c:pt>
                      <c:pt idx="21">
                        <c:v>474</c:v>
                      </c:pt>
                      <c:pt idx="22">
                        <c:v>482</c:v>
                      </c:pt>
                      <c:pt idx="23">
                        <c:v>490</c:v>
                      </c:pt>
                      <c:pt idx="24">
                        <c:v>498</c:v>
                      </c:pt>
                      <c:pt idx="25">
                        <c:v>506</c:v>
                      </c:pt>
                      <c:pt idx="26">
                        <c:v>514</c:v>
                      </c:pt>
                      <c:pt idx="27">
                        <c:v>522</c:v>
                      </c:pt>
                      <c:pt idx="28">
                        <c:v>530</c:v>
                      </c:pt>
                      <c:pt idx="29">
                        <c:v>538</c:v>
                      </c:pt>
                      <c:pt idx="30">
                        <c:v>546</c:v>
                      </c:pt>
                      <c:pt idx="31">
                        <c:v>554</c:v>
                      </c:pt>
                      <c:pt idx="32">
                        <c:v>562</c:v>
                      </c:pt>
                      <c:pt idx="33">
                        <c:v>570</c:v>
                      </c:pt>
                      <c:pt idx="34">
                        <c:v>578</c:v>
                      </c:pt>
                      <c:pt idx="35">
                        <c:v>586</c:v>
                      </c:pt>
                      <c:pt idx="36">
                        <c:v>594</c:v>
                      </c:pt>
                      <c:pt idx="37">
                        <c:v>602</c:v>
                      </c:pt>
                      <c:pt idx="38">
                        <c:v>610</c:v>
                      </c:pt>
                      <c:pt idx="39">
                        <c:v>618</c:v>
                      </c:pt>
                      <c:pt idx="40">
                        <c:v>626</c:v>
                      </c:pt>
                      <c:pt idx="41">
                        <c:v>634</c:v>
                      </c:pt>
                      <c:pt idx="42">
                        <c:v>642</c:v>
                      </c:pt>
                      <c:pt idx="43">
                        <c:v>650</c:v>
                      </c:pt>
                      <c:pt idx="44">
                        <c:v>658</c:v>
                      </c:pt>
                      <c:pt idx="45">
                        <c:v>666</c:v>
                      </c:pt>
                      <c:pt idx="46">
                        <c:v>674</c:v>
                      </c:pt>
                      <c:pt idx="47">
                        <c:v>682</c:v>
                      </c:pt>
                      <c:pt idx="48">
                        <c:v>690</c:v>
                      </c:pt>
                      <c:pt idx="49">
                        <c:v>698</c:v>
                      </c:pt>
                      <c:pt idx="50">
                        <c:v>706</c:v>
                      </c:pt>
                      <c:pt idx="51">
                        <c:v>714</c:v>
                      </c:pt>
                      <c:pt idx="52">
                        <c:v>722</c:v>
                      </c:pt>
                      <c:pt idx="53">
                        <c:v>730</c:v>
                      </c:pt>
                      <c:pt idx="54">
                        <c:v>738</c:v>
                      </c:pt>
                      <c:pt idx="55">
                        <c:v>746</c:v>
                      </c:pt>
                      <c:pt idx="56">
                        <c:v>754</c:v>
                      </c:pt>
                      <c:pt idx="57">
                        <c:v>762</c:v>
                      </c:pt>
                      <c:pt idx="58">
                        <c:v>770</c:v>
                      </c:pt>
                      <c:pt idx="59">
                        <c:v>778</c:v>
                      </c:pt>
                      <c:pt idx="60">
                        <c:v>786</c:v>
                      </c:pt>
                      <c:pt idx="61">
                        <c:v>794</c:v>
                      </c:pt>
                      <c:pt idx="62">
                        <c:v>802</c:v>
                      </c:pt>
                      <c:pt idx="63">
                        <c:v>810</c:v>
                      </c:pt>
                      <c:pt idx="64">
                        <c:v>818</c:v>
                      </c:pt>
                      <c:pt idx="65">
                        <c:v>826</c:v>
                      </c:pt>
                      <c:pt idx="66">
                        <c:v>834</c:v>
                      </c:pt>
                      <c:pt idx="67">
                        <c:v>842</c:v>
                      </c:pt>
                      <c:pt idx="68">
                        <c:v>850</c:v>
                      </c:pt>
                      <c:pt idx="69">
                        <c:v>858</c:v>
                      </c:pt>
                      <c:pt idx="70">
                        <c:v>866</c:v>
                      </c:pt>
                      <c:pt idx="71">
                        <c:v>874</c:v>
                      </c:pt>
                      <c:pt idx="72">
                        <c:v>882</c:v>
                      </c:pt>
                      <c:pt idx="73">
                        <c:v>890</c:v>
                      </c:pt>
                      <c:pt idx="74">
                        <c:v>898</c:v>
                      </c:pt>
                      <c:pt idx="75">
                        <c:v>906</c:v>
                      </c:pt>
                      <c:pt idx="76">
                        <c:v>914</c:v>
                      </c:pt>
                      <c:pt idx="77">
                        <c:v>922</c:v>
                      </c:pt>
                      <c:pt idx="78">
                        <c:v>930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EVALUATION!$B$112:$CP$112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-15.118108108108107</c:v>
                      </c:pt>
                      <c:pt idx="1">
                        <c:v>-14.88027027027027</c:v>
                      </c:pt>
                      <c:pt idx="2">
                        <c:v>-14.642432432432432</c:v>
                      </c:pt>
                      <c:pt idx="3">
                        <c:v>-14.404594594594593</c:v>
                      </c:pt>
                      <c:pt idx="4" formatCode="General">
                        <c:v>-13.959101796407184</c:v>
                      </c:pt>
                      <c:pt idx="5" formatCode="General">
                        <c:v>-13.46568862275449</c:v>
                      </c:pt>
                      <c:pt idx="6" formatCode="General">
                        <c:v>-12.972275449101796</c:v>
                      </c:pt>
                      <c:pt idx="7" formatCode="General">
                        <c:v>-12.478862275449101</c:v>
                      </c:pt>
                      <c:pt idx="8" formatCode="General">
                        <c:v>-11.950329341317365</c:v>
                      </c:pt>
                      <c:pt idx="9" formatCode="General">
                        <c:v>-11.40182634730539</c:v>
                      </c:pt>
                      <c:pt idx="10" formatCode="General">
                        <c:v>-10.853323353293414</c:v>
                      </c:pt>
                      <c:pt idx="11" formatCode="General">
                        <c:v>-10.304820359281438</c:v>
                      </c:pt>
                      <c:pt idx="12" formatCode="General">
                        <c:v>-9.7896616766467073</c:v>
                      </c:pt>
                      <c:pt idx="13" formatCode="General">
                        <c:v>-9.3132544910179647</c:v>
                      </c:pt>
                      <c:pt idx="14" formatCode="General">
                        <c:v>-8.836847305389222</c:v>
                      </c:pt>
                      <c:pt idx="15" formatCode="General">
                        <c:v>-8.3604401197604794</c:v>
                      </c:pt>
                      <c:pt idx="16" formatCode="General">
                        <c:v>-7.9011107784431145</c:v>
                      </c:pt>
                      <c:pt idx="17" formatCode="General">
                        <c:v>-7.4841047904191624</c:v>
                      </c:pt>
                      <c:pt idx="18" formatCode="General">
                        <c:v>-7.0670988023952104</c:v>
                      </c:pt>
                      <c:pt idx="19" formatCode="General">
                        <c:v>-6.6500928143712592</c:v>
                      </c:pt>
                      <c:pt idx="20" formatCode="General">
                        <c:v>-6.2383952095808395</c:v>
                      </c:pt>
                      <c:pt idx="21" formatCode="General">
                        <c:v>-5.8685748502994022</c:v>
                      </c:pt>
                      <c:pt idx="22" formatCode="General">
                        <c:v>-5.4987544910179649</c:v>
                      </c:pt>
                      <c:pt idx="23" formatCode="General">
                        <c:v>-5.1289341317365267</c:v>
                      </c:pt>
                      <c:pt idx="24" formatCode="General">
                        <c:v>-4.7591137724550894</c:v>
                      </c:pt>
                      <c:pt idx="25" formatCode="General">
                        <c:v>-4.6019909909909904</c:v>
                      </c:pt>
                      <c:pt idx="26" formatCode="General">
                        <c:v>-4.4590480480480474</c:v>
                      </c:pt>
                      <c:pt idx="27" formatCode="General">
                        <c:v>-4.3161051051051045</c:v>
                      </c:pt>
                      <c:pt idx="28" formatCode="General">
                        <c:v>-4.1731621621621615</c:v>
                      </c:pt>
                      <c:pt idx="29" formatCode="General">
                        <c:v>-4.1562215568862273</c:v>
                      </c:pt>
                      <c:pt idx="30" formatCode="General">
                        <c:v>-4.1758622754491022</c:v>
                      </c:pt>
                      <c:pt idx="31" formatCode="General">
                        <c:v>-4.1955029940119761</c:v>
                      </c:pt>
                      <c:pt idx="32" formatCode="General">
                        <c:v>-4.2151437125748501</c:v>
                      </c:pt>
                      <c:pt idx="33" formatCode="General">
                        <c:v>-4.2348562874251492</c:v>
                      </c:pt>
                      <c:pt idx="34" formatCode="General">
                        <c:v>-4.2546167664670653</c:v>
                      </c:pt>
                      <c:pt idx="35" formatCode="General">
                        <c:v>-4.2743772455089815</c:v>
                      </c:pt>
                      <c:pt idx="36" formatCode="General">
                        <c:v>-4.2941377245508976</c:v>
                      </c:pt>
                      <c:pt idx="37" formatCode="General">
                        <c:v>-4.3138982035928146</c:v>
                      </c:pt>
                      <c:pt idx="38" formatCode="General">
                        <c:v>-4.3336586826347308</c:v>
                      </c:pt>
                      <c:pt idx="39" formatCode="General">
                        <c:v>-4.3534191616766469</c:v>
                      </c:pt>
                      <c:pt idx="40" formatCode="General">
                        <c:v>-4.373179640718563</c:v>
                      </c:pt>
                      <c:pt idx="41" formatCode="General">
                        <c:v>-4.3929401197604792</c:v>
                      </c:pt>
                      <c:pt idx="42" formatCode="General">
                        <c:v>-4.4127005988023953</c:v>
                      </c:pt>
                      <c:pt idx="43" formatCode="General">
                        <c:v>-4.4324610778443114</c:v>
                      </c:pt>
                      <c:pt idx="44" formatCode="General">
                        <c:v>-4.4522215568862276</c:v>
                      </c:pt>
                      <c:pt idx="45" formatCode="General">
                        <c:v>-4.4719820359281437</c:v>
                      </c:pt>
                      <c:pt idx="46" formatCode="General">
                        <c:v>-4.4917425149700598</c:v>
                      </c:pt>
                      <c:pt idx="47" formatCode="General">
                        <c:v>-4.511502994011976</c:v>
                      </c:pt>
                      <c:pt idx="48" formatCode="General">
                        <c:v>-4.5312634730538921</c:v>
                      </c:pt>
                      <c:pt idx="49" formatCode="General">
                        <c:v>-4.5510239520958082</c:v>
                      </c:pt>
                      <c:pt idx="50" formatCode="General">
                        <c:v>-4.5702584269662925</c:v>
                      </c:pt>
                      <c:pt idx="51" formatCode="General">
                        <c:v>-4.5894344569288394</c:v>
                      </c:pt>
                      <c:pt idx="52" formatCode="General">
                        <c:v>-4.6086104868913855</c:v>
                      </c:pt>
                      <c:pt idx="53" formatCode="General">
                        <c:v>-4.6277865168539325</c:v>
                      </c:pt>
                      <c:pt idx="54" formatCode="General">
                        <c:v>-4.6469625468164795</c:v>
                      </c:pt>
                      <c:pt idx="55" formatCode="General">
                        <c:v>-4.6661385767790264</c:v>
                      </c:pt>
                      <c:pt idx="56" formatCode="General">
                        <c:v>-4.6853146067415734</c:v>
                      </c:pt>
                      <c:pt idx="57" formatCode="General">
                        <c:v>-4.7044906367041204</c:v>
                      </c:pt>
                      <c:pt idx="58" formatCode="General">
                        <c:v>-4.7236666666666665</c:v>
                      </c:pt>
                      <c:pt idx="59" formatCode="General">
                        <c:v>-4.7428426966292134</c:v>
                      </c:pt>
                      <c:pt idx="60" formatCode="General">
                        <c:v>-4.7620187265917604</c:v>
                      </c:pt>
                      <c:pt idx="61" formatCode="General">
                        <c:v>-4.7811947565543074</c:v>
                      </c:pt>
                      <c:pt idx="62" formatCode="General">
                        <c:v>-4.8003707865168543</c:v>
                      </c:pt>
                      <c:pt idx="63" formatCode="General">
                        <c:v>-4.8195468164794013</c:v>
                      </c:pt>
                      <c:pt idx="64" formatCode="General">
                        <c:v>-4.8387228464419483</c:v>
                      </c:pt>
                      <c:pt idx="65" formatCode="General">
                        <c:v>-4.8578988764044944</c:v>
                      </c:pt>
                      <c:pt idx="66" formatCode="General">
                        <c:v>-4.8768456928838955</c:v>
                      </c:pt>
                      <c:pt idx="67" formatCode="General">
                        <c:v>-4.8949430711610491</c:v>
                      </c:pt>
                      <c:pt idx="68" formatCode="General">
                        <c:v>-4.9130404494382027</c:v>
                      </c:pt>
                      <c:pt idx="69" formatCode="General">
                        <c:v>-4.9311378277153564</c:v>
                      </c:pt>
                      <c:pt idx="70" formatCode="General">
                        <c:v>-4.94923520599251</c:v>
                      </c:pt>
                      <c:pt idx="71" formatCode="General">
                        <c:v>-4.9673325842696627</c:v>
                      </c:pt>
                      <c:pt idx="72" formatCode="General">
                        <c:v>-4.9854299625468164</c:v>
                      </c:pt>
                      <c:pt idx="73" formatCode="General">
                        <c:v>-5.00352734082397</c:v>
                      </c:pt>
                      <c:pt idx="74" formatCode="General">
                        <c:v>-5.0216247191011236</c:v>
                      </c:pt>
                      <c:pt idx="75" formatCode="General">
                        <c:v>-5.0397220973782773</c:v>
                      </c:pt>
                      <c:pt idx="76" formatCode="General">
                        <c:v>-5.0578194756554309</c:v>
                      </c:pt>
                      <c:pt idx="77" formatCode="General">
                        <c:v>-5.0759168539325845</c:v>
                      </c:pt>
                      <c:pt idx="78" formatCode="General">
                        <c:v>-5.0940142322097381</c:v>
                      </c:pt>
                      <c:pt idx="79" formatCode="General">
                        <c:v>-5.1121116104868918</c:v>
                      </c:pt>
                      <c:pt idx="80" formatCode="General">
                        <c:v>-5.1302089887640445</c:v>
                      </c:pt>
                      <c:pt idx="81" formatCode="General">
                        <c:v>-5.1483063670411982</c:v>
                      </c:pt>
                      <c:pt idx="82" formatCode="General">
                        <c:v>-5.1664037453183518</c:v>
                      </c:pt>
                      <c:pt idx="83" formatCode="General">
                        <c:v>-5.1840538922155686</c:v>
                      </c:pt>
                      <c:pt idx="84" formatCode="General">
                        <c:v>-5.2012994011976046</c:v>
                      </c:pt>
                      <c:pt idx="85" formatCode="General">
                        <c:v>-5.2185449101796406</c:v>
                      </c:pt>
                      <c:pt idx="86" formatCode="General">
                        <c:v>-5.2357904191616766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1-7F43-47D9-9E15-19AA26622F09}"/>
                  </c:ext>
                </c:extLst>
              </c15:ser>
            </c15:filteredScatterSeries>
            <c15:filteredScatterSeries>
              <c15:ser>
                <c:idx val="10"/>
                <c:order val="12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306</c:v>
                      </c:pt>
                      <c:pt idx="1">
                        <c:v>314</c:v>
                      </c:pt>
                      <c:pt idx="2">
                        <c:v>322</c:v>
                      </c:pt>
                      <c:pt idx="3">
                        <c:v>330</c:v>
                      </c:pt>
                      <c:pt idx="4">
                        <c:v>338</c:v>
                      </c:pt>
                      <c:pt idx="5">
                        <c:v>346</c:v>
                      </c:pt>
                      <c:pt idx="6">
                        <c:v>354</c:v>
                      </c:pt>
                      <c:pt idx="7">
                        <c:v>362</c:v>
                      </c:pt>
                      <c:pt idx="8">
                        <c:v>370</c:v>
                      </c:pt>
                      <c:pt idx="9">
                        <c:v>378</c:v>
                      </c:pt>
                      <c:pt idx="10">
                        <c:v>386</c:v>
                      </c:pt>
                      <c:pt idx="11">
                        <c:v>394</c:v>
                      </c:pt>
                      <c:pt idx="12">
                        <c:v>402</c:v>
                      </c:pt>
                      <c:pt idx="13">
                        <c:v>410</c:v>
                      </c:pt>
                      <c:pt idx="14">
                        <c:v>418</c:v>
                      </c:pt>
                      <c:pt idx="15">
                        <c:v>426</c:v>
                      </c:pt>
                      <c:pt idx="16">
                        <c:v>434</c:v>
                      </c:pt>
                      <c:pt idx="17">
                        <c:v>442</c:v>
                      </c:pt>
                      <c:pt idx="18">
                        <c:v>450</c:v>
                      </c:pt>
                      <c:pt idx="19">
                        <c:v>458</c:v>
                      </c:pt>
                      <c:pt idx="20">
                        <c:v>466</c:v>
                      </c:pt>
                      <c:pt idx="21">
                        <c:v>474</c:v>
                      </c:pt>
                      <c:pt idx="22">
                        <c:v>482</c:v>
                      </c:pt>
                      <c:pt idx="23">
                        <c:v>490</c:v>
                      </c:pt>
                      <c:pt idx="24">
                        <c:v>498</c:v>
                      </c:pt>
                      <c:pt idx="25">
                        <c:v>506</c:v>
                      </c:pt>
                      <c:pt idx="26">
                        <c:v>514</c:v>
                      </c:pt>
                      <c:pt idx="27">
                        <c:v>522</c:v>
                      </c:pt>
                      <c:pt idx="28">
                        <c:v>530</c:v>
                      </c:pt>
                      <c:pt idx="29">
                        <c:v>538</c:v>
                      </c:pt>
                      <c:pt idx="30">
                        <c:v>546</c:v>
                      </c:pt>
                      <c:pt idx="31">
                        <c:v>554</c:v>
                      </c:pt>
                      <c:pt idx="32">
                        <c:v>562</c:v>
                      </c:pt>
                      <c:pt idx="33">
                        <c:v>570</c:v>
                      </c:pt>
                      <c:pt idx="34">
                        <c:v>578</c:v>
                      </c:pt>
                      <c:pt idx="35">
                        <c:v>586</c:v>
                      </c:pt>
                      <c:pt idx="36">
                        <c:v>594</c:v>
                      </c:pt>
                      <c:pt idx="37">
                        <c:v>602</c:v>
                      </c:pt>
                      <c:pt idx="38">
                        <c:v>610</c:v>
                      </c:pt>
                      <c:pt idx="39">
                        <c:v>618</c:v>
                      </c:pt>
                      <c:pt idx="40">
                        <c:v>626</c:v>
                      </c:pt>
                      <c:pt idx="41">
                        <c:v>634</c:v>
                      </c:pt>
                      <c:pt idx="42">
                        <c:v>642</c:v>
                      </c:pt>
                      <c:pt idx="43">
                        <c:v>650</c:v>
                      </c:pt>
                      <c:pt idx="44">
                        <c:v>658</c:v>
                      </c:pt>
                      <c:pt idx="45">
                        <c:v>666</c:v>
                      </c:pt>
                      <c:pt idx="46">
                        <c:v>674</c:v>
                      </c:pt>
                      <c:pt idx="47">
                        <c:v>682</c:v>
                      </c:pt>
                      <c:pt idx="48">
                        <c:v>690</c:v>
                      </c:pt>
                      <c:pt idx="49">
                        <c:v>698</c:v>
                      </c:pt>
                      <c:pt idx="50">
                        <c:v>706</c:v>
                      </c:pt>
                      <c:pt idx="51">
                        <c:v>714</c:v>
                      </c:pt>
                      <c:pt idx="52">
                        <c:v>722</c:v>
                      </c:pt>
                      <c:pt idx="53">
                        <c:v>730</c:v>
                      </c:pt>
                      <c:pt idx="54">
                        <c:v>738</c:v>
                      </c:pt>
                      <c:pt idx="55">
                        <c:v>746</c:v>
                      </c:pt>
                      <c:pt idx="56">
                        <c:v>754</c:v>
                      </c:pt>
                      <c:pt idx="57">
                        <c:v>762</c:v>
                      </c:pt>
                      <c:pt idx="58">
                        <c:v>770</c:v>
                      </c:pt>
                      <c:pt idx="59">
                        <c:v>778</c:v>
                      </c:pt>
                      <c:pt idx="60">
                        <c:v>786</c:v>
                      </c:pt>
                      <c:pt idx="61">
                        <c:v>794</c:v>
                      </c:pt>
                      <c:pt idx="62">
                        <c:v>802</c:v>
                      </c:pt>
                      <c:pt idx="63">
                        <c:v>810</c:v>
                      </c:pt>
                      <c:pt idx="64">
                        <c:v>818</c:v>
                      </c:pt>
                      <c:pt idx="65">
                        <c:v>826</c:v>
                      </c:pt>
                      <c:pt idx="66">
                        <c:v>834</c:v>
                      </c:pt>
                      <c:pt idx="67">
                        <c:v>842</c:v>
                      </c:pt>
                      <c:pt idx="68">
                        <c:v>850</c:v>
                      </c:pt>
                      <c:pt idx="69">
                        <c:v>858</c:v>
                      </c:pt>
                      <c:pt idx="70">
                        <c:v>866</c:v>
                      </c:pt>
                      <c:pt idx="71">
                        <c:v>874</c:v>
                      </c:pt>
                      <c:pt idx="72">
                        <c:v>882</c:v>
                      </c:pt>
                      <c:pt idx="73">
                        <c:v>890</c:v>
                      </c:pt>
                      <c:pt idx="74">
                        <c:v>898</c:v>
                      </c:pt>
                      <c:pt idx="75">
                        <c:v>906</c:v>
                      </c:pt>
                      <c:pt idx="76">
                        <c:v>914</c:v>
                      </c:pt>
                      <c:pt idx="77">
                        <c:v>922</c:v>
                      </c:pt>
                      <c:pt idx="78">
                        <c:v>930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EVALUATION!$B$113:$CP$113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-19.022342342342341</c:v>
                      </c:pt>
                      <c:pt idx="1">
                        <c:v>-19.024744744744744</c:v>
                      </c:pt>
                      <c:pt idx="2">
                        <c:v>-19.027147147147147</c:v>
                      </c:pt>
                      <c:pt idx="3">
                        <c:v>-19.02954954954955</c:v>
                      </c:pt>
                      <c:pt idx="4" formatCode="General">
                        <c:v>-19.035838323353293</c:v>
                      </c:pt>
                      <c:pt idx="5" formatCode="General">
                        <c:v>-19.043023952095808</c:v>
                      </c:pt>
                      <c:pt idx="6" formatCode="General">
                        <c:v>-19.050209580838324</c:v>
                      </c:pt>
                      <c:pt idx="7" formatCode="General">
                        <c:v>-19.057395209580836</c:v>
                      </c:pt>
                      <c:pt idx="8" formatCode="General">
                        <c:v>-19.06763473053892</c:v>
                      </c:pt>
                      <c:pt idx="9" formatCode="General">
                        <c:v>-19.079610778443111</c:v>
                      </c:pt>
                      <c:pt idx="10" formatCode="General">
                        <c:v>-19.091586826347303</c:v>
                      </c:pt>
                      <c:pt idx="11" formatCode="General">
                        <c:v>-19.103562874251498</c:v>
                      </c:pt>
                      <c:pt idx="12" formatCode="General">
                        <c:v>-19.116646706586828</c:v>
                      </c:pt>
                      <c:pt idx="13" formatCode="General">
                        <c:v>-19.131017964071855</c:v>
                      </c:pt>
                      <c:pt idx="14" formatCode="General">
                        <c:v>-19.145389221556886</c:v>
                      </c:pt>
                      <c:pt idx="15" formatCode="General">
                        <c:v>-19.159760479041918</c:v>
                      </c:pt>
                      <c:pt idx="16" formatCode="General">
                        <c:v>-19.174131736526949</c:v>
                      </c:pt>
                      <c:pt idx="17" formatCode="General">
                        <c:v>-19.188502994011976</c:v>
                      </c:pt>
                      <c:pt idx="18" formatCode="General">
                        <c:v>-19.202874251497008</c:v>
                      </c:pt>
                      <c:pt idx="19" formatCode="General">
                        <c:v>-19.217245508982035</c:v>
                      </c:pt>
                      <c:pt idx="20" formatCode="General">
                        <c:v>-19.231886227544912</c:v>
                      </c:pt>
                      <c:pt idx="21" formatCode="General">
                        <c:v>-19.248652694610779</c:v>
                      </c:pt>
                      <c:pt idx="22" formatCode="General">
                        <c:v>-19.265419161676647</c:v>
                      </c:pt>
                      <c:pt idx="23" formatCode="General">
                        <c:v>-19.282185628742514</c:v>
                      </c:pt>
                      <c:pt idx="24" formatCode="General">
                        <c:v>-19.298952095808385</c:v>
                      </c:pt>
                      <c:pt idx="25" formatCode="General">
                        <c:v>-19.2481981981982</c:v>
                      </c:pt>
                      <c:pt idx="26" formatCode="General">
                        <c:v>-19.192942942942942</c:v>
                      </c:pt>
                      <c:pt idx="27" formatCode="General">
                        <c:v>-19.137687687687688</c:v>
                      </c:pt>
                      <c:pt idx="28" formatCode="General">
                        <c:v>-19.082432432432434</c:v>
                      </c:pt>
                      <c:pt idx="29" formatCode="General">
                        <c:v>-19.062574850299402</c:v>
                      </c:pt>
                      <c:pt idx="30" formatCode="General">
                        <c:v>-19.052994011976047</c:v>
                      </c:pt>
                      <c:pt idx="31" formatCode="General">
                        <c:v>-19.043413173652695</c:v>
                      </c:pt>
                      <c:pt idx="32" formatCode="General">
                        <c:v>-19.033832335329343</c:v>
                      </c:pt>
                      <c:pt idx="33" formatCode="General">
                        <c:v>-19.040059880239522</c:v>
                      </c:pt>
                      <c:pt idx="34" formatCode="General">
                        <c:v>-19.056826347305389</c:v>
                      </c:pt>
                      <c:pt idx="35" formatCode="General">
                        <c:v>-19.07359281437126</c:v>
                      </c:pt>
                      <c:pt idx="36" formatCode="General">
                        <c:v>-19.090359281437127</c:v>
                      </c:pt>
                      <c:pt idx="37" formatCode="General">
                        <c:v>-19.107125748502995</c:v>
                      </c:pt>
                      <c:pt idx="38" formatCode="General">
                        <c:v>-19.123892215568862</c:v>
                      </c:pt>
                      <c:pt idx="39" formatCode="General">
                        <c:v>-19.140658682634729</c:v>
                      </c:pt>
                      <c:pt idx="40" formatCode="General">
                        <c:v>-19.1574251497006</c:v>
                      </c:pt>
                      <c:pt idx="41" formatCode="General">
                        <c:v>-19.174191616766468</c:v>
                      </c:pt>
                      <c:pt idx="42" formatCode="General">
                        <c:v>-19.190958083832335</c:v>
                      </c:pt>
                      <c:pt idx="43" formatCode="General">
                        <c:v>-19.207724550898202</c:v>
                      </c:pt>
                      <c:pt idx="44" formatCode="General">
                        <c:v>-19.22449101796407</c:v>
                      </c:pt>
                      <c:pt idx="45" formatCode="General">
                        <c:v>-19.241257485029941</c:v>
                      </c:pt>
                      <c:pt idx="46" formatCode="General">
                        <c:v>-19.258023952095808</c:v>
                      </c:pt>
                      <c:pt idx="47" formatCode="General">
                        <c:v>-19.274790419161675</c:v>
                      </c:pt>
                      <c:pt idx="48" formatCode="General">
                        <c:v>-19.291556886227543</c:v>
                      </c:pt>
                      <c:pt idx="49" formatCode="General">
                        <c:v>-19.30832335329341</c:v>
                      </c:pt>
                      <c:pt idx="50" formatCode="General">
                        <c:v>-19.324022471910112</c:v>
                      </c:pt>
                      <c:pt idx="51" formatCode="General">
                        <c:v>-19.33960299625468</c:v>
                      </c:pt>
                      <c:pt idx="52" formatCode="General">
                        <c:v>-19.355183520599251</c:v>
                      </c:pt>
                      <c:pt idx="53" formatCode="General">
                        <c:v>-19.370764044943819</c:v>
                      </c:pt>
                      <c:pt idx="54" formatCode="General">
                        <c:v>-19.38634456928839</c:v>
                      </c:pt>
                      <c:pt idx="55" formatCode="General">
                        <c:v>-19.401925093632958</c:v>
                      </c:pt>
                      <c:pt idx="56" formatCode="General">
                        <c:v>-19.417505617977529</c:v>
                      </c:pt>
                      <c:pt idx="57" formatCode="General">
                        <c:v>-19.433086142322097</c:v>
                      </c:pt>
                      <c:pt idx="58" formatCode="General">
                        <c:v>-19.448666666666668</c:v>
                      </c:pt>
                      <c:pt idx="59" formatCode="General">
                        <c:v>-19.464247191011236</c:v>
                      </c:pt>
                      <c:pt idx="60" formatCode="General">
                        <c:v>-19.479827715355807</c:v>
                      </c:pt>
                      <c:pt idx="61" formatCode="General">
                        <c:v>-19.495408239700375</c:v>
                      </c:pt>
                      <c:pt idx="62" formatCode="General">
                        <c:v>-19.510988764044942</c:v>
                      </c:pt>
                      <c:pt idx="63" formatCode="General">
                        <c:v>-19.526569288389513</c:v>
                      </c:pt>
                      <c:pt idx="64" formatCode="General">
                        <c:v>-19.542149812734081</c:v>
                      </c:pt>
                      <c:pt idx="65" formatCode="General">
                        <c:v>-19.557730337078652</c:v>
                      </c:pt>
                      <c:pt idx="66" formatCode="General">
                        <c:v>-19.573183520599251</c:v>
                      </c:pt>
                      <c:pt idx="67" formatCode="General">
                        <c:v>-19.58816479400749</c:v>
                      </c:pt>
                      <c:pt idx="68" formatCode="General">
                        <c:v>-19.603146067415732</c:v>
                      </c:pt>
                      <c:pt idx="69" formatCode="General">
                        <c:v>-19.618127340823971</c:v>
                      </c:pt>
                      <c:pt idx="70" formatCode="General">
                        <c:v>-19.63310861423221</c:v>
                      </c:pt>
                      <c:pt idx="71" formatCode="General">
                        <c:v>-19.648089887640449</c:v>
                      </c:pt>
                      <c:pt idx="72" formatCode="General">
                        <c:v>-19.663071161048691</c:v>
                      </c:pt>
                      <c:pt idx="73" formatCode="General">
                        <c:v>-19.67805243445693</c:v>
                      </c:pt>
                      <c:pt idx="74" formatCode="General">
                        <c:v>-19.693033707865169</c:v>
                      </c:pt>
                      <c:pt idx="75" formatCode="General">
                        <c:v>-19.708014981273408</c:v>
                      </c:pt>
                      <c:pt idx="76" formatCode="General">
                        <c:v>-19.722996254681647</c:v>
                      </c:pt>
                      <c:pt idx="77" formatCode="General">
                        <c:v>-19.737977528089889</c:v>
                      </c:pt>
                      <c:pt idx="78" formatCode="General">
                        <c:v>-19.752958801498128</c:v>
                      </c:pt>
                      <c:pt idx="79" formatCode="General">
                        <c:v>-19.767940074906367</c:v>
                      </c:pt>
                      <c:pt idx="80" formatCode="General">
                        <c:v>-19.782921348314606</c:v>
                      </c:pt>
                      <c:pt idx="81" formatCode="General">
                        <c:v>-19.797902621722848</c:v>
                      </c:pt>
                      <c:pt idx="82" formatCode="General">
                        <c:v>-19.812883895131087</c:v>
                      </c:pt>
                      <c:pt idx="83" formatCode="General">
                        <c:v>-19.82754491017964</c:v>
                      </c:pt>
                      <c:pt idx="84" formatCode="General">
                        <c:v>-19.841916167664671</c:v>
                      </c:pt>
                      <c:pt idx="85" formatCode="General">
                        <c:v>-19.856287425149699</c:v>
                      </c:pt>
                      <c:pt idx="86" formatCode="General">
                        <c:v>-19.87065868263473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2-7F43-47D9-9E15-19AA26622F09}"/>
                  </c:ext>
                </c:extLst>
              </c15:ser>
            </c15:filteredScatterSeries>
            <c15:filteredScatterSeries>
              <c15:ser>
                <c:idx val="11"/>
                <c:order val="13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306</c:v>
                      </c:pt>
                      <c:pt idx="1">
                        <c:v>314</c:v>
                      </c:pt>
                      <c:pt idx="2">
                        <c:v>322</c:v>
                      </c:pt>
                      <c:pt idx="3">
                        <c:v>330</c:v>
                      </c:pt>
                      <c:pt idx="4">
                        <c:v>338</c:v>
                      </c:pt>
                      <c:pt idx="5">
                        <c:v>346</c:v>
                      </c:pt>
                      <c:pt idx="6">
                        <c:v>354</c:v>
                      </c:pt>
                      <c:pt idx="7">
                        <c:v>362</c:v>
                      </c:pt>
                      <c:pt idx="8">
                        <c:v>370</c:v>
                      </c:pt>
                      <c:pt idx="9">
                        <c:v>378</c:v>
                      </c:pt>
                      <c:pt idx="10">
                        <c:v>386</c:v>
                      </c:pt>
                      <c:pt idx="11">
                        <c:v>394</c:v>
                      </c:pt>
                      <c:pt idx="12">
                        <c:v>402</c:v>
                      </c:pt>
                      <c:pt idx="13">
                        <c:v>410</c:v>
                      </c:pt>
                      <c:pt idx="14">
                        <c:v>418</c:v>
                      </c:pt>
                      <c:pt idx="15">
                        <c:v>426</c:v>
                      </c:pt>
                      <c:pt idx="16">
                        <c:v>434</c:v>
                      </c:pt>
                      <c:pt idx="17">
                        <c:v>442</c:v>
                      </c:pt>
                      <c:pt idx="18">
                        <c:v>450</c:v>
                      </c:pt>
                      <c:pt idx="19">
                        <c:v>458</c:v>
                      </c:pt>
                      <c:pt idx="20">
                        <c:v>466</c:v>
                      </c:pt>
                      <c:pt idx="21">
                        <c:v>474</c:v>
                      </c:pt>
                      <c:pt idx="22">
                        <c:v>482</c:v>
                      </c:pt>
                      <c:pt idx="23">
                        <c:v>490</c:v>
                      </c:pt>
                      <c:pt idx="24">
                        <c:v>498</c:v>
                      </c:pt>
                      <c:pt idx="25">
                        <c:v>506</c:v>
                      </c:pt>
                      <c:pt idx="26">
                        <c:v>514</c:v>
                      </c:pt>
                      <c:pt idx="27">
                        <c:v>522</c:v>
                      </c:pt>
                      <c:pt idx="28">
                        <c:v>530</c:v>
                      </c:pt>
                      <c:pt idx="29">
                        <c:v>538</c:v>
                      </c:pt>
                      <c:pt idx="30">
                        <c:v>546</c:v>
                      </c:pt>
                      <c:pt idx="31">
                        <c:v>554</c:v>
                      </c:pt>
                      <c:pt idx="32">
                        <c:v>562</c:v>
                      </c:pt>
                      <c:pt idx="33">
                        <c:v>570</c:v>
                      </c:pt>
                      <c:pt idx="34">
                        <c:v>578</c:v>
                      </c:pt>
                      <c:pt idx="35">
                        <c:v>586</c:v>
                      </c:pt>
                      <c:pt idx="36">
                        <c:v>594</c:v>
                      </c:pt>
                      <c:pt idx="37">
                        <c:v>602</c:v>
                      </c:pt>
                      <c:pt idx="38">
                        <c:v>610</c:v>
                      </c:pt>
                      <c:pt idx="39">
                        <c:v>618</c:v>
                      </c:pt>
                      <c:pt idx="40">
                        <c:v>626</c:v>
                      </c:pt>
                      <c:pt idx="41">
                        <c:v>634</c:v>
                      </c:pt>
                      <c:pt idx="42">
                        <c:v>642</c:v>
                      </c:pt>
                      <c:pt idx="43">
                        <c:v>650</c:v>
                      </c:pt>
                      <c:pt idx="44">
                        <c:v>658</c:v>
                      </c:pt>
                      <c:pt idx="45">
                        <c:v>666</c:v>
                      </c:pt>
                      <c:pt idx="46">
                        <c:v>674</c:v>
                      </c:pt>
                      <c:pt idx="47">
                        <c:v>682</c:v>
                      </c:pt>
                      <c:pt idx="48">
                        <c:v>690</c:v>
                      </c:pt>
                      <c:pt idx="49">
                        <c:v>698</c:v>
                      </c:pt>
                      <c:pt idx="50">
                        <c:v>706</c:v>
                      </c:pt>
                      <c:pt idx="51">
                        <c:v>714</c:v>
                      </c:pt>
                      <c:pt idx="52">
                        <c:v>722</c:v>
                      </c:pt>
                      <c:pt idx="53">
                        <c:v>730</c:v>
                      </c:pt>
                      <c:pt idx="54">
                        <c:v>738</c:v>
                      </c:pt>
                      <c:pt idx="55">
                        <c:v>746</c:v>
                      </c:pt>
                      <c:pt idx="56">
                        <c:v>754</c:v>
                      </c:pt>
                      <c:pt idx="57">
                        <c:v>762</c:v>
                      </c:pt>
                      <c:pt idx="58">
                        <c:v>770</c:v>
                      </c:pt>
                      <c:pt idx="59">
                        <c:v>778</c:v>
                      </c:pt>
                      <c:pt idx="60">
                        <c:v>786</c:v>
                      </c:pt>
                      <c:pt idx="61">
                        <c:v>794</c:v>
                      </c:pt>
                      <c:pt idx="62">
                        <c:v>802</c:v>
                      </c:pt>
                      <c:pt idx="63">
                        <c:v>810</c:v>
                      </c:pt>
                      <c:pt idx="64">
                        <c:v>818</c:v>
                      </c:pt>
                      <c:pt idx="65">
                        <c:v>826</c:v>
                      </c:pt>
                      <c:pt idx="66">
                        <c:v>834</c:v>
                      </c:pt>
                      <c:pt idx="67">
                        <c:v>842</c:v>
                      </c:pt>
                      <c:pt idx="68">
                        <c:v>850</c:v>
                      </c:pt>
                      <c:pt idx="69">
                        <c:v>858</c:v>
                      </c:pt>
                      <c:pt idx="70">
                        <c:v>866</c:v>
                      </c:pt>
                      <c:pt idx="71">
                        <c:v>874</c:v>
                      </c:pt>
                      <c:pt idx="72">
                        <c:v>882</c:v>
                      </c:pt>
                      <c:pt idx="73">
                        <c:v>890</c:v>
                      </c:pt>
                      <c:pt idx="74">
                        <c:v>898</c:v>
                      </c:pt>
                      <c:pt idx="75">
                        <c:v>906</c:v>
                      </c:pt>
                      <c:pt idx="76">
                        <c:v>914</c:v>
                      </c:pt>
                      <c:pt idx="77">
                        <c:v>922</c:v>
                      </c:pt>
                      <c:pt idx="78">
                        <c:v>930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EVALUATION!$B$114:$CP$114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-59.678288288288286</c:v>
                      </c:pt>
                      <c:pt idx="1">
                        <c:v>-58.332942942942942</c:v>
                      </c:pt>
                      <c:pt idx="2">
                        <c:v>-56.987597597597599</c:v>
                      </c:pt>
                      <c:pt idx="3">
                        <c:v>-55.642252252252256</c:v>
                      </c:pt>
                      <c:pt idx="4" formatCode="General">
                        <c:v>-54.130868263473054</c:v>
                      </c:pt>
                      <c:pt idx="5" formatCode="General">
                        <c:v>-52.581167664670659</c:v>
                      </c:pt>
                      <c:pt idx="6" formatCode="General">
                        <c:v>-51.031467065868263</c:v>
                      </c:pt>
                      <c:pt idx="7" formatCode="General">
                        <c:v>-49.481766467065867</c:v>
                      </c:pt>
                      <c:pt idx="8" formatCode="General">
                        <c:v>-47.964131736526944</c:v>
                      </c:pt>
                      <c:pt idx="9" formatCode="General">
                        <c:v>-46.464730538922154</c:v>
                      </c:pt>
                      <c:pt idx="10" formatCode="General">
                        <c:v>-44.965329341317364</c:v>
                      </c:pt>
                      <c:pt idx="11" formatCode="General">
                        <c:v>-43.465928143712574</c:v>
                      </c:pt>
                      <c:pt idx="12" formatCode="General">
                        <c:v>-42.064011976047901</c:v>
                      </c:pt>
                      <c:pt idx="13" formatCode="General">
                        <c:v>-40.775389221556885</c:v>
                      </c:pt>
                      <c:pt idx="14" formatCode="General">
                        <c:v>-39.48676646706587</c:v>
                      </c:pt>
                      <c:pt idx="15" formatCode="General">
                        <c:v>-38.198143712574847</c:v>
                      </c:pt>
                      <c:pt idx="16" formatCode="General">
                        <c:v>-36.957724550898206</c:v>
                      </c:pt>
                      <c:pt idx="17" formatCode="General">
                        <c:v>-35.836766467065871</c:v>
                      </c:pt>
                      <c:pt idx="18" formatCode="General">
                        <c:v>-34.715808383233536</c:v>
                      </c:pt>
                      <c:pt idx="19" formatCode="General">
                        <c:v>-33.594850299401202</c:v>
                      </c:pt>
                      <c:pt idx="20" formatCode="General">
                        <c:v>-32.488982035928146</c:v>
                      </c:pt>
                      <c:pt idx="21" formatCode="General">
                        <c:v>-31.502155688622757</c:v>
                      </c:pt>
                      <c:pt idx="22" formatCode="General">
                        <c:v>-30.515329341317369</c:v>
                      </c:pt>
                      <c:pt idx="23" formatCode="General">
                        <c:v>-29.528502994011976</c:v>
                      </c:pt>
                      <c:pt idx="24" formatCode="General">
                        <c:v>-28.541676646706588</c:v>
                      </c:pt>
                      <c:pt idx="25" formatCode="General">
                        <c:v>-27.788558558558559</c:v>
                      </c:pt>
                      <c:pt idx="26" formatCode="General">
                        <c:v>-27.051021021021018</c:v>
                      </c:pt>
                      <c:pt idx="27" formatCode="General">
                        <c:v>-26.313483483483481</c:v>
                      </c:pt>
                      <c:pt idx="28" formatCode="General">
                        <c:v>-25.575945945945943</c:v>
                      </c:pt>
                      <c:pt idx="29" formatCode="General">
                        <c:v>-25.655029940119761</c:v>
                      </c:pt>
                      <c:pt idx="30" formatCode="General">
                        <c:v>-25.971197604790419</c:v>
                      </c:pt>
                      <c:pt idx="31" formatCode="General">
                        <c:v>-26.287365269461077</c:v>
                      </c:pt>
                      <c:pt idx="32" formatCode="General">
                        <c:v>-26.603532934131735</c:v>
                      </c:pt>
                      <c:pt idx="33" formatCode="General">
                        <c:v>-26.911437125748503</c:v>
                      </c:pt>
                      <c:pt idx="34" formatCode="General">
                        <c:v>-27.213832335329339</c:v>
                      </c:pt>
                      <c:pt idx="35" formatCode="General">
                        <c:v>-27.51622754491018</c:v>
                      </c:pt>
                      <c:pt idx="36" formatCode="General">
                        <c:v>-27.818622754491017</c:v>
                      </c:pt>
                      <c:pt idx="37" formatCode="General">
                        <c:v>-28.121017964071857</c:v>
                      </c:pt>
                      <c:pt idx="38" formatCode="General">
                        <c:v>-28.423413173652694</c:v>
                      </c:pt>
                      <c:pt idx="39" formatCode="General">
                        <c:v>-28.725808383233534</c:v>
                      </c:pt>
                      <c:pt idx="40" formatCode="General">
                        <c:v>-29.028203592814371</c:v>
                      </c:pt>
                      <c:pt idx="41" formatCode="General">
                        <c:v>-29.330598802395212</c:v>
                      </c:pt>
                      <c:pt idx="42" formatCode="General">
                        <c:v>-29.632994011976049</c:v>
                      </c:pt>
                      <c:pt idx="43" formatCode="General">
                        <c:v>-29.935389221556889</c:v>
                      </c:pt>
                      <c:pt idx="44" formatCode="General">
                        <c:v>-30.237784431137726</c:v>
                      </c:pt>
                      <c:pt idx="45" formatCode="General">
                        <c:v>-30.540179640718566</c:v>
                      </c:pt>
                      <c:pt idx="46" formatCode="General">
                        <c:v>-30.842574850299403</c:v>
                      </c:pt>
                      <c:pt idx="47" formatCode="General">
                        <c:v>-31.144970059880244</c:v>
                      </c:pt>
                      <c:pt idx="48" formatCode="General">
                        <c:v>-31.447365269461081</c:v>
                      </c:pt>
                      <c:pt idx="49" formatCode="General">
                        <c:v>-31.749760479041917</c:v>
                      </c:pt>
                      <c:pt idx="50" formatCode="General">
                        <c:v>-32.022696629213485</c:v>
                      </c:pt>
                      <c:pt idx="51" formatCode="General">
                        <c:v>-32.292359550561798</c:v>
                      </c:pt>
                      <c:pt idx="52" formatCode="General">
                        <c:v>-32.562022471910112</c:v>
                      </c:pt>
                      <c:pt idx="53" formatCode="General">
                        <c:v>-32.831685393258432</c:v>
                      </c:pt>
                      <c:pt idx="54" formatCode="General">
                        <c:v>-33.101348314606746</c:v>
                      </c:pt>
                      <c:pt idx="55" formatCode="General">
                        <c:v>-33.371011235955059</c:v>
                      </c:pt>
                      <c:pt idx="56" formatCode="General">
                        <c:v>-33.640674157303373</c:v>
                      </c:pt>
                      <c:pt idx="57" formatCode="General">
                        <c:v>-33.910337078651686</c:v>
                      </c:pt>
                      <c:pt idx="58" formatCode="General">
                        <c:v>-34.18</c:v>
                      </c:pt>
                      <c:pt idx="59" formatCode="General">
                        <c:v>-34.44966292134832</c:v>
                      </c:pt>
                      <c:pt idx="60" formatCode="General">
                        <c:v>-34.719325842696634</c:v>
                      </c:pt>
                      <c:pt idx="61" formatCode="General">
                        <c:v>-34.988988764044947</c:v>
                      </c:pt>
                      <c:pt idx="62" formatCode="General">
                        <c:v>-35.258651685393261</c:v>
                      </c:pt>
                      <c:pt idx="63" formatCode="General">
                        <c:v>-35.528314606741574</c:v>
                      </c:pt>
                      <c:pt idx="64" formatCode="General">
                        <c:v>-35.797977528089888</c:v>
                      </c:pt>
                      <c:pt idx="65" formatCode="General">
                        <c:v>-36.067640449438201</c:v>
                      </c:pt>
                      <c:pt idx="66" formatCode="General">
                        <c:v>-36.328007490636708</c:v>
                      </c:pt>
                      <c:pt idx="67" formatCode="General">
                        <c:v>-36.553925093632962</c:v>
                      </c:pt>
                      <c:pt idx="68" formatCode="General">
                        <c:v>-36.779842696629217</c:v>
                      </c:pt>
                      <c:pt idx="69" formatCode="General">
                        <c:v>-37.005760299625472</c:v>
                      </c:pt>
                      <c:pt idx="70" formatCode="General">
                        <c:v>-37.231677902621726</c:v>
                      </c:pt>
                      <c:pt idx="71" formatCode="General">
                        <c:v>-37.457595505617981</c:v>
                      </c:pt>
                      <c:pt idx="72" formatCode="General">
                        <c:v>-37.683513108614235</c:v>
                      </c:pt>
                      <c:pt idx="73" formatCode="General">
                        <c:v>-37.90943071161049</c:v>
                      </c:pt>
                      <c:pt idx="74" formatCode="General">
                        <c:v>-38.135348314606745</c:v>
                      </c:pt>
                      <c:pt idx="75" formatCode="General">
                        <c:v>-38.361265917602999</c:v>
                      </c:pt>
                      <c:pt idx="76" formatCode="General">
                        <c:v>-38.587183520599254</c:v>
                      </c:pt>
                      <c:pt idx="77" formatCode="General">
                        <c:v>-38.813101123595509</c:v>
                      </c:pt>
                      <c:pt idx="78" formatCode="General">
                        <c:v>-39.039018726591763</c:v>
                      </c:pt>
                      <c:pt idx="79" formatCode="General">
                        <c:v>-39.264936329588011</c:v>
                      </c:pt>
                      <c:pt idx="80" formatCode="General">
                        <c:v>-39.490853932584265</c:v>
                      </c:pt>
                      <c:pt idx="81" formatCode="General">
                        <c:v>-39.71677153558052</c:v>
                      </c:pt>
                      <c:pt idx="82" formatCode="General">
                        <c:v>-39.942689138576775</c:v>
                      </c:pt>
                      <c:pt idx="83" formatCode="General">
                        <c:v>-40.151856287425147</c:v>
                      </c:pt>
                      <c:pt idx="84" formatCode="General">
                        <c:v>-40.345868263473051</c:v>
                      </c:pt>
                      <c:pt idx="85" formatCode="General">
                        <c:v>-40.539880239520954</c:v>
                      </c:pt>
                      <c:pt idx="86" formatCode="General">
                        <c:v>-40.733892215568858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3-7F43-47D9-9E15-19AA26622F09}"/>
                  </c:ext>
                </c:extLst>
              </c15:ser>
            </c15:filteredScatterSeries>
            <c15:filteredScatterSeries>
              <c15:ser>
                <c:idx val="12"/>
                <c:order val="14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306</c:v>
                      </c:pt>
                      <c:pt idx="1">
                        <c:v>314</c:v>
                      </c:pt>
                      <c:pt idx="2">
                        <c:v>322</c:v>
                      </c:pt>
                      <c:pt idx="3">
                        <c:v>330</c:v>
                      </c:pt>
                      <c:pt idx="4">
                        <c:v>338</c:v>
                      </c:pt>
                      <c:pt idx="5">
                        <c:v>346</c:v>
                      </c:pt>
                      <c:pt idx="6">
                        <c:v>354</c:v>
                      </c:pt>
                      <c:pt idx="7">
                        <c:v>362</c:v>
                      </c:pt>
                      <c:pt idx="8">
                        <c:v>370</c:v>
                      </c:pt>
                      <c:pt idx="9">
                        <c:v>378</c:v>
                      </c:pt>
                      <c:pt idx="10">
                        <c:v>386</c:v>
                      </c:pt>
                      <c:pt idx="11">
                        <c:v>394</c:v>
                      </c:pt>
                      <c:pt idx="12">
                        <c:v>402</c:v>
                      </c:pt>
                      <c:pt idx="13">
                        <c:v>410</c:v>
                      </c:pt>
                      <c:pt idx="14">
                        <c:v>418</c:v>
                      </c:pt>
                      <c:pt idx="15">
                        <c:v>426</c:v>
                      </c:pt>
                      <c:pt idx="16">
                        <c:v>434</c:v>
                      </c:pt>
                      <c:pt idx="17">
                        <c:v>442</c:v>
                      </c:pt>
                      <c:pt idx="18">
                        <c:v>450</c:v>
                      </c:pt>
                      <c:pt idx="19">
                        <c:v>458</c:v>
                      </c:pt>
                      <c:pt idx="20">
                        <c:v>466</c:v>
                      </c:pt>
                      <c:pt idx="21">
                        <c:v>474</c:v>
                      </c:pt>
                      <c:pt idx="22">
                        <c:v>482</c:v>
                      </c:pt>
                      <c:pt idx="23">
                        <c:v>490</c:v>
                      </c:pt>
                      <c:pt idx="24">
                        <c:v>498</c:v>
                      </c:pt>
                      <c:pt idx="25">
                        <c:v>506</c:v>
                      </c:pt>
                      <c:pt idx="26">
                        <c:v>514</c:v>
                      </c:pt>
                      <c:pt idx="27">
                        <c:v>522</c:v>
                      </c:pt>
                      <c:pt idx="28">
                        <c:v>530</c:v>
                      </c:pt>
                      <c:pt idx="29">
                        <c:v>538</c:v>
                      </c:pt>
                      <c:pt idx="30">
                        <c:v>546</c:v>
                      </c:pt>
                      <c:pt idx="31">
                        <c:v>554</c:v>
                      </c:pt>
                      <c:pt idx="32">
                        <c:v>562</c:v>
                      </c:pt>
                      <c:pt idx="33">
                        <c:v>570</c:v>
                      </c:pt>
                      <c:pt idx="34">
                        <c:v>578</c:v>
                      </c:pt>
                      <c:pt idx="35">
                        <c:v>586</c:v>
                      </c:pt>
                      <c:pt idx="36">
                        <c:v>594</c:v>
                      </c:pt>
                      <c:pt idx="37">
                        <c:v>602</c:v>
                      </c:pt>
                      <c:pt idx="38">
                        <c:v>610</c:v>
                      </c:pt>
                      <c:pt idx="39">
                        <c:v>618</c:v>
                      </c:pt>
                      <c:pt idx="40">
                        <c:v>626</c:v>
                      </c:pt>
                      <c:pt idx="41">
                        <c:v>634</c:v>
                      </c:pt>
                      <c:pt idx="42">
                        <c:v>642</c:v>
                      </c:pt>
                      <c:pt idx="43">
                        <c:v>650</c:v>
                      </c:pt>
                      <c:pt idx="44">
                        <c:v>658</c:v>
                      </c:pt>
                      <c:pt idx="45">
                        <c:v>666</c:v>
                      </c:pt>
                      <c:pt idx="46">
                        <c:v>674</c:v>
                      </c:pt>
                      <c:pt idx="47">
                        <c:v>682</c:v>
                      </c:pt>
                      <c:pt idx="48">
                        <c:v>690</c:v>
                      </c:pt>
                      <c:pt idx="49">
                        <c:v>698</c:v>
                      </c:pt>
                      <c:pt idx="50">
                        <c:v>706</c:v>
                      </c:pt>
                      <c:pt idx="51">
                        <c:v>714</c:v>
                      </c:pt>
                      <c:pt idx="52">
                        <c:v>722</c:v>
                      </c:pt>
                      <c:pt idx="53">
                        <c:v>730</c:v>
                      </c:pt>
                      <c:pt idx="54">
                        <c:v>738</c:v>
                      </c:pt>
                      <c:pt idx="55">
                        <c:v>746</c:v>
                      </c:pt>
                      <c:pt idx="56">
                        <c:v>754</c:v>
                      </c:pt>
                      <c:pt idx="57">
                        <c:v>762</c:v>
                      </c:pt>
                      <c:pt idx="58">
                        <c:v>770</c:v>
                      </c:pt>
                      <c:pt idx="59">
                        <c:v>778</c:v>
                      </c:pt>
                      <c:pt idx="60">
                        <c:v>786</c:v>
                      </c:pt>
                      <c:pt idx="61">
                        <c:v>794</c:v>
                      </c:pt>
                      <c:pt idx="62">
                        <c:v>802</c:v>
                      </c:pt>
                      <c:pt idx="63">
                        <c:v>810</c:v>
                      </c:pt>
                      <c:pt idx="64">
                        <c:v>818</c:v>
                      </c:pt>
                      <c:pt idx="65">
                        <c:v>826</c:v>
                      </c:pt>
                      <c:pt idx="66">
                        <c:v>834</c:v>
                      </c:pt>
                      <c:pt idx="67">
                        <c:v>842</c:v>
                      </c:pt>
                      <c:pt idx="68">
                        <c:v>850</c:v>
                      </c:pt>
                      <c:pt idx="69">
                        <c:v>858</c:v>
                      </c:pt>
                      <c:pt idx="70">
                        <c:v>866</c:v>
                      </c:pt>
                      <c:pt idx="71">
                        <c:v>874</c:v>
                      </c:pt>
                      <c:pt idx="72">
                        <c:v>882</c:v>
                      </c:pt>
                      <c:pt idx="73">
                        <c:v>890</c:v>
                      </c:pt>
                      <c:pt idx="74">
                        <c:v>898</c:v>
                      </c:pt>
                      <c:pt idx="75">
                        <c:v>906</c:v>
                      </c:pt>
                      <c:pt idx="76">
                        <c:v>914</c:v>
                      </c:pt>
                      <c:pt idx="77">
                        <c:v>922</c:v>
                      </c:pt>
                      <c:pt idx="78">
                        <c:v>930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EVALUATION!$B$115:$CP$115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-15.118108108108107</c:v>
                      </c:pt>
                      <c:pt idx="1">
                        <c:v>-14.88027027027027</c:v>
                      </c:pt>
                      <c:pt idx="2">
                        <c:v>-14.642432432432432</c:v>
                      </c:pt>
                      <c:pt idx="3">
                        <c:v>-14.404594594594593</c:v>
                      </c:pt>
                      <c:pt idx="4" formatCode="General">
                        <c:v>-13.959101796407184</c:v>
                      </c:pt>
                      <c:pt idx="5" formatCode="General">
                        <c:v>-13.46568862275449</c:v>
                      </c:pt>
                      <c:pt idx="6" formatCode="General">
                        <c:v>-12.972275449101796</c:v>
                      </c:pt>
                      <c:pt idx="7" formatCode="General">
                        <c:v>-12.478862275449101</c:v>
                      </c:pt>
                      <c:pt idx="8" formatCode="General">
                        <c:v>-11.950329341317365</c:v>
                      </c:pt>
                      <c:pt idx="9" formatCode="General">
                        <c:v>-11.40182634730539</c:v>
                      </c:pt>
                      <c:pt idx="10" formatCode="General">
                        <c:v>-10.853323353293414</c:v>
                      </c:pt>
                      <c:pt idx="11" formatCode="General">
                        <c:v>-10.304820359281438</c:v>
                      </c:pt>
                      <c:pt idx="12" formatCode="General">
                        <c:v>-9.7896616766467073</c:v>
                      </c:pt>
                      <c:pt idx="13" formatCode="General">
                        <c:v>-9.3132544910179647</c:v>
                      </c:pt>
                      <c:pt idx="14" formatCode="General">
                        <c:v>-8.836847305389222</c:v>
                      </c:pt>
                      <c:pt idx="15" formatCode="General">
                        <c:v>-8.3604401197604794</c:v>
                      </c:pt>
                      <c:pt idx="16" formatCode="General">
                        <c:v>-7.9011107784431145</c:v>
                      </c:pt>
                      <c:pt idx="17" formatCode="General">
                        <c:v>-7.4841047904191624</c:v>
                      </c:pt>
                      <c:pt idx="18" formatCode="General">
                        <c:v>-7.0670988023952104</c:v>
                      </c:pt>
                      <c:pt idx="19" formatCode="General">
                        <c:v>-6.6500928143712592</c:v>
                      </c:pt>
                      <c:pt idx="20" formatCode="General">
                        <c:v>-6.2383952095808395</c:v>
                      </c:pt>
                      <c:pt idx="21" formatCode="General">
                        <c:v>-5.8685748502994022</c:v>
                      </c:pt>
                      <c:pt idx="22" formatCode="General">
                        <c:v>-5.4987544910179649</c:v>
                      </c:pt>
                      <c:pt idx="23" formatCode="General">
                        <c:v>-5.1289341317365267</c:v>
                      </c:pt>
                      <c:pt idx="24" formatCode="General">
                        <c:v>-4.7591137724550894</c:v>
                      </c:pt>
                      <c:pt idx="25" formatCode="General">
                        <c:v>-4.6019909909909904</c:v>
                      </c:pt>
                      <c:pt idx="26" formatCode="General">
                        <c:v>-4.4590480480480474</c:v>
                      </c:pt>
                      <c:pt idx="27" formatCode="General">
                        <c:v>-4.3161051051051045</c:v>
                      </c:pt>
                      <c:pt idx="28" formatCode="General">
                        <c:v>-4.1731621621621615</c:v>
                      </c:pt>
                      <c:pt idx="29" formatCode="General">
                        <c:v>-4.1562215568862273</c:v>
                      </c:pt>
                      <c:pt idx="30" formatCode="General">
                        <c:v>-4.1758622754491022</c:v>
                      </c:pt>
                      <c:pt idx="31" formatCode="General">
                        <c:v>-4.1955029940119761</c:v>
                      </c:pt>
                      <c:pt idx="32" formatCode="General">
                        <c:v>-4.2151437125748501</c:v>
                      </c:pt>
                      <c:pt idx="33" formatCode="General">
                        <c:v>-4.2348562874251492</c:v>
                      </c:pt>
                      <c:pt idx="34" formatCode="General">
                        <c:v>-4.2546167664670653</c:v>
                      </c:pt>
                      <c:pt idx="35" formatCode="General">
                        <c:v>-4.2743772455089815</c:v>
                      </c:pt>
                      <c:pt idx="36" formatCode="General">
                        <c:v>-4.2941377245508976</c:v>
                      </c:pt>
                      <c:pt idx="37" formatCode="General">
                        <c:v>-4.3138982035928146</c:v>
                      </c:pt>
                      <c:pt idx="38" formatCode="General">
                        <c:v>-4.3336586826347308</c:v>
                      </c:pt>
                      <c:pt idx="39" formatCode="General">
                        <c:v>-4.3534191616766469</c:v>
                      </c:pt>
                      <c:pt idx="40" formatCode="General">
                        <c:v>-4.373179640718563</c:v>
                      </c:pt>
                      <c:pt idx="41" formatCode="General">
                        <c:v>-4.3929401197604792</c:v>
                      </c:pt>
                      <c:pt idx="42" formatCode="General">
                        <c:v>-4.4127005988023953</c:v>
                      </c:pt>
                      <c:pt idx="43" formatCode="General">
                        <c:v>-4.4324610778443114</c:v>
                      </c:pt>
                      <c:pt idx="44" formatCode="General">
                        <c:v>-4.4522215568862276</c:v>
                      </c:pt>
                      <c:pt idx="45" formatCode="General">
                        <c:v>-4.4719820359281437</c:v>
                      </c:pt>
                      <c:pt idx="46" formatCode="General">
                        <c:v>-4.4917425149700598</c:v>
                      </c:pt>
                      <c:pt idx="47" formatCode="General">
                        <c:v>-4.511502994011976</c:v>
                      </c:pt>
                      <c:pt idx="48" formatCode="General">
                        <c:v>-4.5312634730538921</c:v>
                      </c:pt>
                      <c:pt idx="49" formatCode="General">
                        <c:v>-4.5510239520958082</c:v>
                      </c:pt>
                      <c:pt idx="50" formatCode="General">
                        <c:v>-4.5702584269662925</c:v>
                      </c:pt>
                      <c:pt idx="51" formatCode="General">
                        <c:v>-4.5894344569288394</c:v>
                      </c:pt>
                      <c:pt idx="52" formatCode="General">
                        <c:v>-4.6086104868913855</c:v>
                      </c:pt>
                      <c:pt idx="53" formatCode="General">
                        <c:v>-4.6277865168539325</c:v>
                      </c:pt>
                      <c:pt idx="54" formatCode="General">
                        <c:v>-4.6469625468164795</c:v>
                      </c:pt>
                      <c:pt idx="55" formatCode="General">
                        <c:v>-4.6661385767790264</c:v>
                      </c:pt>
                      <c:pt idx="56" formatCode="General">
                        <c:v>-4.6853146067415734</c:v>
                      </c:pt>
                      <c:pt idx="57" formatCode="General">
                        <c:v>-4.7044906367041204</c:v>
                      </c:pt>
                      <c:pt idx="58" formatCode="General">
                        <c:v>-4.7236666666666665</c:v>
                      </c:pt>
                      <c:pt idx="59" formatCode="General">
                        <c:v>-4.7428426966292134</c:v>
                      </c:pt>
                      <c:pt idx="60" formatCode="General">
                        <c:v>-4.7620187265917604</c:v>
                      </c:pt>
                      <c:pt idx="61" formatCode="General">
                        <c:v>-4.7811947565543074</c:v>
                      </c:pt>
                      <c:pt idx="62" formatCode="General">
                        <c:v>-4.8003707865168543</c:v>
                      </c:pt>
                      <c:pt idx="63" formatCode="General">
                        <c:v>-4.8195468164794013</c:v>
                      </c:pt>
                      <c:pt idx="64" formatCode="General">
                        <c:v>-4.8387228464419483</c:v>
                      </c:pt>
                      <c:pt idx="65" formatCode="General">
                        <c:v>-4.8578988764044944</c:v>
                      </c:pt>
                      <c:pt idx="66" formatCode="General">
                        <c:v>-4.8768456928838955</c:v>
                      </c:pt>
                      <c:pt idx="67" formatCode="General">
                        <c:v>-4.8949430711610491</c:v>
                      </c:pt>
                      <c:pt idx="68" formatCode="General">
                        <c:v>-4.9130404494382027</c:v>
                      </c:pt>
                      <c:pt idx="69" formatCode="General">
                        <c:v>-4.9311378277153564</c:v>
                      </c:pt>
                      <c:pt idx="70" formatCode="General">
                        <c:v>-4.94923520599251</c:v>
                      </c:pt>
                      <c:pt idx="71" formatCode="General">
                        <c:v>-4.9673325842696627</c:v>
                      </c:pt>
                      <c:pt idx="72" formatCode="General">
                        <c:v>-4.9854299625468164</c:v>
                      </c:pt>
                      <c:pt idx="73" formatCode="General">
                        <c:v>-5.00352734082397</c:v>
                      </c:pt>
                      <c:pt idx="74" formatCode="General">
                        <c:v>-5.0216247191011236</c:v>
                      </c:pt>
                      <c:pt idx="75" formatCode="General">
                        <c:v>-5.0397220973782773</c:v>
                      </c:pt>
                      <c:pt idx="76" formatCode="General">
                        <c:v>-5.0578194756554309</c:v>
                      </c:pt>
                      <c:pt idx="77" formatCode="General">
                        <c:v>-5.0759168539325845</c:v>
                      </c:pt>
                      <c:pt idx="78" formatCode="General">
                        <c:v>-5.0940142322097381</c:v>
                      </c:pt>
                      <c:pt idx="79" formatCode="General">
                        <c:v>-5.1121116104868918</c:v>
                      </c:pt>
                      <c:pt idx="80" formatCode="General">
                        <c:v>-5.1302089887640445</c:v>
                      </c:pt>
                      <c:pt idx="81" formatCode="General">
                        <c:v>-5.1483063670411982</c:v>
                      </c:pt>
                      <c:pt idx="82" formatCode="General">
                        <c:v>-5.1664037453183518</c:v>
                      </c:pt>
                      <c:pt idx="83" formatCode="General">
                        <c:v>-5.1840538922155686</c:v>
                      </c:pt>
                      <c:pt idx="84" formatCode="General">
                        <c:v>-5.2012994011976046</c:v>
                      </c:pt>
                      <c:pt idx="85" formatCode="General">
                        <c:v>-5.2185449101796406</c:v>
                      </c:pt>
                      <c:pt idx="86" formatCode="General">
                        <c:v>-5.2357904191616766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4-7F43-47D9-9E15-19AA26622F09}"/>
                  </c:ext>
                </c:extLst>
              </c15:ser>
            </c15:filteredScatterSeries>
            <c15:filteredScatterSeries>
              <c15:ser>
                <c:idx val="13"/>
                <c:order val="15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306</c:v>
                      </c:pt>
                      <c:pt idx="1">
                        <c:v>314</c:v>
                      </c:pt>
                      <c:pt idx="2">
                        <c:v>322</c:v>
                      </c:pt>
                      <c:pt idx="3">
                        <c:v>330</c:v>
                      </c:pt>
                      <c:pt idx="4">
                        <c:v>338</c:v>
                      </c:pt>
                      <c:pt idx="5">
                        <c:v>346</c:v>
                      </c:pt>
                      <c:pt idx="6">
                        <c:v>354</c:v>
                      </c:pt>
                      <c:pt idx="7">
                        <c:v>362</c:v>
                      </c:pt>
                      <c:pt idx="8">
                        <c:v>370</c:v>
                      </c:pt>
                      <c:pt idx="9">
                        <c:v>378</c:v>
                      </c:pt>
                      <c:pt idx="10">
                        <c:v>386</c:v>
                      </c:pt>
                      <c:pt idx="11">
                        <c:v>394</c:v>
                      </c:pt>
                      <c:pt idx="12">
                        <c:v>402</c:v>
                      </c:pt>
                      <c:pt idx="13">
                        <c:v>410</c:v>
                      </c:pt>
                      <c:pt idx="14">
                        <c:v>418</c:v>
                      </c:pt>
                      <c:pt idx="15">
                        <c:v>426</c:v>
                      </c:pt>
                      <c:pt idx="16">
                        <c:v>434</c:v>
                      </c:pt>
                      <c:pt idx="17">
                        <c:v>442</c:v>
                      </c:pt>
                      <c:pt idx="18">
                        <c:v>450</c:v>
                      </c:pt>
                      <c:pt idx="19">
                        <c:v>458</c:v>
                      </c:pt>
                      <c:pt idx="20">
                        <c:v>466</c:v>
                      </c:pt>
                      <c:pt idx="21">
                        <c:v>474</c:v>
                      </c:pt>
                      <c:pt idx="22">
                        <c:v>482</c:v>
                      </c:pt>
                      <c:pt idx="23">
                        <c:v>490</c:v>
                      </c:pt>
                      <c:pt idx="24">
                        <c:v>498</c:v>
                      </c:pt>
                      <c:pt idx="25">
                        <c:v>506</c:v>
                      </c:pt>
                      <c:pt idx="26">
                        <c:v>514</c:v>
                      </c:pt>
                      <c:pt idx="27">
                        <c:v>522</c:v>
                      </c:pt>
                      <c:pt idx="28">
                        <c:v>530</c:v>
                      </c:pt>
                      <c:pt idx="29">
                        <c:v>538</c:v>
                      </c:pt>
                      <c:pt idx="30">
                        <c:v>546</c:v>
                      </c:pt>
                      <c:pt idx="31">
                        <c:v>554</c:v>
                      </c:pt>
                      <c:pt idx="32">
                        <c:v>562</c:v>
                      </c:pt>
                      <c:pt idx="33">
                        <c:v>570</c:v>
                      </c:pt>
                      <c:pt idx="34">
                        <c:v>578</c:v>
                      </c:pt>
                      <c:pt idx="35">
                        <c:v>586</c:v>
                      </c:pt>
                      <c:pt idx="36">
                        <c:v>594</c:v>
                      </c:pt>
                      <c:pt idx="37">
                        <c:v>602</c:v>
                      </c:pt>
                      <c:pt idx="38">
                        <c:v>610</c:v>
                      </c:pt>
                      <c:pt idx="39">
                        <c:v>618</c:v>
                      </c:pt>
                      <c:pt idx="40">
                        <c:v>626</c:v>
                      </c:pt>
                      <c:pt idx="41">
                        <c:v>634</c:v>
                      </c:pt>
                      <c:pt idx="42">
                        <c:v>642</c:v>
                      </c:pt>
                      <c:pt idx="43">
                        <c:v>650</c:v>
                      </c:pt>
                      <c:pt idx="44">
                        <c:v>658</c:v>
                      </c:pt>
                      <c:pt idx="45">
                        <c:v>666</c:v>
                      </c:pt>
                      <c:pt idx="46">
                        <c:v>674</c:v>
                      </c:pt>
                      <c:pt idx="47">
                        <c:v>682</c:v>
                      </c:pt>
                      <c:pt idx="48">
                        <c:v>690</c:v>
                      </c:pt>
                      <c:pt idx="49">
                        <c:v>698</c:v>
                      </c:pt>
                      <c:pt idx="50">
                        <c:v>706</c:v>
                      </c:pt>
                      <c:pt idx="51">
                        <c:v>714</c:v>
                      </c:pt>
                      <c:pt idx="52">
                        <c:v>722</c:v>
                      </c:pt>
                      <c:pt idx="53">
                        <c:v>730</c:v>
                      </c:pt>
                      <c:pt idx="54">
                        <c:v>738</c:v>
                      </c:pt>
                      <c:pt idx="55">
                        <c:v>746</c:v>
                      </c:pt>
                      <c:pt idx="56">
                        <c:v>754</c:v>
                      </c:pt>
                      <c:pt idx="57">
                        <c:v>762</c:v>
                      </c:pt>
                      <c:pt idx="58">
                        <c:v>770</c:v>
                      </c:pt>
                      <c:pt idx="59">
                        <c:v>778</c:v>
                      </c:pt>
                      <c:pt idx="60">
                        <c:v>786</c:v>
                      </c:pt>
                      <c:pt idx="61">
                        <c:v>794</c:v>
                      </c:pt>
                      <c:pt idx="62">
                        <c:v>802</c:v>
                      </c:pt>
                      <c:pt idx="63">
                        <c:v>810</c:v>
                      </c:pt>
                      <c:pt idx="64">
                        <c:v>818</c:v>
                      </c:pt>
                      <c:pt idx="65">
                        <c:v>826</c:v>
                      </c:pt>
                      <c:pt idx="66">
                        <c:v>834</c:v>
                      </c:pt>
                      <c:pt idx="67">
                        <c:v>842</c:v>
                      </c:pt>
                      <c:pt idx="68">
                        <c:v>850</c:v>
                      </c:pt>
                      <c:pt idx="69">
                        <c:v>858</c:v>
                      </c:pt>
                      <c:pt idx="70">
                        <c:v>866</c:v>
                      </c:pt>
                      <c:pt idx="71">
                        <c:v>874</c:v>
                      </c:pt>
                      <c:pt idx="72">
                        <c:v>882</c:v>
                      </c:pt>
                      <c:pt idx="73">
                        <c:v>890</c:v>
                      </c:pt>
                      <c:pt idx="74">
                        <c:v>898</c:v>
                      </c:pt>
                      <c:pt idx="75">
                        <c:v>906</c:v>
                      </c:pt>
                      <c:pt idx="76">
                        <c:v>914</c:v>
                      </c:pt>
                      <c:pt idx="77">
                        <c:v>922</c:v>
                      </c:pt>
                      <c:pt idx="78">
                        <c:v>930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EVALUATION!$B$116:$CP$116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-21.473063063063062</c:v>
                      </c:pt>
                      <c:pt idx="1">
                        <c:v>-21.045435435435436</c:v>
                      </c:pt>
                      <c:pt idx="2">
                        <c:v>-20.617807807807807</c:v>
                      </c:pt>
                      <c:pt idx="3">
                        <c:v>-20.190180180180178</c:v>
                      </c:pt>
                      <c:pt idx="4" formatCode="General">
                        <c:v>-20.082754491017962</c:v>
                      </c:pt>
                      <c:pt idx="5" formatCode="General">
                        <c:v>-20.049221556886227</c:v>
                      </c:pt>
                      <c:pt idx="6" formatCode="General">
                        <c:v>-20.015688622754489</c:v>
                      </c:pt>
                      <c:pt idx="7" formatCode="General">
                        <c:v>-19.982155688622754</c:v>
                      </c:pt>
                      <c:pt idx="8" formatCode="General">
                        <c:v>-20.046347305389222</c:v>
                      </c:pt>
                      <c:pt idx="9" formatCode="General">
                        <c:v>-20.166107784431137</c:v>
                      </c:pt>
                      <c:pt idx="10" formatCode="General">
                        <c:v>-20.285868263473052</c:v>
                      </c:pt>
                      <c:pt idx="11" formatCode="General">
                        <c:v>-20.40562874251497</c:v>
                      </c:pt>
                      <c:pt idx="12" formatCode="General">
                        <c:v>-20.526497005988023</c:v>
                      </c:pt>
                      <c:pt idx="13" formatCode="General">
                        <c:v>-20.648652694610778</c:v>
                      </c:pt>
                      <c:pt idx="14" formatCode="General">
                        <c:v>-20.770808383233533</c:v>
                      </c:pt>
                      <c:pt idx="15" formatCode="General">
                        <c:v>-20.892964071856287</c:v>
                      </c:pt>
                      <c:pt idx="16" formatCode="General">
                        <c:v>-21.015119760479042</c:v>
                      </c:pt>
                      <c:pt idx="17" formatCode="General">
                        <c:v>-21.137275449101796</c:v>
                      </c:pt>
                      <c:pt idx="18" formatCode="General">
                        <c:v>-21.259431137724551</c:v>
                      </c:pt>
                      <c:pt idx="19" formatCode="General">
                        <c:v>-21.381586826347306</c:v>
                      </c:pt>
                      <c:pt idx="20" formatCode="General">
                        <c:v>-21.504011976047902</c:v>
                      </c:pt>
                      <c:pt idx="21" formatCode="General">
                        <c:v>-21.628562874251497</c:v>
                      </c:pt>
                      <c:pt idx="22" formatCode="General">
                        <c:v>-21.753113772455091</c:v>
                      </c:pt>
                      <c:pt idx="23" formatCode="General">
                        <c:v>-21.877664670658682</c:v>
                      </c:pt>
                      <c:pt idx="24" formatCode="General">
                        <c:v>-22.002215568862276</c:v>
                      </c:pt>
                      <c:pt idx="25" formatCode="General">
                        <c:v>-22.122612612612613</c:v>
                      </c:pt>
                      <c:pt idx="26" formatCode="General">
                        <c:v>-22.242732732732733</c:v>
                      </c:pt>
                      <c:pt idx="27" formatCode="General">
                        <c:v>-22.362852852852853</c:v>
                      </c:pt>
                      <c:pt idx="28" formatCode="General">
                        <c:v>-22.482972972972973</c:v>
                      </c:pt>
                      <c:pt idx="29" formatCode="General">
                        <c:v>-22.604670658682636</c:v>
                      </c:pt>
                      <c:pt idx="30" formatCode="General">
                        <c:v>-22.726826347305391</c:v>
                      </c:pt>
                      <c:pt idx="31" formatCode="General">
                        <c:v>-22.848982035928145</c:v>
                      </c:pt>
                      <c:pt idx="32" formatCode="General">
                        <c:v>-22.971137724550896</c:v>
                      </c:pt>
                      <c:pt idx="33" formatCode="General">
                        <c:v>-23.089700598802395</c:v>
                      </c:pt>
                      <c:pt idx="34" formatCode="General">
                        <c:v>-23.205868263473054</c:v>
                      </c:pt>
                      <c:pt idx="35" formatCode="General">
                        <c:v>-23.322035928143713</c:v>
                      </c:pt>
                      <c:pt idx="36" formatCode="General">
                        <c:v>-23.438203592814371</c:v>
                      </c:pt>
                      <c:pt idx="37" formatCode="General">
                        <c:v>-23.55437125748503</c:v>
                      </c:pt>
                      <c:pt idx="38" formatCode="General">
                        <c:v>-23.670538922155689</c:v>
                      </c:pt>
                      <c:pt idx="39" formatCode="General">
                        <c:v>-23.786706586826348</c:v>
                      </c:pt>
                      <c:pt idx="40" formatCode="General">
                        <c:v>-23.902874251497007</c:v>
                      </c:pt>
                      <c:pt idx="41" formatCode="General">
                        <c:v>-24.019041916167666</c:v>
                      </c:pt>
                      <c:pt idx="42" formatCode="General">
                        <c:v>-24.135209580838325</c:v>
                      </c:pt>
                      <c:pt idx="43" formatCode="General">
                        <c:v>-24.251377245508984</c:v>
                      </c:pt>
                      <c:pt idx="44" formatCode="General">
                        <c:v>-24.367544910179642</c:v>
                      </c:pt>
                      <c:pt idx="45" formatCode="General">
                        <c:v>-24.483712574850301</c:v>
                      </c:pt>
                      <c:pt idx="46" formatCode="General">
                        <c:v>-24.59988023952096</c:v>
                      </c:pt>
                      <c:pt idx="47" formatCode="General">
                        <c:v>-24.716047904191619</c:v>
                      </c:pt>
                      <c:pt idx="48" formatCode="General">
                        <c:v>-24.832215568862278</c:v>
                      </c:pt>
                      <c:pt idx="49" formatCode="General">
                        <c:v>-24.948383233532937</c:v>
                      </c:pt>
                      <c:pt idx="50" formatCode="General">
                        <c:v>-25.057617977528093</c:v>
                      </c:pt>
                      <c:pt idx="51" formatCode="General">
                        <c:v>-25.166082397003748</c:v>
                      </c:pt>
                      <c:pt idx="52" formatCode="General">
                        <c:v>-25.2745468164794</c:v>
                      </c:pt>
                      <c:pt idx="53" formatCode="General">
                        <c:v>-25.383011235955056</c:v>
                      </c:pt>
                      <c:pt idx="54" formatCode="General">
                        <c:v>-25.491475655430712</c:v>
                      </c:pt>
                      <c:pt idx="55" formatCode="General">
                        <c:v>-25.599940074906367</c:v>
                      </c:pt>
                      <c:pt idx="56" formatCode="General">
                        <c:v>-25.708404494382023</c:v>
                      </c:pt>
                      <c:pt idx="57" formatCode="General">
                        <c:v>-25.816868913857679</c:v>
                      </c:pt>
                      <c:pt idx="58" formatCode="General">
                        <c:v>-25.925333333333334</c:v>
                      </c:pt>
                      <c:pt idx="59" formatCode="General">
                        <c:v>-26.03379775280899</c:v>
                      </c:pt>
                      <c:pt idx="60" formatCode="General">
                        <c:v>-26.142262172284646</c:v>
                      </c:pt>
                      <c:pt idx="61" formatCode="General">
                        <c:v>-26.250726591760301</c:v>
                      </c:pt>
                      <c:pt idx="62" formatCode="General">
                        <c:v>-26.359191011235957</c:v>
                      </c:pt>
                      <c:pt idx="63" formatCode="General">
                        <c:v>-26.467655430711609</c:v>
                      </c:pt>
                      <c:pt idx="64" formatCode="General">
                        <c:v>-26.576119850187265</c:v>
                      </c:pt>
                      <c:pt idx="65" formatCode="General">
                        <c:v>-26.684584269662921</c:v>
                      </c:pt>
                      <c:pt idx="66" formatCode="General">
                        <c:v>-26.791902621722848</c:v>
                      </c:pt>
                      <c:pt idx="67" formatCode="General">
                        <c:v>-26.894973782771537</c:v>
                      </c:pt>
                      <c:pt idx="68" formatCode="General">
                        <c:v>-26.998044943820226</c:v>
                      </c:pt>
                      <c:pt idx="69" formatCode="General">
                        <c:v>-27.101116104868915</c:v>
                      </c:pt>
                      <c:pt idx="70" formatCode="General">
                        <c:v>-27.204187265917604</c:v>
                      </c:pt>
                      <c:pt idx="71" formatCode="General">
                        <c:v>-27.307258426966293</c:v>
                      </c:pt>
                      <c:pt idx="72" formatCode="General">
                        <c:v>-27.410329588014982</c:v>
                      </c:pt>
                      <c:pt idx="73" formatCode="General">
                        <c:v>-27.513400749063671</c:v>
                      </c:pt>
                      <c:pt idx="74" formatCode="General">
                        <c:v>-27.616471910112359</c:v>
                      </c:pt>
                      <c:pt idx="75" formatCode="General">
                        <c:v>-27.719543071161048</c:v>
                      </c:pt>
                      <c:pt idx="76" formatCode="General">
                        <c:v>-27.822614232209737</c:v>
                      </c:pt>
                      <c:pt idx="77" formatCode="General">
                        <c:v>-27.925685393258426</c:v>
                      </c:pt>
                      <c:pt idx="78" formatCode="General">
                        <c:v>-28.028756554307115</c:v>
                      </c:pt>
                      <c:pt idx="79" formatCode="General">
                        <c:v>-28.131827715355804</c:v>
                      </c:pt>
                      <c:pt idx="80" formatCode="General">
                        <c:v>-28.234898876404493</c:v>
                      </c:pt>
                      <c:pt idx="81" formatCode="General">
                        <c:v>-28.337970037453182</c:v>
                      </c:pt>
                      <c:pt idx="82" formatCode="General">
                        <c:v>-28.441041198501871</c:v>
                      </c:pt>
                      <c:pt idx="83" formatCode="General">
                        <c:v>-28.541556886227543</c:v>
                      </c:pt>
                      <c:pt idx="84" formatCode="General">
                        <c:v>-28.639760479041914</c:v>
                      </c:pt>
                      <c:pt idx="85" formatCode="General">
                        <c:v>-28.737964071856286</c:v>
                      </c:pt>
                      <c:pt idx="86" formatCode="General">
                        <c:v>-28.836167664670658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5-7F43-47D9-9E15-19AA26622F09}"/>
                  </c:ext>
                </c:extLst>
              </c15:ser>
            </c15:filteredScatterSeries>
            <c15:filteredScatterSeries>
              <c15:ser>
                <c:idx val="14"/>
                <c:order val="16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306</c:v>
                      </c:pt>
                      <c:pt idx="1">
                        <c:v>314</c:v>
                      </c:pt>
                      <c:pt idx="2">
                        <c:v>322</c:v>
                      </c:pt>
                      <c:pt idx="3">
                        <c:v>330</c:v>
                      </c:pt>
                      <c:pt idx="4">
                        <c:v>338</c:v>
                      </c:pt>
                      <c:pt idx="5">
                        <c:v>346</c:v>
                      </c:pt>
                      <c:pt idx="6">
                        <c:v>354</c:v>
                      </c:pt>
                      <c:pt idx="7">
                        <c:v>362</c:v>
                      </c:pt>
                      <c:pt idx="8">
                        <c:v>370</c:v>
                      </c:pt>
                      <c:pt idx="9">
                        <c:v>378</c:v>
                      </c:pt>
                      <c:pt idx="10">
                        <c:v>386</c:v>
                      </c:pt>
                      <c:pt idx="11">
                        <c:v>394</c:v>
                      </c:pt>
                      <c:pt idx="12">
                        <c:v>402</c:v>
                      </c:pt>
                      <c:pt idx="13">
                        <c:v>410</c:v>
                      </c:pt>
                      <c:pt idx="14">
                        <c:v>418</c:v>
                      </c:pt>
                      <c:pt idx="15">
                        <c:v>426</c:v>
                      </c:pt>
                      <c:pt idx="16">
                        <c:v>434</c:v>
                      </c:pt>
                      <c:pt idx="17">
                        <c:v>442</c:v>
                      </c:pt>
                      <c:pt idx="18">
                        <c:v>450</c:v>
                      </c:pt>
                      <c:pt idx="19">
                        <c:v>458</c:v>
                      </c:pt>
                      <c:pt idx="20">
                        <c:v>466</c:v>
                      </c:pt>
                      <c:pt idx="21">
                        <c:v>474</c:v>
                      </c:pt>
                      <c:pt idx="22">
                        <c:v>482</c:v>
                      </c:pt>
                      <c:pt idx="23">
                        <c:v>490</c:v>
                      </c:pt>
                      <c:pt idx="24">
                        <c:v>498</c:v>
                      </c:pt>
                      <c:pt idx="25">
                        <c:v>506</c:v>
                      </c:pt>
                      <c:pt idx="26">
                        <c:v>514</c:v>
                      </c:pt>
                      <c:pt idx="27">
                        <c:v>522</c:v>
                      </c:pt>
                      <c:pt idx="28">
                        <c:v>530</c:v>
                      </c:pt>
                      <c:pt idx="29">
                        <c:v>538</c:v>
                      </c:pt>
                      <c:pt idx="30">
                        <c:v>546</c:v>
                      </c:pt>
                      <c:pt idx="31">
                        <c:v>554</c:v>
                      </c:pt>
                      <c:pt idx="32">
                        <c:v>562</c:v>
                      </c:pt>
                      <c:pt idx="33">
                        <c:v>570</c:v>
                      </c:pt>
                      <c:pt idx="34">
                        <c:v>578</c:v>
                      </c:pt>
                      <c:pt idx="35">
                        <c:v>586</c:v>
                      </c:pt>
                      <c:pt idx="36">
                        <c:v>594</c:v>
                      </c:pt>
                      <c:pt idx="37">
                        <c:v>602</c:v>
                      </c:pt>
                      <c:pt idx="38">
                        <c:v>610</c:v>
                      </c:pt>
                      <c:pt idx="39">
                        <c:v>618</c:v>
                      </c:pt>
                      <c:pt idx="40">
                        <c:v>626</c:v>
                      </c:pt>
                      <c:pt idx="41">
                        <c:v>634</c:v>
                      </c:pt>
                      <c:pt idx="42">
                        <c:v>642</c:v>
                      </c:pt>
                      <c:pt idx="43">
                        <c:v>650</c:v>
                      </c:pt>
                      <c:pt idx="44">
                        <c:v>658</c:v>
                      </c:pt>
                      <c:pt idx="45">
                        <c:v>666</c:v>
                      </c:pt>
                      <c:pt idx="46">
                        <c:v>674</c:v>
                      </c:pt>
                      <c:pt idx="47">
                        <c:v>682</c:v>
                      </c:pt>
                      <c:pt idx="48">
                        <c:v>690</c:v>
                      </c:pt>
                      <c:pt idx="49">
                        <c:v>698</c:v>
                      </c:pt>
                      <c:pt idx="50">
                        <c:v>706</c:v>
                      </c:pt>
                      <c:pt idx="51">
                        <c:v>714</c:v>
                      </c:pt>
                      <c:pt idx="52">
                        <c:v>722</c:v>
                      </c:pt>
                      <c:pt idx="53">
                        <c:v>730</c:v>
                      </c:pt>
                      <c:pt idx="54">
                        <c:v>738</c:v>
                      </c:pt>
                      <c:pt idx="55">
                        <c:v>746</c:v>
                      </c:pt>
                      <c:pt idx="56">
                        <c:v>754</c:v>
                      </c:pt>
                      <c:pt idx="57">
                        <c:v>762</c:v>
                      </c:pt>
                      <c:pt idx="58">
                        <c:v>770</c:v>
                      </c:pt>
                      <c:pt idx="59">
                        <c:v>778</c:v>
                      </c:pt>
                      <c:pt idx="60">
                        <c:v>786</c:v>
                      </c:pt>
                      <c:pt idx="61">
                        <c:v>794</c:v>
                      </c:pt>
                      <c:pt idx="62">
                        <c:v>802</c:v>
                      </c:pt>
                      <c:pt idx="63">
                        <c:v>810</c:v>
                      </c:pt>
                      <c:pt idx="64">
                        <c:v>818</c:v>
                      </c:pt>
                      <c:pt idx="65">
                        <c:v>826</c:v>
                      </c:pt>
                      <c:pt idx="66">
                        <c:v>834</c:v>
                      </c:pt>
                      <c:pt idx="67">
                        <c:v>842</c:v>
                      </c:pt>
                      <c:pt idx="68">
                        <c:v>850</c:v>
                      </c:pt>
                      <c:pt idx="69">
                        <c:v>858</c:v>
                      </c:pt>
                      <c:pt idx="70">
                        <c:v>866</c:v>
                      </c:pt>
                      <c:pt idx="71">
                        <c:v>874</c:v>
                      </c:pt>
                      <c:pt idx="72">
                        <c:v>882</c:v>
                      </c:pt>
                      <c:pt idx="73">
                        <c:v>890</c:v>
                      </c:pt>
                      <c:pt idx="74">
                        <c:v>898</c:v>
                      </c:pt>
                      <c:pt idx="75">
                        <c:v>906</c:v>
                      </c:pt>
                      <c:pt idx="76">
                        <c:v>914</c:v>
                      </c:pt>
                      <c:pt idx="77">
                        <c:v>922</c:v>
                      </c:pt>
                      <c:pt idx="78">
                        <c:v>930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EVALUATION!$B$117:$CP$117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6-7F43-47D9-9E15-19AA26622F09}"/>
                  </c:ext>
                </c:extLst>
              </c15:ser>
            </c15:filteredScatterSeries>
            <c15:filteredScatterSeries>
              <c15:ser>
                <c:idx val="15"/>
                <c:order val="17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306</c:v>
                      </c:pt>
                      <c:pt idx="1">
                        <c:v>314</c:v>
                      </c:pt>
                      <c:pt idx="2">
                        <c:v>322</c:v>
                      </c:pt>
                      <c:pt idx="3">
                        <c:v>330</c:v>
                      </c:pt>
                      <c:pt idx="4">
                        <c:v>338</c:v>
                      </c:pt>
                      <c:pt idx="5">
                        <c:v>346</c:v>
                      </c:pt>
                      <c:pt idx="6">
                        <c:v>354</c:v>
                      </c:pt>
                      <c:pt idx="7">
                        <c:v>362</c:v>
                      </c:pt>
                      <c:pt idx="8">
                        <c:v>370</c:v>
                      </c:pt>
                      <c:pt idx="9">
                        <c:v>378</c:v>
                      </c:pt>
                      <c:pt idx="10">
                        <c:v>386</c:v>
                      </c:pt>
                      <c:pt idx="11">
                        <c:v>394</c:v>
                      </c:pt>
                      <c:pt idx="12">
                        <c:v>402</c:v>
                      </c:pt>
                      <c:pt idx="13">
                        <c:v>410</c:v>
                      </c:pt>
                      <c:pt idx="14">
                        <c:v>418</c:v>
                      </c:pt>
                      <c:pt idx="15">
                        <c:v>426</c:v>
                      </c:pt>
                      <c:pt idx="16">
                        <c:v>434</c:v>
                      </c:pt>
                      <c:pt idx="17">
                        <c:v>442</c:v>
                      </c:pt>
                      <c:pt idx="18">
                        <c:v>450</c:v>
                      </c:pt>
                      <c:pt idx="19">
                        <c:v>458</c:v>
                      </c:pt>
                      <c:pt idx="20">
                        <c:v>466</c:v>
                      </c:pt>
                      <c:pt idx="21">
                        <c:v>474</c:v>
                      </c:pt>
                      <c:pt idx="22">
                        <c:v>482</c:v>
                      </c:pt>
                      <c:pt idx="23">
                        <c:v>490</c:v>
                      </c:pt>
                      <c:pt idx="24">
                        <c:v>498</c:v>
                      </c:pt>
                      <c:pt idx="25">
                        <c:v>506</c:v>
                      </c:pt>
                      <c:pt idx="26">
                        <c:v>514</c:v>
                      </c:pt>
                      <c:pt idx="27">
                        <c:v>522</c:v>
                      </c:pt>
                      <c:pt idx="28">
                        <c:v>530</c:v>
                      </c:pt>
                      <c:pt idx="29">
                        <c:v>538</c:v>
                      </c:pt>
                      <c:pt idx="30">
                        <c:v>546</c:v>
                      </c:pt>
                      <c:pt idx="31">
                        <c:v>554</c:v>
                      </c:pt>
                      <c:pt idx="32">
                        <c:v>562</c:v>
                      </c:pt>
                      <c:pt idx="33">
                        <c:v>570</c:v>
                      </c:pt>
                      <c:pt idx="34">
                        <c:v>578</c:v>
                      </c:pt>
                      <c:pt idx="35">
                        <c:v>586</c:v>
                      </c:pt>
                      <c:pt idx="36">
                        <c:v>594</c:v>
                      </c:pt>
                      <c:pt idx="37">
                        <c:v>602</c:v>
                      </c:pt>
                      <c:pt idx="38">
                        <c:v>610</c:v>
                      </c:pt>
                      <c:pt idx="39">
                        <c:v>618</c:v>
                      </c:pt>
                      <c:pt idx="40">
                        <c:v>626</c:v>
                      </c:pt>
                      <c:pt idx="41">
                        <c:v>634</c:v>
                      </c:pt>
                      <c:pt idx="42">
                        <c:v>642</c:v>
                      </c:pt>
                      <c:pt idx="43">
                        <c:v>650</c:v>
                      </c:pt>
                      <c:pt idx="44">
                        <c:v>658</c:v>
                      </c:pt>
                      <c:pt idx="45">
                        <c:v>666</c:v>
                      </c:pt>
                      <c:pt idx="46">
                        <c:v>674</c:v>
                      </c:pt>
                      <c:pt idx="47">
                        <c:v>682</c:v>
                      </c:pt>
                      <c:pt idx="48">
                        <c:v>690</c:v>
                      </c:pt>
                      <c:pt idx="49">
                        <c:v>698</c:v>
                      </c:pt>
                      <c:pt idx="50">
                        <c:v>706</c:v>
                      </c:pt>
                      <c:pt idx="51">
                        <c:v>714</c:v>
                      </c:pt>
                      <c:pt idx="52">
                        <c:v>722</c:v>
                      </c:pt>
                      <c:pt idx="53">
                        <c:v>730</c:v>
                      </c:pt>
                      <c:pt idx="54">
                        <c:v>738</c:v>
                      </c:pt>
                      <c:pt idx="55">
                        <c:v>746</c:v>
                      </c:pt>
                      <c:pt idx="56">
                        <c:v>754</c:v>
                      </c:pt>
                      <c:pt idx="57">
                        <c:v>762</c:v>
                      </c:pt>
                      <c:pt idx="58">
                        <c:v>770</c:v>
                      </c:pt>
                      <c:pt idx="59">
                        <c:v>778</c:v>
                      </c:pt>
                      <c:pt idx="60">
                        <c:v>786</c:v>
                      </c:pt>
                      <c:pt idx="61">
                        <c:v>794</c:v>
                      </c:pt>
                      <c:pt idx="62">
                        <c:v>802</c:v>
                      </c:pt>
                      <c:pt idx="63">
                        <c:v>810</c:v>
                      </c:pt>
                      <c:pt idx="64">
                        <c:v>818</c:v>
                      </c:pt>
                      <c:pt idx="65">
                        <c:v>826</c:v>
                      </c:pt>
                      <c:pt idx="66">
                        <c:v>834</c:v>
                      </c:pt>
                      <c:pt idx="67">
                        <c:v>842</c:v>
                      </c:pt>
                      <c:pt idx="68">
                        <c:v>850</c:v>
                      </c:pt>
                      <c:pt idx="69">
                        <c:v>858</c:v>
                      </c:pt>
                      <c:pt idx="70">
                        <c:v>866</c:v>
                      </c:pt>
                      <c:pt idx="71">
                        <c:v>874</c:v>
                      </c:pt>
                      <c:pt idx="72">
                        <c:v>882</c:v>
                      </c:pt>
                      <c:pt idx="73">
                        <c:v>890</c:v>
                      </c:pt>
                      <c:pt idx="74">
                        <c:v>898</c:v>
                      </c:pt>
                      <c:pt idx="75">
                        <c:v>906</c:v>
                      </c:pt>
                      <c:pt idx="76">
                        <c:v>914</c:v>
                      </c:pt>
                      <c:pt idx="77">
                        <c:v>922</c:v>
                      </c:pt>
                      <c:pt idx="78">
                        <c:v>930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EVALUATION!$B$118:$CP$118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7-7F43-47D9-9E15-19AA26622F09}"/>
                  </c:ext>
                </c:extLst>
              </c15:ser>
            </c15:filteredScatterSeries>
            <c15:filteredScatterSeries>
              <c15:ser>
                <c:idx val="16"/>
                <c:order val="18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306</c:v>
                      </c:pt>
                      <c:pt idx="1">
                        <c:v>314</c:v>
                      </c:pt>
                      <c:pt idx="2">
                        <c:v>322</c:v>
                      </c:pt>
                      <c:pt idx="3">
                        <c:v>330</c:v>
                      </c:pt>
                      <c:pt idx="4">
                        <c:v>338</c:v>
                      </c:pt>
                      <c:pt idx="5">
                        <c:v>346</c:v>
                      </c:pt>
                      <c:pt idx="6">
                        <c:v>354</c:v>
                      </c:pt>
                      <c:pt idx="7">
                        <c:v>362</c:v>
                      </c:pt>
                      <c:pt idx="8">
                        <c:v>370</c:v>
                      </c:pt>
                      <c:pt idx="9">
                        <c:v>378</c:v>
                      </c:pt>
                      <c:pt idx="10">
                        <c:v>386</c:v>
                      </c:pt>
                      <c:pt idx="11">
                        <c:v>394</c:v>
                      </c:pt>
                      <c:pt idx="12">
                        <c:v>402</c:v>
                      </c:pt>
                      <c:pt idx="13">
                        <c:v>410</c:v>
                      </c:pt>
                      <c:pt idx="14">
                        <c:v>418</c:v>
                      </c:pt>
                      <c:pt idx="15">
                        <c:v>426</c:v>
                      </c:pt>
                      <c:pt idx="16">
                        <c:v>434</c:v>
                      </c:pt>
                      <c:pt idx="17">
                        <c:v>442</c:v>
                      </c:pt>
                      <c:pt idx="18">
                        <c:v>450</c:v>
                      </c:pt>
                      <c:pt idx="19">
                        <c:v>458</c:v>
                      </c:pt>
                      <c:pt idx="20">
                        <c:v>466</c:v>
                      </c:pt>
                      <c:pt idx="21">
                        <c:v>474</c:v>
                      </c:pt>
                      <c:pt idx="22">
                        <c:v>482</c:v>
                      </c:pt>
                      <c:pt idx="23">
                        <c:v>490</c:v>
                      </c:pt>
                      <c:pt idx="24">
                        <c:v>498</c:v>
                      </c:pt>
                      <c:pt idx="25">
                        <c:v>506</c:v>
                      </c:pt>
                      <c:pt idx="26">
                        <c:v>514</c:v>
                      </c:pt>
                      <c:pt idx="27">
                        <c:v>522</c:v>
                      </c:pt>
                      <c:pt idx="28">
                        <c:v>530</c:v>
                      </c:pt>
                      <c:pt idx="29">
                        <c:v>538</c:v>
                      </c:pt>
                      <c:pt idx="30">
                        <c:v>546</c:v>
                      </c:pt>
                      <c:pt idx="31">
                        <c:v>554</c:v>
                      </c:pt>
                      <c:pt idx="32">
                        <c:v>562</c:v>
                      </c:pt>
                      <c:pt idx="33">
                        <c:v>570</c:v>
                      </c:pt>
                      <c:pt idx="34">
                        <c:v>578</c:v>
                      </c:pt>
                      <c:pt idx="35">
                        <c:v>586</c:v>
                      </c:pt>
                      <c:pt idx="36">
                        <c:v>594</c:v>
                      </c:pt>
                      <c:pt idx="37">
                        <c:v>602</c:v>
                      </c:pt>
                      <c:pt idx="38">
                        <c:v>610</c:v>
                      </c:pt>
                      <c:pt idx="39">
                        <c:v>618</c:v>
                      </c:pt>
                      <c:pt idx="40">
                        <c:v>626</c:v>
                      </c:pt>
                      <c:pt idx="41">
                        <c:v>634</c:v>
                      </c:pt>
                      <c:pt idx="42">
                        <c:v>642</c:v>
                      </c:pt>
                      <c:pt idx="43">
                        <c:v>650</c:v>
                      </c:pt>
                      <c:pt idx="44">
                        <c:v>658</c:v>
                      </c:pt>
                      <c:pt idx="45">
                        <c:v>666</c:v>
                      </c:pt>
                      <c:pt idx="46">
                        <c:v>674</c:v>
                      </c:pt>
                      <c:pt idx="47">
                        <c:v>682</c:v>
                      </c:pt>
                      <c:pt idx="48">
                        <c:v>690</c:v>
                      </c:pt>
                      <c:pt idx="49">
                        <c:v>698</c:v>
                      </c:pt>
                      <c:pt idx="50">
                        <c:v>706</c:v>
                      </c:pt>
                      <c:pt idx="51">
                        <c:v>714</c:v>
                      </c:pt>
                      <c:pt idx="52">
                        <c:v>722</c:v>
                      </c:pt>
                      <c:pt idx="53">
                        <c:v>730</c:v>
                      </c:pt>
                      <c:pt idx="54">
                        <c:v>738</c:v>
                      </c:pt>
                      <c:pt idx="55">
                        <c:v>746</c:v>
                      </c:pt>
                      <c:pt idx="56">
                        <c:v>754</c:v>
                      </c:pt>
                      <c:pt idx="57">
                        <c:v>762</c:v>
                      </c:pt>
                      <c:pt idx="58">
                        <c:v>770</c:v>
                      </c:pt>
                      <c:pt idx="59">
                        <c:v>778</c:v>
                      </c:pt>
                      <c:pt idx="60">
                        <c:v>786</c:v>
                      </c:pt>
                      <c:pt idx="61">
                        <c:v>794</c:v>
                      </c:pt>
                      <c:pt idx="62">
                        <c:v>802</c:v>
                      </c:pt>
                      <c:pt idx="63">
                        <c:v>810</c:v>
                      </c:pt>
                      <c:pt idx="64">
                        <c:v>818</c:v>
                      </c:pt>
                      <c:pt idx="65">
                        <c:v>826</c:v>
                      </c:pt>
                      <c:pt idx="66">
                        <c:v>834</c:v>
                      </c:pt>
                      <c:pt idx="67">
                        <c:v>842</c:v>
                      </c:pt>
                      <c:pt idx="68">
                        <c:v>850</c:v>
                      </c:pt>
                      <c:pt idx="69">
                        <c:v>858</c:v>
                      </c:pt>
                      <c:pt idx="70">
                        <c:v>866</c:v>
                      </c:pt>
                      <c:pt idx="71">
                        <c:v>874</c:v>
                      </c:pt>
                      <c:pt idx="72">
                        <c:v>882</c:v>
                      </c:pt>
                      <c:pt idx="73">
                        <c:v>890</c:v>
                      </c:pt>
                      <c:pt idx="74">
                        <c:v>898</c:v>
                      </c:pt>
                      <c:pt idx="75">
                        <c:v>906</c:v>
                      </c:pt>
                      <c:pt idx="76">
                        <c:v>914</c:v>
                      </c:pt>
                      <c:pt idx="77">
                        <c:v>922</c:v>
                      </c:pt>
                      <c:pt idx="78">
                        <c:v>930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EVALUATION!$B$119:$CP$119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8-7F43-47D9-9E15-19AA26622F09}"/>
                  </c:ext>
                </c:extLst>
              </c15:ser>
            </c15:filteredScatterSeries>
            <c15:filteredScatterSeries>
              <c15:ser>
                <c:idx val="17"/>
                <c:order val="19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306</c:v>
                      </c:pt>
                      <c:pt idx="1">
                        <c:v>314</c:v>
                      </c:pt>
                      <c:pt idx="2">
                        <c:v>322</c:v>
                      </c:pt>
                      <c:pt idx="3">
                        <c:v>330</c:v>
                      </c:pt>
                      <c:pt idx="4">
                        <c:v>338</c:v>
                      </c:pt>
                      <c:pt idx="5">
                        <c:v>346</c:v>
                      </c:pt>
                      <c:pt idx="6">
                        <c:v>354</c:v>
                      </c:pt>
                      <c:pt idx="7">
                        <c:v>362</c:v>
                      </c:pt>
                      <c:pt idx="8">
                        <c:v>370</c:v>
                      </c:pt>
                      <c:pt idx="9">
                        <c:v>378</c:v>
                      </c:pt>
                      <c:pt idx="10">
                        <c:v>386</c:v>
                      </c:pt>
                      <c:pt idx="11">
                        <c:v>394</c:v>
                      </c:pt>
                      <c:pt idx="12">
                        <c:v>402</c:v>
                      </c:pt>
                      <c:pt idx="13">
                        <c:v>410</c:v>
                      </c:pt>
                      <c:pt idx="14">
                        <c:v>418</c:v>
                      </c:pt>
                      <c:pt idx="15">
                        <c:v>426</c:v>
                      </c:pt>
                      <c:pt idx="16">
                        <c:v>434</c:v>
                      </c:pt>
                      <c:pt idx="17">
                        <c:v>442</c:v>
                      </c:pt>
                      <c:pt idx="18">
                        <c:v>450</c:v>
                      </c:pt>
                      <c:pt idx="19">
                        <c:v>458</c:v>
                      </c:pt>
                      <c:pt idx="20">
                        <c:v>466</c:v>
                      </c:pt>
                      <c:pt idx="21">
                        <c:v>474</c:v>
                      </c:pt>
                      <c:pt idx="22">
                        <c:v>482</c:v>
                      </c:pt>
                      <c:pt idx="23">
                        <c:v>490</c:v>
                      </c:pt>
                      <c:pt idx="24">
                        <c:v>498</c:v>
                      </c:pt>
                      <c:pt idx="25">
                        <c:v>506</c:v>
                      </c:pt>
                      <c:pt idx="26">
                        <c:v>514</c:v>
                      </c:pt>
                      <c:pt idx="27">
                        <c:v>522</c:v>
                      </c:pt>
                      <c:pt idx="28">
                        <c:v>530</c:v>
                      </c:pt>
                      <c:pt idx="29">
                        <c:v>538</c:v>
                      </c:pt>
                      <c:pt idx="30">
                        <c:v>546</c:v>
                      </c:pt>
                      <c:pt idx="31">
                        <c:v>554</c:v>
                      </c:pt>
                      <c:pt idx="32">
                        <c:v>562</c:v>
                      </c:pt>
                      <c:pt idx="33">
                        <c:v>570</c:v>
                      </c:pt>
                      <c:pt idx="34">
                        <c:v>578</c:v>
                      </c:pt>
                      <c:pt idx="35">
                        <c:v>586</c:v>
                      </c:pt>
                      <c:pt idx="36">
                        <c:v>594</c:v>
                      </c:pt>
                      <c:pt idx="37">
                        <c:v>602</c:v>
                      </c:pt>
                      <c:pt idx="38">
                        <c:v>610</c:v>
                      </c:pt>
                      <c:pt idx="39">
                        <c:v>618</c:v>
                      </c:pt>
                      <c:pt idx="40">
                        <c:v>626</c:v>
                      </c:pt>
                      <c:pt idx="41">
                        <c:v>634</c:v>
                      </c:pt>
                      <c:pt idx="42">
                        <c:v>642</c:v>
                      </c:pt>
                      <c:pt idx="43">
                        <c:v>650</c:v>
                      </c:pt>
                      <c:pt idx="44">
                        <c:v>658</c:v>
                      </c:pt>
                      <c:pt idx="45">
                        <c:v>666</c:v>
                      </c:pt>
                      <c:pt idx="46">
                        <c:v>674</c:v>
                      </c:pt>
                      <c:pt idx="47">
                        <c:v>682</c:v>
                      </c:pt>
                      <c:pt idx="48">
                        <c:v>690</c:v>
                      </c:pt>
                      <c:pt idx="49">
                        <c:v>698</c:v>
                      </c:pt>
                      <c:pt idx="50">
                        <c:v>706</c:v>
                      </c:pt>
                      <c:pt idx="51">
                        <c:v>714</c:v>
                      </c:pt>
                      <c:pt idx="52">
                        <c:v>722</c:v>
                      </c:pt>
                      <c:pt idx="53">
                        <c:v>730</c:v>
                      </c:pt>
                      <c:pt idx="54">
                        <c:v>738</c:v>
                      </c:pt>
                      <c:pt idx="55">
                        <c:v>746</c:v>
                      </c:pt>
                      <c:pt idx="56">
                        <c:v>754</c:v>
                      </c:pt>
                      <c:pt idx="57">
                        <c:v>762</c:v>
                      </c:pt>
                      <c:pt idx="58">
                        <c:v>770</c:v>
                      </c:pt>
                      <c:pt idx="59">
                        <c:v>778</c:v>
                      </c:pt>
                      <c:pt idx="60">
                        <c:v>786</c:v>
                      </c:pt>
                      <c:pt idx="61">
                        <c:v>794</c:v>
                      </c:pt>
                      <c:pt idx="62">
                        <c:v>802</c:v>
                      </c:pt>
                      <c:pt idx="63">
                        <c:v>810</c:v>
                      </c:pt>
                      <c:pt idx="64">
                        <c:v>818</c:v>
                      </c:pt>
                      <c:pt idx="65">
                        <c:v>826</c:v>
                      </c:pt>
                      <c:pt idx="66">
                        <c:v>834</c:v>
                      </c:pt>
                      <c:pt idx="67">
                        <c:v>842</c:v>
                      </c:pt>
                      <c:pt idx="68">
                        <c:v>850</c:v>
                      </c:pt>
                      <c:pt idx="69">
                        <c:v>858</c:v>
                      </c:pt>
                      <c:pt idx="70">
                        <c:v>866</c:v>
                      </c:pt>
                      <c:pt idx="71">
                        <c:v>874</c:v>
                      </c:pt>
                      <c:pt idx="72">
                        <c:v>882</c:v>
                      </c:pt>
                      <c:pt idx="73">
                        <c:v>890</c:v>
                      </c:pt>
                      <c:pt idx="74">
                        <c:v>898</c:v>
                      </c:pt>
                      <c:pt idx="75">
                        <c:v>906</c:v>
                      </c:pt>
                      <c:pt idx="76">
                        <c:v>914</c:v>
                      </c:pt>
                      <c:pt idx="77">
                        <c:v>922</c:v>
                      </c:pt>
                      <c:pt idx="78">
                        <c:v>930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EVALUATION!$B$120:$CP$120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9-7F43-47D9-9E15-19AA26622F09}"/>
                  </c:ext>
                </c:extLst>
              </c15:ser>
            </c15:filteredScatterSeries>
            <c15:filteredScatterSeries>
              <c15:ser>
                <c:idx val="18"/>
                <c:order val="20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306</c:v>
                      </c:pt>
                      <c:pt idx="1">
                        <c:v>314</c:v>
                      </c:pt>
                      <c:pt idx="2">
                        <c:v>322</c:v>
                      </c:pt>
                      <c:pt idx="3">
                        <c:v>330</c:v>
                      </c:pt>
                      <c:pt idx="4">
                        <c:v>338</c:v>
                      </c:pt>
                      <c:pt idx="5">
                        <c:v>346</c:v>
                      </c:pt>
                      <c:pt idx="6">
                        <c:v>354</c:v>
                      </c:pt>
                      <c:pt idx="7">
                        <c:v>362</c:v>
                      </c:pt>
                      <c:pt idx="8">
                        <c:v>370</c:v>
                      </c:pt>
                      <c:pt idx="9">
                        <c:v>378</c:v>
                      </c:pt>
                      <c:pt idx="10">
                        <c:v>386</c:v>
                      </c:pt>
                      <c:pt idx="11">
                        <c:v>394</c:v>
                      </c:pt>
                      <c:pt idx="12">
                        <c:v>402</c:v>
                      </c:pt>
                      <c:pt idx="13">
                        <c:v>410</c:v>
                      </c:pt>
                      <c:pt idx="14">
                        <c:v>418</c:v>
                      </c:pt>
                      <c:pt idx="15">
                        <c:v>426</c:v>
                      </c:pt>
                      <c:pt idx="16">
                        <c:v>434</c:v>
                      </c:pt>
                      <c:pt idx="17">
                        <c:v>442</c:v>
                      </c:pt>
                      <c:pt idx="18">
                        <c:v>450</c:v>
                      </c:pt>
                      <c:pt idx="19">
                        <c:v>458</c:v>
                      </c:pt>
                      <c:pt idx="20">
                        <c:v>466</c:v>
                      </c:pt>
                      <c:pt idx="21">
                        <c:v>474</c:v>
                      </c:pt>
                      <c:pt idx="22">
                        <c:v>482</c:v>
                      </c:pt>
                      <c:pt idx="23">
                        <c:v>490</c:v>
                      </c:pt>
                      <c:pt idx="24">
                        <c:v>498</c:v>
                      </c:pt>
                      <c:pt idx="25">
                        <c:v>506</c:v>
                      </c:pt>
                      <c:pt idx="26">
                        <c:v>514</c:v>
                      </c:pt>
                      <c:pt idx="27">
                        <c:v>522</c:v>
                      </c:pt>
                      <c:pt idx="28">
                        <c:v>530</c:v>
                      </c:pt>
                      <c:pt idx="29">
                        <c:v>538</c:v>
                      </c:pt>
                      <c:pt idx="30">
                        <c:v>546</c:v>
                      </c:pt>
                      <c:pt idx="31">
                        <c:v>554</c:v>
                      </c:pt>
                      <c:pt idx="32">
                        <c:v>562</c:v>
                      </c:pt>
                      <c:pt idx="33">
                        <c:v>570</c:v>
                      </c:pt>
                      <c:pt idx="34">
                        <c:v>578</c:v>
                      </c:pt>
                      <c:pt idx="35">
                        <c:v>586</c:v>
                      </c:pt>
                      <c:pt idx="36">
                        <c:v>594</c:v>
                      </c:pt>
                      <c:pt idx="37">
                        <c:v>602</c:v>
                      </c:pt>
                      <c:pt idx="38">
                        <c:v>610</c:v>
                      </c:pt>
                      <c:pt idx="39">
                        <c:v>618</c:v>
                      </c:pt>
                      <c:pt idx="40">
                        <c:v>626</c:v>
                      </c:pt>
                      <c:pt idx="41">
                        <c:v>634</c:v>
                      </c:pt>
                      <c:pt idx="42">
                        <c:v>642</c:v>
                      </c:pt>
                      <c:pt idx="43">
                        <c:v>650</c:v>
                      </c:pt>
                      <c:pt idx="44">
                        <c:v>658</c:v>
                      </c:pt>
                      <c:pt idx="45">
                        <c:v>666</c:v>
                      </c:pt>
                      <c:pt idx="46">
                        <c:v>674</c:v>
                      </c:pt>
                      <c:pt idx="47">
                        <c:v>682</c:v>
                      </c:pt>
                      <c:pt idx="48">
                        <c:v>690</c:v>
                      </c:pt>
                      <c:pt idx="49">
                        <c:v>698</c:v>
                      </c:pt>
                      <c:pt idx="50">
                        <c:v>706</c:v>
                      </c:pt>
                      <c:pt idx="51">
                        <c:v>714</c:v>
                      </c:pt>
                      <c:pt idx="52">
                        <c:v>722</c:v>
                      </c:pt>
                      <c:pt idx="53">
                        <c:v>730</c:v>
                      </c:pt>
                      <c:pt idx="54">
                        <c:v>738</c:v>
                      </c:pt>
                      <c:pt idx="55">
                        <c:v>746</c:v>
                      </c:pt>
                      <c:pt idx="56">
                        <c:v>754</c:v>
                      </c:pt>
                      <c:pt idx="57">
                        <c:v>762</c:v>
                      </c:pt>
                      <c:pt idx="58">
                        <c:v>770</c:v>
                      </c:pt>
                      <c:pt idx="59">
                        <c:v>778</c:v>
                      </c:pt>
                      <c:pt idx="60">
                        <c:v>786</c:v>
                      </c:pt>
                      <c:pt idx="61">
                        <c:v>794</c:v>
                      </c:pt>
                      <c:pt idx="62">
                        <c:v>802</c:v>
                      </c:pt>
                      <c:pt idx="63">
                        <c:v>810</c:v>
                      </c:pt>
                      <c:pt idx="64">
                        <c:v>818</c:v>
                      </c:pt>
                      <c:pt idx="65">
                        <c:v>826</c:v>
                      </c:pt>
                      <c:pt idx="66">
                        <c:v>834</c:v>
                      </c:pt>
                      <c:pt idx="67">
                        <c:v>842</c:v>
                      </c:pt>
                      <c:pt idx="68">
                        <c:v>850</c:v>
                      </c:pt>
                      <c:pt idx="69">
                        <c:v>858</c:v>
                      </c:pt>
                      <c:pt idx="70">
                        <c:v>866</c:v>
                      </c:pt>
                      <c:pt idx="71">
                        <c:v>874</c:v>
                      </c:pt>
                      <c:pt idx="72">
                        <c:v>882</c:v>
                      </c:pt>
                      <c:pt idx="73">
                        <c:v>890</c:v>
                      </c:pt>
                      <c:pt idx="74">
                        <c:v>898</c:v>
                      </c:pt>
                      <c:pt idx="75">
                        <c:v>906</c:v>
                      </c:pt>
                      <c:pt idx="76">
                        <c:v>914</c:v>
                      </c:pt>
                      <c:pt idx="77">
                        <c:v>922</c:v>
                      </c:pt>
                      <c:pt idx="78">
                        <c:v>930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EVALUATION!$B$121:$CP$121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A-7F43-47D9-9E15-19AA26622F09}"/>
                  </c:ext>
                </c:extLst>
              </c15:ser>
            </c15:filteredScatterSeries>
            <c15:filteredScatterSeries>
              <c15:ser>
                <c:idx val="19"/>
                <c:order val="21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306</c:v>
                      </c:pt>
                      <c:pt idx="1">
                        <c:v>314</c:v>
                      </c:pt>
                      <c:pt idx="2">
                        <c:v>322</c:v>
                      </c:pt>
                      <c:pt idx="3">
                        <c:v>330</c:v>
                      </c:pt>
                      <c:pt idx="4">
                        <c:v>338</c:v>
                      </c:pt>
                      <c:pt idx="5">
                        <c:v>346</c:v>
                      </c:pt>
                      <c:pt idx="6">
                        <c:v>354</c:v>
                      </c:pt>
                      <c:pt idx="7">
                        <c:v>362</c:v>
                      </c:pt>
                      <c:pt idx="8">
                        <c:v>370</c:v>
                      </c:pt>
                      <c:pt idx="9">
                        <c:v>378</c:v>
                      </c:pt>
                      <c:pt idx="10">
                        <c:v>386</c:v>
                      </c:pt>
                      <c:pt idx="11">
                        <c:v>394</c:v>
                      </c:pt>
                      <c:pt idx="12">
                        <c:v>402</c:v>
                      </c:pt>
                      <c:pt idx="13">
                        <c:v>410</c:v>
                      </c:pt>
                      <c:pt idx="14">
                        <c:v>418</c:v>
                      </c:pt>
                      <c:pt idx="15">
                        <c:v>426</c:v>
                      </c:pt>
                      <c:pt idx="16">
                        <c:v>434</c:v>
                      </c:pt>
                      <c:pt idx="17">
                        <c:v>442</c:v>
                      </c:pt>
                      <c:pt idx="18">
                        <c:v>450</c:v>
                      </c:pt>
                      <c:pt idx="19">
                        <c:v>458</c:v>
                      </c:pt>
                      <c:pt idx="20">
                        <c:v>466</c:v>
                      </c:pt>
                      <c:pt idx="21">
                        <c:v>474</c:v>
                      </c:pt>
                      <c:pt idx="22">
                        <c:v>482</c:v>
                      </c:pt>
                      <c:pt idx="23">
                        <c:v>490</c:v>
                      </c:pt>
                      <c:pt idx="24">
                        <c:v>498</c:v>
                      </c:pt>
                      <c:pt idx="25">
                        <c:v>506</c:v>
                      </c:pt>
                      <c:pt idx="26">
                        <c:v>514</c:v>
                      </c:pt>
                      <c:pt idx="27">
                        <c:v>522</c:v>
                      </c:pt>
                      <c:pt idx="28">
                        <c:v>530</c:v>
                      </c:pt>
                      <c:pt idx="29">
                        <c:v>538</c:v>
                      </c:pt>
                      <c:pt idx="30">
                        <c:v>546</c:v>
                      </c:pt>
                      <c:pt idx="31">
                        <c:v>554</c:v>
                      </c:pt>
                      <c:pt idx="32">
                        <c:v>562</c:v>
                      </c:pt>
                      <c:pt idx="33">
                        <c:v>570</c:v>
                      </c:pt>
                      <c:pt idx="34">
                        <c:v>578</c:v>
                      </c:pt>
                      <c:pt idx="35">
                        <c:v>586</c:v>
                      </c:pt>
                      <c:pt idx="36">
                        <c:v>594</c:v>
                      </c:pt>
                      <c:pt idx="37">
                        <c:v>602</c:v>
                      </c:pt>
                      <c:pt idx="38">
                        <c:v>610</c:v>
                      </c:pt>
                      <c:pt idx="39">
                        <c:v>618</c:v>
                      </c:pt>
                      <c:pt idx="40">
                        <c:v>626</c:v>
                      </c:pt>
                      <c:pt idx="41">
                        <c:v>634</c:v>
                      </c:pt>
                      <c:pt idx="42">
                        <c:v>642</c:v>
                      </c:pt>
                      <c:pt idx="43">
                        <c:v>650</c:v>
                      </c:pt>
                      <c:pt idx="44">
                        <c:v>658</c:v>
                      </c:pt>
                      <c:pt idx="45">
                        <c:v>666</c:v>
                      </c:pt>
                      <c:pt idx="46">
                        <c:v>674</c:v>
                      </c:pt>
                      <c:pt idx="47">
                        <c:v>682</c:v>
                      </c:pt>
                      <c:pt idx="48">
                        <c:v>690</c:v>
                      </c:pt>
                      <c:pt idx="49">
                        <c:v>698</c:v>
                      </c:pt>
                      <c:pt idx="50">
                        <c:v>706</c:v>
                      </c:pt>
                      <c:pt idx="51">
                        <c:v>714</c:v>
                      </c:pt>
                      <c:pt idx="52">
                        <c:v>722</c:v>
                      </c:pt>
                      <c:pt idx="53">
                        <c:v>730</c:v>
                      </c:pt>
                      <c:pt idx="54">
                        <c:v>738</c:v>
                      </c:pt>
                      <c:pt idx="55">
                        <c:v>746</c:v>
                      </c:pt>
                      <c:pt idx="56">
                        <c:v>754</c:v>
                      </c:pt>
                      <c:pt idx="57">
                        <c:v>762</c:v>
                      </c:pt>
                      <c:pt idx="58">
                        <c:v>770</c:v>
                      </c:pt>
                      <c:pt idx="59">
                        <c:v>778</c:v>
                      </c:pt>
                      <c:pt idx="60">
                        <c:v>786</c:v>
                      </c:pt>
                      <c:pt idx="61">
                        <c:v>794</c:v>
                      </c:pt>
                      <c:pt idx="62">
                        <c:v>802</c:v>
                      </c:pt>
                      <c:pt idx="63">
                        <c:v>810</c:v>
                      </c:pt>
                      <c:pt idx="64">
                        <c:v>818</c:v>
                      </c:pt>
                      <c:pt idx="65">
                        <c:v>826</c:v>
                      </c:pt>
                      <c:pt idx="66">
                        <c:v>834</c:v>
                      </c:pt>
                      <c:pt idx="67">
                        <c:v>842</c:v>
                      </c:pt>
                      <c:pt idx="68">
                        <c:v>850</c:v>
                      </c:pt>
                      <c:pt idx="69">
                        <c:v>858</c:v>
                      </c:pt>
                      <c:pt idx="70">
                        <c:v>866</c:v>
                      </c:pt>
                      <c:pt idx="71">
                        <c:v>874</c:v>
                      </c:pt>
                      <c:pt idx="72">
                        <c:v>882</c:v>
                      </c:pt>
                      <c:pt idx="73">
                        <c:v>890</c:v>
                      </c:pt>
                      <c:pt idx="74">
                        <c:v>898</c:v>
                      </c:pt>
                      <c:pt idx="75">
                        <c:v>906</c:v>
                      </c:pt>
                      <c:pt idx="76">
                        <c:v>914</c:v>
                      </c:pt>
                      <c:pt idx="77">
                        <c:v>922</c:v>
                      </c:pt>
                      <c:pt idx="78">
                        <c:v>930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EVALUATION!$B$122:$CP$122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B-7F43-47D9-9E15-19AA26622F09}"/>
                  </c:ext>
                </c:extLst>
              </c15:ser>
            </c15:filteredScatterSeries>
            <c15:filteredScatterSeries>
              <c15:ser>
                <c:idx val="20"/>
                <c:order val="22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306</c:v>
                      </c:pt>
                      <c:pt idx="1">
                        <c:v>314</c:v>
                      </c:pt>
                      <c:pt idx="2">
                        <c:v>322</c:v>
                      </c:pt>
                      <c:pt idx="3">
                        <c:v>330</c:v>
                      </c:pt>
                      <c:pt idx="4">
                        <c:v>338</c:v>
                      </c:pt>
                      <c:pt idx="5">
                        <c:v>346</c:v>
                      </c:pt>
                      <c:pt idx="6">
                        <c:v>354</c:v>
                      </c:pt>
                      <c:pt idx="7">
                        <c:v>362</c:v>
                      </c:pt>
                      <c:pt idx="8">
                        <c:v>370</c:v>
                      </c:pt>
                      <c:pt idx="9">
                        <c:v>378</c:v>
                      </c:pt>
                      <c:pt idx="10">
                        <c:v>386</c:v>
                      </c:pt>
                      <c:pt idx="11">
                        <c:v>394</c:v>
                      </c:pt>
                      <c:pt idx="12">
                        <c:v>402</c:v>
                      </c:pt>
                      <c:pt idx="13">
                        <c:v>410</c:v>
                      </c:pt>
                      <c:pt idx="14">
                        <c:v>418</c:v>
                      </c:pt>
                      <c:pt idx="15">
                        <c:v>426</c:v>
                      </c:pt>
                      <c:pt idx="16">
                        <c:v>434</c:v>
                      </c:pt>
                      <c:pt idx="17">
                        <c:v>442</c:v>
                      </c:pt>
                      <c:pt idx="18">
                        <c:v>450</c:v>
                      </c:pt>
                      <c:pt idx="19">
                        <c:v>458</c:v>
                      </c:pt>
                      <c:pt idx="20">
                        <c:v>466</c:v>
                      </c:pt>
                      <c:pt idx="21">
                        <c:v>474</c:v>
                      </c:pt>
                      <c:pt idx="22">
                        <c:v>482</c:v>
                      </c:pt>
                      <c:pt idx="23">
                        <c:v>490</c:v>
                      </c:pt>
                      <c:pt idx="24">
                        <c:v>498</c:v>
                      </c:pt>
                      <c:pt idx="25">
                        <c:v>506</c:v>
                      </c:pt>
                      <c:pt idx="26">
                        <c:v>514</c:v>
                      </c:pt>
                      <c:pt idx="27">
                        <c:v>522</c:v>
                      </c:pt>
                      <c:pt idx="28">
                        <c:v>530</c:v>
                      </c:pt>
                      <c:pt idx="29">
                        <c:v>538</c:v>
                      </c:pt>
                      <c:pt idx="30">
                        <c:v>546</c:v>
                      </c:pt>
                      <c:pt idx="31">
                        <c:v>554</c:v>
                      </c:pt>
                      <c:pt idx="32">
                        <c:v>562</c:v>
                      </c:pt>
                      <c:pt idx="33">
                        <c:v>570</c:v>
                      </c:pt>
                      <c:pt idx="34">
                        <c:v>578</c:v>
                      </c:pt>
                      <c:pt idx="35">
                        <c:v>586</c:v>
                      </c:pt>
                      <c:pt idx="36">
                        <c:v>594</c:v>
                      </c:pt>
                      <c:pt idx="37">
                        <c:v>602</c:v>
                      </c:pt>
                      <c:pt idx="38">
                        <c:v>610</c:v>
                      </c:pt>
                      <c:pt idx="39">
                        <c:v>618</c:v>
                      </c:pt>
                      <c:pt idx="40">
                        <c:v>626</c:v>
                      </c:pt>
                      <c:pt idx="41">
                        <c:v>634</c:v>
                      </c:pt>
                      <c:pt idx="42">
                        <c:v>642</c:v>
                      </c:pt>
                      <c:pt idx="43">
                        <c:v>650</c:v>
                      </c:pt>
                      <c:pt idx="44">
                        <c:v>658</c:v>
                      </c:pt>
                      <c:pt idx="45">
                        <c:v>666</c:v>
                      </c:pt>
                      <c:pt idx="46">
                        <c:v>674</c:v>
                      </c:pt>
                      <c:pt idx="47">
                        <c:v>682</c:v>
                      </c:pt>
                      <c:pt idx="48">
                        <c:v>690</c:v>
                      </c:pt>
                      <c:pt idx="49">
                        <c:v>698</c:v>
                      </c:pt>
                      <c:pt idx="50">
                        <c:v>706</c:v>
                      </c:pt>
                      <c:pt idx="51">
                        <c:v>714</c:v>
                      </c:pt>
                      <c:pt idx="52">
                        <c:v>722</c:v>
                      </c:pt>
                      <c:pt idx="53">
                        <c:v>730</c:v>
                      </c:pt>
                      <c:pt idx="54">
                        <c:v>738</c:v>
                      </c:pt>
                      <c:pt idx="55">
                        <c:v>746</c:v>
                      </c:pt>
                      <c:pt idx="56">
                        <c:v>754</c:v>
                      </c:pt>
                      <c:pt idx="57">
                        <c:v>762</c:v>
                      </c:pt>
                      <c:pt idx="58">
                        <c:v>770</c:v>
                      </c:pt>
                      <c:pt idx="59">
                        <c:v>778</c:v>
                      </c:pt>
                      <c:pt idx="60">
                        <c:v>786</c:v>
                      </c:pt>
                      <c:pt idx="61">
                        <c:v>794</c:v>
                      </c:pt>
                      <c:pt idx="62">
                        <c:v>802</c:v>
                      </c:pt>
                      <c:pt idx="63">
                        <c:v>810</c:v>
                      </c:pt>
                      <c:pt idx="64">
                        <c:v>818</c:v>
                      </c:pt>
                      <c:pt idx="65">
                        <c:v>826</c:v>
                      </c:pt>
                      <c:pt idx="66">
                        <c:v>834</c:v>
                      </c:pt>
                      <c:pt idx="67">
                        <c:v>842</c:v>
                      </c:pt>
                      <c:pt idx="68">
                        <c:v>850</c:v>
                      </c:pt>
                      <c:pt idx="69">
                        <c:v>858</c:v>
                      </c:pt>
                      <c:pt idx="70">
                        <c:v>866</c:v>
                      </c:pt>
                      <c:pt idx="71">
                        <c:v>874</c:v>
                      </c:pt>
                      <c:pt idx="72">
                        <c:v>882</c:v>
                      </c:pt>
                      <c:pt idx="73">
                        <c:v>890</c:v>
                      </c:pt>
                      <c:pt idx="74">
                        <c:v>898</c:v>
                      </c:pt>
                      <c:pt idx="75">
                        <c:v>906</c:v>
                      </c:pt>
                      <c:pt idx="76">
                        <c:v>914</c:v>
                      </c:pt>
                      <c:pt idx="77">
                        <c:v>922</c:v>
                      </c:pt>
                      <c:pt idx="78">
                        <c:v>930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EVALUATION!$B$123:$CP$123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C-7F43-47D9-9E15-19AA26622F09}"/>
                  </c:ext>
                </c:extLst>
              </c15:ser>
            </c15:filteredScatterSeries>
            <c15:filteredScatterSeries>
              <c15:ser>
                <c:idx val="21"/>
                <c:order val="23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306</c:v>
                      </c:pt>
                      <c:pt idx="1">
                        <c:v>314</c:v>
                      </c:pt>
                      <c:pt idx="2">
                        <c:v>322</c:v>
                      </c:pt>
                      <c:pt idx="3">
                        <c:v>330</c:v>
                      </c:pt>
                      <c:pt idx="4">
                        <c:v>338</c:v>
                      </c:pt>
                      <c:pt idx="5">
                        <c:v>346</c:v>
                      </c:pt>
                      <c:pt idx="6">
                        <c:v>354</c:v>
                      </c:pt>
                      <c:pt idx="7">
                        <c:v>362</c:v>
                      </c:pt>
                      <c:pt idx="8">
                        <c:v>370</c:v>
                      </c:pt>
                      <c:pt idx="9">
                        <c:v>378</c:v>
                      </c:pt>
                      <c:pt idx="10">
                        <c:v>386</c:v>
                      </c:pt>
                      <c:pt idx="11">
                        <c:v>394</c:v>
                      </c:pt>
                      <c:pt idx="12">
                        <c:v>402</c:v>
                      </c:pt>
                      <c:pt idx="13">
                        <c:v>410</c:v>
                      </c:pt>
                      <c:pt idx="14">
                        <c:v>418</c:v>
                      </c:pt>
                      <c:pt idx="15">
                        <c:v>426</c:v>
                      </c:pt>
                      <c:pt idx="16">
                        <c:v>434</c:v>
                      </c:pt>
                      <c:pt idx="17">
                        <c:v>442</c:v>
                      </c:pt>
                      <c:pt idx="18">
                        <c:v>450</c:v>
                      </c:pt>
                      <c:pt idx="19">
                        <c:v>458</c:v>
                      </c:pt>
                      <c:pt idx="20">
                        <c:v>466</c:v>
                      </c:pt>
                      <c:pt idx="21">
                        <c:v>474</c:v>
                      </c:pt>
                      <c:pt idx="22">
                        <c:v>482</c:v>
                      </c:pt>
                      <c:pt idx="23">
                        <c:v>490</c:v>
                      </c:pt>
                      <c:pt idx="24">
                        <c:v>498</c:v>
                      </c:pt>
                      <c:pt idx="25">
                        <c:v>506</c:v>
                      </c:pt>
                      <c:pt idx="26">
                        <c:v>514</c:v>
                      </c:pt>
                      <c:pt idx="27">
                        <c:v>522</c:v>
                      </c:pt>
                      <c:pt idx="28">
                        <c:v>530</c:v>
                      </c:pt>
                      <c:pt idx="29">
                        <c:v>538</c:v>
                      </c:pt>
                      <c:pt idx="30">
                        <c:v>546</c:v>
                      </c:pt>
                      <c:pt idx="31">
                        <c:v>554</c:v>
                      </c:pt>
                      <c:pt idx="32">
                        <c:v>562</c:v>
                      </c:pt>
                      <c:pt idx="33">
                        <c:v>570</c:v>
                      </c:pt>
                      <c:pt idx="34">
                        <c:v>578</c:v>
                      </c:pt>
                      <c:pt idx="35">
                        <c:v>586</c:v>
                      </c:pt>
                      <c:pt idx="36">
                        <c:v>594</c:v>
                      </c:pt>
                      <c:pt idx="37">
                        <c:v>602</c:v>
                      </c:pt>
                      <c:pt idx="38">
                        <c:v>610</c:v>
                      </c:pt>
                      <c:pt idx="39">
                        <c:v>618</c:v>
                      </c:pt>
                      <c:pt idx="40">
                        <c:v>626</c:v>
                      </c:pt>
                      <c:pt idx="41">
                        <c:v>634</c:v>
                      </c:pt>
                      <c:pt idx="42">
                        <c:v>642</c:v>
                      </c:pt>
                      <c:pt idx="43">
                        <c:v>650</c:v>
                      </c:pt>
                      <c:pt idx="44">
                        <c:v>658</c:v>
                      </c:pt>
                      <c:pt idx="45">
                        <c:v>666</c:v>
                      </c:pt>
                      <c:pt idx="46">
                        <c:v>674</c:v>
                      </c:pt>
                      <c:pt idx="47">
                        <c:v>682</c:v>
                      </c:pt>
                      <c:pt idx="48">
                        <c:v>690</c:v>
                      </c:pt>
                      <c:pt idx="49">
                        <c:v>698</c:v>
                      </c:pt>
                      <c:pt idx="50">
                        <c:v>706</c:v>
                      </c:pt>
                      <c:pt idx="51">
                        <c:v>714</c:v>
                      </c:pt>
                      <c:pt idx="52">
                        <c:v>722</c:v>
                      </c:pt>
                      <c:pt idx="53">
                        <c:v>730</c:v>
                      </c:pt>
                      <c:pt idx="54">
                        <c:v>738</c:v>
                      </c:pt>
                      <c:pt idx="55">
                        <c:v>746</c:v>
                      </c:pt>
                      <c:pt idx="56">
                        <c:v>754</c:v>
                      </c:pt>
                      <c:pt idx="57">
                        <c:v>762</c:v>
                      </c:pt>
                      <c:pt idx="58">
                        <c:v>770</c:v>
                      </c:pt>
                      <c:pt idx="59">
                        <c:v>778</c:v>
                      </c:pt>
                      <c:pt idx="60">
                        <c:v>786</c:v>
                      </c:pt>
                      <c:pt idx="61">
                        <c:v>794</c:v>
                      </c:pt>
                      <c:pt idx="62">
                        <c:v>802</c:v>
                      </c:pt>
                      <c:pt idx="63">
                        <c:v>810</c:v>
                      </c:pt>
                      <c:pt idx="64">
                        <c:v>818</c:v>
                      </c:pt>
                      <c:pt idx="65">
                        <c:v>826</c:v>
                      </c:pt>
                      <c:pt idx="66">
                        <c:v>834</c:v>
                      </c:pt>
                      <c:pt idx="67">
                        <c:v>842</c:v>
                      </c:pt>
                      <c:pt idx="68">
                        <c:v>850</c:v>
                      </c:pt>
                      <c:pt idx="69">
                        <c:v>858</c:v>
                      </c:pt>
                      <c:pt idx="70">
                        <c:v>866</c:v>
                      </c:pt>
                      <c:pt idx="71">
                        <c:v>874</c:v>
                      </c:pt>
                      <c:pt idx="72">
                        <c:v>882</c:v>
                      </c:pt>
                      <c:pt idx="73">
                        <c:v>890</c:v>
                      </c:pt>
                      <c:pt idx="74">
                        <c:v>898</c:v>
                      </c:pt>
                      <c:pt idx="75">
                        <c:v>906</c:v>
                      </c:pt>
                      <c:pt idx="76">
                        <c:v>914</c:v>
                      </c:pt>
                      <c:pt idx="77">
                        <c:v>922</c:v>
                      </c:pt>
                      <c:pt idx="78">
                        <c:v>930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EVALUATION!$B$124:$CP$124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D-7F43-47D9-9E15-19AA26622F09}"/>
                  </c:ext>
                </c:extLst>
              </c15:ser>
            </c15:filteredScatterSeries>
            <c15:filteredScatterSeries>
              <c15:ser>
                <c:idx val="22"/>
                <c:order val="24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306</c:v>
                      </c:pt>
                      <c:pt idx="1">
                        <c:v>314</c:v>
                      </c:pt>
                      <c:pt idx="2">
                        <c:v>322</c:v>
                      </c:pt>
                      <c:pt idx="3">
                        <c:v>330</c:v>
                      </c:pt>
                      <c:pt idx="4">
                        <c:v>338</c:v>
                      </c:pt>
                      <c:pt idx="5">
                        <c:v>346</c:v>
                      </c:pt>
                      <c:pt idx="6">
                        <c:v>354</c:v>
                      </c:pt>
                      <c:pt idx="7">
                        <c:v>362</c:v>
                      </c:pt>
                      <c:pt idx="8">
                        <c:v>370</c:v>
                      </c:pt>
                      <c:pt idx="9">
                        <c:v>378</c:v>
                      </c:pt>
                      <c:pt idx="10">
                        <c:v>386</c:v>
                      </c:pt>
                      <c:pt idx="11">
                        <c:v>394</c:v>
                      </c:pt>
                      <c:pt idx="12">
                        <c:v>402</c:v>
                      </c:pt>
                      <c:pt idx="13">
                        <c:v>410</c:v>
                      </c:pt>
                      <c:pt idx="14">
                        <c:v>418</c:v>
                      </c:pt>
                      <c:pt idx="15">
                        <c:v>426</c:v>
                      </c:pt>
                      <c:pt idx="16">
                        <c:v>434</c:v>
                      </c:pt>
                      <c:pt idx="17">
                        <c:v>442</c:v>
                      </c:pt>
                      <c:pt idx="18">
                        <c:v>450</c:v>
                      </c:pt>
                      <c:pt idx="19">
                        <c:v>458</c:v>
                      </c:pt>
                      <c:pt idx="20">
                        <c:v>466</c:v>
                      </c:pt>
                      <c:pt idx="21">
                        <c:v>474</c:v>
                      </c:pt>
                      <c:pt idx="22">
                        <c:v>482</c:v>
                      </c:pt>
                      <c:pt idx="23">
                        <c:v>490</c:v>
                      </c:pt>
                      <c:pt idx="24">
                        <c:v>498</c:v>
                      </c:pt>
                      <c:pt idx="25">
                        <c:v>506</c:v>
                      </c:pt>
                      <c:pt idx="26">
                        <c:v>514</c:v>
                      </c:pt>
                      <c:pt idx="27">
                        <c:v>522</c:v>
                      </c:pt>
                      <c:pt idx="28">
                        <c:v>530</c:v>
                      </c:pt>
                      <c:pt idx="29">
                        <c:v>538</c:v>
                      </c:pt>
                      <c:pt idx="30">
                        <c:v>546</c:v>
                      </c:pt>
                      <c:pt idx="31">
                        <c:v>554</c:v>
                      </c:pt>
                      <c:pt idx="32">
                        <c:v>562</c:v>
                      </c:pt>
                      <c:pt idx="33">
                        <c:v>570</c:v>
                      </c:pt>
                      <c:pt idx="34">
                        <c:v>578</c:v>
                      </c:pt>
                      <c:pt idx="35">
                        <c:v>586</c:v>
                      </c:pt>
                      <c:pt idx="36">
                        <c:v>594</c:v>
                      </c:pt>
                      <c:pt idx="37">
                        <c:v>602</c:v>
                      </c:pt>
                      <c:pt idx="38">
                        <c:v>610</c:v>
                      </c:pt>
                      <c:pt idx="39">
                        <c:v>618</c:v>
                      </c:pt>
                      <c:pt idx="40">
                        <c:v>626</c:v>
                      </c:pt>
                      <c:pt idx="41">
                        <c:v>634</c:v>
                      </c:pt>
                      <c:pt idx="42">
                        <c:v>642</c:v>
                      </c:pt>
                      <c:pt idx="43">
                        <c:v>650</c:v>
                      </c:pt>
                      <c:pt idx="44">
                        <c:v>658</c:v>
                      </c:pt>
                      <c:pt idx="45">
                        <c:v>666</c:v>
                      </c:pt>
                      <c:pt idx="46">
                        <c:v>674</c:v>
                      </c:pt>
                      <c:pt idx="47">
                        <c:v>682</c:v>
                      </c:pt>
                      <c:pt idx="48">
                        <c:v>690</c:v>
                      </c:pt>
                      <c:pt idx="49">
                        <c:v>698</c:v>
                      </c:pt>
                      <c:pt idx="50">
                        <c:v>706</c:v>
                      </c:pt>
                      <c:pt idx="51">
                        <c:v>714</c:v>
                      </c:pt>
                      <c:pt idx="52">
                        <c:v>722</c:v>
                      </c:pt>
                      <c:pt idx="53">
                        <c:v>730</c:v>
                      </c:pt>
                      <c:pt idx="54">
                        <c:v>738</c:v>
                      </c:pt>
                      <c:pt idx="55">
                        <c:v>746</c:v>
                      </c:pt>
                      <c:pt idx="56">
                        <c:v>754</c:v>
                      </c:pt>
                      <c:pt idx="57">
                        <c:v>762</c:v>
                      </c:pt>
                      <c:pt idx="58">
                        <c:v>770</c:v>
                      </c:pt>
                      <c:pt idx="59">
                        <c:v>778</c:v>
                      </c:pt>
                      <c:pt idx="60">
                        <c:v>786</c:v>
                      </c:pt>
                      <c:pt idx="61">
                        <c:v>794</c:v>
                      </c:pt>
                      <c:pt idx="62">
                        <c:v>802</c:v>
                      </c:pt>
                      <c:pt idx="63">
                        <c:v>810</c:v>
                      </c:pt>
                      <c:pt idx="64">
                        <c:v>818</c:v>
                      </c:pt>
                      <c:pt idx="65">
                        <c:v>826</c:v>
                      </c:pt>
                      <c:pt idx="66">
                        <c:v>834</c:v>
                      </c:pt>
                      <c:pt idx="67">
                        <c:v>842</c:v>
                      </c:pt>
                      <c:pt idx="68">
                        <c:v>850</c:v>
                      </c:pt>
                      <c:pt idx="69">
                        <c:v>858</c:v>
                      </c:pt>
                      <c:pt idx="70">
                        <c:v>866</c:v>
                      </c:pt>
                      <c:pt idx="71">
                        <c:v>874</c:v>
                      </c:pt>
                      <c:pt idx="72">
                        <c:v>882</c:v>
                      </c:pt>
                      <c:pt idx="73">
                        <c:v>890</c:v>
                      </c:pt>
                      <c:pt idx="74">
                        <c:v>898</c:v>
                      </c:pt>
                      <c:pt idx="75">
                        <c:v>906</c:v>
                      </c:pt>
                      <c:pt idx="76">
                        <c:v>914</c:v>
                      </c:pt>
                      <c:pt idx="77">
                        <c:v>922</c:v>
                      </c:pt>
                      <c:pt idx="78">
                        <c:v>930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EVALUATION!$B$125:$CP$125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E-7F43-47D9-9E15-19AA26622F09}"/>
                  </c:ext>
                </c:extLst>
              </c15:ser>
            </c15:filteredScatterSeries>
            <c15:filteredScatterSeries>
              <c15:ser>
                <c:idx val="23"/>
                <c:order val="25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306</c:v>
                      </c:pt>
                      <c:pt idx="1">
                        <c:v>314</c:v>
                      </c:pt>
                      <c:pt idx="2">
                        <c:v>322</c:v>
                      </c:pt>
                      <c:pt idx="3">
                        <c:v>330</c:v>
                      </c:pt>
                      <c:pt idx="4">
                        <c:v>338</c:v>
                      </c:pt>
                      <c:pt idx="5">
                        <c:v>346</c:v>
                      </c:pt>
                      <c:pt idx="6">
                        <c:v>354</c:v>
                      </c:pt>
                      <c:pt idx="7">
                        <c:v>362</c:v>
                      </c:pt>
                      <c:pt idx="8">
                        <c:v>370</c:v>
                      </c:pt>
                      <c:pt idx="9">
                        <c:v>378</c:v>
                      </c:pt>
                      <c:pt idx="10">
                        <c:v>386</c:v>
                      </c:pt>
                      <c:pt idx="11">
                        <c:v>394</c:v>
                      </c:pt>
                      <c:pt idx="12">
                        <c:v>402</c:v>
                      </c:pt>
                      <c:pt idx="13">
                        <c:v>410</c:v>
                      </c:pt>
                      <c:pt idx="14">
                        <c:v>418</c:v>
                      </c:pt>
                      <c:pt idx="15">
                        <c:v>426</c:v>
                      </c:pt>
                      <c:pt idx="16">
                        <c:v>434</c:v>
                      </c:pt>
                      <c:pt idx="17">
                        <c:v>442</c:v>
                      </c:pt>
                      <c:pt idx="18">
                        <c:v>450</c:v>
                      </c:pt>
                      <c:pt idx="19">
                        <c:v>458</c:v>
                      </c:pt>
                      <c:pt idx="20">
                        <c:v>466</c:v>
                      </c:pt>
                      <c:pt idx="21">
                        <c:v>474</c:v>
                      </c:pt>
                      <c:pt idx="22">
                        <c:v>482</c:v>
                      </c:pt>
                      <c:pt idx="23">
                        <c:v>490</c:v>
                      </c:pt>
                      <c:pt idx="24">
                        <c:v>498</c:v>
                      </c:pt>
                      <c:pt idx="25">
                        <c:v>506</c:v>
                      </c:pt>
                      <c:pt idx="26">
                        <c:v>514</c:v>
                      </c:pt>
                      <c:pt idx="27">
                        <c:v>522</c:v>
                      </c:pt>
                      <c:pt idx="28">
                        <c:v>530</c:v>
                      </c:pt>
                      <c:pt idx="29">
                        <c:v>538</c:v>
                      </c:pt>
                      <c:pt idx="30">
                        <c:v>546</c:v>
                      </c:pt>
                      <c:pt idx="31">
                        <c:v>554</c:v>
                      </c:pt>
                      <c:pt idx="32">
                        <c:v>562</c:v>
                      </c:pt>
                      <c:pt idx="33">
                        <c:v>570</c:v>
                      </c:pt>
                      <c:pt idx="34">
                        <c:v>578</c:v>
                      </c:pt>
                      <c:pt idx="35">
                        <c:v>586</c:v>
                      </c:pt>
                      <c:pt idx="36">
                        <c:v>594</c:v>
                      </c:pt>
                      <c:pt idx="37">
                        <c:v>602</c:v>
                      </c:pt>
                      <c:pt idx="38">
                        <c:v>610</c:v>
                      </c:pt>
                      <c:pt idx="39">
                        <c:v>618</c:v>
                      </c:pt>
                      <c:pt idx="40">
                        <c:v>626</c:v>
                      </c:pt>
                      <c:pt idx="41">
                        <c:v>634</c:v>
                      </c:pt>
                      <c:pt idx="42">
                        <c:v>642</c:v>
                      </c:pt>
                      <c:pt idx="43">
                        <c:v>650</c:v>
                      </c:pt>
                      <c:pt idx="44">
                        <c:v>658</c:v>
                      </c:pt>
                      <c:pt idx="45">
                        <c:v>666</c:v>
                      </c:pt>
                      <c:pt idx="46">
                        <c:v>674</c:v>
                      </c:pt>
                      <c:pt idx="47">
                        <c:v>682</c:v>
                      </c:pt>
                      <c:pt idx="48">
                        <c:v>690</c:v>
                      </c:pt>
                      <c:pt idx="49">
                        <c:v>698</c:v>
                      </c:pt>
                      <c:pt idx="50">
                        <c:v>706</c:v>
                      </c:pt>
                      <c:pt idx="51">
                        <c:v>714</c:v>
                      </c:pt>
                      <c:pt idx="52">
                        <c:v>722</c:v>
                      </c:pt>
                      <c:pt idx="53">
                        <c:v>730</c:v>
                      </c:pt>
                      <c:pt idx="54">
                        <c:v>738</c:v>
                      </c:pt>
                      <c:pt idx="55">
                        <c:v>746</c:v>
                      </c:pt>
                      <c:pt idx="56">
                        <c:v>754</c:v>
                      </c:pt>
                      <c:pt idx="57">
                        <c:v>762</c:v>
                      </c:pt>
                      <c:pt idx="58">
                        <c:v>770</c:v>
                      </c:pt>
                      <c:pt idx="59">
                        <c:v>778</c:v>
                      </c:pt>
                      <c:pt idx="60">
                        <c:v>786</c:v>
                      </c:pt>
                      <c:pt idx="61">
                        <c:v>794</c:v>
                      </c:pt>
                      <c:pt idx="62">
                        <c:v>802</c:v>
                      </c:pt>
                      <c:pt idx="63">
                        <c:v>810</c:v>
                      </c:pt>
                      <c:pt idx="64">
                        <c:v>818</c:v>
                      </c:pt>
                      <c:pt idx="65">
                        <c:v>826</c:v>
                      </c:pt>
                      <c:pt idx="66">
                        <c:v>834</c:v>
                      </c:pt>
                      <c:pt idx="67">
                        <c:v>842</c:v>
                      </c:pt>
                      <c:pt idx="68">
                        <c:v>850</c:v>
                      </c:pt>
                      <c:pt idx="69">
                        <c:v>858</c:v>
                      </c:pt>
                      <c:pt idx="70">
                        <c:v>866</c:v>
                      </c:pt>
                      <c:pt idx="71">
                        <c:v>874</c:v>
                      </c:pt>
                      <c:pt idx="72">
                        <c:v>882</c:v>
                      </c:pt>
                      <c:pt idx="73">
                        <c:v>890</c:v>
                      </c:pt>
                      <c:pt idx="74">
                        <c:v>898</c:v>
                      </c:pt>
                      <c:pt idx="75">
                        <c:v>906</c:v>
                      </c:pt>
                      <c:pt idx="76">
                        <c:v>914</c:v>
                      </c:pt>
                      <c:pt idx="77">
                        <c:v>922</c:v>
                      </c:pt>
                      <c:pt idx="78">
                        <c:v>930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EVALUATION!$B$126:$CP$126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F-7F43-47D9-9E15-19AA26622F09}"/>
                  </c:ext>
                </c:extLst>
              </c15:ser>
            </c15:filteredScatterSeries>
            <c15:filteredScatterSeries>
              <c15:ser>
                <c:idx val="24"/>
                <c:order val="26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306</c:v>
                      </c:pt>
                      <c:pt idx="1">
                        <c:v>314</c:v>
                      </c:pt>
                      <c:pt idx="2">
                        <c:v>322</c:v>
                      </c:pt>
                      <c:pt idx="3">
                        <c:v>330</c:v>
                      </c:pt>
                      <c:pt idx="4">
                        <c:v>338</c:v>
                      </c:pt>
                      <c:pt idx="5">
                        <c:v>346</c:v>
                      </c:pt>
                      <c:pt idx="6">
                        <c:v>354</c:v>
                      </c:pt>
                      <c:pt idx="7">
                        <c:v>362</c:v>
                      </c:pt>
                      <c:pt idx="8">
                        <c:v>370</c:v>
                      </c:pt>
                      <c:pt idx="9">
                        <c:v>378</c:v>
                      </c:pt>
                      <c:pt idx="10">
                        <c:v>386</c:v>
                      </c:pt>
                      <c:pt idx="11">
                        <c:v>394</c:v>
                      </c:pt>
                      <c:pt idx="12">
                        <c:v>402</c:v>
                      </c:pt>
                      <c:pt idx="13">
                        <c:v>410</c:v>
                      </c:pt>
                      <c:pt idx="14">
                        <c:v>418</c:v>
                      </c:pt>
                      <c:pt idx="15">
                        <c:v>426</c:v>
                      </c:pt>
                      <c:pt idx="16">
                        <c:v>434</c:v>
                      </c:pt>
                      <c:pt idx="17">
                        <c:v>442</c:v>
                      </c:pt>
                      <c:pt idx="18">
                        <c:v>450</c:v>
                      </c:pt>
                      <c:pt idx="19">
                        <c:v>458</c:v>
                      </c:pt>
                      <c:pt idx="20">
                        <c:v>466</c:v>
                      </c:pt>
                      <c:pt idx="21">
                        <c:v>474</c:v>
                      </c:pt>
                      <c:pt idx="22">
                        <c:v>482</c:v>
                      </c:pt>
                      <c:pt idx="23">
                        <c:v>490</c:v>
                      </c:pt>
                      <c:pt idx="24">
                        <c:v>498</c:v>
                      </c:pt>
                      <c:pt idx="25">
                        <c:v>506</c:v>
                      </c:pt>
                      <c:pt idx="26">
                        <c:v>514</c:v>
                      </c:pt>
                      <c:pt idx="27">
                        <c:v>522</c:v>
                      </c:pt>
                      <c:pt idx="28">
                        <c:v>530</c:v>
                      </c:pt>
                      <c:pt idx="29">
                        <c:v>538</c:v>
                      </c:pt>
                      <c:pt idx="30">
                        <c:v>546</c:v>
                      </c:pt>
                      <c:pt idx="31">
                        <c:v>554</c:v>
                      </c:pt>
                      <c:pt idx="32">
                        <c:v>562</c:v>
                      </c:pt>
                      <c:pt idx="33">
                        <c:v>570</c:v>
                      </c:pt>
                      <c:pt idx="34">
                        <c:v>578</c:v>
                      </c:pt>
                      <c:pt idx="35">
                        <c:v>586</c:v>
                      </c:pt>
                      <c:pt idx="36">
                        <c:v>594</c:v>
                      </c:pt>
                      <c:pt idx="37">
                        <c:v>602</c:v>
                      </c:pt>
                      <c:pt idx="38">
                        <c:v>610</c:v>
                      </c:pt>
                      <c:pt idx="39">
                        <c:v>618</c:v>
                      </c:pt>
                      <c:pt idx="40">
                        <c:v>626</c:v>
                      </c:pt>
                      <c:pt idx="41">
                        <c:v>634</c:v>
                      </c:pt>
                      <c:pt idx="42">
                        <c:v>642</c:v>
                      </c:pt>
                      <c:pt idx="43">
                        <c:v>650</c:v>
                      </c:pt>
                      <c:pt idx="44">
                        <c:v>658</c:v>
                      </c:pt>
                      <c:pt idx="45">
                        <c:v>666</c:v>
                      </c:pt>
                      <c:pt idx="46">
                        <c:v>674</c:v>
                      </c:pt>
                      <c:pt idx="47">
                        <c:v>682</c:v>
                      </c:pt>
                      <c:pt idx="48">
                        <c:v>690</c:v>
                      </c:pt>
                      <c:pt idx="49">
                        <c:v>698</c:v>
                      </c:pt>
                      <c:pt idx="50">
                        <c:v>706</c:v>
                      </c:pt>
                      <c:pt idx="51">
                        <c:v>714</c:v>
                      </c:pt>
                      <c:pt idx="52">
                        <c:v>722</c:v>
                      </c:pt>
                      <c:pt idx="53">
                        <c:v>730</c:v>
                      </c:pt>
                      <c:pt idx="54">
                        <c:v>738</c:v>
                      </c:pt>
                      <c:pt idx="55">
                        <c:v>746</c:v>
                      </c:pt>
                      <c:pt idx="56">
                        <c:v>754</c:v>
                      </c:pt>
                      <c:pt idx="57">
                        <c:v>762</c:v>
                      </c:pt>
                      <c:pt idx="58">
                        <c:v>770</c:v>
                      </c:pt>
                      <c:pt idx="59">
                        <c:v>778</c:v>
                      </c:pt>
                      <c:pt idx="60">
                        <c:v>786</c:v>
                      </c:pt>
                      <c:pt idx="61">
                        <c:v>794</c:v>
                      </c:pt>
                      <c:pt idx="62">
                        <c:v>802</c:v>
                      </c:pt>
                      <c:pt idx="63">
                        <c:v>810</c:v>
                      </c:pt>
                      <c:pt idx="64">
                        <c:v>818</c:v>
                      </c:pt>
                      <c:pt idx="65">
                        <c:v>826</c:v>
                      </c:pt>
                      <c:pt idx="66">
                        <c:v>834</c:v>
                      </c:pt>
                      <c:pt idx="67">
                        <c:v>842</c:v>
                      </c:pt>
                      <c:pt idx="68">
                        <c:v>850</c:v>
                      </c:pt>
                      <c:pt idx="69">
                        <c:v>858</c:v>
                      </c:pt>
                      <c:pt idx="70">
                        <c:v>866</c:v>
                      </c:pt>
                      <c:pt idx="71">
                        <c:v>874</c:v>
                      </c:pt>
                      <c:pt idx="72">
                        <c:v>882</c:v>
                      </c:pt>
                      <c:pt idx="73">
                        <c:v>890</c:v>
                      </c:pt>
                      <c:pt idx="74">
                        <c:v>898</c:v>
                      </c:pt>
                      <c:pt idx="75">
                        <c:v>906</c:v>
                      </c:pt>
                      <c:pt idx="76">
                        <c:v>914</c:v>
                      </c:pt>
                      <c:pt idx="77">
                        <c:v>922</c:v>
                      </c:pt>
                      <c:pt idx="78">
                        <c:v>930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EVALUATION!$B$127:$CP$127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0-7F43-47D9-9E15-19AA26622F09}"/>
                  </c:ext>
                </c:extLst>
              </c15:ser>
            </c15:filteredScatterSeries>
            <c15:filteredScatterSeries>
              <c15:ser>
                <c:idx val="25"/>
                <c:order val="27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306</c:v>
                      </c:pt>
                      <c:pt idx="1">
                        <c:v>314</c:v>
                      </c:pt>
                      <c:pt idx="2">
                        <c:v>322</c:v>
                      </c:pt>
                      <c:pt idx="3">
                        <c:v>330</c:v>
                      </c:pt>
                      <c:pt idx="4">
                        <c:v>338</c:v>
                      </c:pt>
                      <c:pt idx="5">
                        <c:v>346</c:v>
                      </c:pt>
                      <c:pt idx="6">
                        <c:v>354</c:v>
                      </c:pt>
                      <c:pt idx="7">
                        <c:v>362</c:v>
                      </c:pt>
                      <c:pt idx="8">
                        <c:v>370</c:v>
                      </c:pt>
                      <c:pt idx="9">
                        <c:v>378</c:v>
                      </c:pt>
                      <c:pt idx="10">
                        <c:v>386</c:v>
                      </c:pt>
                      <c:pt idx="11">
                        <c:v>394</c:v>
                      </c:pt>
                      <c:pt idx="12">
                        <c:v>402</c:v>
                      </c:pt>
                      <c:pt idx="13">
                        <c:v>410</c:v>
                      </c:pt>
                      <c:pt idx="14">
                        <c:v>418</c:v>
                      </c:pt>
                      <c:pt idx="15">
                        <c:v>426</c:v>
                      </c:pt>
                      <c:pt idx="16">
                        <c:v>434</c:v>
                      </c:pt>
                      <c:pt idx="17">
                        <c:v>442</c:v>
                      </c:pt>
                      <c:pt idx="18">
                        <c:v>450</c:v>
                      </c:pt>
                      <c:pt idx="19">
                        <c:v>458</c:v>
                      </c:pt>
                      <c:pt idx="20">
                        <c:v>466</c:v>
                      </c:pt>
                      <c:pt idx="21">
                        <c:v>474</c:v>
                      </c:pt>
                      <c:pt idx="22">
                        <c:v>482</c:v>
                      </c:pt>
                      <c:pt idx="23">
                        <c:v>490</c:v>
                      </c:pt>
                      <c:pt idx="24">
                        <c:v>498</c:v>
                      </c:pt>
                      <c:pt idx="25">
                        <c:v>506</c:v>
                      </c:pt>
                      <c:pt idx="26">
                        <c:v>514</c:v>
                      </c:pt>
                      <c:pt idx="27">
                        <c:v>522</c:v>
                      </c:pt>
                      <c:pt idx="28">
                        <c:v>530</c:v>
                      </c:pt>
                      <c:pt idx="29">
                        <c:v>538</c:v>
                      </c:pt>
                      <c:pt idx="30">
                        <c:v>546</c:v>
                      </c:pt>
                      <c:pt idx="31">
                        <c:v>554</c:v>
                      </c:pt>
                      <c:pt idx="32">
                        <c:v>562</c:v>
                      </c:pt>
                      <c:pt idx="33">
                        <c:v>570</c:v>
                      </c:pt>
                      <c:pt idx="34">
                        <c:v>578</c:v>
                      </c:pt>
                      <c:pt idx="35">
                        <c:v>586</c:v>
                      </c:pt>
                      <c:pt idx="36">
                        <c:v>594</c:v>
                      </c:pt>
                      <c:pt idx="37">
                        <c:v>602</c:v>
                      </c:pt>
                      <c:pt idx="38">
                        <c:v>610</c:v>
                      </c:pt>
                      <c:pt idx="39">
                        <c:v>618</c:v>
                      </c:pt>
                      <c:pt idx="40">
                        <c:v>626</c:v>
                      </c:pt>
                      <c:pt idx="41">
                        <c:v>634</c:v>
                      </c:pt>
                      <c:pt idx="42">
                        <c:v>642</c:v>
                      </c:pt>
                      <c:pt idx="43">
                        <c:v>650</c:v>
                      </c:pt>
                      <c:pt idx="44">
                        <c:v>658</c:v>
                      </c:pt>
                      <c:pt idx="45">
                        <c:v>666</c:v>
                      </c:pt>
                      <c:pt idx="46">
                        <c:v>674</c:v>
                      </c:pt>
                      <c:pt idx="47">
                        <c:v>682</c:v>
                      </c:pt>
                      <c:pt idx="48">
                        <c:v>690</c:v>
                      </c:pt>
                      <c:pt idx="49">
                        <c:v>698</c:v>
                      </c:pt>
                      <c:pt idx="50">
                        <c:v>706</c:v>
                      </c:pt>
                      <c:pt idx="51">
                        <c:v>714</c:v>
                      </c:pt>
                      <c:pt idx="52">
                        <c:v>722</c:v>
                      </c:pt>
                      <c:pt idx="53">
                        <c:v>730</c:v>
                      </c:pt>
                      <c:pt idx="54">
                        <c:v>738</c:v>
                      </c:pt>
                      <c:pt idx="55">
                        <c:v>746</c:v>
                      </c:pt>
                      <c:pt idx="56">
                        <c:v>754</c:v>
                      </c:pt>
                      <c:pt idx="57">
                        <c:v>762</c:v>
                      </c:pt>
                      <c:pt idx="58">
                        <c:v>770</c:v>
                      </c:pt>
                      <c:pt idx="59">
                        <c:v>778</c:v>
                      </c:pt>
                      <c:pt idx="60">
                        <c:v>786</c:v>
                      </c:pt>
                      <c:pt idx="61">
                        <c:v>794</c:v>
                      </c:pt>
                      <c:pt idx="62">
                        <c:v>802</c:v>
                      </c:pt>
                      <c:pt idx="63">
                        <c:v>810</c:v>
                      </c:pt>
                      <c:pt idx="64">
                        <c:v>818</c:v>
                      </c:pt>
                      <c:pt idx="65">
                        <c:v>826</c:v>
                      </c:pt>
                      <c:pt idx="66">
                        <c:v>834</c:v>
                      </c:pt>
                      <c:pt idx="67">
                        <c:v>842</c:v>
                      </c:pt>
                      <c:pt idx="68">
                        <c:v>850</c:v>
                      </c:pt>
                      <c:pt idx="69">
                        <c:v>858</c:v>
                      </c:pt>
                      <c:pt idx="70">
                        <c:v>866</c:v>
                      </c:pt>
                      <c:pt idx="71">
                        <c:v>874</c:v>
                      </c:pt>
                      <c:pt idx="72">
                        <c:v>882</c:v>
                      </c:pt>
                      <c:pt idx="73">
                        <c:v>890</c:v>
                      </c:pt>
                      <c:pt idx="74">
                        <c:v>898</c:v>
                      </c:pt>
                      <c:pt idx="75">
                        <c:v>906</c:v>
                      </c:pt>
                      <c:pt idx="76">
                        <c:v>914</c:v>
                      </c:pt>
                      <c:pt idx="77">
                        <c:v>922</c:v>
                      </c:pt>
                      <c:pt idx="78">
                        <c:v>930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EVALUATION!$B$128:$CP$128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1-7F43-47D9-9E15-19AA26622F09}"/>
                  </c:ext>
                </c:extLst>
              </c15:ser>
            </c15:filteredScatterSeries>
            <c15:filteredScatterSeries>
              <c15:ser>
                <c:idx val="26"/>
                <c:order val="28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306</c:v>
                      </c:pt>
                      <c:pt idx="1">
                        <c:v>314</c:v>
                      </c:pt>
                      <c:pt idx="2">
                        <c:v>322</c:v>
                      </c:pt>
                      <c:pt idx="3">
                        <c:v>330</c:v>
                      </c:pt>
                      <c:pt idx="4">
                        <c:v>338</c:v>
                      </c:pt>
                      <c:pt idx="5">
                        <c:v>346</c:v>
                      </c:pt>
                      <c:pt idx="6">
                        <c:v>354</c:v>
                      </c:pt>
                      <c:pt idx="7">
                        <c:v>362</c:v>
                      </c:pt>
                      <c:pt idx="8">
                        <c:v>370</c:v>
                      </c:pt>
                      <c:pt idx="9">
                        <c:v>378</c:v>
                      </c:pt>
                      <c:pt idx="10">
                        <c:v>386</c:v>
                      </c:pt>
                      <c:pt idx="11">
                        <c:v>394</c:v>
                      </c:pt>
                      <c:pt idx="12">
                        <c:v>402</c:v>
                      </c:pt>
                      <c:pt idx="13">
                        <c:v>410</c:v>
                      </c:pt>
                      <c:pt idx="14">
                        <c:v>418</c:v>
                      </c:pt>
                      <c:pt idx="15">
                        <c:v>426</c:v>
                      </c:pt>
                      <c:pt idx="16">
                        <c:v>434</c:v>
                      </c:pt>
                      <c:pt idx="17">
                        <c:v>442</c:v>
                      </c:pt>
                      <c:pt idx="18">
                        <c:v>450</c:v>
                      </c:pt>
                      <c:pt idx="19">
                        <c:v>458</c:v>
                      </c:pt>
                      <c:pt idx="20">
                        <c:v>466</c:v>
                      </c:pt>
                      <c:pt idx="21">
                        <c:v>474</c:v>
                      </c:pt>
                      <c:pt idx="22">
                        <c:v>482</c:v>
                      </c:pt>
                      <c:pt idx="23">
                        <c:v>490</c:v>
                      </c:pt>
                      <c:pt idx="24">
                        <c:v>498</c:v>
                      </c:pt>
                      <c:pt idx="25">
                        <c:v>506</c:v>
                      </c:pt>
                      <c:pt idx="26">
                        <c:v>514</c:v>
                      </c:pt>
                      <c:pt idx="27">
                        <c:v>522</c:v>
                      </c:pt>
                      <c:pt idx="28">
                        <c:v>530</c:v>
                      </c:pt>
                      <c:pt idx="29">
                        <c:v>538</c:v>
                      </c:pt>
                      <c:pt idx="30">
                        <c:v>546</c:v>
                      </c:pt>
                      <c:pt idx="31">
                        <c:v>554</c:v>
                      </c:pt>
                      <c:pt idx="32">
                        <c:v>562</c:v>
                      </c:pt>
                      <c:pt idx="33">
                        <c:v>570</c:v>
                      </c:pt>
                      <c:pt idx="34">
                        <c:v>578</c:v>
                      </c:pt>
                      <c:pt idx="35">
                        <c:v>586</c:v>
                      </c:pt>
                      <c:pt idx="36">
                        <c:v>594</c:v>
                      </c:pt>
                      <c:pt idx="37">
                        <c:v>602</c:v>
                      </c:pt>
                      <c:pt idx="38">
                        <c:v>610</c:v>
                      </c:pt>
                      <c:pt idx="39">
                        <c:v>618</c:v>
                      </c:pt>
                      <c:pt idx="40">
                        <c:v>626</c:v>
                      </c:pt>
                      <c:pt idx="41">
                        <c:v>634</c:v>
                      </c:pt>
                      <c:pt idx="42">
                        <c:v>642</c:v>
                      </c:pt>
                      <c:pt idx="43">
                        <c:v>650</c:v>
                      </c:pt>
                      <c:pt idx="44">
                        <c:v>658</c:v>
                      </c:pt>
                      <c:pt idx="45">
                        <c:v>666</c:v>
                      </c:pt>
                      <c:pt idx="46">
                        <c:v>674</c:v>
                      </c:pt>
                      <c:pt idx="47">
                        <c:v>682</c:v>
                      </c:pt>
                      <c:pt idx="48">
                        <c:v>690</c:v>
                      </c:pt>
                      <c:pt idx="49">
                        <c:v>698</c:v>
                      </c:pt>
                      <c:pt idx="50">
                        <c:v>706</c:v>
                      </c:pt>
                      <c:pt idx="51">
                        <c:v>714</c:v>
                      </c:pt>
                      <c:pt idx="52">
                        <c:v>722</c:v>
                      </c:pt>
                      <c:pt idx="53">
                        <c:v>730</c:v>
                      </c:pt>
                      <c:pt idx="54">
                        <c:v>738</c:v>
                      </c:pt>
                      <c:pt idx="55">
                        <c:v>746</c:v>
                      </c:pt>
                      <c:pt idx="56">
                        <c:v>754</c:v>
                      </c:pt>
                      <c:pt idx="57">
                        <c:v>762</c:v>
                      </c:pt>
                      <c:pt idx="58">
                        <c:v>770</c:v>
                      </c:pt>
                      <c:pt idx="59">
                        <c:v>778</c:v>
                      </c:pt>
                      <c:pt idx="60">
                        <c:v>786</c:v>
                      </c:pt>
                      <c:pt idx="61">
                        <c:v>794</c:v>
                      </c:pt>
                      <c:pt idx="62">
                        <c:v>802</c:v>
                      </c:pt>
                      <c:pt idx="63">
                        <c:v>810</c:v>
                      </c:pt>
                      <c:pt idx="64">
                        <c:v>818</c:v>
                      </c:pt>
                      <c:pt idx="65">
                        <c:v>826</c:v>
                      </c:pt>
                      <c:pt idx="66">
                        <c:v>834</c:v>
                      </c:pt>
                      <c:pt idx="67">
                        <c:v>842</c:v>
                      </c:pt>
                      <c:pt idx="68">
                        <c:v>850</c:v>
                      </c:pt>
                      <c:pt idx="69">
                        <c:v>858</c:v>
                      </c:pt>
                      <c:pt idx="70">
                        <c:v>866</c:v>
                      </c:pt>
                      <c:pt idx="71">
                        <c:v>874</c:v>
                      </c:pt>
                      <c:pt idx="72">
                        <c:v>882</c:v>
                      </c:pt>
                      <c:pt idx="73">
                        <c:v>890</c:v>
                      </c:pt>
                      <c:pt idx="74">
                        <c:v>898</c:v>
                      </c:pt>
                      <c:pt idx="75">
                        <c:v>906</c:v>
                      </c:pt>
                      <c:pt idx="76">
                        <c:v>914</c:v>
                      </c:pt>
                      <c:pt idx="77">
                        <c:v>922</c:v>
                      </c:pt>
                      <c:pt idx="78">
                        <c:v>930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EVALUATION!$B$129:$CP$129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2-7F43-47D9-9E15-19AA26622F09}"/>
                  </c:ext>
                </c:extLst>
              </c15:ser>
            </c15:filteredScatterSeries>
            <c15:filteredScatterSeries>
              <c15:ser>
                <c:idx val="27"/>
                <c:order val="29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306</c:v>
                      </c:pt>
                      <c:pt idx="1">
                        <c:v>314</c:v>
                      </c:pt>
                      <c:pt idx="2">
                        <c:v>322</c:v>
                      </c:pt>
                      <c:pt idx="3">
                        <c:v>330</c:v>
                      </c:pt>
                      <c:pt idx="4">
                        <c:v>338</c:v>
                      </c:pt>
                      <c:pt idx="5">
                        <c:v>346</c:v>
                      </c:pt>
                      <c:pt idx="6">
                        <c:v>354</c:v>
                      </c:pt>
                      <c:pt idx="7">
                        <c:v>362</c:v>
                      </c:pt>
                      <c:pt idx="8">
                        <c:v>370</c:v>
                      </c:pt>
                      <c:pt idx="9">
                        <c:v>378</c:v>
                      </c:pt>
                      <c:pt idx="10">
                        <c:v>386</c:v>
                      </c:pt>
                      <c:pt idx="11">
                        <c:v>394</c:v>
                      </c:pt>
                      <c:pt idx="12">
                        <c:v>402</c:v>
                      </c:pt>
                      <c:pt idx="13">
                        <c:v>410</c:v>
                      </c:pt>
                      <c:pt idx="14">
                        <c:v>418</c:v>
                      </c:pt>
                      <c:pt idx="15">
                        <c:v>426</c:v>
                      </c:pt>
                      <c:pt idx="16">
                        <c:v>434</c:v>
                      </c:pt>
                      <c:pt idx="17">
                        <c:v>442</c:v>
                      </c:pt>
                      <c:pt idx="18">
                        <c:v>450</c:v>
                      </c:pt>
                      <c:pt idx="19">
                        <c:v>458</c:v>
                      </c:pt>
                      <c:pt idx="20">
                        <c:v>466</c:v>
                      </c:pt>
                      <c:pt idx="21">
                        <c:v>474</c:v>
                      </c:pt>
                      <c:pt idx="22">
                        <c:v>482</c:v>
                      </c:pt>
                      <c:pt idx="23">
                        <c:v>490</c:v>
                      </c:pt>
                      <c:pt idx="24">
                        <c:v>498</c:v>
                      </c:pt>
                      <c:pt idx="25">
                        <c:v>506</c:v>
                      </c:pt>
                      <c:pt idx="26">
                        <c:v>514</c:v>
                      </c:pt>
                      <c:pt idx="27">
                        <c:v>522</c:v>
                      </c:pt>
                      <c:pt idx="28">
                        <c:v>530</c:v>
                      </c:pt>
                      <c:pt idx="29">
                        <c:v>538</c:v>
                      </c:pt>
                      <c:pt idx="30">
                        <c:v>546</c:v>
                      </c:pt>
                      <c:pt idx="31">
                        <c:v>554</c:v>
                      </c:pt>
                      <c:pt idx="32">
                        <c:v>562</c:v>
                      </c:pt>
                      <c:pt idx="33">
                        <c:v>570</c:v>
                      </c:pt>
                      <c:pt idx="34">
                        <c:v>578</c:v>
                      </c:pt>
                      <c:pt idx="35">
                        <c:v>586</c:v>
                      </c:pt>
                      <c:pt idx="36">
                        <c:v>594</c:v>
                      </c:pt>
                      <c:pt idx="37">
                        <c:v>602</c:v>
                      </c:pt>
                      <c:pt idx="38">
                        <c:v>610</c:v>
                      </c:pt>
                      <c:pt idx="39">
                        <c:v>618</c:v>
                      </c:pt>
                      <c:pt idx="40">
                        <c:v>626</c:v>
                      </c:pt>
                      <c:pt idx="41">
                        <c:v>634</c:v>
                      </c:pt>
                      <c:pt idx="42">
                        <c:v>642</c:v>
                      </c:pt>
                      <c:pt idx="43">
                        <c:v>650</c:v>
                      </c:pt>
                      <c:pt idx="44">
                        <c:v>658</c:v>
                      </c:pt>
                      <c:pt idx="45">
                        <c:v>666</c:v>
                      </c:pt>
                      <c:pt idx="46">
                        <c:v>674</c:v>
                      </c:pt>
                      <c:pt idx="47">
                        <c:v>682</c:v>
                      </c:pt>
                      <c:pt idx="48">
                        <c:v>690</c:v>
                      </c:pt>
                      <c:pt idx="49">
                        <c:v>698</c:v>
                      </c:pt>
                      <c:pt idx="50">
                        <c:v>706</c:v>
                      </c:pt>
                      <c:pt idx="51">
                        <c:v>714</c:v>
                      </c:pt>
                      <c:pt idx="52">
                        <c:v>722</c:v>
                      </c:pt>
                      <c:pt idx="53">
                        <c:v>730</c:v>
                      </c:pt>
                      <c:pt idx="54">
                        <c:v>738</c:v>
                      </c:pt>
                      <c:pt idx="55">
                        <c:v>746</c:v>
                      </c:pt>
                      <c:pt idx="56">
                        <c:v>754</c:v>
                      </c:pt>
                      <c:pt idx="57">
                        <c:v>762</c:v>
                      </c:pt>
                      <c:pt idx="58">
                        <c:v>770</c:v>
                      </c:pt>
                      <c:pt idx="59">
                        <c:v>778</c:v>
                      </c:pt>
                      <c:pt idx="60">
                        <c:v>786</c:v>
                      </c:pt>
                      <c:pt idx="61">
                        <c:v>794</c:v>
                      </c:pt>
                      <c:pt idx="62">
                        <c:v>802</c:v>
                      </c:pt>
                      <c:pt idx="63">
                        <c:v>810</c:v>
                      </c:pt>
                      <c:pt idx="64">
                        <c:v>818</c:v>
                      </c:pt>
                      <c:pt idx="65">
                        <c:v>826</c:v>
                      </c:pt>
                      <c:pt idx="66">
                        <c:v>834</c:v>
                      </c:pt>
                      <c:pt idx="67">
                        <c:v>842</c:v>
                      </c:pt>
                      <c:pt idx="68">
                        <c:v>850</c:v>
                      </c:pt>
                      <c:pt idx="69">
                        <c:v>858</c:v>
                      </c:pt>
                      <c:pt idx="70">
                        <c:v>866</c:v>
                      </c:pt>
                      <c:pt idx="71">
                        <c:v>874</c:v>
                      </c:pt>
                      <c:pt idx="72">
                        <c:v>882</c:v>
                      </c:pt>
                      <c:pt idx="73">
                        <c:v>890</c:v>
                      </c:pt>
                      <c:pt idx="74">
                        <c:v>898</c:v>
                      </c:pt>
                      <c:pt idx="75">
                        <c:v>906</c:v>
                      </c:pt>
                      <c:pt idx="76">
                        <c:v>914</c:v>
                      </c:pt>
                      <c:pt idx="77">
                        <c:v>922</c:v>
                      </c:pt>
                      <c:pt idx="78">
                        <c:v>930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EVALUATION!$B$130:$CP$130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3-7F43-47D9-9E15-19AA26622F09}"/>
                  </c:ext>
                </c:extLst>
              </c15:ser>
            </c15:filteredScatterSeries>
            <c15:filteredScatterSeries>
              <c15:ser>
                <c:idx val="28"/>
                <c:order val="30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306</c:v>
                      </c:pt>
                      <c:pt idx="1">
                        <c:v>314</c:v>
                      </c:pt>
                      <c:pt idx="2">
                        <c:v>322</c:v>
                      </c:pt>
                      <c:pt idx="3">
                        <c:v>330</c:v>
                      </c:pt>
                      <c:pt idx="4">
                        <c:v>338</c:v>
                      </c:pt>
                      <c:pt idx="5">
                        <c:v>346</c:v>
                      </c:pt>
                      <c:pt idx="6">
                        <c:v>354</c:v>
                      </c:pt>
                      <c:pt idx="7">
                        <c:v>362</c:v>
                      </c:pt>
                      <c:pt idx="8">
                        <c:v>370</c:v>
                      </c:pt>
                      <c:pt idx="9">
                        <c:v>378</c:v>
                      </c:pt>
                      <c:pt idx="10">
                        <c:v>386</c:v>
                      </c:pt>
                      <c:pt idx="11">
                        <c:v>394</c:v>
                      </c:pt>
                      <c:pt idx="12">
                        <c:v>402</c:v>
                      </c:pt>
                      <c:pt idx="13">
                        <c:v>410</c:v>
                      </c:pt>
                      <c:pt idx="14">
                        <c:v>418</c:v>
                      </c:pt>
                      <c:pt idx="15">
                        <c:v>426</c:v>
                      </c:pt>
                      <c:pt idx="16">
                        <c:v>434</c:v>
                      </c:pt>
                      <c:pt idx="17">
                        <c:v>442</c:v>
                      </c:pt>
                      <c:pt idx="18">
                        <c:v>450</c:v>
                      </c:pt>
                      <c:pt idx="19">
                        <c:v>458</c:v>
                      </c:pt>
                      <c:pt idx="20">
                        <c:v>466</c:v>
                      </c:pt>
                      <c:pt idx="21">
                        <c:v>474</c:v>
                      </c:pt>
                      <c:pt idx="22">
                        <c:v>482</c:v>
                      </c:pt>
                      <c:pt idx="23">
                        <c:v>490</c:v>
                      </c:pt>
                      <c:pt idx="24">
                        <c:v>498</c:v>
                      </c:pt>
                      <c:pt idx="25">
                        <c:v>506</c:v>
                      </c:pt>
                      <c:pt idx="26">
                        <c:v>514</c:v>
                      </c:pt>
                      <c:pt idx="27">
                        <c:v>522</c:v>
                      </c:pt>
                      <c:pt idx="28">
                        <c:v>530</c:v>
                      </c:pt>
                      <c:pt idx="29">
                        <c:v>538</c:v>
                      </c:pt>
                      <c:pt idx="30">
                        <c:v>546</c:v>
                      </c:pt>
                      <c:pt idx="31">
                        <c:v>554</c:v>
                      </c:pt>
                      <c:pt idx="32">
                        <c:v>562</c:v>
                      </c:pt>
                      <c:pt idx="33">
                        <c:v>570</c:v>
                      </c:pt>
                      <c:pt idx="34">
                        <c:v>578</c:v>
                      </c:pt>
                      <c:pt idx="35">
                        <c:v>586</c:v>
                      </c:pt>
                      <c:pt idx="36">
                        <c:v>594</c:v>
                      </c:pt>
                      <c:pt idx="37">
                        <c:v>602</c:v>
                      </c:pt>
                      <c:pt idx="38">
                        <c:v>610</c:v>
                      </c:pt>
                      <c:pt idx="39">
                        <c:v>618</c:v>
                      </c:pt>
                      <c:pt idx="40">
                        <c:v>626</c:v>
                      </c:pt>
                      <c:pt idx="41">
                        <c:v>634</c:v>
                      </c:pt>
                      <c:pt idx="42">
                        <c:v>642</c:v>
                      </c:pt>
                      <c:pt idx="43">
                        <c:v>650</c:v>
                      </c:pt>
                      <c:pt idx="44">
                        <c:v>658</c:v>
                      </c:pt>
                      <c:pt idx="45">
                        <c:v>666</c:v>
                      </c:pt>
                      <c:pt idx="46">
                        <c:v>674</c:v>
                      </c:pt>
                      <c:pt idx="47">
                        <c:v>682</c:v>
                      </c:pt>
                      <c:pt idx="48">
                        <c:v>690</c:v>
                      </c:pt>
                      <c:pt idx="49">
                        <c:v>698</c:v>
                      </c:pt>
                      <c:pt idx="50">
                        <c:v>706</c:v>
                      </c:pt>
                      <c:pt idx="51">
                        <c:v>714</c:v>
                      </c:pt>
                      <c:pt idx="52">
                        <c:v>722</c:v>
                      </c:pt>
                      <c:pt idx="53">
                        <c:v>730</c:v>
                      </c:pt>
                      <c:pt idx="54">
                        <c:v>738</c:v>
                      </c:pt>
                      <c:pt idx="55">
                        <c:v>746</c:v>
                      </c:pt>
                      <c:pt idx="56">
                        <c:v>754</c:v>
                      </c:pt>
                      <c:pt idx="57">
                        <c:v>762</c:v>
                      </c:pt>
                      <c:pt idx="58">
                        <c:v>770</c:v>
                      </c:pt>
                      <c:pt idx="59">
                        <c:v>778</c:v>
                      </c:pt>
                      <c:pt idx="60">
                        <c:v>786</c:v>
                      </c:pt>
                      <c:pt idx="61">
                        <c:v>794</c:v>
                      </c:pt>
                      <c:pt idx="62">
                        <c:v>802</c:v>
                      </c:pt>
                      <c:pt idx="63">
                        <c:v>810</c:v>
                      </c:pt>
                      <c:pt idx="64">
                        <c:v>818</c:v>
                      </c:pt>
                      <c:pt idx="65">
                        <c:v>826</c:v>
                      </c:pt>
                      <c:pt idx="66">
                        <c:v>834</c:v>
                      </c:pt>
                      <c:pt idx="67">
                        <c:v>842</c:v>
                      </c:pt>
                      <c:pt idx="68">
                        <c:v>850</c:v>
                      </c:pt>
                      <c:pt idx="69">
                        <c:v>858</c:v>
                      </c:pt>
                      <c:pt idx="70">
                        <c:v>866</c:v>
                      </c:pt>
                      <c:pt idx="71">
                        <c:v>874</c:v>
                      </c:pt>
                      <c:pt idx="72">
                        <c:v>882</c:v>
                      </c:pt>
                      <c:pt idx="73">
                        <c:v>890</c:v>
                      </c:pt>
                      <c:pt idx="74">
                        <c:v>898</c:v>
                      </c:pt>
                      <c:pt idx="75">
                        <c:v>906</c:v>
                      </c:pt>
                      <c:pt idx="76">
                        <c:v>914</c:v>
                      </c:pt>
                      <c:pt idx="77">
                        <c:v>922</c:v>
                      </c:pt>
                      <c:pt idx="78">
                        <c:v>930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EVALUATION!$B$131:$CP$131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4-7F43-47D9-9E15-19AA26622F09}"/>
                  </c:ext>
                </c:extLst>
              </c15:ser>
            </c15:filteredScatterSeries>
            <c15:filteredScatterSeries>
              <c15:ser>
                <c:idx val="29"/>
                <c:order val="31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306</c:v>
                      </c:pt>
                      <c:pt idx="1">
                        <c:v>314</c:v>
                      </c:pt>
                      <c:pt idx="2">
                        <c:v>322</c:v>
                      </c:pt>
                      <c:pt idx="3">
                        <c:v>330</c:v>
                      </c:pt>
                      <c:pt idx="4">
                        <c:v>338</c:v>
                      </c:pt>
                      <c:pt idx="5">
                        <c:v>346</c:v>
                      </c:pt>
                      <c:pt idx="6">
                        <c:v>354</c:v>
                      </c:pt>
                      <c:pt idx="7">
                        <c:v>362</c:v>
                      </c:pt>
                      <c:pt idx="8">
                        <c:v>370</c:v>
                      </c:pt>
                      <c:pt idx="9">
                        <c:v>378</c:v>
                      </c:pt>
                      <c:pt idx="10">
                        <c:v>386</c:v>
                      </c:pt>
                      <c:pt idx="11">
                        <c:v>394</c:v>
                      </c:pt>
                      <c:pt idx="12">
                        <c:v>402</c:v>
                      </c:pt>
                      <c:pt idx="13">
                        <c:v>410</c:v>
                      </c:pt>
                      <c:pt idx="14">
                        <c:v>418</c:v>
                      </c:pt>
                      <c:pt idx="15">
                        <c:v>426</c:v>
                      </c:pt>
                      <c:pt idx="16">
                        <c:v>434</c:v>
                      </c:pt>
                      <c:pt idx="17">
                        <c:v>442</c:v>
                      </c:pt>
                      <c:pt idx="18">
                        <c:v>450</c:v>
                      </c:pt>
                      <c:pt idx="19">
                        <c:v>458</c:v>
                      </c:pt>
                      <c:pt idx="20">
                        <c:v>466</c:v>
                      </c:pt>
                      <c:pt idx="21">
                        <c:v>474</c:v>
                      </c:pt>
                      <c:pt idx="22">
                        <c:v>482</c:v>
                      </c:pt>
                      <c:pt idx="23">
                        <c:v>490</c:v>
                      </c:pt>
                      <c:pt idx="24">
                        <c:v>498</c:v>
                      </c:pt>
                      <c:pt idx="25">
                        <c:v>506</c:v>
                      </c:pt>
                      <c:pt idx="26">
                        <c:v>514</c:v>
                      </c:pt>
                      <c:pt idx="27">
                        <c:v>522</c:v>
                      </c:pt>
                      <c:pt idx="28">
                        <c:v>530</c:v>
                      </c:pt>
                      <c:pt idx="29">
                        <c:v>538</c:v>
                      </c:pt>
                      <c:pt idx="30">
                        <c:v>546</c:v>
                      </c:pt>
                      <c:pt idx="31">
                        <c:v>554</c:v>
                      </c:pt>
                      <c:pt idx="32">
                        <c:v>562</c:v>
                      </c:pt>
                      <c:pt idx="33">
                        <c:v>570</c:v>
                      </c:pt>
                      <c:pt idx="34">
                        <c:v>578</c:v>
                      </c:pt>
                      <c:pt idx="35">
                        <c:v>586</c:v>
                      </c:pt>
                      <c:pt idx="36">
                        <c:v>594</c:v>
                      </c:pt>
                      <c:pt idx="37">
                        <c:v>602</c:v>
                      </c:pt>
                      <c:pt idx="38">
                        <c:v>610</c:v>
                      </c:pt>
                      <c:pt idx="39">
                        <c:v>618</c:v>
                      </c:pt>
                      <c:pt idx="40">
                        <c:v>626</c:v>
                      </c:pt>
                      <c:pt idx="41">
                        <c:v>634</c:v>
                      </c:pt>
                      <c:pt idx="42">
                        <c:v>642</c:v>
                      </c:pt>
                      <c:pt idx="43">
                        <c:v>650</c:v>
                      </c:pt>
                      <c:pt idx="44">
                        <c:v>658</c:v>
                      </c:pt>
                      <c:pt idx="45">
                        <c:v>666</c:v>
                      </c:pt>
                      <c:pt idx="46">
                        <c:v>674</c:v>
                      </c:pt>
                      <c:pt idx="47">
                        <c:v>682</c:v>
                      </c:pt>
                      <c:pt idx="48">
                        <c:v>690</c:v>
                      </c:pt>
                      <c:pt idx="49">
                        <c:v>698</c:v>
                      </c:pt>
                      <c:pt idx="50">
                        <c:v>706</c:v>
                      </c:pt>
                      <c:pt idx="51">
                        <c:v>714</c:v>
                      </c:pt>
                      <c:pt idx="52">
                        <c:v>722</c:v>
                      </c:pt>
                      <c:pt idx="53">
                        <c:v>730</c:v>
                      </c:pt>
                      <c:pt idx="54">
                        <c:v>738</c:v>
                      </c:pt>
                      <c:pt idx="55">
                        <c:v>746</c:v>
                      </c:pt>
                      <c:pt idx="56">
                        <c:v>754</c:v>
                      </c:pt>
                      <c:pt idx="57">
                        <c:v>762</c:v>
                      </c:pt>
                      <c:pt idx="58">
                        <c:v>770</c:v>
                      </c:pt>
                      <c:pt idx="59">
                        <c:v>778</c:v>
                      </c:pt>
                      <c:pt idx="60">
                        <c:v>786</c:v>
                      </c:pt>
                      <c:pt idx="61">
                        <c:v>794</c:v>
                      </c:pt>
                      <c:pt idx="62">
                        <c:v>802</c:v>
                      </c:pt>
                      <c:pt idx="63">
                        <c:v>810</c:v>
                      </c:pt>
                      <c:pt idx="64">
                        <c:v>818</c:v>
                      </c:pt>
                      <c:pt idx="65">
                        <c:v>826</c:v>
                      </c:pt>
                      <c:pt idx="66">
                        <c:v>834</c:v>
                      </c:pt>
                      <c:pt idx="67">
                        <c:v>842</c:v>
                      </c:pt>
                      <c:pt idx="68">
                        <c:v>850</c:v>
                      </c:pt>
                      <c:pt idx="69">
                        <c:v>858</c:v>
                      </c:pt>
                      <c:pt idx="70">
                        <c:v>866</c:v>
                      </c:pt>
                      <c:pt idx="71">
                        <c:v>874</c:v>
                      </c:pt>
                      <c:pt idx="72">
                        <c:v>882</c:v>
                      </c:pt>
                      <c:pt idx="73">
                        <c:v>890</c:v>
                      </c:pt>
                      <c:pt idx="74">
                        <c:v>898</c:v>
                      </c:pt>
                      <c:pt idx="75">
                        <c:v>906</c:v>
                      </c:pt>
                      <c:pt idx="76">
                        <c:v>914</c:v>
                      </c:pt>
                      <c:pt idx="77">
                        <c:v>922</c:v>
                      </c:pt>
                      <c:pt idx="78">
                        <c:v>930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EVALUATION!$B$132:$CP$132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-37.456036036036032</c:v>
                      </c:pt>
                      <c:pt idx="1">
                        <c:v>-36.754534534534535</c:v>
                      </c:pt>
                      <c:pt idx="2">
                        <c:v>-36.053033033033032</c:v>
                      </c:pt>
                      <c:pt idx="3">
                        <c:v>-35.351531531531528</c:v>
                      </c:pt>
                      <c:pt idx="4" formatCode="General">
                        <c:v>-34.77434131736527</c:v>
                      </c:pt>
                      <c:pt idx="5" formatCode="General">
                        <c:v>-34.225838323353294</c:v>
                      </c:pt>
                      <c:pt idx="6" formatCode="General">
                        <c:v>-33.677335329341318</c:v>
                      </c:pt>
                      <c:pt idx="7" formatCode="General">
                        <c:v>-33.128832335329342</c:v>
                      </c:pt>
                      <c:pt idx="8" formatCode="General">
                        <c:v>-32.657592814371256</c:v>
                      </c:pt>
                      <c:pt idx="9" formatCode="General">
                        <c:v>-32.230287425149697</c:v>
                      </c:pt>
                      <c:pt idx="10" formatCode="General">
                        <c:v>-31.802982035928146</c:v>
                      </c:pt>
                      <c:pt idx="11" formatCode="General">
                        <c:v>-31.375676646706587</c:v>
                      </c:pt>
                      <c:pt idx="12" formatCode="General">
                        <c:v>-30.997113772455091</c:v>
                      </c:pt>
                      <c:pt idx="13" formatCode="General">
                        <c:v>-30.675197604790419</c:v>
                      </c:pt>
                      <c:pt idx="14" formatCode="General">
                        <c:v>-30.353281437125748</c:v>
                      </c:pt>
                      <c:pt idx="15" formatCode="General">
                        <c:v>-30.031365269461077</c:v>
                      </c:pt>
                      <c:pt idx="16" formatCode="General">
                        <c:v>-29.749044910179641</c:v>
                      </c:pt>
                      <c:pt idx="17" formatCode="General">
                        <c:v>-29.564853293413172</c:v>
                      </c:pt>
                      <c:pt idx="18" formatCode="General">
                        <c:v>-29.380661676646707</c:v>
                      </c:pt>
                      <c:pt idx="19" formatCode="General">
                        <c:v>-29.196470059880241</c:v>
                      </c:pt>
                      <c:pt idx="20" formatCode="General">
                        <c:v>-29.031194610778446</c:v>
                      </c:pt>
                      <c:pt idx="21" formatCode="General">
                        <c:v>-29.015146706586826</c:v>
                      </c:pt>
                      <c:pt idx="22" formatCode="General">
                        <c:v>-28.99909880239521</c:v>
                      </c:pt>
                      <c:pt idx="23" formatCode="General">
                        <c:v>-28.983050898203594</c:v>
                      </c:pt>
                      <c:pt idx="24" formatCode="General">
                        <c:v>-28.967002994011978</c:v>
                      </c:pt>
                      <c:pt idx="25" formatCode="General">
                        <c:v>-29.170279279279281</c:v>
                      </c:pt>
                      <c:pt idx="26" formatCode="General">
                        <c:v>-29.388177177177177</c:v>
                      </c:pt>
                      <c:pt idx="27" formatCode="General">
                        <c:v>-29.606075075075076</c:v>
                      </c:pt>
                      <c:pt idx="28" formatCode="General">
                        <c:v>-29.823972972972971</c:v>
                      </c:pt>
                      <c:pt idx="29" formatCode="General">
                        <c:v>-29.965814371257483</c:v>
                      </c:pt>
                      <c:pt idx="30" formatCode="General">
                        <c:v>-30.085574850299402</c:v>
                      </c:pt>
                      <c:pt idx="31" formatCode="General">
                        <c:v>-30.205335329341317</c:v>
                      </c:pt>
                      <c:pt idx="32" formatCode="General">
                        <c:v>-30.325095808383235</c:v>
                      </c:pt>
                      <c:pt idx="33" formatCode="General">
                        <c:v>-30.453622754491018</c:v>
                      </c:pt>
                      <c:pt idx="34" formatCode="General">
                        <c:v>-30.587994011976047</c:v>
                      </c:pt>
                      <c:pt idx="35" formatCode="General">
                        <c:v>-30.722365269461079</c:v>
                      </c:pt>
                      <c:pt idx="36" formatCode="General">
                        <c:v>-30.856736526946108</c:v>
                      </c:pt>
                      <c:pt idx="37" formatCode="General">
                        <c:v>-30.990700598802395</c:v>
                      </c:pt>
                      <c:pt idx="38" formatCode="General">
                        <c:v>-31.12411377245509</c:v>
                      </c:pt>
                      <c:pt idx="39" formatCode="General">
                        <c:v>-31.257526946107784</c:v>
                      </c:pt>
                      <c:pt idx="40" formatCode="General">
                        <c:v>-31.390940119760479</c:v>
                      </c:pt>
                      <c:pt idx="41" formatCode="General">
                        <c:v>-31.524592814371257</c:v>
                      </c:pt>
                      <c:pt idx="42" formatCode="General">
                        <c:v>-31.658964071856285</c:v>
                      </c:pt>
                      <c:pt idx="43" formatCode="General">
                        <c:v>-31.793335329341318</c:v>
                      </c:pt>
                      <c:pt idx="44" formatCode="General">
                        <c:v>-31.927706586826346</c:v>
                      </c:pt>
                      <c:pt idx="45" formatCode="General">
                        <c:v>-32.062077844311375</c:v>
                      </c:pt>
                      <c:pt idx="46" formatCode="General">
                        <c:v>-32.196449101796411</c:v>
                      </c:pt>
                      <c:pt idx="47" formatCode="General">
                        <c:v>-32.330820359281439</c:v>
                      </c:pt>
                      <c:pt idx="48" formatCode="General">
                        <c:v>-32.465191616766468</c:v>
                      </c:pt>
                      <c:pt idx="49" formatCode="General">
                        <c:v>-32.599562874251497</c:v>
                      </c:pt>
                      <c:pt idx="50" formatCode="General">
                        <c:v>-32.727876404494381</c:v>
                      </c:pt>
                      <c:pt idx="51" formatCode="General">
                        <c:v>-32.855516853932585</c:v>
                      </c:pt>
                      <c:pt idx="52" formatCode="General">
                        <c:v>-32.983157303370788</c:v>
                      </c:pt>
                      <c:pt idx="53" formatCode="General">
                        <c:v>-33.110797752808992</c:v>
                      </c:pt>
                      <c:pt idx="54" formatCode="General">
                        <c:v>-33.238438202247195</c:v>
                      </c:pt>
                      <c:pt idx="55" formatCode="General">
                        <c:v>-33.366078651685392</c:v>
                      </c:pt>
                      <c:pt idx="56" formatCode="General">
                        <c:v>-33.493719101123595</c:v>
                      </c:pt>
                      <c:pt idx="57" formatCode="General">
                        <c:v>-33.621359550561799</c:v>
                      </c:pt>
                      <c:pt idx="58" formatCode="General">
                        <c:v>-33.749000000000002</c:v>
                      </c:pt>
                      <c:pt idx="59" formatCode="General">
                        <c:v>-33.876640449438206</c:v>
                      </c:pt>
                      <c:pt idx="60" formatCode="General">
                        <c:v>-34.004280898876409</c:v>
                      </c:pt>
                      <c:pt idx="61" formatCode="General">
                        <c:v>-34.131921348314606</c:v>
                      </c:pt>
                      <c:pt idx="62" formatCode="General">
                        <c:v>-34.259561797752809</c:v>
                      </c:pt>
                      <c:pt idx="63" formatCode="General">
                        <c:v>-34.387202247191013</c:v>
                      </c:pt>
                      <c:pt idx="64" formatCode="General">
                        <c:v>-34.514842696629216</c:v>
                      </c:pt>
                      <c:pt idx="65" formatCode="General">
                        <c:v>-34.64248314606742</c:v>
                      </c:pt>
                      <c:pt idx="66" formatCode="General">
                        <c:v>-34.768748314606746</c:v>
                      </c:pt>
                      <c:pt idx="67" formatCode="General">
                        <c:v>-34.88991685393259</c:v>
                      </c:pt>
                      <c:pt idx="68" formatCode="General">
                        <c:v>-35.011085393258426</c:v>
                      </c:pt>
                      <c:pt idx="69" formatCode="General">
                        <c:v>-35.13225393258427</c:v>
                      </c:pt>
                      <c:pt idx="70" formatCode="General">
                        <c:v>-35.253422471910113</c:v>
                      </c:pt>
                      <c:pt idx="71" formatCode="General">
                        <c:v>-35.374591011235957</c:v>
                      </c:pt>
                      <c:pt idx="72" formatCode="General">
                        <c:v>-35.4957595505618</c:v>
                      </c:pt>
                      <c:pt idx="73" formatCode="General">
                        <c:v>-35.616928089887644</c:v>
                      </c:pt>
                      <c:pt idx="74" formatCode="General">
                        <c:v>-35.738096629213487</c:v>
                      </c:pt>
                      <c:pt idx="75" formatCode="General">
                        <c:v>-35.859265168539331</c:v>
                      </c:pt>
                      <c:pt idx="76" formatCode="General">
                        <c:v>-35.980433707865167</c:v>
                      </c:pt>
                      <c:pt idx="77" formatCode="General">
                        <c:v>-36.101602247191011</c:v>
                      </c:pt>
                      <c:pt idx="78" formatCode="General">
                        <c:v>-36.222770786516854</c:v>
                      </c:pt>
                      <c:pt idx="79" formatCode="General">
                        <c:v>-36.343939325842697</c:v>
                      </c:pt>
                      <c:pt idx="80" formatCode="General">
                        <c:v>-36.465107865168541</c:v>
                      </c:pt>
                      <c:pt idx="81" formatCode="General">
                        <c:v>-36.586276404494384</c:v>
                      </c:pt>
                      <c:pt idx="82" formatCode="General">
                        <c:v>-36.707444943820228</c:v>
                      </c:pt>
                      <c:pt idx="83" formatCode="General">
                        <c:v>-36.825319819819818</c:v>
                      </c:pt>
                      <c:pt idx="84" formatCode="General">
                        <c:v>-36.940214714714713</c:v>
                      </c:pt>
                      <c:pt idx="85" formatCode="General">
                        <c:v>-37.055109609609609</c:v>
                      </c:pt>
                      <c:pt idx="86" formatCode="General">
                        <c:v>-37.170004504504504</c:v>
                      </c:pt>
                      <c:pt idx="87" formatCode="General">
                        <c:v>-36.080475247524753</c:v>
                      </c:pt>
                      <c:pt idx="88" formatCode="General">
                        <c:v>-36.193346534653465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5-7F43-47D9-9E15-19AA26622F09}"/>
                  </c:ext>
                </c:extLst>
              </c15:ser>
            </c15:filteredScatterSeries>
            <c15:filteredScatterSeries>
              <c15:ser>
                <c:idx val="30"/>
                <c:order val="32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306</c:v>
                      </c:pt>
                      <c:pt idx="1">
                        <c:v>314</c:v>
                      </c:pt>
                      <c:pt idx="2">
                        <c:v>322</c:v>
                      </c:pt>
                      <c:pt idx="3">
                        <c:v>330</c:v>
                      </c:pt>
                      <c:pt idx="4">
                        <c:v>338</c:v>
                      </c:pt>
                      <c:pt idx="5">
                        <c:v>346</c:v>
                      </c:pt>
                      <c:pt idx="6">
                        <c:v>354</c:v>
                      </c:pt>
                      <c:pt idx="7">
                        <c:v>362</c:v>
                      </c:pt>
                      <c:pt idx="8">
                        <c:v>370</c:v>
                      </c:pt>
                      <c:pt idx="9">
                        <c:v>378</c:v>
                      </c:pt>
                      <c:pt idx="10">
                        <c:v>386</c:v>
                      </c:pt>
                      <c:pt idx="11">
                        <c:v>394</c:v>
                      </c:pt>
                      <c:pt idx="12">
                        <c:v>402</c:v>
                      </c:pt>
                      <c:pt idx="13">
                        <c:v>410</c:v>
                      </c:pt>
                      <c:pt idx="14">
                        <c:v>418</c:v>
                      </c:pt>
                      <c:pt idx="15">
                        <c:v>426</c:v>
                      </c:pt>
                      <c:pt idx="16">
                        <c:v>434</c:v>
                      </c:pt>
                      <c:pt idx="17">
                        <c:v>442</c:v>
                      </c:pt>
                      <c:pt idx="18">
                        <c:v>450</c:v>
                      </c:pt>
                      <c:pt idx="19">
                        <c:v>458</c:v>
                      </c:pt>
                      <c:pt idx="20">
                        <c:v>466</c:v>
                      </c:pt>
                      <c:pt idx="21">
                        <c:v>474</c:v>
                      </c:pt>
                      <c:pt idx="22">
                        <c:v>482</c:v>
                      </c:pt>
                      <c:pt idx="23">
                        <c:v>490</c:v>
                      </c:pt>
                      <c:pt idx="24">
                        <c:v>498</c:v>
                      </c:pt>
                      <c:pt idx="25">
                        <c:v>506</c:v>
                      </c:pt>
                      <c:pt idx="26">
                        <c:v>514</c:v>
                      </c:pt>
                      <c:pt idx="27">
                        <c:v>522</c:v>
                      </c:pt>
                      <c:pt idx="28">
                        <c:v>530</c:v>
                      </c:pt>
                      <c:pt idx="29">
                        <c:v>538</c:v>
                      </c:pt>
                      <c:pt idx="30">
                        <c:v>546</c:v>
                      </c:pt>
                      <c:pt idx="31">
                        <c:v>554</c:v>
                      </c:pt>
                      <c:pt idx="32">
                        <c:v>562</c:v>
                      </c:pt>
                      <c:pt idx="33">
                        <c:v>570</c:v>
                      </c:pt>
                      <c:pt idx="34">
                        <c:v>578</c:v>
                      </c:pt>
                      <c:pt idx="35">
                        <c:v>586</c:v>
                      </c:pt>
                      <c:pt idx="36">
                        <c:v>594</c:v>
                      </c:pt>
                      <c:pt idx="37">
                        <c:v>602</c:v>
                      </c:pt>
                      <c:pt idx="38">
                        <c:v>610</c:v>
                      </c:pt>
                      <c:pt idx="39">
                        <c:v>618</c:v>
                      </c:pt>
                      <c:pt idx="40">
                        <c:v>626</c:v>
                      </c:pt>
                      <c:pt idx="41">
                        <c:v>634</c:v>
                      </c:pt>
                      <c:pt idx="42">
                        <c:v>642</c:v>
                      </c:pt>
                      <c:pt idx="43">
                        <c:v>650</c:v>
                      </c:pt>
                      <c:pt idx="44">
                        <c:v>658</c:v>
                      </c:pt>
                      <c:pt idx="45">
                        <c:v>666</c:v>
                      </c:pt>
                      <c:pt idx="46">
                        <c:v>674</c:v>
                      </c:pt>
                      <c:pt idx="47">
                        <c:v>682</c:v>
                      </c:pt>
                      <c:pt idx="48">
                        <c:v>690</c:v>
                      </c:pt>
                      <c:pt idx="49">
                        <c:v>698</c:v>
                      </c:pt>
                      <c:pt idx="50">
                        <c:v>706</c:v>
                      </c:pt>
                      <c:pt idx="51">
                        <c:v>714</c:v>
                      </c:pt>
                      <c:pt idx="52">
                        <c:v>722</c:v>
                      </c:pt>
                      <c:pt idx="53">
                        <c:v>730</c:v>
                      </c:pt>
                      <c:pt idx="54">
                        <c:v>738</c:v>
                      </c:pt>
                      <c:pt idx="55">
                        <c:v>746</c:v>
                      </c:pt>
                      <c:pt idx="56">
                        <c:v>754</c:v>
                      </c:pt>
                      <c:pt idx="57">
                        <c:v>762</c:v>
                      </c:pt>
                      <c:pt idx="58">
                        <c:v>770</c:v>
                      </c:pt>
                      <c:pt idx="59">
                        <c:v>778</c:v>
                      </c:pt>
                      <c:pt idx="60">
                        <c:v>786</c:v>
                      </c:pt>
                      <c:pt idx="61">
                        <c:v>794</c:v>
                      </c:pt>
                      <c:pt idx="62">
                        <c:v>802</c:v>
                      </c:pt>
                      <c:pt idx="63">
                        <c:v>810</c:v>
                      </c:pt>
                      <c:pt idx="64">
                        <c:v>818</c:v>
                      </c:pt>
                      <c:pt idx="65">
                        <c:v>826</c:v>
                      </c:pt>
                      <c:pt idx="66">
                        <c:v>834</c:v>
                      </c:pt>
                      <c:pt idx="67">
                        <c:v>842</c:v>
                      </c:pt>
                      <c:pt idx="68">
                        <c:v>850</c:v>
                      </c:pt>
                      <c:pt idx="69">
                        <c:v>858</c:v>
                      </c:pt>
                      <c:pt idx="70">
                        <c:v>866</c:v>
                      </c:pt>
                      <c:pt idx="71">
                        <c:v>874</c:v>
                      </c:pt>
                      <c:pt idx="72">
                        <c:v>882</c:v>
                      </c:pt>
                      <c:pt idx="73">
                        <c:v>890</c:v>
                      </c:pt>
                      <c:pt idx="74">
                        <c:v>898</c:v>
                      </c:pt>
                      <c:pt idx="75">
                        <c:v>906</c:v>
                      </c:pt>
                      <c:pt idx="76">
                        <c:v>914</c:v>
                      </c:pt>
                      <c:pt idx="77">
                        <c:v>922</c:v>
                      </c:pt>
                      <c:pt idx="78">
                        <c:v>930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EVALUATION!$B$133:$CP$133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-21.943243243243245</c:v>
                      </c:pt>
                      <c:pt idx="1">
                        <c:v>-21.741441441441442</c:v>
                      </c:pt>
                      <c:pt idx="2">
                        <c:v>-21.539639639639642</c:v>
                      </c:pt>
                      <c:pt idx="3">
                        <c:v>-21.337837837837839</c:v>
                      </c:pt>
                      <c:pt idx="4" formatCode="General">
                        <c:v>-21.317514970059882</c:v>
                      </c:pt>
                      <c:pt idx="5" formatCode="General">
                        <c:v>-21.339071856287426</c:v>
                      </c:pt>
                      <c:pt idx="6" formatCode="General">
                        <c:v>-21.360628742514972</c:v>
                      </c:pt>
                      <c:pt idx="7" formatCode="General">
                        <c:v>-21.382185628742516</c:v>
                      </c:pt>
                      <c:pt idx="8" formatCode="General">
                        <c:v>-21.452604790419162</c:v>
                      </c:pt>
                      <c:pt idx="9" formatCode="General">
                        <c:v>-21.550808383233534</c:v>
                      </c:pt>
                      <c:pt idx="10" formatCode="General">
                        <c:v>-21.649011976047905</c:v>
                      </c:pt>
                      <c:pt idx="11" formatCode="General">
                        <c:v>-21.747215568862277</c:v>
                      </c:pt>
                      <c:pt idx="12" formatCode="General">
                        <c:v>-21.843203592814373</c:v>
                      </c:pt>
                      <c:pt idx="13" formatCode="General">
                        <c:v>-21.936616766467068</c:v>
                      </c:pt>
                      <c:pt idx="14" formatCode="General">
                        <c:v>-22.030029940119761</c:v>
                      </c:pt>
                      <c:pt idx="15" formatCode="General">
                        <c:v>-22.123443113772456</c:v>
                      </c:pt>
                      <c:pt idx="16" formatCode="General">
                        <c:v>-22.209970059880241</c:v>
                      </c:pt>
                      <c:pt idx="17" formatCode="General">
                        <c:v>-22.279431137724551</c:v>
                      </c:pt>
                      <c:pt idx="18" formatCode="General">
                        <c:v>-22.348892215568863</c:v>
                      </c:pt>
                      <c:pt idx="19" formatCode="General">
                        <c:v>-22.418353293413173</c:v>
                      </c:pt>
                      <c:pt idx="20" formatCode="General">
                        <c:v>-22.488353293413173</c:v>
                      </c:pt>
                      <c:pt idx="21" formatCode="General">
                        <c:v>-22.562604790419162</c:v>
                      </c:pt>
                      <c:pt idx="22" formatCode="General">
                        <c:v>-22.63685628742515</c:v>
                      </c:pt>
                      <c:pt idx="23" formatCode="General">
                        <c:v>-22.711107784431139</c:v>
                      </c:pt>
                      <c:pt idx="24" formatCode="General">
                        <c:v>-22.785359281437124</c:v>
                      </c:pt>
                      <c:pt idx="25" formatCode="General">
                        <c:v>-22.846306306306307</c:v>
                      </c:pt>
                      <c:pt idx="26" formatCode="General">
                        <c:v>-22.906366366366367</c:v>
                      </c:pt>
                      <c:pt idx="27" formatCode="General">
                        <c:v>-22.966426426426427</c:v>
                      </c:pt>
                      <c:pt idx="28" formatCode="General">
                        <c:v>-23.026486486486487</c:v>
                      </c:pt>
                      <c:pt idx="29" formatCode="General">
                        <c:v>-23.130958083832336</c:v>
                      </c:pt>
                      <c:pt idx="30" formatCode="General">
                        <c:v>-23.248323353293415</c:v>
                      </c:pt>
                      <c:pt idx="31" formatCode="General">
                        <c:v>-23.36568862275449</c:v>
                      </c:pt>
                      <c:pt idx="32" formatCode="General">
                        <c:v>-23.483053892215569</c:v>
                      </c:pt>
                      <c:pt idx="33" formatCode="General">
                        <c:v>-23.60185628742515</c:v>
                      </c:pt>
                      <c:pt idx="34" formatCode="General">
                        <c:v>-23.721616766467065</c:v>
                      </c:pt>
                      <c:pt idx="35" formatCode="General">
                        <c:v>-23.841377245508983</c:v>
                      </c:pt>
                      <c:pt idx="36" formatCode="General">
                        <c:v>-23.961137724550898</c:v>
                      </c:pt>
                      <c:pt idx="37" formatCode="General">
                        <c:v>-24.078862275449104</c:v>
                      </c:pt>
                      <c:pt idx="38" formatCode="General">
                        <c:v>-24.193832335329343</c:v>
                      </c:pt>
                      <c:pt idx="39" formatCode="General">
                        <c:v>-24.308802395209582</c:v>
                      </c:pt>
                      <c:pt idx="40" formatCode="General">
                        <c:v>-24.423772455089821</c:v>
                      </c:pt>
                      <c:pt idx="41" formatCode="General">
                        <c:v>-24.53874251497006</c:v>
                      </c:pt>
                      <c:pt idx="42" formatCode="General">
                        <c:v>-24.653712574850299</c:v>
                      </c:pt>
                      <c:pt idx="43" formatCode="General">
                        <c:v>-24.768682634730538</c:v>
                      </c:pt>
                      <c:pt idx="44" formatCode="General">
                        <c:v>-24.883652694610777</c:v>
                      </c:pt>
                      <c:pt idx="45" formatCode="General">
                        <c:v>-24.998622754491016</c:v>
                      </c:pt>
                      <c:pt idx="46" formatCode="General">
                        <c:v>-25.113592814371255</c:v>
                      </c:pt>
                      <c:pt idx="47" formatCode="General">
                        <c:v>-25.228562874251494</c:v>
                      </c:pt>
                      <c:pt idx="48" formatCode="General">
                        <c:v>-25.343532934131737</c:v>
                      </c:pt>
                      <c:pt idx="49" formatCode="General">
                        <c:v>-25.458502994011976</c:v>
                      </c:pt>
                      <c:pt idx="50" formatCode="General">
                        <c:v>-25.567617977528091</c:v>
                      </c:pt>
                      <c:pt idx="51" formatCode="General">
                        <c:v>-25.676082397003746</c:v>
                      </c:pt>
                      <c:pt idx="52" formatCode="General">
                        <c:v>-25.784546816479402</c:v>
                      </c:pt>
                      <c:pt idx="53" formatCode="General">
                        <c:v>-25.893011235955058</c:v>
                      </c:pt>
                      <c:pt idx="54" formatCode="General">
                        <c:v>-26.001475655430713</c:v>
                      </c:pt>
                      <c:pt idx="55" formatCode="General">
                        <c:v>-26.109940074906369</c:v>
                      </c:pt>
                      <c:pt idx="56" formatCode="General">
                        <c:v>-26.218404494382021</c:v>
                      </c:pt>
                      <c:pt idx="57" formatCode="General">
                        <c:v>-26.326868913857677</c:v>
                      </c:pt>
                      <c:pt idx="58" formatCode="General">
                        <c:v>-26.435333333333332</c:v>
                      </c:pt>
                      <c:pt idx="59" formatCode="General">
                        <c:v>-26.543797752808988</c:v>
                      </c:pt>
                      <c:pt idx="60" formatCode="General">
                        <c:v>-26.652262172284644</c:v>
                      </c:pt>
                      <c:pt idx="61" formatCode="General">
                        <c:v>-26.760726591760299</c:v>
                      </c:pt>
                      <c:pt idx="62" formatCode="General">
                        <c:v>-26.869191011235955</c:v>
                      </c:pt>
                      <c:pt idx="63" formatCode="General">
                        <c:v>-26.977655430711611</c:v>
                      </c:pt>
                      <c:pt idx="64" formatCode="General">
                        <c:v>-27.086119850187266</c:v>
                      </c:pt>
                      <c:pt idx="65" formatCode="General">
                        <c:v>-27.194584269662922</c:v>
                      </c:pt>
                      <c:pt idx="66" formatCode="General">
                        <c:v>-27.301902621722849</c:v>
                      </c:pt>
                      <c:pt idx="67" formatCode="General">
                        <c:v>-27.404973782771538</c:v>
                      </c:pt>
                      <c:pt idx="68" formatCode="General">
                        <c:v>-27.508044943820227</c:v>
                      </c:pt>
                      <c:pt idx="69" formatCode="General">
                        <c:v>-27.611116104868916</c:v>
                      </c:pt>
                      <c:pt idx="70" formatCode="General">
                        <c:v>-27.714187265917605</c:v>
                      </c:pt>
                      <c:pt idx="71" formatCode="General">
                        <c:v>-27.817258426966294</c:v>
                      </c:pt>
                      <c:pt idx="72" formatCode="General">
                        <c:v>-27.920329588014983</c:v>
                      </c:pt>
                      <c:pt idx="73" formatCode="General">
                        <c:v>-28.023400749063672</c:v>
                      </c:pt>
                      <c:pt idx="74" formatCode="General">
                        <c:v>-28.126471910112361</c:v>
                      </c:pt>
                      <c:pt idx="75" formatCode="General">
                        <c:v>-28.22954307116105</c:v>
                      </c:pt>
                      <c:pt idx="76" formatCode="General">
                        <c:v>-28.332614232209739</c:v>
                      </c:pt>
                      <c:pt idx="77" formatCode="General">
                        <c:v>-28.435685393258428</c:v>
                      </c:pt>
                      <c:pt idx="78" formatCode="General">
                        <c:v>-28.538756554307117</c:v>
                      </c:pt>
                      <c:pt idx="79" formatCode="General">
                        <c:v>-28.641827715355806</c:v>
                      </c:pt>
                      <c:pt idx="80" formatCode="General">
                        <c:v>-28.744898876404495</c:v>
                      </c:pt>
                      <c:pt idx="81" formatCode="General">
                        <c:v>-28.847970037453184</c:v>
                      </c:pt>
                      <c:pt idx="82" formatCode="General">
                        <c:v>-28.951041198501873</c:v>
                      </c:pt>
                      <c:pt idx="83" formatCode="General">
                        <c:v>-29.051396396396395</c:v>
                      </c:pt>
                      <c:pt idx="84" formatCode="General">
                        <c:v>-29.149294294294293</c:v>
                      </c:pt>
                      <c:pt idx="85" formatCode="General">
                        <c:v>-29.247192192192191</c:v>
                      </c:pt>
                      <c:pt idx="86" formatCode="General">
                        <c:v>-29.345090090090089</c:v>
                      </c:pt>
                      <c:pt idx="87" formatCode="General">
                        <c:v>-8.1209504950495059</c:v>
                      </c:pt>
                      <c:pt idx="88" formatCode="General">
                        <c:v>-8.1466930693069308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6-7F43-47D9-9E15-19AA26622F09}"/>
                  </c:ext>
                </c:extLst>
              </c15:ser>
            </c15:filteredScatterSeries>
            <c15:filteredScatterSeries>
              <c15:ser>
                <c:idx val="31"/>
                <c:order val="33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306</c:v>
                      </c:pt>
                      <c:pt idx="1">
                        <c:v>314</c:v>
                      </c:pt>
                      <c:pt idx="2">
                        <c:v>322</c:v>
                      </c:pt>
                      <c:pt idx="3">
                        <c:v>330</c:v>
                      </c:pt>
                      <c:pt idx="4">
                        <c:v>338</c:v>
                      </c:pt>
                      <c:pt idx="5">
                        <c:v>346</c:v>
                      </c:pt>
                      <c:pt idx="6">
                        <c:v>354</c:v>
                      </c:pt>
                      <c:pt idx="7">
                        <c:v>362</c:v>
                      </c:pt>
                      <c:pt idx="8">
                        <c:v>370</c:v>
                      </c:pt>
                      <c:pt idx="9">
                        <c:v>378</c:v>
                      </c:pt>
                      <c:pt idx="10">
                        <c:v>386</c:v>
                      </c:pt>
                      <c:pt idx="11">
                        <c:v>394</c:v>
                      </c:pt>
                      <c:pt idx="12">
                        <c:v>402</c:v>
                      </c:pt>
                      <c:pt idx="13">
                        <c:v>410</c:v>
                      </c:pt>
                      <c:pt idx="14">
                        <c:v>418</c:v>
                      </c:pt>
                      <c:pt idx="15">
                        <c:v>426</c:v>
                      </c:pt>
                      <c:pt idx="16">
                        <c:v>434</c:v>
                      </c:pt>
                      <c:pt idx="17">
                        <c:v>442</c:v>
                      </c:pt>
                      <c:pt idx="18">
                        <c:v>450</c:v>
                      </c:pt>
                      <c:pt idx="19">
                        <c:v>458</c:v>
                      </c:pt>
                      <c:pt idx="20">
                        <c:v>466</c:v>
                      </c:pt>
                      <c:pt idx="21">
                        <c:v>474</c:v>
                      </c:pt>
                      <c:pt idx="22">
                        <c:v>482</c:v>
                      </c:pt>
                      <c:pt idx="23">
                        <c:v>490</c:v>
                      </c:pt>
                      <c:pt idx="24">
                        <c:v>498</c:v>
                      </c:pt>
                      <c:pt idx="25">
                        <c:v>506</c:v>
                      </c:pt>
                      <c:pt idx="26">
                        <c:v>514</c:v>
                      </c:pt>
                      <c:pt idx="27">
                        <c:v>522</c:v>
                      </c:pt>
                      <c:pt idx="28">
                        <c:v>530</c:v>
                      </c:pt>
                      <c:pt idx="29">
                        <c:v>538</c:v>
                      </c:pt>
                      <c:pt idx="30">
                        <c:v>546</c:v>
                      </c:pt>
                      <c:pt idx="31">
                        <c:v>554</c:v>
                      </c:pt>
                      <c:pt idx="32">
                        <c:v>562</c:v>
                      </c:pt>
                      <c:pt idx="33">
                        <c:v>570</c:v>
                      </c:pt>
                      <c:pt idx="34">
                        <c:v>578</c:v>
                      </c:pt>
                      <c:pt idx="35">
                        <c:v>586</c:v>
                      </c:pt>
                      <c:pt idx="36">
                        <c:v>594</c:v>
                      </c:pt>
                      <c:pt idx="37">
                        <c:v>602</c:v>
                      </c:pt>
                      <c:pt idx="38">
                        <c:v>610</c:v>
                      </c:pt>
                      <c:pt idx="39">
                        <c:v>618</c:v>
                      </c:pt>
                      <c:pt idx="40">
                        <c:v>626</c:v>
                      </c:pt>
                      <c:pt idx="41">
                        <c:v>634</c:v>
                      </c:pt>
                      <c:pt idx="42">
                        <c:v>642</c:v>
                      </c:pt>
                      <c:pt idx="43">
                        <c:v>650</c:v>
                      </c:pt>
                      <c:pt idx="44">
                        <c:v>658</c:v>
                      </c:pt>
                      <c:pt idx="45">
                        <c:v>666</c:v>
                      </c:pt>
                      <c:pt idx="46">
                        <c:v>674</c:v>
                      </c:pt>
                      <c:pt idx="47">
                        <c:v>682</c:v>
                      </c:pt>
                      <c:pt idx="48">
                        <c:v>690</c:v>
                      </c:pt>
                      <c:pt idx="49">
                        <c:v>698</c:v>
                      </c:pt>
                      <c:pt idx="50">
                        <c:v>706</c:v>
                      </c:pt>
                      <c:pt idx="51">
                        <c:v>714</c:v>
                      </c:pt>
                      <c:pt idx="52">
                        <c:v>722</c:v>
                      </c:pt>
                      <c:pt idx="53">
                        <c:v>730</c:v>
                      </c:pt>
                      <c:pt idx="54">
                        <c:v>738</c:v>
                      </c:pt>
                      <c:pt idx="55">
                        <c:v>746</c:v>
                      </c:pt>
                      <c:pt idx="56">
                        <c:v>754</c:v>
                      </c:pt>
                      <c:pt idx="57">
                        <c:v>762</c:v>
                      </c:pt>
                      <c:pt idx="58">
                        <c:v>770</c:v>
                      </c:pt>
                      <c:pt idx="59">
                        <c:v>778</c:v>
                      </c:pt>
                      <c:pt idx="60">
                        <c:v>786</c:v>
                      </c:pt>
                      <c:pt idx="61">
                        <c:v>794</c:v>
                      </c:pt>
                      <c:pt idx="62">
                        <c:v>802</c:v>
                      </c:pt>
                      <c:pt idx="63">
                        <c:v>810</c:v>
                      </c:pt>
                      <c:pt idx="64">
                        <c:v>818</c:v>
                      </c:pt>
                      <c:pt idx="65">
                        <c:v>826</c:v>
                      </c:pt>
                      <c:pt idx="66">
                        <c:v>834</c:v>
                      </c:pt>
                      <c:pt idx="67">
                        <c:v>842</c:v>
                      </c:pt>
                      <c:pt idx="68">
                        <c:v>850</c:v>
                      </c:pt>
                      <c:pt idx="69">
                        <c:v>858</c:v>
                      </c:pt>
                      <c:pt idx="70">
                        <c:v>866</c:v>
                      </c:pt>
                      <c:pt idx="71">
                        <c:v>874</c:v>
                      </c:pt>
                      <c:pt idx="72">
                        <c:v>882</c:v>
                      </c:pt>
                      <c:pt idx="73">
                        <c:v>890</c:v>
                      </c:pt>
                      <c:pt idx="74">
                        <c:v>898</c:v>
                      </c:pt>
                      <c:pt idx="75">
                        <c:v>906</c:v>
                      </c:pt>
                      <c:pt idx="76">
                        <c:v>914</c:v>
                      </c:pt>
                      <c:pt idx="77">
                        <c:v>922</c:v>
                      </c:pt>
                      <c:pt idx="78">
                        <c:v>930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EVALUATION!$B$134:$CP$134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-184.14450450450451</c:v>
                      </c:pt>
                      <c:pt idx="1">
                        <c:v>-180.19015015015015</c:v>
                      </c:pt>
                      <c:pt idx="2">
                        <c:v>-176.23579579579581</c:v>
                      </c:pt>
                      <c:pt idx="3">
                        <c:v>-172.28144144144147</c:v>
                      </c:pt>
                      <c:pt idx="4" formatCode="General">
                        <c:v>-168.94194610778445</c:v>
                      </c:pt>
                      <c:pt idx="5" formatCode="General">
                        <c:v>-165.74434131736527</c:v>
                      </c:pt>
                      <c:pt idx="6" formatCode="General">
                        <c:v>-162.54673652694612</c:v>
                      </c:pt>
                      <c:pt idx="7" formatCode="General">
                        <c:v>-159.34913173652694</c:v>
                      </c:pt>
                      <c:pt idx="8" formatCode="General">
                        <c:v>-156.51188622754489</c:v>
                      </c:pt>
                      <c:pt idx="9" formatCode="General">
                        <c:v>-153.87955089820358</c:v>
                      </c:pt>
                      <c:pt idx="10" formatCode="General">
                        <c:v>-151.24721556886226</c:v>
                      </c:pt>
                      <c:pt idx="11" formatCode="General">
                        <c:v>-148.61488023952094</c:v>
                      </c:pt>
                      <c:pt idx="12" formatCode="General">
                        <c:v>-146.17973053892214</c:v>
                      </c:pt>
                      <c:pt idx="13" formatCode="General">
                        <c:v>-143.97374251497007</c:v>
                      </c:pt>
                      <c:pt idx="14" formatCode="General">
                        <c:v>-141.76775449101797</c:v>
                      </c:pt>
                      <c:pt idx="15" formatCode="General">
                        <c:v>-139.56176646706587</c:v>
                      </c:pt>
                      <c:pt idx="16" formatCode="General">
                        <c:v>-137.45494011976049</c:v>
                      </c:pt>
                      <c:pt idx="17" formatCode="General">
                        <c:v>-135.59386227544911</c:v>
                      </c:pt>
                      <c:pt idx="18" formatCode="General">
                        <c:v>-133.73278443113773</c:v>
                      </c:pt>
                      <c:pt idx="19" formatCode="General">
                        <c:v>-131.87170658682635</c:v>
                      </c:pt>
                      <c:pt idx="20" formatCode="General">
                        <c:v>-130.04404191616766</c:v>
                      </c:pt>
                      <c:pt idx="21" formatCode="General">
                        <c:v>-128.47997005988023</c:v>
                      </c:pt>
                      <c:pt idx="22" formatCode="General">
                        <c:v>-126.91589820359282</c:v>
                      </c:pt>
                      <c:pt idx="23" formatCode="General">
                        <c:v>-125.35182634730539</c:v>
                      </c:pt>
                      <c:pt idx="24" formatCode="General">
                        <c:v>-123.78775449101796</c:v>
                      </c:pt>
                      <c:pt idx="25" formatCode="General">
                        <c:v>-123.46702702702703</c:v>
                      </c:pt>
                      <c:pt idx="26" formatCode="General">
                        <c:v>-123.22918918918919</c:v>
                      </c:pt>
                      <c:pt idx="27" formatCode="General">
                        <c:v>-122.99135135135135</c:v>
                      </c:pt>
                      <c:pt idx="28" formatCode="General">
                        <c:v>-122.75351351351351</c:v>
                      </c:pt>
                      <c:pt idx="29" formatCode="General">
                        <c:v>-123.46293413173653</c:v>
                      </c:pt>
                      <c:pt idx="30" formatCode="General">
                        <c:v>-124.44736526946109</c:v>
                      </c:pt>
                      <c:pt idx="31" formatCode="General">
                        <c:v>-125.43179640718563</c:v>
                      </c:pt>
                      <c:pt idx="32" formatCode="General">
                        <c:v>-126.41622754491017</c:v>
                      </c:pt>
                      <c:pt idx="33" formatCode="General">
                        <c:v>-127.39922155688622</c:v>
                      </c:pt>
                      <c:pt idx="34" formatCode="General">
                        <c:v>-128.38125748502995</c:v>
                      </c:pt>
                      <c:pt idx="35" formatCode="General">
                        <c:v>-129.36329341317364</c:v>
                      </c:pt>
                      <c:pt idx="36" formatCode="General">
                        <c:v>-130.34532934131735</c:v>
                      </c:pt>
                      <c:pt idx="37" formatCode="General">
                        <c:v>-131.31718562874252</c:v>
                      </c:pt>
                      <c:pt idx="38" formatCode="General">
                        <c:v>-132.27526946107784</c:v>
                      </c:pt>
                      <c:pt idx="39" formatCode="General">
                        <c:v>-133.23335329341316</c:v>
                      </c:pt>
                      <c:pt idx="40" formatCode="General">
                        <c:v>-134.19143712574851</c:v>
                      </c:pt>
                      <c:pt idx="41" formatCode="General">
                        <c:v>-135.14592814371258</c:v>
                      </c:pt>
                      <c:pt idx="42" formatCode="General">
                        <c:v>-136.08964071856286</c:v>
                      </c:pt>
                      <c:pt idx="43" formatCode="General">
                        <c:v>-137.03335329341317</c:v>
                      </c:pt>
                      <c:pt idx="44" formatCode="General">
                        <c:v>-137.97706586826348</c:v>
                      </c:pt>
                      <c:pt idx="45" formatCode="General">
                        <c:v>-138.91970059880239</c:v>
                      </c:pt>
                      <c:pt idx="46" formatCode="General">
                        <c:v>-139.84904191616766</c:v>
                      </c:pt>
                      <c:pt idx="47" formatCode="General">
                        <c:v>-140.77838323353294</c:v>
                      </c:pt>
                      <c:pt idx="48" formatCode="General">
                        <c:v>-141.70772455089821</c:v>
                      </c:pt>
                      <c:pt idx="49" formatCode="General">
                        <c:v>-142.63706586826348</c:v>
                      </c:pt>
                      <c:pt idx="50" formatCode="General">
                        <c:v>-143.50932584269663</c:v>
                      </c:pt>
                      <c:pt idx="51" formatCode="General">
                        <c:v>-144.37524344569289</c:v>
                      </c:pt>
                      <c:pt idx="52" formatCode="General">
                        <c:v>-145.24116104868915</c:v>
                      </c:pt>
                      <c:pt idx="53" formatCode="General">
                        <c:v>-146.10707865168538</c:v>
                      </c:pt>
                      <c:pt idx="54" formatCode="General">
                        <c:v>-146.97299625468165</c:v>
                      </c:pt>
                      <c:pt idx="55" formatCode="General">
                        <c:v>-147.83891385767791</c:v>
                      </c:pt>
                      <c:pt idx="56" formatCode="General">
                        <c:v>-148.70483146067417</c:v>
                      </c:pt>
                      <c:pt idx="57" formatCode="General">
                        <c:v>-149.57074906367041</c:v>
                      </c:pt>
                      <c:pt idx="58" formatCode="General">
                        <c:v>-150.43666666666667</c:v>
                      </c:pt>
                      <c:pt idx="59" formatCode="General">
                        <c:v>-151.30258426966293</c:v>
                      </c:pt>
                      <c:pt idx="60" formatCode="General">
                        <c:v>-152.16850187265919</c:v>
                      </c:pt>
                      <c:pt idx="61" formatCode="General">
                        <c:v>-153.03441947565543</c:v>
                      </c:pt>
                      <c:pt idx="62" formatCode="General">
                        <c:v>-153.90033707865169</c:v>
                      </c:pt>
                      <c:pt idx="63" formatCode="General">
                        <c:v>-154.76625468164795</c:v>
                      </c:pt>
                      <c:pt idx="64" formatCode="General">
                        <c:v>-155.63217228464421</c:v>
                      </c:pt>
                      <c:pt idx="65" formatCode="General">
                        <c:v>-156.49808988764045</c:v>
                      </c:pt>
                      <c:pt idx="66" formatCode="General">
                        <c:v>-157.34146816479401</c:v>
                      </c:pt>
                      <c:pt idx="67" formatCode="General">
                        <c:v>-158.10131835205993</c:v>
                      </c:pt>
                      <c:pt idx="68" formatCode="General">
                        <c:v>-158.86116853932586</c:v>
                      </c:pt>
                      <c:pt idx="69" formatCode="General">
                        <c:v>-159.62101872659179</c:v>
                      </c:pt>
                      <c:pt idx="70" formatCode="General">
                        <c:v>-160.38086891385768</c:v>
                      </c:pt>
                      <c:pt idx="71" formatCode="General">
                        <c:v>-161.14071910112361</c:v>
                      </c:pt>
                      <c:pt idx="72" formatCode="General">
                        <c:v>-161.90056928838953</c:v>
                      </c:pt>
                      <c:pt idx="73" formatCode="General">
                        <c:v>-162.66041947565543</c:v>
                      </c:pt>
                      <c:pt idx="74" formatCode="General">
                        <c:v>-163.42026966292136</c:v>
                      </c:pt>
                      <c:pt idx="75" formatCode="General">
                        <c:v>-164.18011985018728</c:v>
                      </c:pt>
                      <c:pt idx="76" formatCode="General">
                        <c:v>-164.93997003745321</c:v>
                      </c:pt>
                      <c:pt idx="77" formatCode="General">
                        <c:v>-165.6998202247191</c:v>
                      </c:pt>
                      <c:pt idx="78" formatCode="General">
                        <c:v>-166.45967041198503</c:v>
                      </c:pt>
                      <c:pt idx="79" formatCode="General">
                        <c:v>-167.21952059925096</c:v>
                      </c:pt>
                      <c:pt idx="80" formatCode="General">
                        <c:v>-167.97937078651688</c:v>
                      </c:pt>
                      <c:pt idx="81" formatCode="General">
                        <c:v>-168.73922097378278</c:v>
                      </c:pt>
                      <c:pt idx="82" formatCode="General">
                        <c:v>-169.4990711610487</c:v>
                      </c:pt>
                      <c:pt idx="83" formatCode="General">
                        <c:v>-170.1970720720721</c:v>
                      </c:pt>
                      <c:pt idx="84" formatCode="General">
                        <c:v>-170.83911411411412</c:v>
                      </c:pt>
                      <c:pt idx="85" formatCode="General">
                        <c:v>-171.48115615615617</c:v>
                      </c:pt>
                      <c:pt idx="86" formatCode="General">
                        <c:v>-172.12319819819822</c:v>
                      </c:pt>
                      <c:pt idx="87" formatCode="General">
                        <c:v>-28.733663366336632</c:v>
                      </c:pt>
                      <c:pt idx="88" formatCode="General">
                        <c:v>-28.828712871287127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7-7F43-47D9-9E15-19AA26622F09}"/>
                  </c:ext>
                </c:extLst>
              </c15:ser>
            </c15:filteredScatterSeries>
            <c15:filteredScatterSeries>
              <c15:ser>
                <c:idx val="32"/>
                <c:order val="34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306</c:v>
                      </c:pt>
                      <c:pt idx="1">
                        <c:v>314</c:v>
                      </c:pt>
                      <c:pt idx="2">
                        <c:v>322</c:v>
                      </c:pt>
                      <c:pt idx="3">
                        <c:v>330</c:v>
                      </c:pt>
                      <c:pt idx="4">
                        <c:v>338</c:v>
                      </c:pt>
                      <c:pt idx="5">
                        <c:v>346</c:v>
                      </c:pt>
                      <c:pt idx="6">
                        <c:v>354</c:v>
                      </c:pt>
                      <c:pt idx="7">
                        <c:v>362</c:v>
                      </c:pt>
                      <c:pt idx="8">
                        <c:v>370</c:v>
                      </c:pt>
                      <c:pt idx="9">
                        <c:v>378</c:v>
                      </c:pt>
                      <c:pt idx="10">
                        <c:v>386</c:v>
                      </c:pt>
                      <c:pt idx="11">
                        <c:v>394</c:v>
                      </c:pt>
                      <c:pt idx="12">
                        <c:v>402</c:v>
                      </c:pt>
                      <c:pt idx="13">
                        <c:v>410</c:v>
                      </c:pt>
                      <c:pt idx="14">
                        <c:v>418</c:v>
                      </c:pt>
                      <c:pt idx="15">
                        <c:v>426</c:v>
                      </c:pt>
                      <c:pt idx="16">
                        <c:v>434</c:v>
                      </c:pt>
                      <c:pt idx="17">
                        <c:v>442</c:v>
                      </c:pt>
                      <c:pt idx="18">
                        <c:v>450</c:v>
                      </c:pt>
                      <c:pt idx="19">
                        <c:v>458</c:v>
                      </c:pt>
                      <c:pt idx="20">
                        <c:v>466</c:v>
                      </c:pt>
                      <c:pt idx="21">
                        <c:v>474</c:v>
                      </c:pt>
                      <c:pt idx="22">
                        <c:v>482</c:v>
                      </c:pt>
                      <c:pt idx="23">
                        <c:v>490</c:v>
                      </c:pt>
                      <c:pt idx="24">
                        <c:v>498</c:v>
                      </c:pt>
                      <c:pt idx="25">
                        <c:v>506</c:v>
                      </c:pt>
                      <c:pt idx="26">
                        <c:v>514</c:v>
                      </c:pt>
                      <c:pt idx="27">
                        <c:v>522</c:v>
                      </c:pt>
                      <c:pt idx="28">
                        <c:v>530</c:v>
                      </c:pt>
                      <c:pt idx="29">
                        <c:v>538</c:v>
                      </c:pt>
                      <c:pt idx="30">
                        <c:v>546</c:v>
                      </c:pt>
                      <c:pt idx="31">
                        <c:v>554</c:v>
                      </c:pt>
                      <c:pt idx="32">
                        <c:v>562</c:v>
                      </c:pt>
                      <c:pt idx="33">
                        <c:v>570</c:v>
                      </c:pt>
                      <c:pt idx="34">
                        <c:v>578</c:v>
                      </c:pt>
                      <c:pt idx="35">
                        <c:v>586</c:v>
                      </c:pt>
                      <c:pt idx="36">
                        <c:v>594</c:v>
                      </c:pt>
                      <c:pt idx="37">
                        <c:v>602</c:v>
                      </c:pt>
                      <c:pt idx="38">
                        <c:v>610</c:v>
                      </c:pt>
                      <c:pt idx="39">
                        <c:v>618</c:v>
                      </c:pt>
                      <c:pt idx="40">
                        <c:v>626</c:v>
                      </c:pt>
                      <c:pt idx="41">
                        <c:v>634</c:v>
                      </c:pt>
                      <c:pt idx="42">
                        <c:v>642</c:v>
                      </c:pt>
                      <c:pt idx="43">
                        <c:v>650</c:v>
                      </c:pt>
                      <c:pt idx="44">
                        <c:v>658</c:v>
                      </c:pt>
                      <c:pt idx="45">
                        <c:v>666</c:v>
                      </c:pt>
                      <c:pt idx="46">
                        <c:v>674</c:v>
                      </c:pt>
                      <c:pt idx="47">
                        <c:v>682</c:v>
                      </c:pt>
                      <c:pt idx="48">
                        <c:v>690</c:v>
                      </c:pt>
                      <c:pt idx="49">
                        <c:v>698</c:v>
                      </c:pt>
                      <c:pt idx="50">
                        <c:v>706</c:v>
                      </c:pt>
                      <c:pt idx="51">
                        <c:v>714</c:v>
                      </c:pt>
                      <c:pt idx="52">
                        <c:v>722</c:v>
                      </c:pt>
                      <c:pt idx="53">
                        <c:v>730</c:v>
                      </c:pt>
                      <c:pt idx="54">
                        <c:v>738</c:v>
                      </c:pt>
                      <c:pt idx="55">
                        <c:v>746</c:v>
                      </c:pt>
                      <c:pt idx="56">
                        <c:v>754</c:v>
                      </c:pt>
                      <c:pt idx="57">
                        <c:v>762</c:v>
                      </c:pt>
                      <c:pt idx="58">
                        <c:v>770</c:v>
                      </c:pt>
                      <c:pt idx="59">
                        <c:v>778</c:v>
                      </c:pt>
                      <c:pt idx="60">
                        <c:v>786</c:v>
                      </c:pt>
                      <c:pt idx="61">
                        <c:v>794</c:v>
                      </c:pt>
                      <c:pt idx="62">
                        <c:v>802</c:v>
                      </c:pt>
                      <c:pt idx="63">
                        <c:v>810</c:v>
                      </c:pt>
                      <c:pt idx="64">
                        <c:v>818</c:v>
                      </c:pt>
                      <c:pt idx="65">
                        <c:v>826</c:v>
                      </c:pt>
                      <c:pt idx="66">
                        <c:v>834</c:v>
                      </c:pt>
                      <c:pt idx="67">
                        <c:v>842</c:v>
                      </c:pt>
                      <c:pt idx="68">
                        <c:v>850</c:v>
                      </c:pt>
                      <c:pt idx="69">
                        <c:v>858</c:v>
                      </c:pt>
                      <c:pt idx="70">
                        <c:v>866</c:v>
                      </c:pt>
                      <c:pt idx="71">
                        <c:v>874</c:v>
                      </c:pt>
                      <c:pt idx="72">
                        <c:v>882</c:v>
                      </c:pt>
                      <c:pt idx="73">
                        <c:v>890</c:v>
                      </c:pt>
                      <c:pt idx="74">
                        <c:v>898</c:v>
                      </c:pt>
                      <c:pt idx="75">
                        <c:v>906</c:v>
                      </c:pt>
                      <c:pt idx="76">
                        <c:v>914</c:v>
                      </c:pt>
                      <c:pt idx="77">
                        <c:v>922</c:v>
                      </c:pt>
                      <c:pt idx="78">
                        <c:v>930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EVALUATION!$B$135:$CP$135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-15.512792792792792</c:v>
                      </c:pt>
                      <c:pt idx="1">
                        <c:v>-15.013093093093092</c:v>
                      </c:pt>
                      <c:pt idx="2">
                        <c:v>-14.513393393393393</c:v>
                      </c:pt>
                      <c:pt idx="3">
                        <c:v>-14.013693693693693</c:v>
                      </c:pt>
                      <c:pt idx="4" formatCode="General">
                        <c:v>-13.456826347305389</c:v>
                      </c:pt>
                      <c:pt idx="5" formatCode="General">
                        <c:v>-12.886766467065867</c:v>
                      </c:pt>
                      <c:pt idx="6" formatCode="General">
                        <c:v>-12.316706586826346</c:v>
                      </c:pt>
                      <c:pt idx="7" formatCode="General">
                        <c:v>-11.746646706586823</c:v>
                      </c:pt>
                      <c:pt idx="8" formatCode="General">
                        <c:v>-11.204988023952094</c:v>
                      </c:pt>
                      <c:pt idx="9" formatCode="General">
                        <c:v>-10.679479041916167</c:v>
                      </c:pt>
                      <c:pt idx="10" formatCode="General">
                        <c:v>-10.153970059880239</c:v>
                      </c:pt>
                      <c:pt idx="11" formatCode="General">
                        <c:v>-9.628461077844312</c:v>
                      </c:pt>
                      <c:pt idx="12" formatCode="General">
                        <c:v>-9.1539101796407198</c:v>
                      </c:pt>
                      <c:pt idx="13" formatCode="General">
                        <c:v>-8.7385808383233528</c:v>
                      </c:pt>
                      <c:pt idx="14" formatCode="General">
                        <c:v>-8.3232514970059874</c:v>
                      </c:pt>
                      <c:pt idx="15" formatCode="General">
                        <c:v>-7.9079221556886221</c:v>
                      </c:pt>
                      <c:pt idx="16" formatCode="General">
                        <c:v>-7.5390748502994009</c:v>
                      </c:pt>
                      <c:pt idx="17" formatCode="General">
                        <c:v>-7.2854221556886225</c:v>
                      </c:pt>
                      <c:pt idx="18" formatCode="General">
                        <c:v>-7.031769461077845</c:v>
                      </c:pt>
                      <c:pt idx="19" formatCode="General">
                        <c:v>-6.7781167664670665</c:v>
                      </c:pt>
                      <c:pt idx="20" formatCode="General">
                        <c:v>-6.5428413173652693</c:v>
                      </c:pt>
                      <c:pt idx="21" formatCode="General">
                        <c:v>-6.4525419161676645</c:v>
                      </c:pt>
                      <c:pt idx="22" formatCode="General">
                        <c:v>-6.3622425149700597</c:v>
                      </c:pt>
                      <c:pt idx="23" formatCode="General">
                        <c:v>-6.2719431137724548</c:v>
                      </c:pt>
                      <c:pt idx="24" formatCode="General">
                        <c:v>-6.18164371257485</c:v>
                      </c:pt>
                      <c:pt idx="25" formatCode="General">
                        <c:v>-6.3239729729729737</c:v>
                      </c:pt>
                      <c:pt idx="26" formatCode="General">
                        <c:v>-6.4818108108108117</c:v>
                      </c:pt>
                      <c:pt idx="27" formatCode="General">
                        <c:v>-6.6396486486486497</c:v>
                      </c:pt>
                      <c:pt idx="28" formatCode="General">
                        <c:v>-6.7974864864864877</c:v>
                      </c:pt>
                      <c:pt idx="29" formatCode="General">
                        <c:v>-6.8348562874251497</c:v>
                      </c:pt>
                      <c:pt idx="30" formatCode="General">
                        <c:v>-6.8372514970059886</c:v>
                      </c:pt>
                      <c:pt idx="31" formatCode="General">
                        <c:v>-6.8396467065868265</c:v>
                      </c:pt>
                      <c:pt idx="32" formatCode="General">
                        <c:v>-6.8420419161676644</c:v>
                      </c:pt>
                      <c:pt idx="33" formatCode="General">
                        <c:v>-6.8517664670658682</c:v>
                      </c:pt>
                      <c:pt idx="34" formatCode="General">
                        <c:v>-6.866377245508982</c:v>
                      </c:pt>
                      <c:pt idx="35" formatCode="General">
                        <c:v>-6.8809880239520957</c:v>
                      </c:pt>
                      <c:pt idx="36" formatCode="General">
                        <c:v>-6.8955988023952095</c:v>
                      </c:pt>
                      <c:pt idx="37" formatCode="General">
                        <c:v>-6.911838323353293</c:v>
                      </c:pt>
                      <c:pt idx="38" formatCode="General">
                        <c:v>-6.930281437125748</c:v>
                      </c:pt>
                      <c:pt idx="39" formatCode="General">
                        <c:v>-6.9487245508982038</c:v>
                      </c:pt>
                      <c:pt idx="40" formatCode="General">
                        <c:v>-6.9671676646706588</c:v>
                      </c:pt>
                      <c:pt idx="41" formatCode="General">
                        <c:v>-6.9858502994011973</c:v>
                      </c:pt>
                      <c:pt idx="42" formatCode="General">
                        <c:v>-7.0052514970059878</c:v>
                      </c:pt>
                      <c:pt idx="43" formatCode="General">
                        <c:v>-7.0246526946107783</c:v>
                      </c:pt>
                      <c:pt idx="44" formatCode="General">
                        <c:v>-7.0440538922155689</c:v>
                      </c:pt>
                      <c:pt idx="45" formatCode="General">
                        <c:v>-7.0634550898203594</c:v>
                      </c:pt>
                      <c:pt idx="46" formatCode="General">
                        <c:v>-7.0828562874251499</c:v>
                      </c:pt>
                      <c:pt idx="47" formatCode="General">
                        <c:v>-7.1022574850299405</c:v>
                      </c:pt>
                      <c:pt idx="48" formatCode="General">
                        <c:v>-7.1216586826347301</c:v>
                      </c:pt>
                      <c:pt idx="49" formatCode="General">
                        <c:v>-7.1410598802395207</c:v>
                      </c:pt>
                      <c:pt idx="50" formatCode="General">
                        <c:v>-7.1602584269662923</c:v>
                      </c:pt>
                      <c:pt idx="51" formatCode="General">
                        <c:v>-7.1794344569288393</c:v>
                      </c:pt>
                      <c:pt idx="52" formatCode="General">
                        <c:v>-7.1986104868913854</c:v>
                      </c:pt>
                      <c:pt idx="53" formatCode="General">
                        <c:v>-7.2177865168539324</c:v>
                      </c:pt>
                      <c:pt idx="54" formatCode="General">
                        <c:v>-7.2369625468164793</c:v>
                      </c:pt>
                      <c:pt idx="55" formatCode="General">
                        <c:v>-7.2561385767790263</c:v>
                      </c:pt>
                      <c:pt idx="56" formatCode="General">
                        <c:v>-7.2753146067415733</c:v>
                      </c:pt>
                      <c:pt idx="57" formatCode="General">
                        <c:v>-7.2944906367041202</c:v>
                      </c:pt>
                      <c:pt idx="58" formatCode="General">
                        <c:v>-7.3136666666666663</c:v>
                      </c:pt>
                      <c:pt idx="59" formatCode="General">
                        <c:v>-7.3328426966292133</c:v>
                      </c:pt>
                      <c:pt idx="60" formatCode="General">
                        <c:v>-7.3520187265917603</c:v>
                      </c:pt>
                      <c:pt idx="61" formatCode="General">
                        <c:v>-7.3711947565543072</c:v>
                      </c:pt>
                      <c:pt idx="62" formatCode="General">
                        <c:v>-7.3903707865168542</c:v>
                      </c:pt>
                      <c:pt idx="63" formatCode="General">
                        <c:v>-7.4095468164794012</c:v>
                      </c:pt>
                      <c:pt idx="64" formatCode="General">
                        <c:v>-7.4287228464419481</c:v>
                      </c:pt>
                      <c:pt idx="65" formatCode="General">
                        <c:v>-7.4478988764044942</c:v>
                      </c:pt>
                      <c:pt idx="66" formatCode="General">
                        <c:v>-7.4668456928838953</c:v>
                      </c:pt>
                      <c:pt idx="67" formatCode="General">
                        <c:v>-7.484943071161049</c:v>
                      </c:pt>
                      <c:pt idx="68" formatCode="General">
                        <c:v>-7.5030404494382026</c:v>
                      </c:pt>
                      <c:pt idx="69" formatCode="General">
                        <c:v>-7.5211378277153562</c:v>
                      </c:pt>
                      <c:pt idx="70" formatCode="General">
                        <c:v>-7.5392352059925098</c:v>
                      </c:pt>
                      <c:pt idx="71" formatCode="General">
                        <c:v>-7.5573325842696626</c:v>
                      </c:pt>
                      <c:pt idx="72" formatCode="General">
                        <c:v>-7.5754299625468162</c:v>
                      </c:pt>
                      <c:pt idx="73" formatCode="General">
                        <c:v>-7.5935273408239699</c:v>
                      </c:pt>
                      <c:pt idx="74" formatCode="General">
                        <c:v>-7.6116247191011235</c:v>
                      </c:pt>
                      <c:pt idx="75" formatCode="General">
                        <c:v>-7.6297220973782771</c:v>
                      </c:pt>
                      <c:pt idx="76" formatCode="General">
                        <c:v>-7.6478194756554307</c:v>
                      </c:pt>
                      <c:pt idx="77" formatCode="General">
                        <c:v>-7.6659168539325844</c:v>
                      </c:pt>
                      <c:pt idx="78" formatCode="General">
                        <c:v>-7.684014232209738</c:v>
                      </c:pt>
                      <c:pt idx="79" formatCode="General">
                        <c:v>-7.7021116104868916</c:v>
                      </c:pt>
                      <c:pt idx="80" formatCode="General">
                        <c:v>-7.7202089887640444</c:v>
                      </c:pt>
                      <c:pt idx="81" formatCode="General">
                        <c:v>-7.738306367041198</c:v>
                      </c:pt>
                      <c:pt idx="82" formatCode="General">
                        <c:v>-7.7564037453183516</c:v>
                      </c:pt>
                      <c:pt idx="83" formatCode="General">
                        <c:v>-7.7739234234234234</c:v>
                      </c:pt>
                      <c:pt idx="84" formatCode="General">
                        <c:v>-7.7909204204204201</c:v>
                      </c:pt>
                      <c:pt idx="85" formatCode="General">
                        <c:v>-7.8079174174174168</c:v>
                      </c:pt>
                      <c:pt idx="86" formatCode="General">
                        <c:v>-7.8249144144144145</c:v>
                      </c:pt>
                      <c:pt idx="87" formatCode="General">
                        <c:v>-64.814138613861388</c:v>
                      </c:pt>
                      <c:pt idx="88" formatCode="General">
                        <c:v>-65.022059405940595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8-7F43-47D9-9E15-19AA26622F09}"/>
                  </c:ext>
                </c:extLst>
              </c15:ser>
            </c15:filteredScatterSeries>
            <c15:filteredScatterSeries>
              <c15:ser>
                <c:idx val="33"/>
                <c:order val="35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306</c:v>
                      </c:pt>
                      <c:pt idx="1">
                        <c:v>314</c:v>
                      </c:pt>
                      <c:pt idx="2">
                        <c:v>322</c:v>
                      </c:pt>
                      <c:pt idx="3">
                        <c:v>330</c:v>
                      </c:pt>
                      <c:pt idx="4">
                        <c:v>338</c:v>
                      </c:pt>
                      <c:pt idx="5">
                        <c:v>346</c:v>
                      </c:pt>
                      <c:pt idx="6">
                        <c:v>354</c:v>
                      </c:pt>
                      <c:pt idx="7">
                        <c:v>362</c:v>
                      </c:pt>
                      <c:pt idx="8">
                        <c:v>370</c:v>
                      </c:pt>
                      <c:pt idx="9">
                        <c:v>378</c:v>
                      </c:pt>
                      <c:pt idx="10">
                        <c:v>386</c:v>
                      </c:pt>
                      <c:pt idx="11">
                        <c:v>394</c:v>
                      </c:pt>
                      <c:pt idx="12">
                        <c:v>402</c:v>
                      </c:pt>
                      <c:pt idx="13">
                        <c:v>410</c:v>
                      </c:pt>
                      <c:pt idx="14">
                        <c:v>418</c:v>
                      </c:pt>
                      <c:pt idx="15">
                        <c:v>426</c:v>
                      </c:pt>
                      <c:pt idx="16">
                        <c:v>434</c:v>
                      </c:pt>
                      <c:pt idx="17">
                        <c:v>442</c:v>
                      </c:pt>
                      <c:pt idx="18">
                        <c:v>450</c:v>
                      </c:pt>
                      <c:pt idx="19">
                        <c:v>458</c:v>
                      </c:pt>
                      <c:pt idx="20">
                        <c:v>466</c:v>
                      </c:pt>
                      <c:pt idx="21">
                        <c:v>474</c:v>
                      </c:pt>
                      <c:pt idx="22">
                        <c:v>482</c:v>
                      </c:pt>
                      <c:pt idx="23">
                        <c:v>490</c:v>
                      </c:pt>
                      <c:pt idx="24">
                        <c:v>498</c:v>
                      </c:pt>
                      <c:pt idx="25">
                        <c:v>506</c:v>
                      </c:pt>
                      <c:pt idx="26">
                        <c:v>514</c:v>
                      </c:pt>
                      <c:pt idx="27">
                        <c:v>522</c:v>
                      </c:pt>
                      <c:pt idx="28">
                        <c:v>530</c:v>
                      </c:pt>
                      <c:pt idx="29">
                        <c:v>538</c:v>
                      </c:pt>
                      <c:pt idx="30">
                        <c:v>546</c:v>
                      </c:pt>
                      <c:pt idx="31">
                        <c:v>554</c:v>
                      </c:pt>
                      <c:pt idx="32">
                        <c:v>562</c:v>
                      </c:pt>
                      <c:pt idx="33">
                        <c:v>570</c:v>
                      </c:pt>
                      <c:pt idx="34">
                        <c:v>578</c:v>
                      </c:pt>
                      <c:pt idx="35">
                        <c:v>586</c:v>
                      </c:pt>
                      <c:pt idx="36">
                        <c:v>594</c:v>
                      </c:pt>
                      <c:pt idx="37">
                        <c:v>602</c:v>
                      </c:pt>
                      <c:pt idx="38">
                        <c:v>610</c:v>
                      </c:pt>
                      <c:pt idx="39">
                        <c:v>618</c:v>
                      </c:pt>
                      <c:pt idx="40">
                        <c:v>626</c:v>
                      </c:pt>
                      <c:pt idx="41">
                        <c:v>634</c:v>
                      </c:pt>
                      <c:pt idx="42">
                        <c:v>642</c:v>
                      </c:pt>
                      <c:pt idx="43">
                        <c:v>650</c:v>
                      </c:pt>
                      <c:pt idx="44">
                        <c:v>658</c:v>
                      </c:pt>
                      <c:pt idx="45">
                        <c:v>666</c:v>
                      </c:pt>
                      <c:pt idx="46">
                        <c:v>674</c:v>
                      </c:pt>
                      <c:pt idx="47">
                        <c:v>682</c:v>
                      </c:pt>
                      <c:pt idx="48">
                        <c:v>690</c:v>
                      </c:pt>
                      <c:pt idx="49">
                        <c:v>698</c:v>
                      </c:pt>
                      <c:pt idx="50">
                        <c:v>706</c:v>
                      </c:pt>
                      <c:pt idx="51">
                        <c:v>714</c:v>
                      </c:pt>
                      <c:pt idx="52">
                        <c:v>722</c:v>
                      </c:pt>
                      <c:pt idx="53">
                        <c:v>730</c:v>
                      </c:pt>
                      <c:pt idx="54">
                        <c:v>738</c:v>
                      </c:pt>
                      <c:pt idx="55">
                        <c:v>746</c:v>
                      </c:pt>
                      <c:pt idx="56">
                        <c:v>754</c:v>
                      </c:pt>
                      <c:pt idx="57">
                        <c:v>762</c:v>
                      </c:pt>
                      <c:pt idx="58">
                        <c:v>770</c:v>
                      </c:pt>
                      <c:pt idx="59">
                        <c:v>778</c:v>
                      </c:pt>
                      <c:pt idx="60">
                        <c:v>786</c:v>
                      </c:pt>
                      <c:pt idx="61">
                        <c:v>794</c:v>
                      </c:pt>
                      <c:pt idx="62">
                        <c:v>802</c:v>
                      </c:pt>
                      <c:pt idx="63">
                        <c:v>810</c:v>
                      </c:pt>
                      <c:pt idx="64">
                        <c:v>818</c:v>
                      </c:pt>
                      <c:pt idx="65">
                        <c:v>826</c:v>
                      </c:pt>
                      <c:pt idx="66">
                        <c:v>834</c:v>
                      </c:pt>
                      <c:pt idx="67">
                        <c:v>842</c:v>
                      </c:pt>
                      <c:pt idx="68">
                        <c:v>850</c:v>
                      </c:pt>
                      <c:pt idx="69">
                        <c:v>858</c:v>
                      </c:pt>
                      <c:pt idx="70">
                        <c:v>866</c:v>
                      </c:pt>
                      <c:pt idx="71">
                        <c:v>874</c:v>
                      </c:pt>
                      <c:pt idx="72">
                        <c:v>882</c:v>
                      </c:pt>
                      <c:pt idx="73">
                        <c:v>890</c:v>
                      </c:pt>
                      <c:pt idx="74">
                        <c:v>898</c:v>
                      </c:pt>
                      <c:pt idx="75">
                        <c:v>906</c:v>
                      </c:pt>
                      <c:pt idx="76">
                        <c:v>914</c:v>
                      </c:pt>
                      <c:pt idx="77">
                        <c:v>922</c:v>
                      </c:pt>
                      <c:pt idx="78">
                        <c:v>930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EVALUATION!$B$136:$CP$136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-18.877657657657657</c:v>
                      </c:pt>
                      <c:pt idx="1">
                        <c:v>-18.875255255255254</c:v>
                      </c:pt>
                      <c:pt idx="2">
                        <c:v>-18.872852852852855</c:v>
                      </c:pt>
                      <c:pt idx="3">
                        <c:v>-18.870450450450452</c:v>
                      </c:pt>
                      <c:pt idx="4" formatCode="General">
                        <c:v>-18.875838323353292</c:v>
                      </c:pt>
                      <c:pt idx="5" formatCode="General">
                        <c:v>-18.883023952095808</c:v>
                      </c:pt>
                      <c:pt idx="6" formatCode="General">
                        <c:v>-18.890209580838324</c:v>
                      </c:pt>
                      <c:pt idx="7" formatCode="General">
                        <c:v>-18.897395209580836</c:v>
                      </c:pt>
                      <c:pt idx="8" formatCode="General">
                        <c:v>-18.906107784431136</c:v>
                      </c:pt>
                      <c:pt idx="9" formatCode="General">
                        <c:v>-18.915688622754491</c:v>
                      </c:pt>
                      <c:pt idx="10" formatCode="General">
                        <c:v>-18.925269461077846</c:v>
                      </c:pt>
                      <c:pt idx="11" formatCode="General">
                        <c:v>-18.934850299401198</c:v>
                      </c:pt>
                      <c:pt idx="12" formatCode="General">
                        <c:v>-18.945538922155688</c:v>
                      </c:pt>
                      <c:pt idx="13" formatCode="General">
                        <c:v>-18.957514970059879</c:v>
                      </c:pt>
                      <c:pt idx="14" formatCode="General">
                        <c:v>-18.969491017964071</c:v>
                      </c:pt>
                      <c:pt idx="15" formatCode="General">
                        <c:v>-18.981467065868262</c:v>
                      </c:pt>
                      <c:pt idx="16" formatCode="General">
                        <c:v>-18.993443113772454</c:v>
                      </c:pt>
                      <c:pt idx="17" formatCode="General">
                        <c:v>-19.005419161676645</c:v>
                      </c:pt>
                      <c:pt idx="18" formatCode="General">
                        <c:v>-19.017395209580837</c:v>
                      </c:pt>
                      <c:pt idx="19" formatCode="General">
                        <c:v>-19.029371257485028</c:v>
                      </c:pt>
                      <c:pt idx="20" formatCode="General">
                        <c:v>-19.040808383233532</c:v>
                      </c:pt>
                      <c:pt idx="21" formatCode="General">
                        <c:v>-19.047994011976048</c:v>
                      </c:pt>
                      <c:pt idx="22" formatCode="General">
                        <c:v>-19.055179640718563</c:v>
                      </c:pt>
                      <c:pt idx="23" formatCode="General">
                        <c:v>-19.062365269461079</c:v>
                      </c:pt>
                      <c:pt idx="24" formatCode="General">
                        <c:v>-19.069550898203595</c:v>
                      </c:pt>
                      <c:pt idx="25" formatCode="General">
                        <c:v>-19.045225225225227</c:v>
                      </c:pt>
                      <c:pt idx="26" formatCode="General">
                        <c:v>-19.018798798798798</c:v>
                      </c:pt>
                      <c:pt idx="27" formatCode="General">
                        <c:v>-18.992372372372373</c:v>
                      </c:pt>
                      <c:pt idx="28" formatCode="General">
                        <c:v>-18.965945945945947</c:v>
                      </c:pt>
                      <c:pt idx="29" formatCode="General">
                        <c:v>-18.972994011976049</c:v>
                      </c:pt>
                      <c:pt idx="30" formatCode="General">
                        <c:v>-18.989760479041916</c:v>
                      </c:pt>
                      <c:pt idx="31" formatCode="General">
                        <c:v>-19.006526946107787</c:v>
                      </c:pt>
                      <c:pt idx="32" formatCode="General">
                        <c:v>-19.023293413173654</c:v>
                      </c:pt>
                      <c:pt idx="33" formatCode="General">
                        <c:v>-19.040059880239522</c:v>
                      </c:pt>
                      <c:pt idx="34" formatCode="General">
                        <c:v>-19.056826347305389</c:v>
                      </c:pt>
                      <c:pt idx="35" formatCode="General">
                        <c:v>-19.07359281437126</c:v>
                      </c:pt>
                      <c:pt idx="36" formatCode="General">
                        <c:v>-19.090359281437127</c:v>
                      </c:pt>
                      <c:pt idx="37" formatCode="General">
                        <c:v>-19.107125748502995</c:v>
                      </c:pt>
                      <c:pt idx="38" formatCode="General">
                        <c:v>-19.123892215568866</c:v>
                      </c:pt>
                      <c:pt idx="39" formatCode="General">
                        <c:v>-19.140658682634733</c:v>
                      </c:pt>
                      <c:pt idx="40" formatCode="General">
                        <c:v>-19.1574251497006</c:v>
                      </c:pt>
                      <c:pt idx="41" formatCode="General">
                        <c:v>-19.174191616766468</c:v>
                      </c:pt>
                      <c:pt idx="42" formatCode="General">
                        <c:v>-19.190958083832335</c:v>
                      </c:pt>
                      <c:pt idx="43" formatCode="General">
                        <c:v>-19.207724550898202</c:v>
                      </c:pt>
                      <c:pt idx="44" formatCode="General">
                        <c:v>-19.22449101796407</c:v>
                      </c:pt>
                      <c:pt idx="45" formatCode="General">
                        <c:v>-19.241257485029937</c:v>
                      </c:pt>
                      <c:pt idx="46" formatCode="General">
                        <c:v>-19.258023952095808</c:v>
                      </c:pt>
                      <c:pt idx="47" formatCode="General">
                        <c:v>-19.274790419161675</c:v>
                      </c:pt>
                      <c:pt idx="48" formatCode="General">
                        <c:v>-19.291556886227543</c:v>
                      </c:pt>
                      <c:pt idx="49" formatCode="General">
                        <c:v>-19.30832335329341</c:v>
                      </c:pt>
                      <c:pt idx="50" formatCode="General">
                        <c:v>-19.324022471910112</c:v>
                      </c:pt>
                      <c:pt idx="51" formatCode="General">
                        <c:v>-19.33960299625468</c:v>
                      </c:pt>
                      <c:pt idx="52" formatCode="General">
                        <c:v>-19.355183520599251</c:v>
                      </c:pt>
                      <c:pt idx="53" formatCode="General">
                        <c:v>-19.370764044943819</c:v>
                      </c:pt>
                      <c:pt idx="54" formatCode="General">
                        <c:v>-19.38634456928839</c:v>
                      </c:pt>
                      <c:pt idx="55" formatCode="General">
                        <c:v>-19.401925093632958</c:v>
                      </c:pt>
                      <c:pt idx="56" formatCode="General">
                        <c:v>-19.417505617977529</c:v>
                      </c:pt>
                      <c:pt idx="57" formatCode="General">
                        <c:v>-19.433086142322097</c:v>
                      </c:pt>
                      <c:pt idx="58" formatCode="General">
                        <c:v>-19.448666666666668</c:v>
                      </c:pt>
                      <c:pt idx="59" formatCode="General">
                        <c:v>-19.464247191011236</c:v>
                      </c:pt>
                      <c:pt idx="60" formatCode="General">
                        <c:v>-19.479827715355807</c:v>
                      </c:pt>
                      <c:pt idx="61" formatCode="General">
                        <c:v>-19.495408239700375</c:v>
                      </c:pt>
                      <c:pt idx="62" formatCode="General">
                        <c:v>-19.510988764044942</c:v>
                      </c:pt>
                      <c:pt idx="63" formatCode="General">
                        <c:v>-19.526569288389513</c:v>
                      </c:pt>
                      <c:pt idx="64" formatCode="General">
                        <c:v>-19.542149812734081</c:v>
                      </c:pt>
                      <c:pt idx="65" formatCode="General">
                        <c:v>-19.557730337078652</c:v>
                      </c:pt>
                      <c:pt idx="66" formatCode="General">
                        <c:v>-19.573183520599251</c:v>
                      </c:pt>
                      <c:pt idx="67" formatCode="General">
                        <c:v>-19.58816479400749</c:v>
                      </c:pt>
                      <c:pt idx="68" formatCode="General">
                        <c:v>-19.603146067415732</c:v>
                      </c:pt>
                      <c:pt idx="69" formatCode="General">
                        <c:v>-19.618127340823971</c:v>
                      </c:pt>
                      <c:pt idx="70" formatCode="General">
                        <c:v>-19.63310861423221</c:v>
                      </c:pt>
                      <c:pt idx="71" formatCode="General">
                        <c:v>-19.648089887640449</c:v>
                      </c:pt>
                      <c:pt idx="72" formatCode="General">
                        <c:v>-19.663071161048691</c:v>
                      </c:pt>
                      <c:pt idx="73" formatCode="General">
                        <c:v>-19.67805243445693</c:v>
                      </c:pt>
                      <c:pt idx="74" formatCode="General">
                        <c:v>-19.693033707865169</c:v>
                      </c:pt>
                      <c:pt idx="75" formatCode="General">
                        <c:v>-19.708014981273408</c:v>
                      </c:pt>
                      <c:pt idx="76" formatCode="General">
                        <c:v>-19.722996254681647</c:v>
                      </c:pt>
                      <c:pt idx="77" formatCode="General">
                        <c:v>-19.737977528089889</c:v>
                      </c:pt>
                      <c:pt idx="78" formatCode="General">
                        <c:v>-19.752958801498128</c:v>
                      </c:pt>
                      <c:pt idx="79" formatCode="General">
                        <c:v>-19.767940074906367</c:v>
                      </c:pt>
                      <c:pt idx="80" formatCode="General">
                        <c:v>-19.782921348314606</c:v>
                      </c:pt>
                      <c:pt idx="81" formatCode="General">
                        <c:v>-19.797902621722848</c:v>
                      </c:pt>
                      <c:pt idx="82" formatCode="General">
                        <c:v>-19.812883895131087</c:v>
                      </c:pt>
                      <c:pt idx="83" formatCode="General">
                        <c:v>-19.827252252252254</c:v>
                      </c:pt>
                      <c:pt idx="84" formatCode="General">
                        <c:v>-19.841066066066066</c:v>
                      </c:pt>
                      <c:pt idx="85" formatCode="General">
                        <c:v>-19.854879879879881</c:v>
                      </c:pt>
                      <c:pt idx="86" formatCode="General">
                        <c:v>-19.868693693693693</c:v>
                      </c:pt>
                      <c:pt idx="87" formatCode="General">
                        <c:v>-102.44289108910891</c:v>
                      </c:pt>
                      <c:pt idx="88" formatCode="General">
                        <c:v>-102.77952475247524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9-7F43-47D9-9E15-19AA26622F09}"/>
                  </c:ext>
                </c:extLst>
              </c15:ser>
            </c15:filteredScatterSeries>
            <c15:filteredScatterSeries>
              <c15:ser>
                <c:idx val="35"/>
                <c:order val="37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306</c:v>
                      </c:pt>
                      <c:pt idx="1">
                        <c:v>314</c:v>
                      </c:pt>
                      <c:pt idx="2">
                        <c:v>322</c:v>
                      </c:pt>
                      <c:pt idx="3">
                        <c:v>330</c:v>
                      </c:pt>
                      <c:pt idx="4">
                        <c:v>338</c:v>
                      </c:pt>
                      <c:pt idx="5">
                        <c:v>346</c:v>
                      </c:pt>
                      <c:pt idx="6">
                        <c:v>354</c:v>
                      </c:pt>
                      <c:pt idx="7">
                        <c:v>362</c:v>
                      </c:pt>
                      <c:pt idx="8">
                        <c:v>370</c:v>
                      </c:pt>
                      <c:pt idx="9">
                        <c:v>378</c:v>
                      </c:pt>
                      <c:pt idx="10">
                        <c:v>386</c:v>
                      </c:pt>
                      <c:pt idx="11">
                        <c:v>394</c:v>
                      </c:pt>
                      <c:pt idx="12">
                        <c:v>402</c:v>
                      </c:pt>
                      <c:pt idx="13">
                        <c:v>410</c:v>
                      </c:pt>
                      <c:pt idx="14">
                        <c:v>418</c:v>
                      </c:pt>
                      <c:pt idx="15">
                        <c:v>426</c:v>
                      </c:pt>
                      <c:pt idx="16">
                        <c:v>434</c:v>
                      </c:pt>
                      <c:pt idx="17">
                        <c:v>442</c:v>
                      </c:pt>
                      <c:pt idx="18">
                        <c:v>450</c:v>
                      </c:pt>
                      <c:pt idx="19">
                        <c:v>458</c:v>
                      </c:pt>
                      <c:pt idx="20">
                        <c:v>466</c:v>
                      </c:pt>
                      <c:pt idx="21">
                        <c:v>474</c:v>
                      </c:pt>
                      <c:pt idx="22">
                        <c:v>482</c:v>
                      </c:pt>
                      <c:pt idx="23">
                        <c:v>490</c:v>
                      </c:pt>
                      <c:pt idx="24">
                        <c:v>498</c:v>
                      </c:pt>
                      <c:pt idx="25">
                        <c:v>506</c:v>
                      </c:pt>
                      <c:pt idx="26">
                        <c:v>514</c:v>
                      </c:pt>
                      <c:pt idx="27">
                        <c:v>522</c:v>
                      </c:pt>
                      <c:pt idx="28">
                        <c:v>530</c:v>
                      </c:pt>
                      <c:pt idx="29">
                        <c:v>538</c:v>
                      </c:pt>
                      <c:pt idx="30">
                        <c:v>546</c:v>
                      </c:pt>
                      <c:pt idx="31">
                        <c:v>554</c:v>
                      </c:pt>
                      <c:pt idx="32">
                        <c:v>562</c:v>
                      </c:pt>
                      <c:pt idx="33">
                        <c:v>570</c:v>
                      </c:pt>
                      <c:pt idx="34">
                        <c:v>578</c:v>
                      </c:pt>
                      <c:pt idx="35">
                        <c:v>586</c:v>
                      </c:pt>
                      <c:pt idx="36">
                        <c:v>594</c:v>
                      </c:pt>
                      <c:pt idx="37">
                        <c:v>602</c:v>
                      </c:pt>
                      <c:pt idx="38">
                        <c:v>610</c:v>
                      </c:pt>
                      <c:pt idx="39">
                        <c:v>618</c:v>
                      </c:pt>
                      <c:pt idx="40">
                        <c:v>626</c:v>
                      </c:pt>
                      <c:pt idx="41">
                        <c:v>634</c:v>
                      </c:pt>
                      <c:pt idx="42">
                        <c:v>642</c:v>
                      </c:pt>
                      <c:pt idx="43">
                        <c:v>650</c:v>
                      </c:pt>
                      <c:pt idx="44">
                        <c:v>658</c:v>
                      </c:pt>
                      <c:pt idx="45">
                        <c:v>666</c:v>
                      </c:pt>
                      <c:pt idx="46">
                        <c:v>674</c:v>
                      </c:pt>
                      <c:pt idx="47">
                        <c:v>682</c:v>
                      </c:pt>
                      <c:pt idx="48">
                        <c:v>690</c:v>
                      </c:pt>
                      <c:pt idx="49">
                        <c:v>698</c:v>
                      </c:pt>
                      <c:pt idx="50">
                        <c:v>706</c:v>
                      </c:pt>
                      <c:pt idx="51">
                        <c:v>714</c:v>
                      </c:pt>
                      <c:pt idx="52">
                        <c:v>722</c:v>
                      </c:pt>
                      <c:pt idx="53">
                        <c:v>730</c:v>
                      </c:pt>
                      <c:pt idx="54">
                        <c:v>738</c:v>
                      </c:pt>
                      <c:pt idx="55">
                        <c:v>746</c:v>
                      </c:pt>
                      <c:pt idx="56">
                        <c:v>754</c:v>
                      </c:pt>
                      <c:pt idx="57">
                        <c:v>762</c:v>
                      </c:pt>
                      <c:pt idx="58">
                        <c:v>770</c:v>
                      </c:pt>
                      <c:pt idx="59">
                        <c:v>778</c:v>
                      </c:pt>
                      <c:pt idx="60">
                        <c:v>786</c:v>
                      </c:pt>
                      <c:pt idx="61">
                        <c:v>794</c:v>
                      </c:pt>
                      <c:pt idx="62">
                        <c:v>802</c:v>
                      </c:pt>
                      <c:pt idx="63">
                        <c:v>810</c:v>
                      </c:pt>
                      <c:pt idx="64">
                        <c:v>818</c:v>
                      </c:pt>
                      <c:pt idx="65">
                        <c:v>826</c:v>
                      </c:pt>
                      <c:pt idx="66">
                        <c:v>834</c:v>
                      </c:pt>
                      <c:pt idx="67">
                        <c:v>842</c:v>
                      </c:pt>
                      <c:pt idx="68">
                        <c:v>850</c:v>
                      </c:pt>
                      <c:pt idx="69">
                        <c:v>858</c:v>
                      </c:pt>
                      <c:pt idx="70">
                        <c:v>866</c:v>
                      </c:pt>
                      <c:pt idx="71">
                        <c:v>874</c:v>
                      </c:pt>
                      <c:pt idx="72">
                        <c:v>882</c:v>
                      </c:pt>
                      <c:pt idx="73">
                        <c:v>890</c:v>
                      </c:pt>
                      <c:pt idx="74">
                        <c:v>898</c:v>
                      </c:pt>
                      <c:pt idx="75">
                        <c:v>906</c:v>
                      </c:pt>
                      <c:pt idx="76">
                        <c:v>914</c:v>
                      </c:pt>
                      <c:pt idx="77">
                        <c:v>922</c:v>
                      </c:pt>
                      <c:pt idx="78">
                        <c:v>930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EVALUATION!$B$138:$CP$138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-37.456036036036032</c:v>
                      </c:pt>
                      <c:pt idx="1">
                        <c:v>-36.754534534534535</c:v>
                      </c:pt>
                      <c:pt idx="2">
                        <c:v>-36.053033033033032</c:v>
                      </c:pt>
                      <c:pt idx="3">
                        <c:v>-35.351531531531528</c:v>
                      </c:pt>
                      <c:pt idx="4" formatCode="General">
                        <c:v>-34.77434131736527</c:v>
                      </c:pt>
                      <c:pt idx="5" formatCode="General">
                        <c:v>-34.225838323353294</c:v>
                      </c:pt>
                      <c:pt idx="6" formatCode="General">
                        <c:v>-33.677335329341318</c:v>
                      </c:pt>
                      <c:pt idx="7" formatCode="General">
                        <c:v>-33.128832335329342</c:v>
                      </c:pt>
                      <c:pt idx="8" formatCode="General">
                        <c:v>-32.657592814371256</c:v>
                      </c:pt>
                      <c:pt idx="9" formatCode="General">
                        <c:v>-32.230287425149697</c:v>
                      </c:pt>
                      <c:pt idx="10" formatCode="General">
                        <c:v>-31.802982035928146</c:v>
                      </c:pt>
                      <c:pt idx="11" formatCode="General">
                        <c:v>-31.375676646706587</c:v>
                      </c:pt>
                      <c:pt idx="12" formatCode="General">
                        <c:v>-30.997113772455091</c:v>
                      </c:pt>
                      <c:pt idx="13" formatCode="General">
                        <c:v>-30.675197604790419</c:v>
                      </c:pt>
                      <c:pt idx="14" formatCode="General">
                        <c:v>-30.353281437125748</c:v>
                      </c:pt>
                      <c:pt idx="15" formatCode="General">
                        <c:v>-30.031365269461077</c:v>
                      </c:pt>
                      <c:pt idx="16" formatCode="General">
                        <c:v>-29.749044910179641</c:v>
                      </c:pt>
                      <c:pt idx="17" formatCode="General">
                        <c:v>-29.564853293413172</c:v>
                      </c:pt>
                      <c:pt idx="18" formatCode="General">
                        <c:v>-29.380661676646707</c:v>
                      </c:pt>
                      <c:pt idx="19" formatCode="General">
                        <c:v>-29.196470059880241</c:v>
                      </c:pt>
                      <c:pt idx="20" formatCode="General">
                        <c:v>-29.031194610778446</c:v>
                      </c:pt>
                      <c:pt idx="21" formatCode="General">
                        <c:v>-29.015146706586826</c:v>
                      </c:pt>
                      <c:pt idx="22" formatCode="General">
                        <c:v>-28.99909880239521</c:v>
                      </c:pt>
                      <c:pt idx="23" formatCode="General">
                        <c:v>-28.983050898203594</c:v>
                      </c:pt>
                      <c:pt idx="24" formatCode="General">
                        <c:v>-28.967002994011978</c:v>
                      </c:pt>
                      <c:pt idx="25" formatCode="General">
                        <c:v>-29.170279279279281</c:v>
                      </c:pt>
                      <c:pt idx="26" formatCode="General">
                        <c:v>-29.388177177177177</c:v>
                      </c:pt>
                      <c:pt idx="27" formatCode="General">
                        <c:v>-29.606075075075076</c:v>
                      </c:pt>
                      <c:pt idx="28" formatCode="General">
                        <c:v>-29.823972972972971</c:v>
                      </c:pt>
                      <c:pt idx="29" formatCode="General">
                        <c:v>-29.965814371257483</c:v>
                      </c:pt>
                      <c:pt idx="30" formatCode="General">
                        <c:v>-30.085574850299402</c:v>
                      </c:pt>
                      <c:pt idx="31" formatCode="General">
                        <c:v>-30.205335329341317</c:v>
                      </c:pt>
                      <c:pt idx="32" formatCode="General">
                        <c:v>-30.325095808383235</c:v>
                      </c:pt>
                      <c:pt idx="33" formatCode="General">
                        <c:v>-30.453622754491018</c:v>
                      </c:pt>
                      <c:pt idx="34" formatCode="General">
                        <c:v>-30.587994011976047</c:v>
                      </c:pt>
                      <c:pt idx="35" formatCode="General">
                        <c:v>-30.722365269461079</c:v>
                      </c:pt>
                      <c:pt idx="36" formatCode="General">
                        <c:v>-30.856736526946108</c:v>
                      </c:pt>
                      <c:pt idx="37" formatCode="General">
                        <c:v>-30.990700598802395</c:v>
                      </c:pt>
                      <c:pt idx="38" formatCode="General">
                        <c:v>-31.12411377245509</c:v>
                      </c:pt>
                      <c:pt idx="39" formatCode="General">
                        <c:v>-31.257526946107784</c:v>
                      </c:pt>
                      <c:pt idx="40" formatCode="General">
                        <c:v>-31.390940119760479</c:v>
                      </c:pt>
                      <c:pt idx="41" formatCode="General">
                        <c:v>-31.524592814371257</c:v>
                      </c:pt>
                      <c:pt idx="42" formatCode="General">
                        <c:v>-31.658964071856285</c:v>
                      </c:pt>
                      <c:pt idx="43" formatCode="General">
                        <c:v>-31.793335329341318</c:v>
                      </c:pt>
                      <c:pt idx="44" formatCode="General">
                        <c:v>-31.927706586826346</c:v>
                      </c:pt>
                      <c:pt idx="45" formatCode="General">
                        <c:v>-32.062077844311375</c:v>
                      </c:pt>
                      <c:pt idx="46" formatCode="General">
                        <c:v>-32.196449101796411</c:v>
                      </c:pt>
                      <c:pt idx="47" formatCode="General">
                        <c:v>-32.330820359281439</c:v>
                      </c:pt>
                      <c:pt idx="48" formatCode="General">
                        <c:v>-32.465191616766468</c:v>
                      </c:pt>
                      <c:pt idx="49" formatCode="General">
                        <c:v>-32.599562874251497</c:v>
                      </c:pt>
                      <c:pt idx="50" formatCode="General">
                        <c:v>-32.727876404494381</c:v>
                      </c:pt>
                      <c:pt idx="51" formatCode="General">
                        <c:v>-32.855516853932585</c:v>
                      </c:pt>
                      <c:pt idx="52" formatCode="General">
                        <c:v>-32.983157303370788</c:v>
                      </c:pt>
                      <c:pt idx="53" formatCode="General">
                        <c:v>-33.110797752808992</c:v>
                      </c:pt>
                      <c:pt idx="54" formatCode="General">
                        <c:v>-33.238438202247195</c:v>
                      </c:pt>
                      <c:pt idx="55" formatCode="General">
                        <c:v>-33.366078651685392</c:v>
                      </c:pt>
                      <c:pt idx="56" formatCode="General">
                        <c:v>-33.493719101123595</c:v>
                      </c:pt>
                      <c:pt idx="57" formatCode="General">
                        <c:v>-33.621359550561799</c:v>
                      </c:pt>
                      <c:pt idx="58" formatCode="General">
                        <c:v>-33.749000000000002</c:v>
                      </c:pt>
                      <c:pt idx="59" formatCode="General">
                        <c:v>-33.876640449438206</c:v>
                      </c:pt>
                      <c:pt idx="60" formatCode="General">
                        <c:v>-34.004280898876409</c:v>
                      </c:pt>
                      <c:pt idx="61" formatCode="General">
                        <c:v>-34.131921348314606</c:v>
                      </c:pt>
                      <c:pt idx="62" formatCode="General">
                        <c:v>-34.259561797752809</c:v>
                      </c:pt>
                      <c:pt idx="63" formatCode="General">
                        <c:v>-34.387202247191013</c:v>
                      </c:pt>
                      <c:pt idx="64" formatCode="General">
                        <c:v>-34.514842696629216</c:v>
                      </c:pt>
                      <c:pt idx="65" formatCode="General">
                        <c:v>-34.64248314606742</c:v>
                      </c:pt>
                      <c:pt idx="66" formatCode="General">
                        <c:v>-34.768748314606746</c:v>
                      </c:pt>
                      <c:pt idx="67" formatCode="General">
                        <c:v>-34.88991685393259</c:v>
                      </c:pt>
                      <c:pt idx="68" formatCode="General">
                        <c:v>-35.011085393258426</c:v>
                      </c:pt>
                      <c:pt idx="69" formatCode="General">
                        <c:v>-35.13225393258427</c:v>
                      </c:pt>
                      <c:pt idx="70" formatCode="General">
                        <c:v>-35.253422471910113</c:v>
                      </c:pt>
                      <c:pt idx="71" formatCode="General">
                        <c:v>-35.374591011235957</c:v>
                      </c:pt>
                      <c:pt idx="72" formatCode="General">
                        <c:v>-35.4957595505618</c:v>
                      </c:pt>
                      <c:pt idx="73" formatCode="General">
                        <c:v>-35.616928089887644</c:v>
                      </c:pt>
                      <c:pt idx="74" formatCode="General">
                        <c:v>-35.738096629213487</c:v>
                      </c:pt>
                      <c:pt idx="75" formatCode="General">
                        <c:v>-35.859265168539331</c:v>
                      </c:pt>
                      <c:pt idx="76" formatCode="General">
                        <c:v>-35.980433707865167</c:v>
                      </c:pt>
                      <c:pt idx="77" formatCode="General">
                        <c:v>-36.101602247191011</c:v>
                      </c:pt>
                      <c:pt idx="78" formatCode="General">
                        <c:v>-36.222770786516854</c:v>
                      </c:pt>
                      <c:pt idx="79" formatCode="General">
                        <c:v>-36.343939325842697</c:v>
                      </c:pt>
                      <c:pt idx="80" formatCode="General">
                        <c:v>-36.465107865168541</c:v>
                      </c:pt>
                      <c:pt idx="81" formatCode="General">
                        <c:v>-36.586276404494384</c:v>
                      </c:pt>
                      <c:pt idx="82" formatCode="General">
                        <c:v>-36.707444943820228</c:v>
                      </c:pt>
                      <c:pt idx="83" formatCode="General">
                        <c:v>-36.825319819819818</c:v>
                      </c:pt>
                      <c:pt idx="84" formatCode="General">
                        <c:v>-36.940214714714713</c:v>
                      </c:pt>
                      <c:pt idx="85" formatCode="General">
                        <c:v>-37.055109609609609</c:v>
                      </c:pt>
                      <c:pt idx="86" formatCode="General">
                        <c:v>-37.170004504504504</c:v>
                      </c:pt>
                      <c:pt idx="87" formatCode="General">
                        <c:v>-8.1209504950495059</c:v>
                      </c:pt>
                      <c:pt idx="88" formatCode="General">
                        <c:v>-8.1466930693069308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A-7F43-47D9-9E15-19AA26622F09}"/>
                  </c:ext>
                </c:extLst>
              </c15:ser>
            </c15:filteredScatterSeries>
            <c15:filteredScatterSeries>
              <c15:ser>
                <c:idx val="36"/>
                <c:order val="38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306</c:v>
                      </c:pt>
                      <c:pt idx="1">
                        <c:v>314</c:v>
                      </c:pt>
                      <c:pt idx="2">
                        <c:v>322</c:v>
                      </c:pt>
                      <c:pt idx="3">
                        <c:v>330</c:v>
                      </c:pt>
                      <c:pt idx="4">
                        <c:v>338</c:v>
                      </c:pt>
                      <c:pt idx="5">
                        <c:v>346</c:v>
                      </c:pt>
                      <c:pt idx="6">
                        <c:v>354</c:v>
                      </c:pt>
                      <c:pt idx="7">
                        <c:v>362</c:v>
                      </c:pt>
                      <c:pt idx="8">
                        <c:v>370</c:v>
                      </c:pt>
                      <c:pt idx="9">
                        <c:v>378</c:v>
                      </c:pt>
                      <c:pt idx="10">
                        <c:v>386</c:v>
                      </c:pt>
                      <c:pt idx="11">
                        <c:v>394</c:v>
                      </c:pt>
                      <c:pt idx="12">
                        <c:v>402</c:v>
                      </c:pt>
                      <c:pt idx="13">
                        <c:v>410</c:v>
                      </c:pt>
                      <c:pt idx="14">
                        <c:v>418</c:v>
                      </c:pt>
                      <c:pt idx="15">
                        <c:v>426</c:v>
                      </c:pt>
                      <c:pt idx="16">
                        <c:v>434</c:v>
                      </c:pt>
                      <c:pt idx="17">
                        <c:v>442</c:v>
                      </c:pt>
                      <c:pt idx="18">
                        <c:v>450</c:v>
                      </c:pt>
                      <c:pt idx="19">
                        <c:v>458</c:v>
                      </c:pt>
                      <c:pt idx="20">
                        <c:v>466</c:v>
                      </c:pt>
                      <c:pt idx="21">
                        <c:v>474</c:v>
                      </c:pt>
                      <c:pt idx="22">
                        <c:v>482</c:v>
                      </c:pt>
                      <c:pt idx="23">
                        <c:v>490</c:v>
                      </c:pt>
                      <c:pt idx="24">
                        <c:v>498</c:v>
                      </c:pt>
                      <c:pt idx="25">
                        <c:v>506</c:v>
                      </c:pt>
                      <c:pt idx="26">
                        <c:v>514</c:v>
                      </c:pt>
                      <c:pt idx="27">
                        <c:v>522</c:v>
                      </c:pt>
                      <c:pt idx="28">
                        <c:v>530</c:v>
                      </c:pt>
                      <c:pt idx="29">
                        <c:v>538</c:v>
                      </c:pt>
                      <c:pt idx="30">
                        <c:v>546</c:v>
                      </c:pt>
                      <c:pt idx="31">
                        <c:v>554</c:v>
                      </c:pt>
                      <c:pt idx="32">
                        <c:v>562</c:v>
                      </c:pt>
                      <c:pt idx="33">
                        <c:v>570</c:v>
                      </c:pt>
                      <c:pt idx="34">
                        <c:v>578</c:v>
                      </c:pt>
                      <c:pt idx="35">
                        <c:v>586</c:v>
                      </c:pt>
                      <c:pt idx="36">
                        <c:v>594</c:v>
                      </c:pt>
                      <c:pt idx="37">
                        <c:v>602</c:v>
                      </c:pt>
                      <c:pt idx="38">
                        <c:v>610</c:v>
                      </c:pt>
                      <c:pt idx="39">
                        <c:v>618</c:v>
                      </c:pt>
                      <c:pt idx="40">
                        <c:v>626</c:v>
                      </c:pt>
                      <c:pt idx="41">
                        <c:v>634</c:v>
                      </c:pt>
                      <c:pt idx="42">
                        <c:v>642</c:v>
                      </c:pt>
                      <c:pt idx="43">
                        <c:v>650</c:v>
                      </c:pt>
                      <c:pt idx="44">
                        <c:v>658</c:v>
                      </c:pt>
                      <c:pt idx="45">
                        <c:v>666</c:v>
                      </c:pt>
                      <c:pt idx="46">
                        <c:v>674</c:v>
                      </c:pt>
                      <c:pt idx="47">
                        <c:v>682</c:v>
                      </c:pt>
                      <c:pt idx="48">
                        <c:v>690</c:v>
                      </c:pt>
                      <c:pt idx="49">
                        <c:v>698</c:v>
                      </c:pt>
                      <c:pt idx="50">
                        <c:v>706</c:v>
                      </c:pt>
                      <c:pt idx="51">
                        <c:v>714</c:v>
                      </c:pt>
                      <c:pt idx="52">
                        <c:v>722</c:v>
                      </c:pt>
                      <c:pt idx="53">
                        <c:v>730</c:v>
                      </c:pt>
                      <c:pt idx="54">
                        <c:v>738</c:v>
                      </c:pt>
                      <c:pt idx="55">
                        <c:v>746</c:v>
                      </c:pt>
                      <c:pt idx="56">
                        <c:v>754</c:v>
                      </c:pt>
                      <c:pt idx="57">
                        <c:v>762</c:v>
                      </c:pt>
                      <c:pt idx="58">
                        <c:v>770</c:v>
                      </c:pt>
                      <c:pt idx="59">
                        <c:v>778</c:v>
                      </c:pt>
                      <c:pt idx="60">
                        <c:v>786</c:v>
                      </c:pt>
                      <c:pt idx="61">
                        <c:v>794</c:v>
                      </c:pt>
                      <c:pt idx="62">
                        <c:v>802</c:v>
                      </c:pt>
                      <c:pt idx="63">
                        <c:v>810</c:v>
                      </c:pt>
                      <c:pt idx="64">
                        <c:v>818</c:v>
                      </c:pt>
                      <c:pt idx="65">
                        <c:v>826</c:v>
                      </c:pt>
                      <c:pt idx="66">
                        <c:v>834</c:v>
                      </c:pt>
                      <c:pt idx="67">
                        <c:v>842</c:v>
                      </c:pt>
                      <c:pt idx="68">
                        <c:v>850</c:v>
                      </c:pt>
                      <c:pt idx="69">
                        <c:v>858</c:v>
                      </c:pt>
                      <c:pt idx="70">
                        <c:v>866</c:v>
                      </c:pt>
                      <c:pt idx="71">
                        <c:v>874</c:v>
                      </c:pt>
                      <c:pt idx="72">
                        <c:v>882</c:v>
                      </c:pt>
                      <c:pt idx="73">
                        <c:v>890</c:v>
                      </c:pt>
                      <c:pt idx="74">
                        <c:v>898</c:v>
                      </c:pt>
                      <c:pt idx="75">
                        <c:v>906</c:v>
                      </c:pt>
                      <c:pt idx="76">
                        <c:v>914</c:v>
                      </c:pt>
                      <c:pt idx="77">
                        <c:v>922</c:v>
                      </c:pt>
                      <c:pt idx="78">
                        <c:v>930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EVALUATION!$B$139:$CP$139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-184.14450450450451</c:v>
                      </c:pt>
                      <c:pt idx="1">
                        <c:v>-180.19015015015015</c:v>
                      </c:pt>
                      <c:pt idx="2">
                        <c:v>-176.23579579579581</c:v>
                      </c:pt>
                      <c:pt idx="3">
                        <c:v>-172.28144144144147</c:v>
                      </c:pt>
                      <c:pt idx="4" formatCode="General">
                        <c:v>-168.94194610778445</c:v>
                      </c:pt>
                      <c:pt idx="5" formatCode="General">
                        <c:v>-165.74434131736527</c:v>
                      </c:pt>
                      <c:pt idx="6" formatCode="General">
                        <c:v>-162.54673652694612</c:v>
                      </c:pt>
                      <c:pt idx="7" formatCode="General">
                        <c:v>-159.34913173652694</c:v>
                      </c:pt>
                      <c:pt idx="8" formatCode="General">
                        <c:v>-156.51188622754489</c:v>
                      </c:pt>
                      <c:pt idx="9" formatCode="General">
                        <c:v>-153.87955089820358</c:v>
                      </c:pt>
                      <c:pt idx="10" formatCode="General">
                        <c:v>-151.24721556886226</c:v>
                      </c:pt>
                      <c:pt idx="11" formatCode="General">
                        <c:v>-148.61488023952094</c:v>
                      </c:pt>
                      <c:pt idx="12" formatCode="General">
                        <c:v>-146.17973053892214</c:v>
                      </c:pt>
                      <c:pt idx="13" formatCode="General">
                        <c:v>-143.97374251497007</c:v>
                      </c:pt>
                      <c:pt idx="14" formatCode="General">
                        <c:v>-141.76775449101797</c:v>
                      </c:pt>
                      <c:pt idx="15" formatCode="General">
                        <c:v>-139.56176646706587</c:v>
                      </c:pt>
                      <c:pt idx="16" formatCode="General">
                        <c:v>-137.45494011976049</c:v>
                      </c:pt>
                      <c:pt idx="17" formatCode="General">
                        <c:v>-135.59386227544911</c:v>
                      </c:pt>
                      <c:pt idx="18" formatCode="General">
                        <c:v>-133.73278443113773</c:v>
                      </c:pt>
                      <c:pt idx="19" formatCode="General">
                        <c:v>-131.87170658682635</c:v>
                      </c:pt>
                      <c:pt idx="20" formatCode="General">
                        <c:v>-130.04404191616766</c:v>
                      </c:pt>
                      <c:pt idx="21" formatCode="General">
                        <c:v>-128.47997005988023</c:v>
                      </c:pt>
                      <c:pt idx="22" formatCode="General">
                        <c:v>-126.91589820359282</c:v>
                      </c:pt>
                      <c:pt idx="23" formatCode="General">
                        <c:v>-125.35182634730539</c:v>
                      </c:pt>
                      <c:pt idx="24" formatCode="General">
                        <c:v>-123.78775449101796</c:v>
                      </c:pt>
                      <c:pt idx="25" formatCode="General">
                        <c:v>-123.46702702702703</c:v>
                      </c:pt>
                      <c:pt idx="26" formatCode="General">
                        <c:v>-123.22918918918919</c:v>
                      </c:pt>
                      <c:pt idx="27" formatCode="General">
                        <c:v>-122.99135135135135</c:v>
                      </c:pt>
                      <c:pt idx="28" formatCode="General">
                        <c:v>-122.75351351351351</c:v>
                      </c:pt>
                      <c:pt idx="29" formatCode="General">
                        <c:v>-123.46293413173653</c:v>
                      </c:pt>
                      <c:pt idx="30" formatCode="General">
                        <c:v>-124.44736526946109</c:v>
                      </c:pt>
                      <c:pt idx="31" formatCode="General">
                        <c:v>-125.43179640718563</c:v>
                      </c:pt>
                      <c:pt idx="32" formatCode="General">
                        <c:v>-126.41622754491017</c:v>
                      </c:pt>
                      <c:pt idx="33" formatCode="General">
                        <c:v>-127.39922155688622</c:v>
                      </c:pt>
                      <c:pt idx="34" formatCode="General">
                        <c:v>-128.38125748502995</c:v>
                      </c:pt>
                      <c:pt idx="35" formatCode="General">
                        <c:v>-129.36329341317364</c:v>
                      </c:pt>
                      <c:pt idx="36" formatCode="General">
                        <c:v>-130.34532934131735</c:v>
                      </c:pt>
                      <c:pt idx="37" formatCode="General">
                        <c:v>-131.31718562874252</c:v>
                      </c:pt>
                      <c:pt idx="38" formatCode="General">
                        <c:v>-132.27526946107784</c:v>
                      </c:pt>
                      <c:pt idx="39" formatCode="General">
                        <c:v>-133.23335329341316</c:v>
                      </c:pt>
                      <c:pt idx="40" formatCode="General">
                        <c:v>-134.19143712574851</c:v>
                      </c:pt>
                      <c:pt idx="41" formatCode="General">
                        <c:v>-135.14592814371258</c:v>
                      </c:pt>
                      <c:pt idx="42" formatCode="General">
                        <c:v>-136.08964071856286</c:v>
                      </c:pt>
                      <c:pt idx="43" formatCode="General">
                        <c:v>-137.03335329341317</c:v>
                      </c:pt>
                      <c:pt idx="44" formatCode="General">
                        <c:v>-137.97706586826348</c:v>
                      </c:pt>
                      <c:pt idx="45" formatCode="General">
                        <c:v>-138.91970059880239</c:v>
                      </c:pt>
                      <c:pt idx="46" formatCode="General">
                        <c:v>-139.84904191616766</c:v>
                      </c:pt>
                      <c:pt idx="47" formatCode="General">
                        <c:v>-140.77838323353294</c:v>
                      </c:pt>
                      <c:pt idx="48" formatCode="General">
                        <c:v>-141.70772455089821</c:v>
                      </c:pt>
                      <c:pt idx="49" formatCode="General">
                        <c:v>-142.63706586826348</c:v>
                      </c:pt>
                      <c:pt idx="50" formatCode="General">
                        <c:v>-143.50932584269663</c:v>
                      </c:pt>
                      <c:pt idx="51" formatCode="General">
                        <c:v>-144.37524344569289</c:v>
                      </c:pt>
                      <c:pt idx="52" formatCode="General">
                        <c:v>-145.24116104868915</c:v>
                      </c:pt>
                      <c:pt idx="53" formatCode="General">
                        <c:v>-146.10707865168538</c:v>
                      </c:pt>
                      <c:pt idx="54" formatCode="General">
                        <c:v>-146.97299625468165</c:v>
                      </c:pt>
                      <c:pt idx="55" formatCode="General">
                        <c:v>-147.83891385767791</c:v>
                      </c:pt>
                      <c:pt idx="56" formatCode="General">
                        <c:v>-148.70483146067417</c:v>
                      </c:pt>
                      <c:pt idx="57" formatCode="General">
                        <c:v>-149.57074906367041</c:v>
                      </c:pt>
                      <c:pt idx="58" formatCode="General">
                        <c:v>-150.43666666666667</c:v>
                      </c:pt>
                      <c:pt idx="59" formatCode="General">
                        <c:v>-151.30258426966293</c:v>
                      </c:pt>
                      <c:pt idx="60" formatCode="General">
                        <c:v>-152.16850187265919</c:v>
                      </c:pt>
                      <c:pt idx="61" formatCode="General">
                        <c:v>-153.03441947565543</c:v>
                      </c:pt>
                      <c:pt idx="62" formatCode="General">
                        <c:v>-153.90033707865169</c:v>
                      </c:pt>
                      <c:pt idx="63" formatCode="General">
                        <c:v>-154.76625468164795</c:v>
                      </c:pt>
                      <c:pt idx="64" formatCode="General">
                        <c:v>-155.63217228464421</c:v>
                      </c:pt>
                      <c:pt idx="65" formatCode="General">
                        <c:v>-156.49808988764045</c:v>
                      </c:pt>
                      <c:pt idx="66" formatCode="General">
                        <c:v>-157.34146816479401</c:v>
                      </c:pt>
                      <c:pt idx="67" formatCode="General">
                        <c:v>-158.10131835205993</c:v>
                      </c:pt>
                      <c:pt idx="68" formatCode="General">
                        <c:v>-158.86116853932586</c:v>
                      </c:pt>
                      <c:pt idx="69" formatCode="General">
                        <c:v>-159.62101872659179</c:v>
                      </c:pt>
                      <c:pt idx="70" formatCode="General">
                        <c:v>-160.38086891385768</c:v>
                      </c:pt>
                      <c:pt idx="71" formatCode="General">
                        <c:v>-161.14071910112361</c:v>
                      </c:pt>
                      <c:pt idx="72" formatCode="General">
                        <c:v>-161.90056928838953</c:v>
                      </c:pt>
                      <c:pt idx="73" formatCode="General">
                        <c:v>-162.66041947565543</c:v>
                      </c:pt>
                      <c:pt idx="74" formatCode="General">
                        <c:v>-163.42026966292136</c:v>
                      </c:pt>
                      <c:pt idx="75" formatCode="General">
                        <c:v>-164.18011985018728</c:v>
                      </c:pt>
                      <c:pt idx="76" formatCode="General">
                        <c:v>-164.93997003745321</c:v>
                      </c:pt>
                      <c:pt idx="77" formatCode="General">
                        <c:v>-165.6998202247191</c:v>
                      </c:pt>
                      <c:pt idx="78" formatCode="General">
                        <c:v>-166.45967041198503</c:v>
                      </c:pt>
                      <c:pt idx="79" formatCode="General">
                        <c:v>-167.21952059925096</c:v>
                      </c:pt>
                      <c:pt idx="80" formatCode="General">
                        <c:v>-167.97937078651688</c:v>
                      </c:pt>
                      <c:pt idx="81" formatCode="General">
                        <c:v>-168.73922097378278</c:v>
                      </c:pt>
                      <c:pt idx="82" formatCode="General">
                        <c:v>-169.4990711610487</c:v>
                      </c:pt>
                      <c:pt idx="83" formatCode="General">
                        <c:v>-170.1970720720721</c:v>
                      </c:pt>
                      <c:pt idx="84" formatCode="General">
                        <c:v>-170.83911411411412</c:v>
                      </c:pt>
                      <c:pt idx="85" formatCode="General">
                        <c:v>-171.48115615615617</c:v>
                      </c:pt>
                      <c:pt idx="86" formatCode="General">
                        <c:v>-172.12319819819822</c:v>
                      </c:pt>
                      <c:pt idx="87" formatCode="General">
                        <c:v>-19.85920792079208</c:v>
                      </c:pt>
                      <c:pt idx="88" formatCode="General">
                        <c:v>-19.871089108910891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B-7F43-47D9-9E15-19AA26622F09}"/>
                  </c:ext>
                </c:extLst>
              </c15:ser>
            </c15:filteredScatterSeries>
            <c15:filteredScatterSeries>
              <c15:ser>
                <c:idx val="37"/>
                <c:order val="39"/>
                <c:spPr>
                  <a:ln>
                    <a:solidFill>
                      <a:srgbClr val="FFC000"/>
                    </a:solidFill>
                    <a:prstDash val="sysDash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306</c:v>
                      </c:pt>
                      <c:pt idx="1">
                        <c:v>314</c:v>
                      </c:pt>
                      <c:pt idx="2">
                        <c:v>322</c:v>
                      </c:pt>
                      <c:pt idx="3">
                        <c:v>330</c:v>
                      </c:pt>
                      <c:pt idx="4">
                        <c:v>338</c:v>
                      </c:pt>
                      <c:pt idx="5">
                        <c:v>346</c:v>
                      </c:pt>
                      <c:pt idx="6">
                        <c:v>354</c:v>
                      </c:pt>
                      <c:pt idx="7">
                        <c:v>362</c:v>
                      </c:pt>
                      <c:pt idx="8">
                        <c:v>370</c:v>
                      </c:pt>
                      <c:pt idx="9">
                        <c:v>378</c:v>
                      </c:pt>
                      <c:pt idx="10">
                        <c:v>386</c:v>
                      </c:pt>
                      <c:pt idx="11">
                        <c:v>394</c:v>
                      </c:pt>
                      <c:pt idx="12">
                        <c:v>402</c:v>
                      </c:pt>
                      <c:pt idx="13">
                        <c:v>410</c:v>
                      </c:pt>
                      <c:pt idx="14">
                        <c:v>418</c:v>
                      </c:pt>
                      <c:pt idx="15">
                        <c:v>426</c:v>
                      </c:pt>
                      <c:pt idx="16">
                        <c:v>434</c:v>
                      </c:pt>
                      <c:pt idx="17">
                        <c:v>442</c:v>
                      </c:pt>
                      <c:pt idx="18">
                        <c:v>450</c:v>
                      </c:pt>
                      <c:pt idx="19">
                        <c:v>458</c:v>
                      </c:pt>
                      <c:pt idx="20">
                        <c:v>466</c:v>
                      </c:pt>
                      <c:pt idx="21">
                        <c:v>474</c:v>
                      </c:pt>
                      <c:pt idx="22">
                        <c:v>482</c:v>
                      </c:pt>
                      <c:pt idx="23">
                        <c:v>490</c:v>
                      </c:pt>
                      <c:pt idx="24">
                        <c:v>498</c:v>
                      </c:pt>
                      <c:pt idx="25">
                        <c:v>506</c:v>
                      </c:pt>
                      <c:pt idx="26">
                        <c:v>514</c:v>
                      </c:pt>
                      <c:pt idx="27">
                        <c:v>522</c:v>
                      </c:pt>
                      <c:pt idx="28">
                        <c:v>530</c:v>
                      </c:pt>
                      <c:pt idx="29">
                        <c:v>538</c:v>
                      </c:pt>
                      <c:pt idx="30">
                        <c:v>546</c:v>
                      </c:pt>
                      <c:pt idx="31">
                        <c:v>554</c:v>
                      </c:pt>
                      <c:pt idx="32">
                        <c:v>562</c:v>
                      </c:pt>
                      <c:pt idx="33">
                        <c:v>570</c:v>
                      </c:pt>
                      <c:pt idx="34">
                        <c:v>578</c:v>
                      </c:pt>
                      <c:pt idx="35">
                        <c:v>586</c:v>
                      </c:pt>
                      <c:pt idx="36">
                        <c:v>594</c:v>
                      </c:pt>
                      <c:pt idx="37">
                        <c:v>602</c:v>
                      </c:pt>
                      <c:pt idx="38">
                        <c:v>610</c:v>
                      </c:pt>
                      <c:pt idx="39">
                        <c:v>618</c:v>
                      </c:pt>
                      <c:pt idx="40">
                        <c:v>626</c:v>
                      </c:pt>
                      <c:pt idx="41">
                        <c:v>634</c:v>
                      </c:pt>
                      <c:pt idx="42">
                        <c:v>642</c:v>
                      </c:pt>
                      <c:pt idx="43">
                        <c:v>650</c:v>
                      </c:pt>
                      <c:pt idx="44">
                        <c:v>658</c:v>
                      </c:pt>
                      <c:pt idx="45">
                        <c:v>666</c:v>
                      </c:pt>
                      <c:pt idx="46">
                        <c:v>674</c:v>
                      </c:pt>
                      <c:pt idx="47">
                        <c:v>682</c:v>
                      </c:pt>
                      <c:pt idx="48">
                        <c:v>690</c:v>
                      </c:pt>
                      <c:pt idx="49">
                        <c:v>698</c:v>
                      </c:pt>
                      <c:pt idx="50">
                        <c:v>706</c:v>
                      </c:pt>
                      <c:pt idx="51">
                        <c:v>714</c:v>
                      </c:pt>
                      <c:pt idx="52">
                        <c:v>722</c:v>
                      </c:pt>
                      <c:pt idx="53">
                        <c:v>730</c:v>
                      </c:pt>
                      <c:pt idx="54">
                        <c:v>738</c:v>
                      </c:pt>
                      <c:pt idx="55">
                        <c:v>746</c:v>
                      </c:pt>
                      <c:pt idx="56">
                        <c:v>754</c:v>
                      </c:pt>
                      <c:pt idx="57">
                        <c:v>762</c:v>
                      </c:pt>
                      <c:pt idx="58">
                        <c:v>770</c:v>
                      </c:pt>
                      <c:pt idx="59">
                        <c:v>778</c:v>
                      </c:pt>
                      <c:pt idx="60">
                        <c:v>786</c:v>
                      </c:pt>
                      <c:pt idx="61">
                        <c:v>794</c:v>
                      </c:pt>
                      <c:pt idx="62">
                        <c:v>802</c:v>
                      </c:pt>
                      <c:pt idx="63">
                        <c:v>810</c:v>
                      </c:pt>
                      <c:pt idx="64">
                        <c:v>818</c:v>
                      </c:pt>
                      <c:pt idx="65">
                        <c:v>826</c:v>
                      </c:pt>
                      <c:pt idx="66">
                        <c:v>834</c:v>
                      </c:pt>
                      <c:pt idx="67">
                        <c:v>842</c:v>
                      </c:pt>
                      <c:pt idx="68">
                        <c:v>850</c:v>
                      </c:pt>
                      <c:pt idx="69">
                        <c:v>858</c:v>
                      </c:pt>
                      <c:pt idx="70">
                        <c:v>866</c:v>
                      </c:pt>
                      <c:pt idx="71">
                        <c:v>874</c:v>
                      </c:pt>
                      <c:pt idx="72">
                        <c:v>882</c:v>
                      </c:pt>
                      <c:pt idx="73">
                        <c:v>890</c:v>
                      </c:pt>
                      <c:pt idx="74">
                        <c:v>898</c:v>
                      </c:pt>
                      <c:pt idx="75">
                        <c:v>906</c:v>
                      </c:pt>
                      <c:pt idx="76">
                        <c:v>914</c:v>
                      </c:pt>
                      <c:pt idx="77">
                        <c:v>922</c:v>
                      </c:pt>
                      <c:pt idx="78">
                        <c:v>930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EVALUATION!$B$140:$CP$140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-15.512792792792792</c:v>
                      </c:pt>
                      <c:pt idx="1">
                        <c:v>-15.013093093093092</c:v>
                      </c:pt>
                      <c:pt idx="2">
                        <c:v>-14.513393393393393</c:v>
                      </c:pt>
                      <c:pt idx="3">
                        <c:v>-14.013693693693693</c:v>
                      </c:pt>
                      <c:pt idx="4" formatCode="General">
                        <c:v>-13.456826347305389</c:v>
                      </c:pt>
                      <c:pt idx="5" formatCode="General">
                        <c:v>-12.886766467065867</c:v>
                      </c:pt>
                      <c:pt idx="6" formatCode="General">
                        <c:v>-12.316706586826346</c:v>
                      </c:pt>
                      <c:pt idx="7" formatCode="General">
                        <c:v>-11.746646706586823</c:v>
                      </c:pt>
                      <c:pt idx="8" formatCode="General">
                        <c:v>-11.204988023952094</c:v>
                      </c:pt>
                      <c:pt idx="9" formatCode="General">
                        <c:v>-10.679479041916167</c:v>
                      </c:pt>
                      <c:pt idx="10" formatCode="General">
                        <c:v>-10.153970059880239</c:v>
                      </c:pt>
                      <c:pt idx="11" formatCode="General">
                        <c:v>-9.628461077844312</c:v>
                      </c:pt>
                      <c:pt idx="12" formatCode="General">
                        <c:v>-9.1539101796407198</c:v>
                      </c:pt>
                      <c:pt idx="13" formatCode="General">
                        <c:v>-8.7385808383233528</c:v>
                      </c:pt>
                      <c:pt idx="14" formatCode="General">
                        <c:v>-8.3232514970059874</c:v>
                      </c:pt>
                      <c:pt idx="15" formatCode="General">
                        <c:v>-7.9079221556886221</c:v>
                      </c:pt>
                      <c:pt idx="16" formatCode="General">
                        <c:v>-7.5390748502994009</c:v>
                      </c:pt>
                      <c:pt idx="17" formatCode="General">
                        <c:v>-7.2854221556886225</c:v>
                      </c:pt>
                      <c:pt idx="18" formatCode="General">
                        <c:v>-7.031769461077845</c:v>
                      </c:pt>
                      <c:pt idx="19" formatCode="General">
                        <c:v>-6.7781167664670665</c:v>
                      </c:pt>
                      <c:pt idx="20" formatCode="General">
                        <c:v>-6.5428413173652693</c:v>
                      </c:pt>
                      <c:pt idx="21" formatCode="General">
                        <c:v>-6.4525419161676645</c:v>
                      </c:pt>
                      <c:pt idx="22" formatCode="General">
                        <c:v>-6.3622425149700597</c:v>
                      </c:pt>
                      <c:pt idx="23" formatCode="General">
                        <c:v>-6.2719431137724548</c:v>
                      </c:pt>
                      <c:pt idx="24" formatCode="General">
                        <c:v>-6.18164371257485</c:v>
                      </c:pt>
                      <c:pt idx="25" formatCode="General">
                        <c:v>-6.3239729729729737</c:v>
                      </c:pt>
                      <c:pt idx="26" formatCode="General">
                        <c:v>-6.4818108108108117</c:v>
                      </c:pt>
                      <c:pt idx="27" formatCode="General">
                        <c:v>-6.6396486486486497</c:v>
                      </c:pt>
                      <c:pt idx="28" formatCode="General">
                        <c:v>-6.7974864864864877</c:v>
                      </c:pt>
                      <c:pt idx="29" formatCode="General">
                        <c:v>-6.8348562874251497</c:v>
                      </c:pt>
                      <c:pt idx="30" formatCode="General">
                        <c:v>-6.8372514970059886</c:v>
                      </c:pt>
                      <c:pt idx="31" formatCode="General">
                        <c:v>-6.8396467065868265</c:v>
                      </c:pt>
                      <c:pt idx="32" formatCode="General">
                        <c:v>-6.8420419161676644</c:v>
                      </c:pt>
                      <c:pt idx="33" formatCode="General">
                        <c:v>-6.8517664670658682</c:v>
                      </c:pt>
                      <c:pt idx="34" formatCode="General">
                        <c:v>-6.866377245508982</c:v>
                      </c:pt>
                      <c:pt idx="35" formatCode="General">
                        <c:v>-6.8809880239520957</c:v>
                      </c:pt>
                      <c:pt idx="36" formatCode="General">
                        <c:v>-6.8955988023952095</c:v>
                      </c:pt>
                      <c:pt idx="37" formatCode="General">
                        <c:v>-6.911838323353293</c:v>
                      </c:pt>
                      <c:pt idx="38" formatCode="General">
                        <c:v>-6.930281437125748</c:v>
                      </c:pt>
                      <c:pt idx="39" formatCode="General">
                        <c:v>-6.9487245508982038</c:v>
                      </c:pt>
                      <c:pt idx="40" formatCode="General">
                        <c:v>-6.9671676646706588</c:v>
                      </c:pt>
                      <c:pt idx="41" formatCode="General">
                        <c:v>-6.9858502994011973</c:v>
                      </c:pt>
                      <c:pt idx="42" formatCode="General">
                        <c:v>-7.0052514970059878</c:v>
                      </c:pt>
                      <c:pt idx="43" formatCode="General">
                        <c:v>-7.0246526946107783</c:v>
                      </c:pt>
                      <c:pt idx="44" formatCode="General">
                        <c:v>-7.0440538922155689</c:v>
                      </c:pt>
                      <c:pt idx="45" formatCode="General">
                        <c:v>-7.0634550898203594</c:v>
                      </c:pt>
                      <c:pt idx="46" formatCode="General">
                        <c:v>-7.0828562874251499</c:v>
                      </c:pt>
                      <c:pt idx="47" formatCode="General">
                        <c:v>-7.1022574850299405</c:v>
                      </c:pt>
                      <c:pt idx="48" formatCode="General">
                        <c:v>-7.1216586826347301</c:v>
                      </c:pt>
                      <c:pt idx="49" formatCode="General">
                        <c:v>-7.1410598802395207</c:v>
                      </c:pt>
                      <c:pt idx="50" formatCode="General">
                        <c:v>-7.1602584269662923</c:v>
                      </c:pt>
                      <c:pt idx="51" formatCode="General">
                        <c:v>-7.1794344569288393</c:v>
                      </c:pt>
                      <c:pt idx="52" formatCode="General">
                        <c:v>-7.1986104868913854</c:v>
                      </c:pt>
                      <c:pt idx="53" formatCode="General">
                        <c:v>-7.2177865168539324</c:v>
                      </c:pt>
                      <c:pt idx="54" formatCode="General">
                        <c:v>-7.2369625468164793</c:v>
                      </c:pt>
                      <c:pt idx="55" formatCode="General">
                        <c:v>-7.2561385767790263</c:v>
                      </c:pt>
                      <c:pt idx="56" formatCode="General">
                        <c:v>-7.2753146067415733</c:v>
                      </c:pt>
                      <c:pt idx="57" formatCode="General">
                        <c:v>-7.2944906367041202</c:v>
                      </c:pt>
                      <c:pt idx="58" formatCode="General">
                        <c:v>-7.3136666666666663</c:v>
                      </c:pt>
                      <c:pt idx="59" formatCode="General">
                        <c:v>-7.3328426966292133</c:v>
                      </c:pt>
                      <c:pt idx="60" formatCode="General">
                        <c:v>-7.3520187265917603</c:v>
                      </c:pt>
                      <c:pt idx="61" formatCode="General">
                        <c:v>-7.3711947565543072</c:v>
                      </c:pt>
                      <c:pt idx="62" formatCode="General">
                        <c:v>-7.3903707865168542</c:v>
                      </c:pt>
                      <c:pt idx="63" formatCode="General">
                        <c:v>-7.4095468164794012</c:v>
                      </c:pt>
                      <c:pt idx="64" formatCode="General">
                        <c:v>-7.4287228464419481</c:v>
                      </c:pt>
                      <c:pt idx="65" formatCode="General">
                        <c:v>-7.4478988764044942</c:v>
                      </c:pt>
                      <c:pt idx="66" formatCode="General">
                        <c:v>-7.4668456928838953</c:v>
                      </c:pt>
                      <c:pt idx="67" formatCode="General">
                        <c:v>-7.484943071161049</c:v>
                      </c:pt>
                      <c:pt idx="68" formatCode="General">
                        <c:v>-7.5030404494382026</c:v>
                      </c:pt>
                      <c:pt idx="69" formatCode="General">
                        <c:v>-7.5211378277153562</c:v>
                      </c:pt>
                      <c:pt idx="70" formatCode="General">
                        <c:v>-7.5392352059925098</c:v>
                      </c:pt>
                      <c:pt idx="71" formatCode="General">
                        <c:v>-7.5573325842696626</c:v>
                      </c:pt>
                      <c:pt idx="72" formatCode="General">
                        <c:v>-7.5754299625468162</c:v>
                      </c:pt>
                      <c:pt idx="73" formatCode="General">
                        <c:v>-7.5935273408239699</c:v>
                      </c:pt>
                      <c:pt idx="74" formatCode="General">
                        <c:v>-7.6116247191011235</c:v>
                      </c:pt>
                      <c:pt idx="75" formatCode="General">
                        <c:v>-7.6297220973782771</c:v>
                      </c:pt>
                      <c:pt idx="76" formatCode="General">
                        <c:v>-7.6478194756554307</c:v>
                      </c:pt>
                      <c:pt idx="77" formatCode="General">
                        <c:v>-7.6659168539325844</c:v>
                      </c:pt>
                      <c:pt idx="78" formatCode="General">
                        <c:v>-7.684014232209738</c:v>
                      </c:pt>
                      <c:pt idx="79" formatCode="General">
                        <c:v>-7.7021116104868916</c:v>
                      </c:pt>
                      <c:pt idx="80" formatCode="General">
                        <c:v>-7.7202089887640444</c:v>
                      </c:pt>
                      <c:pt idx="81" formatCode="General">
                        <c:v>-7.738306367041198</c:v>
                      </c:pt>
                      <c:pt idx="82" formatCode="General">
                        <c:v>-7.7564037453183516</c:v>
                      </c:pt>
                      <c:pt idx="83" formatCode="General">
                        <c:v>-7.7739234234234234</c:v>
                      </c:pt>
                      <c:pt idx="84" formatCode="General">
                        <c:v>-7.7909204204204201</c:v>
                      </c:pt>
                      <c:pt idx="85" formatCode="General">
                        <c:v>-7.8079174174174168</c:v>
                      </c:pt>
                      <c:pt idx="86" formatCode="General">
                        <c:v>-7.8249144144144145</c:v>
                      </c:pt>
                      <c:pt idx="87" formatCode="General">
                        <c:v>-64.814138613861388</c:v>
                      </c:pt>
                      <c:pt idx="88" formatCode="General">
                        <c:v>-65.022059405940595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C-7F43-47D9-9E15-19AA26622F09}"/>
                  </c:ext>
                </c:extLst>
              </c15:ser>
            </c15:filteredScatterSeries>
            <c15:filteredScatterSeries>
              <c15:ser>
                <c:idx val="38"/>
                <c:order val="40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306</c:v>
                      </c:pt>
                      <c:pt idx="1">
                        <c:v>314</c:v>
                      </c:pt>
                      <c:pt idx="2">
                        <c:v>322</c:v>
                      </c:pt>
                      <c:pt idx="3">
                        <c:v>330</c:v>
                      </c:pt>
                      <c:pt idx="4">
                        <c:v>338</c:v>
                      </c:pt>
                      <c:pt idx="5">
                        <c:v>346</c:v>
                      </c:pt>
                      <c:pt idx="6">
                        <c:v>354</c:v>
                      </c:pt>
                      <c:pt idx="7">
                        <c:v>362</c:v>
                      </c:pt>
                      <c:pt idx="8">
                        <c:v>370</c:v>
                      </c:pt>
                      <c:pt idx="9">
                        <c:v>378</c:v>
                      </c:pt>
                      <c:pt idx="10">
                        <c:v>386</c:v>
                      </c:pt>
                      <c:pt idx="11">
                        <c:v>394</c:v>
                      </c:pt>
                      <c:pt idx="12">
                        <c:v>402</c:v>
                      </c:pt>
                      <c:pt idx="13">
                        <c:v>410</c:v>
                      </c:pt>
                      <c:pt idx="14">
                        <c:v>418</c:v>
                      </c:pt>
                      <c:pt idx="15">
                        <c:v>426</c:v>
                      </c:pt>
                      <c:pt idx="16">
                        <c:v>434</c:v>
                      </c:pt>
                      <c:pt idx="17">
                        <c:v>442</c:v>
                      </c:pt>
                      <c:pt idx="18">
                        <c:v>450</c:v>
                      </c:pt>
                      <c:pt idx="19">
                        <c:v>458</c:v>
                      </c:pt>
                      <c:pt idx="20">
                        <c:v>466</c:v>
                      </c:pt>
                      <c:pt idx="21">
                        <c:v>474</c:v>
                      </c:pt>
                      <c:pt idx="22">
                        <c:v>482</c:v>
                      </c:pt>
                      <c:pt idx="23">
                        <c:v>490</c:v>
                      </c:pt>
                      <c:pt idx="24">
                        <c:v>498</c:v>
                      </c:pt>
                      <c:pt idx="25">
                        <c:v>506</c:v>
                      </c:pt>
                      <c:pt idx="26">
                        <c:v>514</c:v>
                      </c:pt>
                      <c:pt idx="27">
                        <c:v>522</c:v>
                      </c:pt>
                      <c:pt idx="28">
                        <c:v>530</c:v>
                      </c:pt>
                      <c:pt idx="29">
                        <c:v>538</c:v>
                      </c:pt>
                      <c:pt idx="30">
                        <c:v>546</c:v>
                      </c:pt>
                      <c:pt idx="31">
                        <c:v>554</c:v>
                      </c:pt>
                      <c:pt idx="32">
                        <c:v>562</c:v>
                      </c:pt>
                      <c:pt idx="33">
                        <c:v>570</c:v>
                      </c:pt>
                      <c:pt idx="34">
                        <c:v>578</c:v>
                      </c:pt>
                      <c:pt idx="35">
                        <c:v>586</c:v>
                      </c:pt>
                      <c:pt idx="36">
                        <c:v>594</c:v>
                      </c:pt>
                      <c:pt idx="37">
                        <c:v>602</c:v>
                      </c:pt>
                      <c:pt idx="38">
                        <c:v>610</c:v>
                      </c:pt>
                      <c:pt idx="39">
                        <c:v>618</c:v>
                      </c:pt>
                      <c:pt idx="40">
                        <c:v>626</c:v>
                      </c:pt>
                      <c:pt idx="41">
                        <c:v>634</c:v>
                      </c:pt>
                      <c:pt idx="42">
                        <c:v>642</c:v>
                      </c:pt>
                      <c:pt idx="43">
                        <c:v>650</c:v>
                      </c:pt>
                      <c:pt idx="44">
                        <c:v>658</c:v>
                      </c:pt>
                      <c:pt idx="45">
                        <c:v>666</c:v>
                      </c:pt>
                      <c:pt idx="46">
                        <c:v>674</c:v>
                      </c:pt>
                      <c:pt idx="47">
                        <c:v>682</c:v>
                      </c:pt>
                      <c:pt idx="48">
                        <c:v>690</c:v>
                      </c:pt>
                      <c:pt idx="49">
                        <c:v>698</c:v>
                      </c:pt>
                      <c:pt idx="50">
                        <c:v>706</c:v>
                      </c:pt>
                      <c:pt idx="51">
                        <c:v>714</c:v>
                      </c:pt>
                      <c:pt idx="52">
                        <c:v>722</c:v>
                      </c:pt>
                      <c:pt idx="53">
                        <c:v>730</c:v>
                      </c:pt>
                      <c:pt idx="54">
                        <c:v>738</c:v>
                      </c:pt>
                      <c:pt idx="55">
                        <c:v>746</c:v>
                      </c:pt>
                      <c:pt idx="56">
                        <c:v>754</c:v>
                      </c:pt>
                      <c:pt idx="57">
                        <c:v>762</c:v>
                      </c:pt>
                      <c:pt idx="58">
                        <c:v>770</c:v>
                      </c:pt>
                      <c:pt idx="59">
                        <c:v>778</c:v>
                      </c:pt>
                      <c:pt idx="60">
                        <c:v>786</c:v>
                      </c:pt>
                      <c:pt idx="61">
                        <c:v>794</c:v>
                      </c:pt>
                      <c:pt idx="62">
                        <c:v>802</c:v>
                      </c:pt>
                      <c:pt idx="63">
                        <c:v>810</c:v>
                      </c:pt>
                      <c:pt idx="64">
                        <c:v>818</c:v>
                      </c:pt>
                      <c:pt idx="65">
                        <c:v>826</c:v>
                      </c:pt>
                      <c:pt idx="66">
                        <c:v>834</c:v>
                      </c:pt>
                      <c:pt idx="67">
                        <c:v>842</c:v>
                      </c:pt>
                      <c:pt idx="68">
                        <c:v>850</c:v>
                      </c:pt>
                      <c:pt idx="69">
                        <c:v>858</c:v>
                      </c:pt>
                      <c:pt idx="70">
                        <c:v>866</c:v>
                      </c:pt>
                      <c:pt idx="71">
                        <c:v>874</c:v>
                      </c:pt>
                      <c:pt idx="72">
                        <c:v>882</c:v>
                      </c:pt>
                      <c:pt idx="73">
                        <c:v>890</c:v>
                      </c:pt>
                      <c:pt idx="74">
                        <c:v>898</c:v>
                      </c:pt>
                      <c:pt idx="75">
                        <c:v>906</c:v>
                      </c:pt>
                      <c:pt idx="76">
                        <c:v>914</c:v>
                      </c:pt>
                      <c:pt idx="77">
                        <c:v>922</c:v>
                      </c:pt>
                      <c:pt idx="78">
                        <c:v>930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EVALUATION!$B$141:$CP$141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-59.157387387387388</c:v>
                      </c:pt>
                      <c:pt idx="1">
                        <c:v>-57.482912912912909</c:v>
                      </c:pt>
                      <c:pt idx="2">
                        <c:v>-55.808438438438436</c:v>
                      </c:pt>
                      <c:pt idx="3">
                        <c:v>-54.133963963963964</c:v>
                      </c:pt>
                      <c:pt idx="4" formatCode="General">
                        <c:v>-52.494700598802396</c:v>
                      </c:pt>
                      <c:pt idx="5" formatCode="General">
                        <c:v>-50.863562874251492</c:v>
                      </c:pt>
                      <c:pt idx="6" formatCode="General">
                        <c:v>-49.232425149700596</c:v>
                      </c:pt>
                      <c:pt idx="7" formatCode="General">
                        <c:v>-47.601287425149692</c:v>
                      </c:pt>
                      <c:pt idx="8" formatCode="General">
                        <c:v>-46.077035928143708</c:v>
                      </c:pt>
                      <c:pt idx="9" formatCode="General">
                        <c:v>-44.613562874251492</c:v>
                      </c:pt>
                      <c:pt idx="10" formatCode="General">
                        <c:v>-43.150089820359277</c:v>
                      </c:pt>
                      <c:pt idx="11" formatCode="General">
                        <c:v>-41.686616766467068</c:v>
                      </c:pt>
                      <c:pt idx="12" formatCode="General">
                        <c:v>-40.325059880239522</c:v>
                      </c:pt>
                      <c:pt idx="13" formatCode="General">
                        <c:v>-39.081946107784432</c:v>
                      </c:pt>
                      <c:pt idx="14" formatCode="General">
                        <c:v>-37.838832335329343</c:v>
                      </c:pt>
                      <c:pt idx="15" formatCode="General">
                        <c:v>-36.595718562874254</c:v>
                      </c:pt>
                      <c:pt idx="16" formatCode="General">
                        <c:v>-35.412514970059881</c:v>
                      </c:pt>
                      <c:pt idx="17" formatCode="General">
                        <c:v>-34.377784431137727</c:v>
                      </c:pt>
                      <c:pt idx="18" formatCode="General">
                        <c:v>-33.343053892215572</c:v>
                      </c:pt>
                      <c:pt idx="19" formatCode="General">
                        <c:v>-32.308323353293417</c:v>
                      </c:pt>
                      <c:pt idx="20" formatCode="General">
                        <c:v>-31.289491017964075</c:v>
                      </c:pt>
                      <c:pt idx="21" formatCode="General">
                        <c:v>-30.396077844311378</c:v>
                      </c:pt>
                      <c:pt idx="22" formatCode="General">
                        <c:v>-29.502664670658685</c:v>
                      </c:pt>
                      <c:pt idx="23" formatCode="General">
                        <c:v>-28.609251497005989</c:v>
                      </c:pt>
                      <c:pt idx="24" formatCode="General">
                        <c:v>-27.715838323353292</c:v>
                      </c:pt>
                      <c:pt idx="25" formatCode="General">
                        <c:v>-27.464054054054053</c:v>
                      </c:pt>
                      <c:pt idx="26" formatCode="General">
                        <c:v>-27.255045045045044</c:v>
                      </c:pt>
                      <c:pt idx="27" formatCode="General">
                        <c:v>-27.046036036036035</c:v>
                      </c:pt>
                      <c:pt idx="28" formatCode="General">
                        <c:v>-26.837027027027027</c:v>
                      </c:pt>
                      <c:pt idx="29" formatCode="General">
                        <c:v>-27.03502994011976</c:v>
                      </c:pt>
                      <c:pt idx="30" formatCode="General">
                        <c:v>-27.351197604790418</c:v>
                      </c:pt>
                      <c:pt idx="31" formatCode="General">
                        <c:v>-27.667365269461076</c:v>
                      </c:pt>
                      <c:pt idx="32" formatCode="General">
                        <c:v>-27.983532934131734</c:v>
                      </c:pt>
                      <c:pt idx="33" formatCode="General">
                        <c:v>-28.296826347305387</c:v>
                      </c:pt>
                      <c:pt idx="34" formatCode="General">
                        <c:v>-28.60820359281437</c:v>
                      </c:pt>
                      <c:pt idx="35" formatCode="General">
                        <c:v>-28.919580838323352</c:v>
                      </c:pt>
                      <c:pt idx="36" formatCode="General">
                        <c:v>-29.230958083832334</c:v>
                      </c:pt>
                      <c:pt idx="37" formatCode="General">
                        <c:v>-29.540299401197604</c:v>
                      </c:pt>
                      <c:pt idx="38" formatCode="General">
                        <c:v>-29.84688622754491</c:v>
                      </c:pt>
                      <c:pt idx="39" formatCode="General">
                        <c:v>-30.153473053892217</c:v>
                      </c:pt>
                      <c:pt idx="40" formatCode="General">
                        <c:v>-30.460059880239523</c:v>
                      </c:pt>
                      <c:pt idx="41" formatCode="General">
                        <c:v>-30.7648502994012</c:v>
                      </c:pt>
                      <c:pt idx="42" formatCode="General">
                        <c:v>-31.064251497005991</c:v>
                      </c:pt>
                      <c:pt idx="43" formatCode="General">
                        <c:v>-31.363652694610781</c:v>
                      </c:pt>
                      <c:pt idx="44" formatCode="General">
                        <c:v>-31.663053892215572</c:v>
                      </c:pt>
                      <c:pt idx="45" formatCode="General">
                        <c:v>-31.961916167664672</c:v>
                      </c:pt>
                      <c:pt idx="46" formatCode="General">
                        <c:v>-32.254131736526951</c:v>
                      </c:pt>
                      <c:pt idx="47" formatCode="General">
                        <c:v>-32.546347305389219</c:v>
                      </c:pt>
                      <c:pt idx="48" formatCode="General">
                        <c:v>-32.838562874251494</c:v>
                      </c:pt>
                      <c:pt idx="49" formatCode="General">
                        <c:v>-33.130778443113769</c:v>
                      </c:pt>
                      <c:pt idx="50" formatCode="General">
                        <c:v>-33.403235955056175</c:v>
                      </c:pt>
                      <c:pt idx="51" formatCode="General">
                        <c:v>-33.673498127340821</c:v>
                      </c:pt>
                      <c:pt idx="52" formatCode="General">
                        <c:v>-33.943760299625467</c:v>
                      </c:pt>
                      <c:pt idx="53" formatCode="General">
                        <c:v>-34.214022471910113</c:v>
                      </c:pt>
                      <c:pt idx="54" formatCode="General">
                        <c:v>-34.484284644194759</c:v>
                      </c:pt>
                      <c:pt idx="55" formatCode="General">
                        <c:v>-34.754546816479397</c:v>
                      </c:pt>
                      <c:pt idx="56" formatCode="General">
                        <c:v>-35.024808988764043</c:v>
                      </c:pt>
                      <c:pt idx="57" formatCode="General">
                        <c:v>-35.295071161048689</c:v>
                      </c:pt>
                      <c:pt idx="58" formatCode="General">
                        <c:v>-35.565333333333335</c:v>
                      </c:pt>
                      <c:pt idx="59" formatCode="General">
                        <c:v>-35.835595505617981</c:v>
                      </c:pt>
                      <c:pt idx="60" formatCode="General">
                        <c:v>-36.10585767790262</c:v>
                      </c:pt>
                      <c:pt idx="61" formatCode="General">
                        <c:v>-36.376119850187266</c:v>
                      </c:pt>
                      <c:pt idx="62" formatCode="General">
                        <c:v>-36.646382022471911</c:v>
                      </c:pt>
                      <c:pt idx="63" formatCode="General">
                        <c:v>-36.916644194756557</c:v>
                      </c:pt>
                      <c:pt idx="64" formatCode="General">
                        <c:v>-37.186906367041203</c:v>
                      </c:pt>
                      <c:pt idx="65" formatCode="General">
                        <c:v>-37.457168539325849</c:v>
                      </c:pt>
                      <c:pt idx="66" formatCode="General">
                        <c:v>-37.717880149812736</c:v>
                      </c:pt>
                      <c:pt idx="67" formatCode="General">
                        <c:v>-37.943198501872665</c:v>
                      </c:pt>
                      <c:pt idx="68" formatCode="General">
                        <c:v>-38.168516853932587</c:v>
                      </c:pt>
                      <c:pt idx="69" formatCode="General">
                        <c:v>-38.393835205992509</c:v>
                      </c:pt>
                      <c:pt idx="70" formatCode="General">
                        <c:v>-38.619153558052439</c:v>
                      </c:pt>
                      <c:pt idx="71" formatCode="General">
                        <c:v>-38.844471910112361</c:v>
                      </c:pt>
                      <c:pt idx="72" formatCode="General">
                        <c:v>-39.06979026217229</c:v>
                      </c:pt>
                      <c:pt idx="73" formatCode="General">
                        <c:v>-39.295108614232213</c:v>
                      </c:pt>
                      <c:pt idx="74" formatCode="General">
                        <c:v>-39.520426966292135</c:v>
                      </c:pt>
                      <c:pt idx="75" formatCode="General">
                        <c:v>-39.745745318352064</c:v>
                      </c:pt>
                      <c:pt idx="76" formatCode="General">
                        <c:v>-39.971063670411986</c:v>
                      </c:pt>
                      <c:pt idx="77" formatCode="General">
                        <c:v>-40.196382022471909</c:v>
                      </c:pt>
                      <c:pt idx="78" formatCode="General">
                        <c:v>-40.421700374531838</c:v>
                      </c:pt>
                      <c:pt idx="79" formatCode="General">
                        <c:v>-40.64701872659176</c:v>
                      </c:pt>
                      <c:pt idx="80" formatCode="General">
                        <c:v>-40.87233707865169</c:v>
                      </c:pt>
                      <c:pt idx="81" formatCode="General">
                        <c:v>-41.097655430711612</c:v>
                      </c:pt>
                      <c:pt idx="82" formatCode="General">
                        <c:v>-41.322973782771534</c:v>
                      </c:pt>
                      <c:pt idx="83" formatCode="General">
                        <c:v>-41.521441441441439</c:v>
                      </c:pt>
                      <c:pt idx="84" formatCode="General">
                        <c:v>-41.695615615615615</c:v>
                      </c:pt>
                      <c:pt idx="85" formatCode="General">
                        <c:v>-41.869789789789792</c:v>
                      </c:pt>
                      <c:pt idx="86" formatCode="General">
                        <c:v>-42.043963963963961</c:v>
                      </c:pt>
                      <c:pt idx="87" formatCode="General">
                        <c:v>-36.080475247524753</c:v>
                      </c:pt>
                      <c:pt idx="88" formatCode="General">
                        <c:v>-36.193346534653465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D-7F43-47D9-9E15-19AA26622F09}"/>
                  </c:ext>
                </c:extLst>
              </c15:ser>
            </c15:filteredScatterSeries>
            <c15:filteredScatterSeries>
              <c15:ser>
                <c:idx val="40"/>
                <c:order val="41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306</c:v>
                      </c:pt>
                      <c:pt idx="1">
                        <c:v>314</c:v>
                      </c:pt>
                      <c:pt idx="2">
                        <c:v>322</c:v>
                      </c:pt>
                      <c:pt idx="3">
                        <c:v>330</c:v>
                      </c:pt>
                      <c:pt idx="4">
                        <c:v>338</c:v>
                      </c:pt>
                      <c:pt idx="5">
                        <c:v>346</c:v>
                      </c:pt>
                      <c:pt idx="6">
                        <c:v>354</c:v>
                      </c:pt>
                      <c:pt idx="7">
                        <c:v>362</c:v>
                      </c:pt>
                      <c:pt idx="8">
                        <c:v>370</c:v>
                      </c:pt>
                      <c:pt idx="9">
                        <c:v>378</c:v>
                      </c:pt>
                      <c:pt idx="10">
                        <c:v>386</c:v>
                      </c:pt>
                      <c:pt idx="11">
                        <c:v>394</c:v>
                      </c:pt>
                      <c:pt idx="12">
                        <c:v>402</c:v>
                      </c:pt>
                      <c:pt idx="13">
                        <c:v>410</c:v>
                      </c:pt>
                      <c:pt idx="14">
                        <c:v>418</c:v>
                      </c:pt>
                      <c:pt idx="15">
                        <c:v>426</c:v>
                      </c:pt>
                      <c:pt idx="16">
                        <c:v>434</c:v>
                      </c:pt>
                      <c:pt idx="17">
                        <c:v>442</c:v>
                      </c:pt>
                      <c:pt idx="18">
                        <c:v>450</c:v>
                      </c:pt>
                      <c:pt idx="19">
                        <c:v>458</c:v>
                      </c:pt>
                      <c:pt idx="20">
                        <c:v>466</c:v>
                      </c:pt>
                      <c:pt idx="21">
                        <c:v>474</c:v>
                      </c:pt>
                      <c:pt idx="22">
                        <c:v>482</c:v>
                      </c:pt>
                      <c:pt idx="23">
                        <c:v>490</c:v>
                      </c:pt>
                      <c:pt idx="24">
                        <c:v>498</c:v>
                      </c:pt>
                      <c:pt idx="25">
                        <c:v>506</c:v>
                      </c:pt>
                      <c:pt idx="26">
                        <c:v>514</c:v>
                      </c:pt>
                      <c:pt idx="27">
                        <c:v>522</c:v>
                      </c:pt>
                      <c:pt idx="28">
                        <c:v>530</c:v>
                      </c:pt>
                      <c:pt idx="29">
                        <c:v>538</c:v>
                      </c:pt>
                      <c:pt idx="30">
                        <c:v>546</c:v>
                      </c:pt>
                      <c:pt idx="31">
                        <c:v>554</c:v>
                      </c:pt>
                      <c:pt idx="32">
                        <c:v>562</c:v>
                      </c:pt>
                      <c:pt idx="33">
                        <c:v>570</c:v>
                      </c:pt>
                      <c:pt idx="34">
                        <c:v>578</c:v>
                      </c:pt>
                      <c:pt idx="35">
                        <c:v>586</c:v>
                      </c:pt>
                      <c:pt idx="36">
                        <c:v>594</c:v>
                      </c:pt>
                      <c:pt idx="37">
                        <c:v>602</c:v>
                      </c:pt>
                      <c:pt idx="38">
                        <c:v>610</c:v>
                      </c:pt>
                      <c:pt idx="39">
                        <c:v>618</c:v>
                      </c:pt>
                      <c:pt idx="40">
                        <c:v>626</c:v>
                      </c:pt>
                      <c:pt idx="41">
                        <c:v>634</c:v>
                      </c:pt>
                      <c:pt idx="42">
                        <c:v>642</c:v>
                      </c:pt>
                      <c:pt idx="43">
                        <c:v>650</c:v>
                      </c:pt>
                      <c:pt idx="44">
                        <c:v>658</c:v>
                      </c:pt>
                      <c:pt idx="45">
                        <c:v>666</c:v>
                      </c:pt>
                      <c:pt idx="46">
                        <c:v>674</c:v>
                      </c:pt>
                      <c:pt idx="47">
                        <c:v>682</c:v>
                      </c:pt>
                      <c:pt idx="48">
                        <c:v>690</c:v>
                      </c:pt>
                      <c:pt idx="49">
                        <c:v>698</c:v>
                      </c:pt>
                      <c:pt idx="50">
                        <c:v>706</c:v>
                      </c:pt>
                      <c:pt idx="51">
                        <c:v>714</c:v>
                      </c:pt>
                      <c:pt idx="52">
                        <c:v>722</c:v>
                      </c:pt>
                      <c:pt idx="53">
                        <c:v>730</c:v>
                      </c:pt>
                      <c:pt idx="54">
                        <c:v>738</c:v>
                      </c:pt>
                      <c:pt idx="55">
                        <c:v>746</c:v>
                      </c:pt>
                      <c:pt idx="56">
                        <c:v>754</c:v>
                      </c:pt>
                      <c:pt idx="57">
                        <c:v>762</c:v>
                      </c:pt>
                      <c:pt idx="58">
                        <c:v>770</c:v>
                      </c:pt>
                      <c:pt idx="59">
                        <c:v>778</c:v>
                      </c:pt>
                      <c:pt idx="60">
                        <c:v>786</c:v>
                      </c:pt>
                      <c:pt idx="61">
                        <c:v>794</c:v>
                      </c:pt>
                      <c:pt idx="62">
                        <c:v>802</c:v>
                      </c:pt>
                      <c:pt idx="63">
                        <c:v>810</c:v>
                      </c:pt>
                      <c:pt idx="64">
                        <c:v>818</c:v>
                      </c:pt>
                      <c:pt idx="65">
                        <c:v>826</c:v>
                      </c:pt>
                      <c:pt idx="66">
                        <c:v>834</c:v>
                      </c:pt>
                      <c:pt idx="67">
                        <c:v>842</c:v>
                      </c:pt>
                      <c:pt idx="68">
                        <c:v>850</c:v>
                      </c:pt>
                      <c:pt idx="69">
                        <c:v>858</c:v>
                      </c:pt>
                      <c:pt idx="70">
                        <c:v>866</c:v>
                      </c:pt>
                      <c:pt idx="71">
                        <c:v>874</c:v>
                      </c:pt>
                      <c:pt idx="72">
                        <c:v>882</c:v>
                      </c:pt>
                      <c:pt idx="73">
                        <c:v>890</c:v>
                      </c:pt>
                      <c:pt idx="74">
                        <c:v>898</c:v>
                      </c:pt>
                      <c:pt idx="75">
                        <c:v>906</c:v>
                      </c:pt>
                      <c:pt idx="76">
                        <c:v>914</c:v>
                      </c:pt>
                      <c:pt idx="77">
                        <c:v>922</c:v>
                      </c:pt>
                      <c:pt idx="78">
                        <c:v>930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EVALUATION!$B$142:$CP$142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-21.943243243243245</c:v>
                      </c:pt>
                      <c:pt idx="1">
                        <c:v>-21.741441441441442</c:v>
                      </c:pt>
                      <c:pt idx="2">
                        <c:v>-21.539639639639642</c:v>
                      </c:pt>
                      <c:pt idx="3">
                        <c:v>-21.337837837837839</c:v>
                      </c:pt>
                      <c:pt idx="4" formatCode="General">
                        <c:v>-21.317514970059882</c:v>
                      </c:pt>
                      <c:pt idx="5" formatCode="General">
                        <c:v>-21.339071856287426</c:v>
                      </c:pt>
                      <c:pt idx="6" formatCode="General">
                        <c:v>-21.360628742514972</c:v>
                      </c:pt>
                      <c:pt idx="7" formatCode="General">
                        <c:v>-21.382185628742516</c:v>
                      </c:pt>
                      <c:pt idx="8" formatCode="General">
                        <c:v>-21.452604790419162</c:v>
                      </c:pt>
                      <c:pt idx="9" formatCode="General">
                        <c:v>-21.550808383233534</c:v>
                      </c:pt>
                      <c:pt idx="10" formatCode="General">
                        <c:v>-21.649011976047905</c:v>
                      </c:pt>
                      <c:pt idx="11" formatCode="General">
                        <c:v>-21.747215568862277</c:v>
                      </c:pt>
                      <c:pt idx="12" formatCode="General">
                        <c:v>-21.843203592814373</c:v>
                      </c:pt>
                      <c:pt idx="13" formatCode="General">
                        <c:v>-21.936616766467068</c:v>
                      </c:pt>
                      <c:pt idx="14" formatCode="General">
                        <c:v>-22.030029940119761</c:v>
                      </c:pt>
                      <c:pt idx="15" formatCode="General">
                        <c:v>-22.123443113772456</c:v>
                      </c:pt>
                      <c:pt idx="16" formatCode="General">
                        <c:v>-22.209970059880241</c:v>
                      </c:pt>
                      <c:pt idx="17" formatCode="General">
                        <c:v>-22.279431137724551</c:v>
                      </c:pt>
                      <c:pt idx="18" formatCode="General">
                        <c:v>-22.348892215568863</c:v>
                      </c:pt>
                      <c:pt idx="19" formatCode="General">
                        <c:v>-22.418353293413173</c:v>
                      </c:pt>
                      <c:pt idx="20" formatCode="General">
                        <c:v>-22.488353293413173</c:v>
                      </c:pt>
                      <c:pt idx="21" formatCode="General">
                        <c:v>-22.562604790419162</c:v>
                      </c:pt>
                      <c:pt idx="22" formatCode="General">
                        <c:v>-22.63685628742515</c:v>
                      </c:pt>
                      <c:pt idx="23" formatCode="General">
                        <c:v>-22.711107784431139</c:v>
                      </c:pt>
                      <c:pt idx="24" formatCode="General">
                        <c:v>-22.785359281437124</c:v>
                      </c:pt>
                      <c:pt idx="25" formatCode="General">
                        <c:v>-22.846306306306307</c:v>
                      </c:pt>
                      <c:pt idx="26" formatCode="General">
                        <c:v>-22.906366366366367</c:v>
                      </c:pt>
                      <c:pt idx="27" formatCode="General">
                        <c:v>-22.966426426426427</c:v>
                      </c:pt>
                      <c:pt idx="28" formatCode="General">
                        <c:v>-23.026486486486487</c:v>
                      </c:pt>
                      <c:pt idx="29" formatCode="General">
                        <c:v>-23.130958083832336</c:v>
                      </c:pt>
                      <c:pt idx="30" formatCode="General">
                        <c:v>-23.248323353293415</c:v>
                      </c:pt>
                      <c:pt idx="31" formatCode="General">
                        <c:v>-23.36568862275449</c:v>
                      </c:pt>
                      <c:pt idx="32" formatCode="General">
                        <c:v>-23.483053892215569</c:v>
                      </c:pt>
                      <c:pt idx="33" formatCode="General">
                        <c:v>-23.60185628742515</c:v>
                      </c:pt>
                      <c:pt idx="34" formatCode="General">
                        <c:v>-23.721616766467065</c:v>
                      </c:pt>
                      <c:pt idx="35" formatCode="General">
                        <c:v>-23.841377245508983</c:v>
                      </c:pt>
                      <c:pt idx="36" formatCode="General">
                        <c:v>-23.961137724550898</c:v>
                      </c:pt>
                      <c:pt idx="37" formatCode="General">
                        <c:v>-24.078862275449104</c:v>
                      </c:pt>
                      <c:pt idx="38" formatCode="General">
                        <c:v>-24.193832335329343</c:v>
                      </c:pt>
                      <c:pt idx="39" formatCode="General">
                        <c:v>-24.308802395209582</c:v>
                      </c:pt>
                      <c:pt idx="40" formatCode="General">
                        <c:v>-24.423772455089821</c:v>
                      </c:pt>
                      <c:pt idx="41" formatCode="General">
                        <c:v>-24.53874251497006</c:v>
                      </c:pt>
                      <c:pt idx="42" formatCode="General">
                        <c:v>-24.653712574850299</c:v>
                      </c:pt>
                      <c:pt idx="43" formatCode="General">
                        <c:v>-24.768682634730538</c:v>
                      </c:pt>
                      <c:pt idx="44" formatCode="General">
                        <c:v>-24.883652694610777</c:v>
                      </c:pt>
                      <c:pt idx="45" formatCode="General">
                        <c:v>-24.998622754491016</c:v>
                      </c:pt>
                      <c:pt idx="46" formatCode="General">
                        <c:v>-25.113592814371255</c:v>
                      </c:pt>
                      <c:pt idx="47" formatCode="General">
                        <c:v>-25.228562874251494</c:v>
                      </c:pt>
                      <c:pt idx="48" formatCode="General">
                        <c:v>-25.343532934131737</c:v>
                      </c:pt>
                      <c:pt idx="49" formatCode="General">
                        <c:v>-25.458502994011976</c:v>
                      </c:pt>
                      <c:pt idx="50" formatCode="General">
                        <c:v>-25.567617977528091</c:v>
                      </c:pt>
                      <c:pt idx="51" formatCode="General">
                        <c:v>-25.676082397003746</c:v>
                      </c:pt>
                      <c:pt idx="52" formatCode="General">
                        <c:v>-25.784546816479402</c:v>
                      </c:pt>
                      <c:pt idx="53" formatCode="General">
                        <c:v>-25.893011235955058</c:v>
                      </c:pt>
                      <c:pt idx="54" formatCode="General">
                        <c:v>-26.001475655430713</c:v>
                      </c:pt>
                      <c:pt idx="55" formatCode="General">
                        <c:v>-26.109940074906369</c:v>
                      </c:pt>
                      <c:pt idx="56" formatCode="General">
                        <c:v>-26.218404494382021</c:v>
                      </c:pt>
                      <c:pt idx="57" formatCode="General">
                        <c:v>-26.326868913857677</c:v>
                      </c:pt>
                      <c:pt idx="58" formatCode="General">
                        <c:v>-26.435333333333332</c:v>
                      </c:pt>
                      <c:pt idx="59" formatCode="General">
                        <c:v>-26.543797752808988</c:v>
                      </c:pt>
                      <c:pt idx="60" formatCode="General">
                        <c:v>-26.652262172284644</c:v>
                      </c:pt>
                      <c:pt idx="61" formatCode="General">
                        <c:v>-26.760726591760299</c:v>
                      </c:pt>
                      <c:pt idx="62" formatCode="General">
                        <c:v>-26.869191011235955</c:v>
                      </c:pt>
                      <c:pt idx="63" formatCode="General">
                        <c:v>-26.977655430711611</c:v>
                      </c:pt>
                      <c:pt idx="64" formatCode="General">
                        <c:v>-27.086119850187266</c:v>
                      </c:pt>
                      <c:pt idx="65" formatCode="General">
                        <c:v>-27.194584269662922</c:v>
                      </c:pt>
                      <c:pt idx="66" formatCode="General">
                        <c:v>-27.301902621722849</c:v>
                      </c:pt>
                      <c:pt idx="67" formatCode="General">
                        <c:v>-27.404973782771538</c:v>
                      </c:pt>
                      <c:pt idx="68" formatCode="General">
                        <c:v>-27.508044943820227</c:v>
                      </c:pt>
                      <c:pt idx="69" formatCode="General">
                        <c:v>-27.611116104868916</c:v>
                      </c:pt>
                      <c:pt idx="70" formatCode="General">
                        <c:v>-27.714187265917605</c:v>
                      </c:pt>
                      <c:pt idx="71" formatCode="General">
                        <c:v>-27.817258426966294</c:v>
                      </c:pt>
                      <c:pt idx="72" formatCode="General">
                        <c:v>-27.920329588014983</c:v>
                      </c:pt>
                      <c:pt idx="73" formatCode="General">
                        <c:v>-28.023400749063672</c:v>
                      </c:pt>
                      <c:pt idx="74" formatCode="General">
                        <c:v>-28.126471910112361</c:v>
                      </c:pt>
                      <c:pt idx="75" formatCode="General">
                        <c:v>-28.22954307116105</c:v>
                      </c:pt>
                      <c:pt idx="76" formatCode="General">
                        <c:v>-28.332614232209739</c:v>
                      </c:pt>
                      <c:pt idx="77" formatCode="General">
                        <c:v>-28.435685393258428</c:v>
                      </c:pt>
                      <c:pt idx="78" formatCode="General">
                        <c:v>-28.538756554307117</c:v>
                      </c:pt>
                      <c:pt idx="79" formatCode="General">
                        <c:v>-28.641827715355806</c:v>
                      </c:pt>
                      <c:pt idx="80" formatCode="General">
                        <c:v>-28.744898876404495</c:v>
                      </c:pt>
                      <c:pt idx="81" formatCode="General">
                        <c:v>-28.847970037453184</c:v>
                      </c:pt>
                      <c:pt idx="82" formatCode="General">
                        <c:v>-28.951041198501873</c:v>
                      </c:pt>
                      <c:pt idx="83" formatCode="General">
                        <c:v>-29.051396396396395</c:v>
                      </c:pt>
                      <c:pt idx="84" formatCode="General">
                        <c:v>-29.149294294294293</c:v>
                      </c:pt>
                      <c:pt idx="85" formatCode="General">
                        <c:v>-29.247192192192191</c:v>
                      </c:pt>
                      <c:pt idx="86" formatCode="General">
                        <c:v>-29.345090090090089</c:v>
                      </c:pt>
                      <c:pt idx="87" formatCode="General">
                        <c:v>-102.44289108910891</c:v>
                      </c:pt>
                      <c:pt idx="88" formatCode="General">
                        <c:v>-102.77952475247524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E-7F43-47D9-9E15-19AA26622F09}"/>
                  </c:ext>
                </c:extLst>
              </c15:ser>
            </c15:filteredScatterSeries>
            <c15:filteredScatterSeries>
              <c15:ser>
                <c:idx val="41"/>
                <c:order val="42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306</c:v>
                      </c:pt>
                      <c:pt idx="1">
                        <c:v>314</c:v>
                      </c:pt>
                      <c:pt idx="2">
                        <c:v>322</c:v>
                      </c:pt>
                      <c:pt idx="3">
                        <c:v>330</c:v>
                      </c:pt>
                      <c:pt idx="4">
                        <c:v>338</c:v>
                      </c:pt>
                      <c:pt idx="5">
                        <c:v>346</c:v>
                      </c:pt>
                      <c:pt idx="6">
                        <c:v>354</c:v>
                      </c:pt>
                      <c:pt idx="7">
                        <c:v>362</c:v>
                      </c:pt>
                      <c:pt idx="8">
                        <c:v>370</c:v>
                      </c:pt>
                      <c:pt idx="9">
                        <c:v>378</c:v>
                      </c:pt>
                      <c:pt idx="10">
                        <c:v>386</c:v>
                      </c:pt>
                      <c:pt idx="11">
                        <c:v>394</c:v>
                      </c:pt>
                      <c:pt idx="12">
                        <c:v>402</c:v>
                      </c:pt>
                      <c:pt idx="13">
                        <c:v>410</c:v>
                      </c:pt>
                      <c:pt idx="14">
                        <c:v>418</c:v>
                      </c:pt>
                      <c:pt idx="15">
                        <c:v>426</c:v>
                      </c:pt>
                      <c:pt idx="16">
                        <c:v>434</c:v>
                      </c:pt>
                      <c:pt idx="17">
                        <c:v>442</c:v>
                      </c:pt>
                      <c:pt idx="18">
                        <c:v>450</c:v>
                      </c:pt>
                      <c:pt idx="19">
                        <c:v>458</c:v>
                      </c:pt>
                      <c:pt idx="20">
                        <c:v>466</c:v>
                      </c:pt>
                      <c:pt idx="21">
                        <c:v>474</c:v>
                      </c:pt>
                      <c:pt idx="22">
                        <c:v>482</c:v>
                      </c:pt>
                      <c:pt idx="23">
                        <c:v>490</c:v>
                      </c:pt>
                      <c:pt idx="24">
                        <c:v>498</c:v>
                      </c:pt>
                      <c:pt idx="25">
                        <c:v>506</c:v>
                      </c:pt>
                      <c:pt idx="26">
                        <c:v>514</c:v>
                      </c:pt>
                      <c:pt idx="27">
                        <c:v>522</c:v>
                      </c:pt>
                      <c:pt idx="28">
                        <c:v>530</c:v>
                      </c:pt>
                      <c:pt idx="29">
                        <c:v>538</c:v>
                      </c:pt>
                      <c:pt idx="30">
                        <c:v>546</c:v>
                      </c:pt>
                      <c:pt idx="31">
                        <c:v>554</c:v>
                      </c:pt>
                      <c:pt idx="32">
                        <c:v>562</c:v>
                      </c:pt>
                      <c:pt idx="33">
                        <c:v>570</c:v>
                      </c:pt>
                      <c:pt idx="34">
                        <c:v>578</c:v>
                      </c:pt>
                      <c:pt idx="35">
                        <c:v>586</c:v>
                      </c:pt>
                      <c:pt idx="36">
                        <c:v>594</c:v>
                      </c:pt>
                      <c:pt idx="37">
                        <c:v>602</c:v>
                      </c:pt>
                      <c:pt idx="38">
                        <c:v>610</c:v>
                      </c:pt>
                      <c:pt idx="39">
                        <c:v>618</c:v>
                      </c:pt>
                      <c:pt idx="40">
                        <c:v>626</c:v>
                      </c:pt>
                      <c:pt idx="41">
                        <c:v>634</c:v>
                      </c:pt>
                      <c:pt idx="42">
                        <c:v>642</c:v>
                      </c:pt>
                      <c:pt idx="43">
                        <c:v>650</c:v>
                      </c:pt>
                      <c:pt idx="44">
                        <c:v>658</c:v>
                      </c:pt>
                      <c:pt idx="45">
                        <c:v>666</c:v>
                      </c:pt>
                      <c:pt idx="46">
                        <c:v>674</c:v>
                      </c:pt>
                      <c:pt idx="47">
                        <c:v>682</c:v>
                      </c:pt>
                      <c:pt idx="48">
                        <c:v>690</c:v>
                      </c:pt>
                      <c:pt idx="49">
                        <c:v>698</c:v>
                      </c:pt>
                      <c:pt idx="50">
                        <c:v>706</c:v>
                      </c:pt>
                      <c:pt idx="51">
                        <c:v>714</c:v>
                      </c:pt>
                      <c:pt idx="52">
                        <c:v>722</c:v>
                      </c:pt>
                      <c:pt idx="53">
                        <c:v>730</c:v>
                      </c:pt>
                      <c:pt idx="54">
                        <c:v>738</c:v>
                      </c:pt>
                      <c:pt idx="55">
                        <c:v>746</c:v>
                      </c:pt>
                      <c:pt idx="56">
                        <c:v>754</c:v>
                      </c:pt>
                      <c:pt idx="57">
                        <c:v>762</c:v>
                      </c:pt>
                      <c:pt idx="58">
                        <c:v>770</c:v>
                      </c:pt>
                      <c:pt idx="59">
                        <c:v>778</c:v>
                      </c:pt>
                      <c:pt idx="60">
                        <c:v>786</c:v>
                      </c:pt>
                      <c:pt idx="61">
                        <c:v>794</c:v>
                      </c:pt>
                      <c:pt idx="62">
                        <c:v>802</c:v>
                      </c:pt>
                      <c:pt idx="63">
                        <c:v>810</c:v>
                      </c:pt>
                      <c:pt idx="64">
                        <c:v>818</c:v>
                      </c:pt>
                      <c:pt idx="65">
                        <c:v>826</c:v>
                      </c:pt>
                      <c:pt idx="66">
                        <c:v>834</c:v>
                      </c:pt>
                      <c:pt idx="67">
                        <c:v>842</c:v>
                      </c:pt>
                      <c:pt idx="68">
                        <c:v>850</c:v>
                      </c:pt>
                      <c:pt idx="69">
                        <c:v>858</c:v>
                      </c:pt>
                      <c:pt idx="70">
                        <c:v>866</c:v>
                      </c:pt>
                      <c:pt idx="71">
                        <c:v>874</c:v>
                      </c:pt>
                      <c:pt idx="72">
                        <c:v>882</c:v>
                      </c:pt>
                      <c:pt idx="73">
                        <c:v>890</c:v>
                      </c:pt>
                      <c:pt idx="74">
                        <c:v>898</c:v>
                      </c:pt>
                      <c:pt idx="75">
                        <c:v>906</c:v>
                      </c:pt>
                      <c:pt idx="76">
                        <c:v>914</c:v>
                      </c:pt>
                      <c:pt idx="77">
                        <c:v>922</c:v>
                      </c:pt>
                      <c:pt idx="78">
                        <c:v>930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EVALUATION!$B$143:$CP$143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-21.943243243243245</c:v>
                      </c:pt>
                      <c:pt idx="1">
                        <c:v>-21.741441441441442</c:v>
                      </c:pt>
                      <c:pt idx="2">
                        <c:v>-21.539639639639642</c:v>
                      </c:pt>
                      <c:pt idx="3">
                        <c:v>-21.337837837837839</c:v>
                      </c:pt>
                      <c:pt idx="4" formatCode="General">
                        <c:v>-21.317514970059882</c:v>
                      </c:pt>
                      <c:pt idx="5" formatCode="General">
                        <c:v>-21.339071856287426</c:v>
                      </c:pt>
                      <c:pt idx="6" formatCode="General">
                        <c:v>-21.360628742514972</c:v>
                      </c:pt>
                      <c:pt idx="7" formatCode="General">
                        <c:v>-21.382185628742516</c:v>
                      </c:pt>
                      <c:pt idx="8" formatCode="General">
                        <c:v>-21.452604790419162</c:v>
                      </c:pt>
                      <c:pt idx="9" formatCode="General">
                        <c:v>-21.550808383233534</c:v>
                      </c:pt>
                      <c:pt idx="10" formatCode="General">
                        <c:v>-21.649011976047905</c:v>
                      </c:pt>
                      <c:pt idx="11" formatCode="General">
                        <c:v>-21.747215568862277</c:v>
                      </c:pt>
                      <c:pt idx="12" formatCode="General">
                        <c:v>-21.843203592814373</c:v>
                      </c:pt>
                      <c:pt idx="13" formatCode="General">
                        <c:v>-21.936616766467068</c:v>
                      </c:pt>
                      <c:pt idx="14" formatCode="General">
                        <c:v>-22.030029940119761</c:v>
                      </c:pt>
                      <c:pt idx="15" formatCode="General">
                        <c:v>-22.123443113772456</c:v>
                      </c:pt>
                      <c:pt idx="16" formatCode="General">
                        <c:v>-22.209970059880241</c:v>
                      </c:pt>
                      <c:pt idx="17" formatCode="General">
                        <c:v>-22.279431137724551</c:v>
                      </c:pt>
                      <c:pt idx="18" formatCode="General">
                        <c:v>-22.348892215568863</c:v>
                      </c:pt>
                      <c:pt idx="19" formatCode="General">
                        <c:v>-22.418353293413173</c:v>
                      </c:pt>
                      <c:pt idx="20" formatCode="General">
                        <c:v>-22.488353293413173</c:v>
                      </c:pt>
                      <c:pt idx="21" formatCode="General">
                        <c:v>-22.562604790419162</c:v>
                      </c:pt>
                      <c:pt idx="22" formatCode="General">
                        <c:v>-22.63685628742515</c:v>
                      </c:pt>
                      <c:pt idx="23" formatCode="General">
                        <c:v>-22.711107784431139</c:v>
                      </c:pt>
                      <c:pt idx="24" formatCode="General">
                        <c:v>-22.785359281437124</c:v>
                      </c:pt>
                      <c:pt idx="25" formatCode="General">
                        <c:v>-22.846306306306307</c:v>
                      </c:pt>
                      <c:pt idx="26" formatCode="General">
                        <c:v>-22.906366366366367</c:v>
                      </c:pt>
                      <c:pt idx="27" formatCode="General">
                        <c:v>-22.966426426426427</c:v>
                      </c:pt>
                      <c:pt idx="28" formatCode="General">
                        <c:v>-23.026486486486487</c:v>
                      </c:pt>
                      <c:pt idx="29" formatCode="General">
                        <c:v>-23.130958083832336</c:v>
                      </c:pt>
                      <c:pt idx="30" formatCode="General">
                        <c:v>-23.248323353293415</c:v>
                      </c:pt>
                      <c:pt idx="31" formatCode="General">
                        <c:v>-23.36568862275449</c:v>
                      </c:pt>
                      <c:pt idx="32" formatCode="General">
                        <c:v>-23.483053892215569</c:v>
                      </c:pt>
                      <c:pt idx="33" formatCode="General">
                        <c:v>-23.60185628742515</c:v>
                      </c:pt>
                      <c:pt idx="34" formatCode="General">
                        <c:v>-23.721616766467065</c:v>
                      </c:pt>
                      <c:pt idx="35" formatCode="General">
                        <c:v>-23.841377245508983</c:v>
                      </c:pt>
                      <c:pt idx="36" formatCode="General">
                        <c:v>-23.961137724550898</c:v>
                      </c:pt>
                      <c:pt idx="37" formatCode="General">
                        <c:v>-24.078862275449104</c:v>
                      </c:pt>
                      <c:pt idx="38" formatCode="General">
                        <c:v>-24.193832335329343</c:v>
                      </c:pt>
                      <c:pt idx="39" formatCode="General">
                        <c:v>-24.308802395209582</c:v>
                      </c:pt>
                      <c:pt idx="40" formatCode="General">
                        <c:v>-24.423772455089821</c:v>
                      </c:pt>
                      <c:pt idx="41" formatCode="General">
                        <c:v>-24.53874251497006</c:v>
                      </c:pt>
                      <c:pt idx="42" formatCode="General">
                        <c:v>-24.653712574850299</c:v>
                      </c:pt>
                      <c:pt idx="43" formatCode="General">
                        <c:v>-24.768682634730538</c:v>
                      </c:pt>
                      <c:pt idx="44" formatCode="General">
                        <c:v>-24.883652694610777</c:v>
                      </c:pt>
                      <c:pt idx="45" formatCode="General">
                        <c:v>-24.998622754491016</c:v>
                      </c:pt>
                      <c:pt idx="46" formatCode="General">
                        <c:v>-25.113592814371255</c:v>
                      </c:pt>
                      <c:pt idx="47" formatCode="General">
                        <c:v>-25.228562874251494</c:v>
                      </c:pt>
                      <c:pt idx="48" formatCode="General">
                        <c:v>-25.343532934131737</c:v>
                      </c:pt>
                      <c:pt idx="49" formatCode="General">
                        <c:v>-25.458502994011976</c:v>
                      </c:pt>
                      <c:pt idx="50" formatCode="General">
                        <c:v>-25.567617977528091</c:v>
                      </c:pt>
                      <c:pt idx="51" formatCode="General">
                        <c:v>-25.676082397003746</c:v>
                      </c:pt>
                      <c:pt idx="52" formatCode="General">
                        <c:v>-25.784546816479402</c:v>
                      </c:pt>
                      <c:pt idx="53" formatCode="General">
                        <c:v>-25.893011235955058</c:v>
                      </c:pt>
                      <c:pt idx="54" formatCode="General">
                        <c:v>-26.001475655430713</c:v>
                      </c:pt>
                      <c:pt idx="55" formatCode="General">
                        <c:v>-26.109940074906369</c:v>
                      </c:pt>
                      <c:pt idx="56" formatCode="General">
                        <c:v>-26.218404494382021</c:v>
                      </c:pt>
                      <c:pt idx="57" formatCode="General">
                        <c:v>-26.326868913857677</c:v>
                      </c:pt>
                      <c:pt idx="58" formatCode="General">
                        <c:v>-26.435333333333332</c:v>
                      </c:pt>
                      <c:pt idx="59" formatCode="General">
                        <c:v>-26.543797752808988</c:v>
                      </c:pt>
                      <c:pt idx="60" formatCode="General">
                        <c:v>-26.652262172284644</c:v>
                      </c:pt>
                      <c:pt idx="61" formatCode="General">
                        <c:v>-26.760726591760299</c:v>
                      </c:pt>
                      <c:pt idx="62" formatCode="General">
                        <c:v>-26.869191011235955</c:v>
                      </c:pt>
                      <c:pt idx="63" formatCode="General">
                        <c:v>-26.977655430711611</c:v>
                      </c:pt>
                      <c:pt idx="64" formatCode="General">
                        <c:v>-27.086119850187266</c:v>
                      </c:pt>
                      <c:pt idx="65" formatCode="General">
                        <c:v>-27.194584269662922</c:v>
                      </c:pt>
                      <c:pt idx="66" formatCode="General">
                        <c:v>-27.301902621722849</c:v>
                      </c:pt>
                      <c:pt idx="67" formatCode="General">
                        <c:v>-27.404973782771538</c:v>
                      </c:pt>
                      <c:pt idx="68" formatCode="General">
                        <c:v>-27.508044943820227</c:v>
                      </c:pt>
                      <c:pt idx="69" formatCode="General">
                        <c:v>-27.611116104868916</c:v>
                      </c:pt>
                      <c:pt idx="70" formatCode="General">
                        <c:v>-27.714187265917605</c:v>
                      </c:pt>
                      <c:pt idx="71" formatCode="General">
                        <c:v>-27.817258426966294</c:v>
                      </c:pt>
                      <c:pt idx="72" formatCode="General">
                        <c:v>-27.920329588014983</c:v>
                      </c:pt>
                      <c:pt idx="73" formatCode="General">
                        <c:v>-28.023400749063672</c:v>
                      </c:pt>
                      <c:pt idx="74" formatCode="General">
                        <c:v>-28.126471910112361</c:v>
                      </c:pt>
                      <c:pt idx="75" formatCode="General">
                        <c:v>-28.22954307116105</c:v>
                      </c:pt>
                      <c:pt idx="76" formatCode="General">
                        <c:v>-28.332614232209739</c:v>
                      </c:pt>
                      <c:pt idx="77" formatCode="General">
                        <c:v>-28.435685393258428</c:v>
                      </c:pt>
                      <c:pt idx="78" formatCode="General">
                        <c:v>-28.538756554307117</c:v>
                      </c:pt>
                      <c:pt idx="79" formatCode="General">
                        <c:v>-28.641827715355806</c:v>
                      </c:pt>
                      <c:pt idx="80" formatCode="General">
                        <c:v>-28.744898876404495</c:v>
                      </c:pt>
                      <c:pt idx="81" formatCode="General">
                        <c:v>-28.847970037453184</c:v>
                      </c:pt>
                      <c:pt idx="82" formatCode="General">
                        <c:v>-28.951041198501873</c:v>
                      </c:pt>
                      <c:pt idx="83" formatCode="General">
                        <c:v>-29.051396396396395</c:v>
                      </c:pt>
                      <c:pt idx="84" formatCode="General">
                        <c:v>-29.149294294294293</c:v>
                      </c:pt>
                      <c:pt idx="85" formatCode="General">
                        <c:v>-29.247192192192191</c:v>
                      </c:pt>
                      <c:pt idx="86" formatCode="General">
                        <c:v>-29.345090090090089</c:v>
                      </c:pt>
                      <c:pt idx="87" formatCode="General">
                        <c:v>-44.975564356435648</c:v>
                      </c:pt>
                      <c:pt idx="88" formatCode="General">
                        <c:v>-45.122099009900992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F-7F43-47D9-9E15-19AA26622F09}"/>
                  </c:ext>
                </c:extLst>
              </c15:ser>
            </c15:filteredScatterSeries>
            <c15:filteredScatterSeries>
              <c15:ser>
                <c:idx val="42"/>
                <c:order val="43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306</c:v>
                      </c:pt>
                      <c:pt idx="1">
                        <c:v>314</c:v>
                      </c:pt>
                      <c:pt idx="2">
                        <c:v>322</c:v>
                      </c:pt>
                      <c:pt idx="3">
                        <c:v>330</c:v>
                      </c:pt>
                      <c:pt idx="4">
                        <c:v>338</c:v>
                      </c:pt>
                      <c:pt idx="5">
                        <c:v>346</c:v>
                      </c:pt>
                      <c:pt idx="6">
                        <c:v>354</c:v>
                      </c:pt>
                      <c:pt idx="7">
                        <c:v>362</c:v>
                      </c:pt>
                      <c:pt idx="8">
                        <c:v>370</c:v>
                      </c:pt>
                      <c:pt idx="9">
                        <c:v>378</c:v>
                      </c:pt>
                      <c:pt idx="10">
                        <c:v>386</c:v>
                      </c:pt>
                      <c:pt idx="11">
                        <c:v>394</c:v>
                      </c:pt>
                      <c:pt idx="12">
                        <c:v>402</c:v>
                      </c:pt>
                      <c:pt idx="13">
                        <c:v>410</c:v>
                      </c:pt>
                      <c:pt idx="14">
                        <c:v>418</c:v>
                      </c:pt>
                      <c:pt idx="15">
                        <c:v>426</c:v>
                      </c:pt>
                      <c:pt idx="16">
                        <c:v>434</c:v>
                      </c:pt>
                      <c:pt idx="17">
                        <c:v>442</c:v>
                      </c:pt>
                      <c:pt idx="18">
                        <c:v>450</c:v>
                      </c:pt>
                      <c:pt idx="19">
                        <c:v>458</c:v>
                      </c:pt>
                      <c:pt idx="20">
                        <c:v>466</c:v>
                      </c:pt>
                      <c:pt idx="21">
                        <c:v>474</c:v>
                      </c:pt>
                      <c:pt idx="22">
                        <c:v>482</c:v>
                      </c:pt>
                      <c:pt idx="23">
                        <c:v>490</c:v>
                      </c:pt>
                      <c:pt idx="24">
                        <c:v>498</c:v>
                      </c:pt>
                      <c:pt idx="25">
                        <c:v>506</c:v>
                      </c:pt>
                      <c:pt idx="26">
                        <c:v>514</c:v>
                      </c:pt>
                      <c:pt idx="27">
                        <c:v>522</c:v>
                      </c:pt>
                      <c:pt idx="28">
                        <c:v>530</c:v>
                      </c:pt>
                      <c:pt idx="29">
                        <c:v>538</c:v>
                      </c:pt>
                      <c:pt idx="30">
                        <c:v>546</c:v>
                      </c:pt>
                      <c:pt idx="31">
                        <c:v>554</c:v>
                      </c:pt>
                      <c:pt idx="32">
                        <c:v>562</c:v>
                      </c:pt>
                      <c:pt idx="33">
                        <c:v>570</c:v>
                      </c:pt>
                      <c:pt idx="34">
                        <c:v>578</c:v>
                      </c:pt>
                      <c:pt idx="35">
                        <c:v>586</c:v>
                      </c:pt>
                      <c:pt idx="36">
                        <c:v>594</c:v>
                      </c:pt>
                      <c:pt idx="37">
                        <c:v>602</c:v>
                      </c:pt>
                      <c:pt idx="38">
                        <c:v>610</c:v>
                      </c:pt>
                      <c:pt idx="39">
                        <c:v>618</c:v>
                      </c:pt>
                      <c:pt idx="40">
                        <c:v>626</c:v>
                      </c:pt>
                      <c:pt idx="41">
                        <c:v>634</c:v>
                      </c:pt>
                      <c:pt idx="42">
                        <c:v>642</c:v>
                      </c:pt>
                      <c:pt idx="43">
                        <c:v>650</c:v>
                      </c:pt>
                      <c:pt idx="44">
                        <c:v>658</c:v>
                      </c:pt>
                      <c:pt idx="45">
                        <c:v>666</c:v>
                      </c:pt>
                      <c:pt idx="46">
                        <c:v>674</c:v>
                      </c:pt>
                      <c:pt idx="47">
                        <c:v>682</c:v>
                      </c:pt>
                      <c:pt idx="48">
                        <c:v>690</c:v>
                      </c:pt>
                      <c:pt idx="49">
                        <c:v>698</c:v>
                      </c:pt>
                      <c:pt idx="50">
                        <c:v>706</c:v>
                      </c:pt>
                      <c:pt idx="51">
                        <c:v>714</c:v>
                      </c:pt>
                      <c:pt idx="52">
                        <c:v>722</c:v>
                      </c:pt>
                      <c:pt idx="53">
                        <c:v>730</c:v>
                      </c:pt>
                      <c:pt idx="54">
                        <c:v>738</c:v>
                      </c:pt>
                      <c:pt idx="55">
                        <c:v>746</c:v>
                      </c:pt>
                      <c:pt idx="56">
                        <c:v>754</c:v>
                      </c:pt>
                      <c:pt idx="57">
                        <c:v>762</c:v>
                      </c:pt>
                      <c:pt idx="58">
                        <c:v>770</c:v>
                      </c:pt>
                      <c:pt idx="59">
                        <c:v>778</c:v>
                      </c:pt>
                      <c:pt idx="60">
                        <c:v>786</c:v>
                      </c:pt>
                      <c:pt idx="61">
                        <c:v>794</c:v>
                      </c:pt>
                      <c:pt idx="62">
                        <c:v>802</c:v>
                      </c:pt>
                      <c:pt idx="63">
                        <c:v>810</c:v>
                      </c:pt>
                      <c:pt idx="64">
                        <c:v>818</c:v>
                      </c:pt>
                      <c:pt idx="65">
                        <c:v>826</c:v>
                      </c:pt>
                      <c:pt idx="66">
                        <c:v>834</c:v>
                      </c:pt>
                      <c:pt idx="67">
                        <c:v>842</c:v>
                      </c:pt>
                      <c:pt idx="68">
                        <c:v>850</c:v>
                      </c:pt>
                      <c:pt idx="69">
                        <c:v>858</c:v>
                      </c:pt>
                      <c:pt idx="70">
                        <c:v>866</c:v>
                      </c:pt>
                      <c:pt idx="71">
                        <c:v>874</c:v>
                      </c:pt>
                      <c:pt idx="72">
                        <c:v>882</c:v>
                      </c:pt>
                      <c:pt idx="73">
                        <c:v>890</c:v>
                      </c:pt>
                      <c:pt idx="74">
                        <c:v>898</c:v>
                      </c:pt>
                      <c:pt idx="75">
                        <c:v>906</c:v>
                      </c:pt>
                      <c:pt idx="76">
                        <c:v>914</c:v>
                      </c:pt>
                      <c:pt idx="77">
                        <c:v>922</c:v>
                      </c:pt>
                      <c:pt idx="78">
                        <c:v>930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EVALUATION!$B$144:$CP$144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-21.943243243243245</c:v>
                      </c:pt>
                      <c:pt idx="1">
                        <c:v>-21.741441441441442</c:v>
                      </c:pt>
                      <c:pt idx="2">
                        <c:v>-21.539639639639642</c:v>
                      </c:pt>
                      <c:pt idx="3">
                        <c:v>-21.337837837837839</c:v>
                      </c:pt>
                      <c:pt idx="4" formatCode="General">
                        <c:v>-21.317514970059882</c:v>
                      </c:pt>
                      <c:pt idx="5" formatCode="General">
                        <c:v>-21.339071856287426</c:v>
                      </c:pt>
                      <c:pt idx="6" formatCode="General">
                        <c:v>-21.360628742514972</c:v>
                      </c:pt>
                      <c:pt idx="7" formatCode="General">
                        <c:v>-21.382185628742516</c:v>
                      </c:pt>
                      <c:pt idx="8" formatCode="General">
                        <c:v>-21.452604790419162</c:v>
                      </c:pt>
                      <c:pt idx="9" formatCode="General">
                        <c:v>-21.550808383233534</c:v>
                      </c:pt>
                      <c:pt idx="10" formatCode="General">
                        <c:v>-21.649011976047905</c:v>
                      </c:pt>
                      <c:pt idx="11" formatCode="General">
                        <c:v>-21.747215568862277</c:v>
                      </c:pt>
                      <c:pt idx="12" formatCode="General">
                        <c:v>-21.843203592814373</c:v>
                      </c:pt>
                      <c:pt idx="13" formatCode="General">
                        <c:v>-21.936616766467068</c:v>
                      </c:pt>
                      <c:pt idx="14" formatCode="General">
                        <c:v>-22.030029940119761</c:v>
                      </c:pt>
                      <c:pt idx="15" formatCode="General">
                        <c:v>-22.123443113772456</c:v>
                      </c:pt>
                      <c:pt idx="16" formatCode="General">
                        <c:v>-22.209970059880241</c:v>
                      </c:pt>
                      <c:pt idx="17" formatCode="General">
                        <c:v>-22.279431137724551</c:v>
                      </c:pt>
                      <c:pt idx="18" formatCode="General">
                        <c:v>-22.348892215568863</c:v>
                      </c:pt>
                      <c:pt idx="19" formatCode="General">
                        <c:v>-22.418353293413173</c:v>
                      </c:pt>
                      <c:pt idx="20" formatCode="General">
                        <c:v>-22.488353293413173</c:v>
                      </c:pt>
                      <c:pt idx="21" formatCode="General">
                        <c:v>-22.562604790419162</c:v>
                      </c:pt>
                      <c:pt idx="22" formatCode="General">
                        <c:v>-22.63685628742515</c:v>
                      </c:pt>
                      <c:pt idx="23" formatCode="General">
                        <c:v>-22.711107784431139</c:v>
                      </c:pt>
                      <c:pt idx="24" formatCode="General">
                        <c:v>-22.785359281437124</c:v>
                      </c:pt>
                      <c:pt idx="25" formatCode="General">
                        <c:v>-22.846306306306307</c:v>
                      </c:pt>
                      <c:pt idx="26" formatCode="General">
                        <c:v>-22.906366366366367</c:v>
                      </c:pt>
                      <c:pt idx="27" formatCode="General">
                        <c:v>-22.966426426426427</c:v>
                      </c:pt>
                      <c:pt idx="28" formatCode="General">
                        <c:v>-23.026486486486487</c:v>
                      </c:pt>
                      <c:pt idx="29" formatCode="General">
                        <c:v>-23.130958083832336</c:v>
                      </c:pt>
                      <c:pt idx="30" formatCode="General">
                        <c:v>-23.248323353293415</c:v>
                      </c:pt>
                      <c:pt idx="31" formatCode="General">
                        <c:v>-23.36568862275449</c:v>
                      </c:pt>
                      <c:pt idx="32" formatCode="General">
                        <c:v>-23.483053892215569</c:v>
                      </c:pt>
                      <c:pt idx="33" formatCode="General">
                        <c:v>-23.60185628742515</c:v>
                      </c:pt>
                      <c:pt idx="34" formatCode="General">
                        <c:v>-23.721616766467065</c:v>
                      </c:pt>
                      <c:pt idx="35" formatCode="General">
                        <c:v>-23.841377245508983</c:v>
                      </c:pt>
                      <c:pt idx="36" formatCode="General">
                        <c:v>-23.961137724550898</c:v>
                      </c:pt>
                      <c:pt idx="37" formatCode="General">
                        <c:v>-24.078862275449104</c:v>
                      </c:pt>
                      <c:pt idx="38" formatCode="General">
                        <c:v>-24.193832335329343</c:v>
                      </c:pt>
                      <c:pt idx="39" formatCode="General">
                        <c:v>-24.308802395209582</c:v>
                      </c:pt>
                      <c:pt idx="40" formatCode="General">
                        <c:v>-24.423772455089821</c:v>
                      </c:pt>
                      <c:pt idx="41" formatCode="General">
                        <c:v>-24.53874251497006</c:v>
                      </c:pt>
                      <c:pt idx="42" formatCode="General">
                        <c:v>-24.653712574850299</c:v>
                      </c:pt>
                      <c:pt idx="43" formatCode="General">
                        <c:v>-24.768682634730538</c:v>
                      </c:pt>
                      <c:pt idx="44" formatCode="General">
                        <c:v>-24.883652694610777</c:v>
                      </c:pt>
                      <c:pt idx="45" formatCode="General">
                        <c:v>-24.998622754491016</c:v>
                      </c:pt>
                      <c:pt idx="46" formatCode="General">
                        <c:v>-25.113592814371255</c:v>
                      </c:pt>
                      <c:pt idx="47" formatCode="General">
                        <c:v>-25.228562874251494</c:v>
                      </c:pt>
                      <c:pt idx="48" formatCode="General">
                        <c:v>-25.343532934131737</c:v>
                      </c:pt>
                      <c:pt idx="49" formatCode="General">
                        <c:v>-25.458502994011976</c:v>
                      </c:pt>
                      <c:pt idx="50" formatCode="General">
                        <c:v>-25.567617977528091</c:v>
                      </c:pt>
                      <c:pt idx="51" formatCode="General">
                        <c:v>-25.676082397003746</c:v>
                      </c:pt>
                      <c:pt idx="52" formatCode="General">
                        <c:v>-25.784546816479402</c:v>
                      </c:pt>
                      <c:pt idx="53" formatCode="General">
                        <c:v>-25.893011235955058</c:v>
                      </c:pt>
                      <c:pt idx="54" formatCode="General">
                        <c:v>-26.001475655430713</c:v>
                      </c:pt>
                      <c:pt idx="55" formatCode="General">
                        <c:v>-26.109940074906369</c:v>
                      </c:pt>
                      <c:pt idx="56" formatCode="General">
                        <c:v>-26.218404494382021</c:v>
                      </c:pt>
                      <c:pt idx="57" formatCode="General">
                        <c:v>-26.326868913857677</c:v>
                      </c:pt>
                      <c:pt idx="58" formatCode="General">
                        <c:v>-26.435333333333332</c:v>
                      </c:pt>
                      <c:pt idx="59" formatCode="General">
                        <c:v>-26.543797752808988</c:v>
                      </c:pt>
                      <c:pt idx="60" formatCode="General">
                        <c:v>-26.652262172284644</c:v>
                      </c:pt>
                      <c:pt idx="61" formatCode="General">
                        <c:v>-26.760726591760299</c:v>
                      </c:pt>
                      <c:pt idx="62" formatCode="General">
                        <c:v>-26.869191011235955</c:v>
                      </c:pt>
                      <c:pt idx="63" formatCode="General">
                        <c:v>-26.977655430711611</c:v>
                      </c:pt>
                      <c:pt idx="64" formatCode="General">
                        <c:v>-27.086119850187266</c:v>
                      </c:pt>
                      <c:pt idx="65" formatCode="General">
                        <c:v>-27.194584269662922</c:v>
                      </c:pt>
                      <c:pt idx="66" formatCode="General">
                        <c:v>-27.301902621722849</c:v>
                      </c:pt>
                      <c:pt idx="67" formatCode="General">
                        <c:v>-27.404973782771538</c:v>
                      </c:pt>
                      <c:pt idx="68" formatCode="General">
                        <c:v>-27.508044943820227</c:v>
                      </c:pt>
                      <c:pt idx="69" formatCode="General">
                        <c:v>-27.611116104868916</c:v>
                      </c:pt>
                      <c:pt idx="70" formatCode="General">
                        <c:v>-27.714187265917605</c:v>
                      </c:pt>
                      <c:pt idx="71" formatCode="General">
                        <c:v>-27.817258426966294</c:v>
                      </c:pt>
                      <c:pt idx="72" formatCode="General">
                        <c:v>-27.920329588014983</c:v>
                      </c:pt>
                      <c:pt idx="73" formatCode="General">
                        <c:v>-28.023400749063672</c:v>
                      </c:pt>
                      <c:pt idx="74" formatCode="General">
                        <c:v>-28.126471910112361</c:v>
                      </c:pt>
                      <c:pt idx="75" formatCode="General">
                        <c:v>-28.22954307116105</c:v>
                      </c:pt>
                      <c:pt idx="76" formatCode="General">
                        <c:v>-28.332614232209739</c:v>
                      </c:pt>
                      <c:pt idx="77" formatCode="General">
                        <c:v>-28.435685393258428</c:v>
                      </c:pt>
                      <c:pt idx="78" formatCode="General">
                        <c:v>-28.538756554307117</c:v>
                      </c:pt>
                      <c:pt idx="79" formatCode="General">
                        <c:v>-28.641827715355806</c:v>
                      </c:pt>
                      <c:pt idx="80" formatCode="General">
                        <c:v>-28.744898876404495</c:v>
                      </c:pt>
                      <c:pt idx="81" formatCode="General">
                        <c:v>-28.847970037453184</c:v>
                      </c:pt>
                      <c:pt idx="82" formatCode="General">
                        <c:v>-28.951041198501873</c:v>
                      </c:pt>
                      <c:pt idx="83" formatCode="General">
                        <c:v>-29.051396396396395</c:v>
                      </c:pt>
                      <c:pt idx="84" formatCode="General">
                        <c:v>-29.149294294294293</c:v>
                      </c:pt>
                      <c:pt idx="85" formatCode="General">
                        <c:v>-29.247192192192191</c:v>
                      </c:pt>
                      <c:pt idx="86" formatCode="General">
                        <c:v>-29.345090090090089</c:v>
                      </c:pt>
                      <c:pt idx="87" formatCode="General">
                        <c:v>-7.3468118811881187</c:v>
                      </c:pt>
                      <c:pt idx="88" formatCode="General">
                        <c:v>-7.3646336633663365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0-7F43-47D9-9E15-19AA26622F09}"/>
                  </c:ext>
                </c:extLst>
              </c15:ser>
            </c15:filteredScatterSeries>
            <c15:filteredScatterSeries>
              <c15:ser>
                <c:idx val="43"/>
                <c:order val="44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306</c:v>
                      </c:pt>
                      <c:pt idx="1">
                        <c:v>314</c:v>
                      </c:pt>
                      <c:pt idx="2">
                        <c:v>322</c:v>
                      </c:pt>
                      <c:pt idx="3">
                        <c:v>330</c:v>
                      </c:pt>
                      <c:pt idx="4">
                        <c:v>338</c:v>
                      </c:pt>
                      <c:pt idx="5">
                        <c:v>346</c:v>
                      </c:pt>
                      <c:pt idx="6">
                        <c:v>354</c:v>
                      </c:pt>
                      <c:pt idx="7">
                        <c:v>362</c:v>
                      </c:pt>
                      <c:pt idx="8">
                        <c:v>370</c:v>
                      </c:pt>
                      <c:pt idx="9">
                        <c:v>378</c:v>
                      </c:pt>
                      <c:pt idx="10">
                        <c:v>386</c:v>
                      </c:pt>
                      <c:pt idx="11">
                        <c:v>394</c:v>
                      </c:pt>
                      <c:pt idx="12">
                        <c:v>402</c:v>
                      </c:pt>
                      <c:pt idx="13">
                        <c:v>410</c:v>
                      </c:pt>
                      <c:pt idx="14">
                        <c:v>418</c:v>
                      </c:pt>
                      <c:pt idx="15">
                        <c:v>426</c:v>
                      </c:pt>
                      <c:pt idx="16">
                        <c:v>434</c:v>
                      </c:pt>
                      <c:pt idx="17">
                        <c:v>442</c:v>
                      </c:pt>
                      <c:pt idx="18">
                        <c:v>450</c:v>
                      </c:pt>
                      <c:pt idx="19">
                        <c:v>458</c:v>
                      </c:pt>
                      <c:pt idx="20">
                        <c:v>466</c:v>
                      </c:pt>
                      <c:pt idx="21">
                        <c:v>474</c:v>
                      </c:pt>
                      <c:pt idx="22">
                        <c:v>482</c:v>
                      </c:pt>
                      <c:pt idx="23">
                        <c:v>490</c:v>
                      </c:pt>
                      <c:pt idx="24">
                        <c:v>498</c:v>
                      </c:pt>
                      <c:pt idx="25">
                        <c:v>506</c:v>
                      </c:pt>
                      <c:pt idx="26">
                        <c:v>514</c:v>
                      </c:pt>
                      <c:pt idx="27">
                        <c:v>522</c:v>
                      </c:pt>
                      <c:pt idx="28">
                        <c:v>530</c:v>
                      </c:pt>
                      <c:pt idx="29">
                        <c:v>538</c:v>
                      </c:pt>
                      <c:pt idx="30">
                        <c:v>546</c:v>
                      </c:pt>
                      <c:pt idx="31">
                        <c:v>554</c:v>
                      </c:pt>
                      <c:pt idx="32">
                        <c:v>562</c:v>
                      </c:pt>
                      <c:pt idx="33">
                        <c:v>570</c:v>
                      </c:pt>
                      <c:pt idx="34">
                        <c:v>578</c:v>
                      </c:pt>
                      <c:pt idx="35">
                        <c:v>586</c:v>
                      </c:pt>
                      <c:pt idx="36">
                        <c:v>594</c:v>
                      </c:pt>
                      <c:pt idx="37">
                        <c:v>602</c:v>
                      </c:pt>
                      <c:pt idx="38">
                        <c:v>610</c:v>
                      </c:pt>
                      <c:pt idx="39">
                        <c:v>618</c:v>
                      </c:pt>
                      <c:pt idx="40">
                        <c:v>626</c:v>
                      </c:pt>
                      <c:pt idx="41">
                        <c:v>634</c:v>
                      </c:pt>
                      <c:pt idx="42">
                        <c:v>642</c:v>
                      </c:pt>
                      <c:pt idx="43">
                        <c:v>650</c:v>
                      </c:pt>
                      <c:pt idx="44">
                        <c:v>658</c:v>
                      </c:pt>
                      <c:pt idx="45">
                        <c:v>666</c:v>
                      </c:pt>
                      <c:pt idx="46">
                        <c:v>674</c:v>
                      </c:pt>
                      <c:pt idx="47">
                        <c:v>682</c:v>
                      </c:pt>
                      <c:pt idx="48">
                        <c:v>690</c:v>
                      </c:pt>
                      <c:pt idx="49">
                        <c:v>698</c:v>
                      </c:pt>
                      <c:pt idx="50">
                        <c:v>706</c:v>
                      </c:pt>
                      <c:pt idx="51">
                        <c:v>714</c:v>
                      </c:pt>
                      <c:pt idx="52">
                        <c:v>722</c:v>
                      </c:pt>
                      <c:pt idx="53">
                        <c:v>730</c:v>
                      </c:pt>
                      <c:pt idx="54">
                        <c:v>738</c:v>
                      </c:pt>
                      <c:pt idx="55">
                        <c:v>746</c:v>
                      </c:pt>
                      <c:pt idx="56">
                        <c:v>754</c:v>
                      </c:pt>
                      <c:pt idx="57">
                        <c:v>762</c:v>
                      </c:pt>
                      <c:pt idx="58">
                        <c:v>770</c:v>
                      </c:pt>
                      <c:pt idx="59">
                        <c:v>778</c:v>
                      </c:pt>
                      <c:pt idx="60">
                        <c:v>786</c:v>
                      </c:pt>
                      <c:pt idx="61">
                        <c:v>794</c:v>
                      </c:pt>
                      <c:pt idx="62">
                        <c:v>802</c:v>
                      </c:pt>
                      <c:pt idx="63">
                        <c:v>810</c:v>
                      </c:pt>
                      <c:pt idx="64">
                        <c:v>818</c:v>
                      </c:pt>
                      <c:pt idx="65">
                        <c:v>826</c:v>
                      </c:pt>
                      <c:pt idx="66">
                        <c:v>834</c:v>
                      </c:pt>
                      <c:pt idx="67">
                        <c:v>842</c:v>
                      </c:pt>
                      <c:pt idx="68">
                        <c:v>850</c:v>
                      </c:pt>
                      <c:pt idx="69">
                        <c:v>858</c:v>
                      </c:pt>
                      <c:pt idx="70">
                        <c:v>866</c:v>
                      </c:pt>
                      <c:pt idx="71">
                        <c:v>874</c:v>
                      </c:pt>
                      <c:pt idx="72">
                        <c:v>882</c:v>
                      </c:pt>
                      <c:pt idx="73">
                        <c:v>890</c:v>
                      </c:pt>
                      <c:pt idx="74">
                        <c:v>898</c:v>
                      </c:pt>
                      <c:pt idx="75">
                        <c:v>906</c:v>
                      </c:pt>
                      <c:pt idx="76">
                        <c:v>914</c:v>
                      </c:pt>
                      <c:pt idx="77">
                        <c:v>922</c:v>
                      </c:pt>
                      <c:pt idx="78">
                        <c:v>930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EVALUATION!$B$145:$CP$145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-21.943243243243245</c:v>
                      </c:pt>
                      <c:pt idx="1">
                        <c:v>-21.741441441441442</c:v>
                      </c:pt>
                      <c:pt idx="2">
                        <c:v>-21.539639639639642</c:v>
                      </c:pt>
                      <c:pt idx="3">
                        <c:v>-21.337837837837839</c:v>
                      </c:pt>
                      <c:pt idx="4" formatCode="General">
                        <c:v>-21.317514970059882</c:v>
                      </c:pt>
                      <c:pt idx="5" formatCode="General">
                        <c:v>-21.339071856287426</c:v>
                      </c:pt>
                      <c:pt idx="6" formatCode="General">
                        <c:v>-21.360628742514972</c:v>
                      </c:pt>
                      <c:pt idx="7" formatCode="General">
                        <c:v>-21.382185628742516</c:v>
                      </c:pt>
                      <c:pt idx="8" formatCode="General">
                        <c:v>-21.452604790419162</c:v>
                      </c:pt>
                      <c:pt idx="9" formatCode="General">
                        <c:v>-21.550808383233534</c:v>
                      </c:pt>
                      <c:pt idx="10" formatCode="General">
                        <c:v>-21.649011976047905</c:v>
                      </c:pt>
                      <c:pt idx="11" formatCode="General">
                        <c:v>-21.747215568862277</c:v>
                      </c:pt>
                      <c:pt idx="12" formatCode="General">
                        <c:v>-21.843203592814373</c:v>
                      </c:pt>
                      <c:pt idx="13" formatCode="General">
                        <c:v>-21.936616766467068</c:v>
                      </c:pt>
                      <c:pt idx="14" formatCode="General">
                        <c:v>-22.030029940119761</c:v>
                      </c:pt>
                      <c:pt idx="15" formatCode="General">
                        <c:v>-22.123443113772456</c:v>
                      </c:pt>
                      <c:pt idx="16" formatCode="General">
                        <c:v>-22.209970059880241</c:v>
                      </c:pt>
                      <c:pt idx="17" formatCode="General">
                        <c:v>-22.279431137724551</c:v>
                      </c:pt>
                      <c:pt idx="18" formatCode="General">
                        <c:v>-22.348892215568863</c:v>
                      </c:pt>
                      <c:pt idx="19" formatCode="General">
                        <c:v>-22.418353293413173</c:v>
                      </c:pt>
                      <c:pt idx="20" formatCode="General">
                        <c:v>-22.488353293413173</c:v>
                      </c:pt>
                      <c:pt idx="21" formatCode="General">
                        <c:v>-22.562604790419162</c:v>
                      </c:pt>
                      <c:pt idx="22" formatCode="General">
                        <c:v>-22.63685628742515</c:v>
                      </c:pt>
                      <c:pt idx="23" formatCode="General">
                        <c:v>-22.711107784431139</c:v>
                      </c:pt>
                      <c:pt idx="24" formatCode="General">
                        <c:v>-22.785359281437124</c:v>
                      </c:pt>
                      <c:pt idx="25" formatCode="General">
                        <c:v>-22.846306306306307</c:v>
                      </c:pt>
                      <c:pt idx="26" formatCode="General">
                        <c:v>-22.906366366366367</c:v>
                      </c:pt>
                      <c:pt idx="27" formatCode="General">
                        <c:v>-22.966426426426427</c:v>
                      </c:pt>
                      <c:pt idx="28" formatCode="General">
                        <c:v>-23.026486486486487</c:v>
                      </c:pt>
                      <c:pt idx="29" formatCode="General">
                        <c:v>-23.130958083832336</c:v>
                      </c:pt>
                      <c:pt idx="30" formatCode="General">
                        <c:v>-23.248323353293415</c:v>
                      </c:pt>
                      <c:pt idx="31" formatCode="General">
                        <c:v>-23.36568862275449</c:v>
                      </c:pt>
                      <c:pt idx="32" formatCode="General">
                        <c:v>-23.483053892215569</c:v>
                      </c:pt>
                      <c:pt idx="33" formatCode="General">
                        <c:v>-23.60185628742515</c:v>
                      </c:pt>
                      <c:pt idx="34" formatCode="General">
                        <c:v>-23.721616766467065</c:v>
                      </c:pt>
                      <c:pt idx="35" formatCode="General">
                        <c:v>-23.841377245508983</c:v>
                      </c:pt>
                      <c:pt idx="36" formatCode="General">
                        <c:v>-23.961137724550898</c:v>
                      </c:pt>
                      <c:pt idx="37" formatCode="General">
                        <c:v>-24.078862275449104</c:v>
                      </c:pt>
                      <c:pt idx="38" formatCode="General">
                        <c:v>-24.193832335329343</c:v>
                      </c:pt>
                      <c:pt idx="39" formatCode="General">
                        <c:v>-24.308802395209582</c:v>
                      </c:pt>
                      <c:pt idx="40" formatCode="General">
                        <c:v>-24.423772455089821</c:v>
                      </c:pt>
                      <c:pt idx="41" formatCode="General">
                        <c:v>-24.53874251497006</c:v>
                      </c:pt>
                      <c:pt idx="42" formatCode="General">
                        <c:v>-24.653712574850299</c:v>
                      </c:pt>
                      <c:pt idx="43" formatCode="General">
                        <c:v>-24.768682634730538</c:v>
                      </c:pt>
                      <c:pt idx="44" formatCode="General">
                        <c:v>-24.883652694610777</c:v>
                      </c:pt>
                      <c:pt idx="45" formatCode="General">
                        <c:v>-24.998622754491016</c:v>
                      </c:pt>
                      <c:pt idx="46" formatCode="General">
                        <c:v>-25.113592814371255</c:v>
                      </c:pt>
                      <c:pt idx="47" formatCode="General">
                        <c:v>-25.228562874251494</c:v>
                      </c:pt>
                      <c:pt idx="48" formatCode="General">
                        <c:v>-25.343532934131737</c:v>
                      </c:pt>
                      <c:pt idx="49" formatCode="General">
                        <c:v>-25.458502994011976</c:v>
                      </c:pt>
                      <c:pt idx="50" formatCode="General">
                        <c:v>-25.567617977528091</c:v>
                      </c:pt>
                      <c:pt idx="51" formatCode="General">
                        <c:v>-25.676082397003746</c:v>
                      </c:pt>
                      <c:pt idx="52" formatCode="General">
                        <c:v>-25.784546816479402</c:v>
                      </c:pt>
                      <c:pt idx="53" formatCode="General">
                        <c:v>-25.893011235955058</c:v>
                      </c:pt>
                      <c:pt idx="54" formatCode="General">
                        <c:v>-26.001475655430713</c:v>
                      </c:pt>
                      <c:pt idx="55" formatCode="General">
                        <c:v>-26.109940074906369</c:v>
                      </c:pt>
                      <c:pt idx="56" formatCode="General">
                        <c:v>-26.218404494382021</c:v>
                      </c:pt>
                      <c:pt idx="57" formatCode="General">
                        <c:v>-26.326868913857677</c:v>
                      </c:pt>
                      <c:pt idx="58" formatCode="General">
                        <c:v>-26.435333333333332</c:v>
                      </c:pt>
                      <c:pt idx="59" formatCode="General">
                        <c:v>-26.543797752808988</c:v>
                      </c:pt>
                      <c:pt idx="60" formatCode="General">
                        <c:v>-26.652262172284644</c:v>
                      </c:pt>
                      <c:pt idx="61" formatCode="General">
                        <c:v>-26.760726591760299</c:v>
                      </c:pt>
                      <c:pt idx="62" formatCode="General">
                        <c:v>-26.869191011235955</c:v>
                      </c:pt>
                      <c:pt idx="63" formatCode="General">
                        <c:v>-26.977655430711611</c:v>
                      </c:pt>
                      <c:pt idx="64" formatCode="General">
                        <c:v>-27.086119850187266</c:v>
                      </c:pt>
                      <c:pt idx="65" formatCode="General">
                        <c:v>-27.194584269662922</c:v>
                      </c:pt>
                      <c:pt idx="66" formatCode="General">
                        <c:v>-27.301902621722849</c:v>
                      </c:pt>
                      <c:pt idx="67" formatCode="General">
                        <c:v>-27.404973782771538</c:v>
                      </c:pt>
                      <c:pt idx="68" formatCode="General">
                        <c:v>-27.508044943820227</c:v>
                      </c:pt>
                      <c:pt idx="69" formatCode="General">
                        <c:v>-27.611116104868916</c:v>
                      </c:pt>
                      <c:pt idx="70" formatCode="General">
                        <c:v>-27.714187265917605</c:v>
                      </c:pt>
                      <c:pt idx="71" formatCode="General">
                        <c:v>-27.817258426966294</c:v>
                      </c:pt>
                      <c:pt idx="72" formatCode="General">
                        <c:v>-27.920329588014983</c:v>
                      </c:pt>
                      <c:pt idx="73" formatCode="General">
                        <c:v>-28.023400749063672</c:v>
                      </c:pt>
                      <c:pt idx="74" formatCode="General">
                        <c:v>-28.126471910112361</c:v>
                      </c:pt>
                      <c:pt idx="75" formatCode="General">
                        <c:v>-28.22954307116105</c:v>
                      </c:pt>
                      <c:pt idx="76" formatCode="General">
                        <c:v>-28.332614232209739</c:v>
                      </c:pt>
                      <c:pt idx="77" formatCode="General">
                        <c:v>-28.435685393258428</c:v>
                      </c:pt>
                      <c:pt idx="78" formatCode="General">
                        <c:v>-28.538756554307117</c:v>
                      </c:pt>
                      <c:pt idx="79" formatCode="General">
                        <c:v>-28.641827715355806</c:v>
                      </c:pt>
                      <c:pt idx="80" formatCode="General">
                        <c:v>-28.744898876404495</c:v>
                      </c:pt>
                      <c:pt idx="81" formatCode="General">
                        <c:v>-28.847970037453184</c:v>
                      </c:pt>
                      <c:pt idx="82" formatCode="General">
                        <c:v>-28.951041198501873</c:v>
                      </c:pt>
                      <c:pt idx="83" formatCode="General">
                        <c:v>-29.051396396396395</c:v>
                      </c:pt>
                      <c:pt idx="84" formatCode="General">
                        <c:v>-29.149294294294293</c:v>
                      </c:pt>
                      <c:pt idx="85" formatCode="General">
                        <c:v>-29.247192192192191</c:v>
                      </c:pt>
                      <c:pt idx="86" formatCode="General">
                        <c:v>-29.345090090090089</c:v>
                      </c:pt>
                      <c:pt idx="87" formatCode="General">
                        <c:v>-8.1209504950495059</c:v>
                      </c:pt>
                      <c:pt idx="88" formatCode="General">
                        <c:v>-8.1466930693069308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1-7F43-47D9-9E15-19AA26622F09}"/>
                  </c:ext>
                </c:extLst>
              </c15:ser>
            </c15:filteredScatterSeries>
            <c15:filteredScatterSeries>
              <c15:ser>
                <c:idx val="44"/>
                <c:order val="45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306</c:v>
                      </c:pt>
                      <c:pt idx="1">
                        <c:v>314</c:v>
                      </c:pt>
                      <c:pt idx="2">
                        <c:v>322</c:v>
                      </c:pt>
                      <c:pt idx="3">
                        <c:v>330</c:v>
                      </c:pt>
                      <c:pt idx="4">
                        <c:v>338</c:v>
                      </c:pt>
                      <c:pt idx="5">
                        <c:v>346</c:v>
                      </c:pt>
                      <c:pt idx="6">
                        <c:v>354</c:v>
                      </c:pt>
                      <c:pt idx="7">
                        <c:v>362</c:v>
                      </c:pt>
                      <c:pt idx="8">
                        <c:v>370</c:v>
                      </c:pt>
                      <c:pt idx="9">
                        <c:v>378</c:v>
                      </c:pt>
                      <c:pt idx="10">
                        <c:v>386</c:v>
                      </c:pt>
                      <c:pt idx="11">
                        <c:v>394</c:v>
                      </c:pt>
                      <c:pt idx="12">
                        <c:v>402</c:v>
                      </c:pt>
                      <c:pt idx="13">
                        <c:v>410</c:v>
                      </c:pt>
                      <c:pt idx="14">
                        <c:v>418</c:v>
                      </c:pt>
                      <c:pt idx="15">
                        <c:v>426</c:v>
                      </c:pt>
                      <c:pt idx="16">
                        <c:v>434</c:v>
                      </c:pt>
                      <c:pt idx="17">
                        <c:v>442</c:v>
                      </c:pt>
                      <c:pt idx="18">
                        <c:v>450</c:v>
                      </c:pt>
                      <c:pt idx="19">
                        <c:v>458</c:v>
                      </c:pt>
                      <c:pt idx="20">
                        <c:v>466</c:v>
                      </c:pt>
                      <c:pt idx="21">
                        <c:v>474</c:v>
                      </c:pt>
                      <c:pt idx="22">
                        <c:v>482</c:v>
                      </c:pt>
                      <c:pt idx="23">
                        <c:v>490</c:v>
                      </c:pt>
                      <c:pt idx="24">
                        <c:v>498</c:v>
                      </c:pt>
                      <c:pt idx="25">
                        <c:v>506</c:v>
                      </c:pt>
                      <c:pt idx="26">
                        <c:v>514</c:v>
                      </c:pt>
                      <c:pt idx="27">
                        <c:v>522</c:v>
                      </c:pt>
                      <c:pt idx="28">
                        <c:v>530</c:v>
                      </c:pt>
                      <c:pt idx="29">
                        <c:v>538</c:v>
                      </c:pt>
                      <c:pt idx="30">
                        <c:v>546</c:v>
                      </c:pt>
                      <c:pt idx="31">
                        <c:v>554</c:v>
                      </c:pt>
                      <c:pt idx="32">
                        <c:v>562</c:v>
                      </c:pt>
                      <c:pt idx="33">
                        <c:v>570</c:v>
                      </c:pt>
                      <c:pt idx="34">
                        <c:v>578</c:v>
                      </c:pt>
                      <c:pt idx="35">
                        <c:v>586</c:v>
                      </c:pt>
                      <c:pt idx="36">
                        <c:v>594</c:v>
                      </c:pt>
                      <c:pt idx="37">
                        <c:v>602</c:v>
                      </c:pt>
                      <c:pt idx="38">
                        <c:v>610</c:v>
                      </c:pt>
                      <c:pt idx="39">
                        <c:v>618</c:v>
                      </c:pt>
                      <c:pt idx="40">
                        <c:v>626</c:v>
                      </c:pt>
                      <c:pt idx="41">
                        <c:v>634</c:v>
                      </c:pt>
                      <c:pt idx="42">
                        <c:v>642</c:v>
                      </c:pt>
                      <c:pt idx="43">
                        <c:v>650</c:v>
                      </c:pt>
                      <c:pt idx="44">
                        <c:v>658</c:v>
                      </c:pt>
                      <c:pt idx="45">
                        <c:v>666</c:v>
                      </c:pt>
                      <c:pt idx="46">
                        <c:v>674</c:v>
                      </c:pt>
                      <c:pt idx="47">
                        <c:v>682</c:v>
                      </c:pt>
                      <c:pt idx="48">
                        <c:v>690</c:v>
                      </c:pt>
                      <c:pt idx="49">
                        <c:v>698</c:v>
                      </c:pt>
                      <c:pt idx="50">
                        <c:v>706</c:v>
                      </c:pt>
                      <c:pt idx="51">
                        <c:v>714</c:v>
                      </c:pt>
                      <c:pt idx="52">
                        <c:v>722</c:v>
                      </c:pt>
                      <c:pt idx="53">
                        <c:v>730</c:v>
                      </c:pt>
                      <c:pt idx="54">
                        <c:v>738</c:v>
                      </c:pt>
                      <c:pt idx="55">
                        <c:v>746</c:v>
                      </c:pt>
                      <c:pt idx="56">
                        <c:v>754</c:v>
                      </c:pt>
                      <c:pt idx="57">
                        <c:v>762</c:v>
                      </c:pt>
                      <c:pt idx="58">
                        <c:v>770</c:v>
                      </c:pt>
                      <c:pt idx="59">
                        <c:v>778</c:v>
                      </c:pt>
                      <c:pt idx="60">
                        <c:v>786</c:v>
                      </c:pt>
                      <c:pt idx="61">
                        <c:v>794</c:v>
                      </c:pt>
                      <c:pt idx="62">
                        <c:v>802</c:v>
                      </c:pt>
                      <c:pt idx="63">
                        <c:v>810</c:v>
                      </c:pt>
                      <c:pt idx="64">
                        <c:v>818</c:v>
                      </c:pt>
                      <c:pt idx="65">
                        <c:v>826</c:v>
                      </c:pt>
                      <c:pt idx="66">
                        <c:v>834</c:v>
                      </c:pt>
                      <c:pt idx="67">
                        <c:v>842</c:v>
                      </c:pt>
                      <c:pt idx="68">
                        <c:v>850</c:v>
                      </c:pt>
                      <c:pt idx="69">
                        <c:v>858</c:v>
                      </c:pt>
                      <c:pt idx="70">
                        <c:v>866</c:v>
                      </c:pt>
                      <c:pt idx="71">
                        <c:v>874</c:v>
                      </c:pt>
                      <c:pt idx="72">
                        <c:v>882</c:v>
                      </c:pt>
                      <c:pt idx="73">
                        <c:v>890</c:v>
                      </c:pt>
                      <c:pt idx="74">
                        <c:v>898</c:v>
                      </c:pt>
                      <c:pt idx="75">
                        <c:v>906</c:v>
                      </c:pt>
                      <c:pt idx="76">
                        <c:v>914</c:v>
                      </c:pt>
                      <c:pt idx="77">
                        <c:v>922</c:v>
                      </c:pt>
                      <c:pt idx="78">
                        <c:v>930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EVALUATION!$B$146:$CP$146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-15.512792792792792</c:v>
                      </c:pt>
                      <c:pt idx="1">
                        <c:v>-15.013093093093092</c:v>
                      </c:pt>
                      <c:pt idx="2">
                        <c:v>-14.513393393393393</c:v>
                      </c:pt>
                      <c:pt idx="3">
                        <c:v>-14.013693693693693</c:v>
                      </c:pt>
                      <c:pt idx="4" formatCode="General">
                        <c:v>-13.456826347305389</c:v>
                      </c:pt>
                      <c:pt idx="5" formatCode="General">
                        <c:v>-12.886766467065867</c:v>
                      </c:pt>
                      <c:pt idx="6" formatCode="General">
                        <c:v>-12.316706586826346</c:v>
                      </c:pt>
                      <c:pt idx="7" formatCode="General">
                        <c:v>-11.746646706586823</c:v>
                      </c:pt>
                      <c:pt idx="8" formatCode="General">
                        <c:v>-11.204988023952094</c:v>
                      </c:pt>
                      <c:pt idx="9" formatCode="General">
                        <c:v>-10.679479041916167</c:v>
                      </c:pt>
                      <c:pt idx="10" formatCode="General">
                        <c:v>-10.153970059880239</c:v>
                      </c:pt>
                      <c:pt idx="11" formatCode="General">
                        <c:v>-9.628461077844312</c:v>
                      </c:pt>
                      <c:pt idx="12" formatCode="General">
                        <c:v>-9.1539101796407198</c:v>
                      </c:pt>
                      <c:pt idx="13" formatCode="General">
                        <c:v>-8.7385808383233528</c:v>
                      </c:pt>
                      <c:pt idx="14" formatCode="General">
                        <c:v>-8.3232514970059874</c:v>
                      </c:pt>
                      <c:pt idx="15" formatCode="General">
                        <c:v>-7.9079221556886221</c:v>
                      </c:pt>
                      <c:pt idx="16" formatCode="General">
                        <c:v>-7.5390748502994009</c:v>
                      </c:pt>
                      <c:pt idx="17" formatCode="General">
                        <c:v>-7.2854221556886225</c:v>
                      </c:pt>
                      <c:pt idx="18" formatCode="General">
                        <c:v>-7.031769461077845</c:v>
                      </c:pt>
                      <c:pt idx="19" formatCode="General">
                        <c:v>-6.7781167664670665</c:v>
                      </c:pt>
                      <c:pt idx="20" formatCode="General">
                        <c:v>-6.5428413173652693</c:v>
                      </c:pt>
                      <c:pt idx="21" formatCode="General">
                        <c:v>-6.4525419161676645</c:v>
                      </c:pt>
                      <c:pt idx="22" formatCode="General">
                        <c:v>-6.3622425149700597</c:v>
                      </c:pt>
                      <c:pt idx="23" formatCode="General">
                        <c:v>-6.2719431137724548</c:v>
                      </c:pt>
                      <c:pt idx="24" formatCode="General">
                        <c:v>-6.18164371257485</c:v>
                      </c:pt>
                      <c:pt idx="25" formatCode="General">
                        <c:v>-6.3239729729729737</c:v>
                      </c:pt>
                      <c:pt idx="26" formatCode="General">
                        <c:v>-6.4818108108108117</c:v>
                      </c:pt>
                      <c:pt idx="27" formatCode="General">
                        <c:v>-6.6396486486486497</c:v>
                      </c:pt>
                      <c:pt idx="28" formatCode="General">
                        <c:v>-6.7974864864864877</c:v>
                      </c:pt>
                      <c:pt idx="29" formatCode="General">
                        <c:v>-6.8348562874251497</c:v>
                      </c:pt>
                      <c:pt idx="30" formatCode="General">
                        <c:v>-6.8372514970059886</c:v>
                      </c:pt>
                      <c:pt idx="31" formatCode="General">
                        <c:v>-6.8396467065868265</c:v>
                      </c:pt>
                      <c:pt idx="32" formatCode="General">
                        <c:v>-6.8420419161676644</c:v>
                      </c:pt>
                      <c:pt idx="33" formatCode="General">
                        <c:v>-6.8517664670658682</c:v>
                      </c:pt>
                      <c:pt idx="34" formatCode="General">
                        <c:v>-6.866377245508982</c:v>
                      </c:pt>
                      <c:pt idx="35" formatCode="General">
                        <c:v>-6.8809880239520957</c:v>
                      </c:pt>
                      <c:pt idx="36" formatCode="General">
                        <c:v>-6.8955988023952095</c:v>
                      </c:pt>
                      <c:pt idx="37" formatCode="General">
                        <c:v>-6.911838323353293</c:v>
                      </c:pt>
                      <c:pt idx="38" formatCode="General">
                        <c:v>-6.930281437125748</c:v>
                      </c:pt>
                      <c:pt idx="39" formatCode="General">
                        <c:v>-6.9487245508982038</c:v>
                      </c:pt>
                      <c:pt idx="40" formatCode="General">
                        <c:v>-6.9671676646706588</c:v>
                      </c:pt>
                      <c:pt idx="41" formatCode="General">
                        <c:v>-6.9858502994011973</c:v>
                      </c:pt>
                      <c:pt idx="42" formatCode="General">
                        <c:v>-7.0052514970059878</c:v>
                      </c:pt>
                      <c:pt idx="43" formatCode="General">
                        <c:v>-7.0246526946107783</c:v>
                      </c:pt>
                      <c:pt idx="44" formatCode="General">
                        <c:v>-7.0440538922155689</c:v>
                      </c:pt>
                      <c:pt idx="45" formatCode="General">
                        <c:v>-7.0634550898203594</c:v>
                      </c:pt>
                      <c:pt idx="46" formatCode="General">
                        <c:v>-7.0828562874251499</c:v>
                      </c:pt>
                      <c:pt idx="47" formatCode="General">
                        <c:v>-7.1022574850299405</c:v>
                      </c:pt>
                      <c:pt idx="48" formatCode="General">
                        <c:v>-7.1216586826347301</c:v>
                      </c:pt>
                      <c:pt idx="49" formatCode="General">
                        <c:v>-7.1410598802395207</c:v>
                      </c:pt>
                      <c:pt idx="50" formatCode="General">
                        <c:v>-7.1602584269662923</c:v>
                      </c:pt>
                      <c:pt idx="51" formatCode="General">
                        <c:v>-7.1794344569288393</c:v>
                      </c:pt>
                      <c:pt idx="52" formatCode="General">
                        <c:v>-7.1986104868913854</c:v>
                      </c:pt>
                      <c:pt idx="53" formatCode="General">
                        <c:v>-7.2177865168539324</c:v>
                      </c:pt>
                      <c:pt idx="54" formatCode="General">
                        <c:v>-7.2369625468164793</c:v>
                      </c:pt>
                      <c:pt idx="55" formatCode="General">
                        <c:v>-7.2561385767790263</c:v>
                      </c:pt>
                      <c:pt idx="56" formatCode="General">
                        <c:v>-7.2753146067415733</c:v>
                      </c:pt>
                      <c:pt idx="57" formatCode="General">
                        <c:v>-7.2944906367041202</c:v>
                      </c:pt>
                      <c:pt idx="58" formatCode="General">
                        <c:v>-7.3136666666666663</c:v>
                      </c:pt>
                      <c:pt idx="59" formatCode="General">
                        <c:v>-7.3328426966292133</c:v>
                      </c:pt>
                      <c:pt idx="60" formatCode="General">
                        <c:v>-7.3520187265917603</c:v>
                      </c:pt>
                      <c:pt idx="61" formatCode="General">
                        <c:v>-7.3711947565543072</c:v>
                      </c:pt>
                      <c:pt idx="62" formatCode="General">
                        <c:v>-7.3903707865168542</c:v>
                      </c:pt>
                      <c:pt idx="63" formatCode="General">
                        <c:v>-7.4095468164794012</c:v>
                      </c:pt>
                      <c:pt idx="64" formatCode="General">
                        <c:v>-7.4287228464419481</c:v>
                      </c:pt>
                      <c:pt idx="65" formatCode="General">
                        <c:v>-7.4478988764044942</c:v>
                      </c:pt>
                      <c:pt idx="66" formatCode="General">
                        <c:v>-7.4668456928838953</c:v>
                      </c:pt>
                      <c:pt idx="67" formatCode="General">
                        <c:v>-7.484943071161049</c:v>
                      </c:pt>
                      <c:pt idx="68" formatCode="General">
                        <c:v>-7.5030404494382026</c:v>
                      </c:pt>
                      <c:pt idx="69" formatCode="General">
                        <c:v>-7.5211378277153562</c:v>
                      </c:pt>
                      <c:pt idx="70" formatCode="General">
                        <c:v>-7.5392352059925098</c:v>
                      </c:pt>
                      <c:pt idx="71" formatCode="General">
                        <c:v>-7.5573325842696626</c:v>
                      </c:pt>
                      <c:pt idx="72" formatCode="General">
                        <c:v>-7.5754299625468162</c:v>
                      </c:pt>
                      <c:pt idx="73" formatCode="General">
                        <c:v>-7.5935273408239699</c:v>
                      </c:pt>
                      <c:pt idx="74" formatCode="General">
                        <c:v>-7.6116247191011235</c:v>
                      </c:pt>
                      <c:pt idx="75" formatCode="General">
                        <c:v>-7.6297220973782771</c:v>
                      </c:pt>
                      <c:pt idx="76" formatCode="General">
                        <c:v>-7.6478194756554307</c:v>
                      </c:pt>
                      <c:pt idx="77" formatCode="General">
                        <c:v>-7.6659168539325844</c:v>
                      </c:pt>
                      <c:pt idx="78" formatCode="General">
                        <c:v>-7.684014232209738</c:v>
                      </c:pt>
                      <c:pt idx="79" formatCode="General">
                        <c:v>-7.7021116104868916</c:v>
                      </c:pt>
                      <c:pt idx="80" formatCode="General">
                        <c:v>-7.7202089887640444</c:v>
                      </c:pt>
                      <c:pt idx="81" formatCode="General">
                        <c:v>-7.738306367041198</c:v>
                      </c:pt>
                      <c:pt idx="82" formatCode="General">
                        <c:v>-7.7564037453183516</c:v>
                      </c:pt>
                      <c:pt idx="83" formatCode="General">
                        <c:v>-7.7739234234234234</c:v>
                      </c:pt>
                      <c:pt idx="84" formatCode="General">
                        <c:v>-7.7909204204204201</c:v>
                      </c:pt>
                      <c:pt idx="85" formatCode="General">
                        <c:v>-7.8079174174174168</c:v>
                      </c:pt>
                      <c:pt idx="86" formatCode="General">
                        <c:v>-7.8249144144144145</c:v>
                      </c:pt>
                      <c:pt idx="87" formatCode="General">
                        <c:v>-28.733663366336632</c:v>
                      </c:pt>
                      <c:pt idx="88" formatCode="General">
                        <c:v>-28.828712871287127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2-7F43-47D9-9E15-19AA26622F09}"/>
                  </c:ext>
                </c:extLst>
              </c15:ser>
            </c15:filteredScatterSeries>
            <c15:filteredScatterSeries>
              <c15:ser>
                <c:idx val="45"/>
                <c:order val="46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306</c:v>
                      </c:pt>
                      <c:pt idx="1">
                        <c:v>314</c:v>
                      </c:pt>
                      <c:pt idx="2">
                        <c:v>322</c:v>
                      </c:pt>
                      <c:pt idx="3">
                        <c:v>330</c:v>
                      </c:pt>
                      <c:pt idx="4">
                        <c:v>338</c:v>
                      </c:pt>
                      <c:pt idx="5">
                        <c:v>346</c:v>
                      </c:pt>
                      <c:pt idx="6">
                        <c:v>354</c:v>
                      </c:pt>
                      <c:pt idx="7">
                        <c:v>362</c:v>
                      </c:pt>
                      <c:pt idx="8">
                        <c:v>370</c:v>
                      </c:pt>
                      <c:pt idx="9">
                        <c:v>378</c:v>
                      </c:pt>
                      <c:pt idx="10">
                        <c:v>386</c:v>
                      </c:pt>
                      <c:pt idx="11">
                        <c:v>394</c:v>
                      </c:pt>
                      <c:pt idx="12">
                        <c:v>402</c:v>
                      </c:pt>
                      <c:pt idx="13">
                        <c:v>410</c:v>
                      </c:pt>
                      <c:pt idx="14">
                        <c:v>418</c:v>
                      </c:pt>
                      <c:pt idx="15">
                        <c:v>426</c:v>
                      </c:pt>
                      <c:pt idx="16">
                        <c:v>434</c:v>
                      </c:pt>
                      <c:pt idx="17">
                        <c:v>442</c:v>
                      </c:pt>
                      <c:pt idx="18">
                        <c:v>450</c:v>
                      </c:pt>
                      <c:pt idx="19">
                        <c:v>458</c:v>
                      </c:pt>
                      <c:pt idx="20">
                        <c:v>466</c:v>
                      </c:pt>
                      <c:pt idx="21">
                        <c:v>474</c:v>
                      </c:pt>
                      <c:pt idx="22">
                        <c:v>482</c:v>
                      </c:pt>
                      <c:pt idx="23">
                        <c:v>490</c:v>
                      </c:pt>
                      <c:pt idx="24">
                        <c:v>498</c:v>
                      </c:pt>
                      <c:pt idx="25">
                        <c:v>506</c:v>
                      </c:pt>
                      <c:pt idx="26">
                        <c:v>514</c:v>
                      </c:pt>
                      <c:pt idx="27">
                        <c:v>522</c:v>
                      </c:pt>
                      <c:pt idx="28">
                        <c:v>530</c:v>
                      </c:pt>
                      <c:pt idx="29">
                        <c:v>538</c:v>
                      </c:pt>
                      <c:pt idx="30">
                        <c:v>546</c:v>
                      </c:pt>
                      <c:pt idx="31">
                        <c:v>554</c:v>
                      </c:pt>
                      <c:pt idx="32">
                        <c:v>562</c:v>
                      </c:pt>
                      <c:pt idx="33">
                        <c:v>570</c:v>
                      </c:pt>
                      <c:pt idx="34">
                        <c:v>578</c:v>
                      </c:pt>
                      <c:pt idx="35">
                        <c:v>586</c:v>
                      </c:pt>
                      <c:pt idx="36">
                        <c:v>594</c:v>
                      </c:pt>
                      <c:pt idx="37">
                        <c:v>602</c:v>
                      </c:pt>
                      <c:pt idx="38">
                        <c:v>610</c:v>
                      </c:pt>
                      <c:pt idx="39">
                        <c:v>618</c:v>
                      </c:pt>
                      <c:pt idx="40">
                        <c:v>626</c:v>
                      </c:pt>
                      <c:pt idx="41">
                        <c:v>634</c:v>
                      </c:pt>
                      <c:pt idx="42">
                        <c:v>642</c:v>
                      </c:pt>
                      <c:pt idx="43">
                        <c:v>650</c:v>
                      </c:pt>
                      <c:pt idx="44">
                        <c:v>658</c:v>
                      </c:pt>
                      <c:pt idx="45">
                        <c:v>666</c:v>
                      </c:pt>
                      <c:pt idx="46">
                        <c:v>674</c:v>
                      </c:pt>
                      <c:pt idx="47">
                        <c:v>682</c:v>
                      </c:pt>
                      <c:pt idx="48">
                        <c:v>690</c:v>
                      </c:pt>
                      <c:pt idx="49">
                        <c:v>698</c:v>
                      </c:pt>
                      <c:pt idx="50">
                        <c:v>706</c:v>
                      </c:pt>
                      <c:pt idx="51">
                        <c:v>714</c:v>
                      </c:pt>
                      <c:pt idx="52">
                        <c:v>722</c:v>
                      </c:pt>
                      <c:pt idx="53">
                        <c:v>730</c:v>
                      </c:pt>
                      <c:pt idx="54">
                        <c:v>738</c:v>
                      </c:pt>
                      <c:pt idx="55">
                        <c:v>746</c:v>
                      </c:pt>
                      <c:pt idx="56">
                        <c:v>754</c:v>
                      </c:pt>
                      <c:pt idx="57">
                        <c:v>762</c:v>
                      </c:pt>
                      <c:pt idx="58">
                        <c:v>770</c:v>
                      </c:pt>
                      <c:pt idx="59">
                        <c:v>778</c:v>
                      </c:pt>
                      <c:pt idx="60">
                        <c:v>786</c:v>
                      </c:pt>
                      <c:pt idx="61">
                        <c:v>794</c:v>
                      </c:pt>
                      <c:pt idx="62">
                        <c:v>802</c:v>
                      </c:pt>
                      <c:pt idx="63">
                        <c:v>810</c:v>
                      </c:pt>
                      <c:pt idx="64">
                        <c:v>818</c:v>
                      </c:pt>
                      <c:pt idx="65">
                        <c:v>826</c:v>
                      </c:pt>
                      <c:pt idx="66">
                        <c:v>834</c:v>
                      </c:pt>
                      <c:pt idx="67">
                        <c:v>842</c:v>
                      </c:pt>
                      <c:pt idx="68">
                        <c:v>850</c:v>
                      </c:pt>
                      <c:pt idx="69">
                        <c:v>858</c:v>
                      </c:pt>
                      <c:pt idx="70">
                        <c:v>866</c:v>
                      </c:pt>
                      <c:pt idx="71">
                        <c:v>874</c:v>
                      </c:pt>
                      <c:pt idx="72">
                        <c:v>882</c:v>
                      </c:pt>
                      <c:pt idx="73">
                        <c:v>890</c:v>
                      </c:pt>
                      <c:pt idx="74">
                        <c:v>898</c:v>
                      </c:pt>
                      <c:pt idx="75">
                        <c:v>906</c:v>
                      </c:pt>
                      <c:pt idx="76">
                        <c:v>914</c:v>
                      </c:pt>
                      <c:pt idx="77">
                        <c:v>922</c:v>
                      </c:pt>
                      <c:pt idx="78">
                        <c:v>930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EVALUATION!$B$147:$CP$147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-18.877657657657657</c:v>
                      </c:pt>
                      <c:pt idx="1">
                        <c:v>-18.875255255255254</c:v>
                      </c:pt>
                      <c:pt idx="2">
                        <c:v>-18.872852852852855</c:v>
                      </c:pt>
                      <c:pt idx="3">
                        <c:v>-18.870450450450452</c:v>
                      </c:pt>
                      <c:pt idx="4" formatCode="General">
                        <c:v>-18.875838323353292</c:v>
                      </c:pt>
                      <c:pt idx="5" formatCode="General">
                        <c:v>-18.883023952095808</c:v>
                      </c:pt>
                      <c:pt idx="6" formatCode="General">
                        <c:v>-18.890209580838324</c:v>
                      </c:pt>
                      <c:pt idx="7" formatCode="General">
                        <c:v>-18.897395209580836</c:v>
                      </c:pt>
                      <c:pt idx="8" formatCode="General">
                        <c:v>-18.906107784431136</c:v>
                      </c:pt>
                      <c:pt idx="9" formatCode="General">
                        <c:v>-18.915688622754491</c:v>
                      </c:pt>
                      <c:pt idx="10" formatCode="General">
                        <c:v>-18.925269461077846</c:v>
                      </c:pt>
                      <c:pt idx="11" formatCode="General">
                        <c:v>-18.934850299401198</c:v>
                      </c:pt>
                      <c:pt idx="12" formatCode="General">
                        <c:v>-18.945538922155688</c:v>
                      </c:pt>
                      <c:pt idx="13" formatCode="General">
                        <c:v>-18.957514970059879</c:v>
                      </c:pt>
                      <c:pt idx="14" formatCode="General">
                        <c:v>-18.969491017964071</c:v>
                      </c:pt>
                      <c:pt idx="15" formatCode="General">
                        <c:v>-18.981467065868262</c:v>
                      </c:pt>
                      <c:pt idx="16" formatCode="General">
                        <c:v>-18.993443113772454</c:v>
                      </c:pt>
                      <c:pt idx="17" formatCode="General">
                        <c:v>-19.005419161676645</c:v>
                      </c:pt>
                      <c:pt idx="18" formatCode="General">
                        <c:v>-19.017395209580837</c:v>
                      </c:pt>
                      <c:pt idx="19" formatCode="General">
                        <c:v>-19.029371257485028</c:v>
                      </c:pt>
                      <c:pt idx="20" formatCode="General">
                        <c:v>-19.040808383233532</c:v>
                      </c:pt>
                      <c:pt idx="21" formatCode="General">
                        <c:v>-19.047994011976048</c:v>
                      </c:pt>
                      <c:pt idx="22" formatCode="General">
                        <c:v>-19.055179640718563</c:v>
                      </c:pt>
                      <c:pt idx="23" formatCode="General">
                        <c:v>-19.062365269461079</c:v>
                      </c:pt>
                      <c:pt idx="24" formatCode="General">
                        <c:v>-19.069550898203595</c:v>
                      </c:pt>
                      <c:pt idx="25" formatCode="General">
                        <c:v>-19.045225225225227</c:v>
                      </c:pt>
                      <c:pt idx="26" formatCode="General">
                        <c:v>-19.018798798798798</c:v>
                      </c:pt>
                      <c:pt idx="27" formatCode="General">
                        <c:v>-18.992372372372373</c:v>
                      </c:pt>
                      <c:pt idx="28" formatCode="General">
                        <c:v>-18.965945945945947</c:v>
                      </c:pt>
                      <c:pt idx="29" formatCode="General">
                        <c:v>-18.972994011976049</c:v>
                      </c:pt>
                      <c:pt idx="30" formatCode="General">
                        <c:v>-18.989760479041916</c:v>
                      </c:pt>
                      <c:pt idx="31" formatCode="General">
                        <c:v>-19.006526946107787</c:v>
                      </c:pt>
                      <c:pt idx="32" formatCode="General">
                        <c:v>-19.023293413173654</c:v>
                      </c:pt>
                      <c:pt idx="33" formatCode="General">
                        <c:v>-19.040059880239522</c:v>
                      </c:pt>
                      <c:pt idx="34" formatCode="General">
                        <c:v>-19.056826347305389</c:v>
                      </c:pt>
                      <c:pt idx="35" formatCode="General">
                        <c:v>-19.07359281437126</c:v>
                      </c:pt>
                      <c:pt idx="36" formatCode="General">
                        <c:v>-19.090359281437127</c:v>
                      </c:pt>
                      <c:pt idx="37" formatCode="General">
                        <c:v>-19.107125748502995</c:v>
                      </c:pt>
                      <c:pt idx="38" formatCode="General">
                        <c:v>-19.123892215568866</c:v>
                      </c:pt>
                      <c:pt idx="39" formatCode="General">
                        <c:v>-19.140658682634733</c:v>
                      </c:pt>
                      <c:pt idx="40" formatCode="General">
                        <c:v>-19.1574251497006</c:v>
                      </c:pt>
                      <c:pt idx="41" formatCode="General">
                        <c:v>-19.174191616766468</c:v>
                      </c:pt>
                      <c:pt idx="42" formatCode="General">
                        <c:v>-19.190958083832335</c:v>
                      </c:pt>
                      <c:pt idx="43" formatCode="General">
                        <c:v>-19.207724550898202</c:v>
                      </c:pt>
                      <c:pt idx="44" formatCode="General">
                        <c:v>-19.22449101796407</c:v>
                      </c:pt>
                      <c:pt idx="45" formatCode="General">
                        <c:v>-19.241257485029937</c:v>
                      </c:pt>
                      <c:pt idx="46" formatCode="General">
                        <c:v>-19.258023952095808</c:v>
                      </c:pt>
                      <c:pt idx="47" formatCode="General">
                        <c:v>-19.274790419161675</c:v>
                      </c:pt>
                      <c:pt idx="48" formatCode="General">
                        <c:v>-19.291556886227543</c:v>
                      </c:pt>
                      <c:pt idx="49" formatCode="General">
                        <c:v>-19.30832335329341</c:v>
                      </c:pt>
                      <c:pt idx="50" formatCode="General">
                        <c:v>-19.324022471910112</c:v>
                      </c:pt>
                      <c:pt idx="51" formatCode="General">
                        <c:v>-19.33960299625468</c:v>
                      </c:pt>
                      <c:pt idx="52" formatCode="General">
                        <c:v>-19.355183520599251</c:v>
                      </c:pt>
                      <c:pt idx="53" formatCode="General">
                        <c:v>-19.370764044943819</c:v>
                      </c:pt>
                      <c:pt idx="54" formatCode="General">
                        <c:v>-19.38634456928839</c:v>
                      </c:pt>
                      <c:pt idx="55" formatCode="General">
                        <c:v>-19.401925093632958</c:v>
                      </c:pt>
                      <c:pt idx="56" formatCode="General">
                        <c:v>-19.417505617977529</c:v>
                      </c:pt>
                      <c:pt idx="57" formatCode="General">
                        <c:v>-19.433086142322097</c:v>
                      </c:pt>
                      <c:pt idx="58" formatCode="General">
                        <c:v>-19.448666666666668</c:v>
                      </c:pt>
                      <c:pt idx="59" formatCode="General">
                        <c:v>-19.464247191011236</c:v>
                      </c:pt>
                      <c:pt idx="60" formatCode="General">
                        <c:v>-19.479827715355807</c:v>
                      </c:pt>
                      <c:pt idx="61" formatCode="General">
                        <c:v>-19.495408239700375</c:v>
                      </c:pt>
                      <c:pt idx="62" formatCode="General">
                        <c:v>-19.510988764044942</c:v>
                      </c:pt>
                      <c:pt idx="63" formatCode="General">
                        <c:v>-19.526569288389513</c:v>
                      </c:pt>
                      <c:pt idx="64" formatCode="General">
                        <c:v>-19.542149812734081</c:v>
                      </c:pt>
                      <c:pt idx="65" formatCode="General">
                        <c:v>-19.557730337078652</c:v>
                      </c:pt>
                      <c:pt idx="66" formatCode="General">
                        <c:v>-19.573183520599251</c:v>
                      </c:pt>
                      <c:pt idx="67" formatCode="General">
                        <c:v>-19.58816479400749</c:v>
                      </c:pt>
                      <c:pt idx="68" formatCode="General">
                        <c:v>-19.603146067415732</c:v>
                      </c:pt>
                      <c:pt idx="69" formatCode="General">
                        <c:v>-19.618127340823971</c:v>
                      </c:pt>
                      <c:pt idx="70" formatCode="General">
                        <c:v>-19.63310861423221</c:v>
                      </c:pt>
                      <c:pt idx="71" formatCode="General">
                        <c:v>-19.648089887640449</c:v>
                      </c:pt>
                      <c:pt idx="72" formatCode="General">
                        <c:v>-19.663071161048691</c:v>
                      </c:pt>
                      <c:pt idx="73" formatCode="General">
                        <c:v>-19.67805243445693</c:v>
                      </c:pt>
                      <c:pt idx="74" formatCode="General">
                        <c:v>-19.693033707865169</c:v>
                      </c:pt>
                      <c:pt idx="75" formatCode="General">
                        <c:v>-19.708014981273408</c:v>
                      </c:pt>
                      <c:pt idx="76" formatCode="General">
                        <c:v>-19.722996254681647</c:v>
                      </c:pt>
                      <c:pt idx="77" formatCode="General">
                        <c:v>-19.737977528089889</c:v>
                      </c:pt>
                      <c:pt idx="78" formatCode="General">
                        <c:v>-19.752958801498128</c:v>
                      </c:pt>
                      <c:pt idx="79" formatCode="General">
                        <c:v>-19.767940074906367</c:v>
                      </c:pt>
                      <c:pt idx="80" formatCode="General">
                        <c:v>-19.782921348314606</c:v>
                      </c:pt>
                      <c:pt idx="81" formatCode="General">
                        <c:v>-19.797902621722848</c:v>
                      </c:pt>
                      <c:pt idx="82" formatCode="General">
                        <c:v>-19.812883895131087</c:v>
                      </c:pt>
                      <c:pt idx="83" formatCode="General">
                        <c:v>-19.827252252252254</c:v>
                      </c:pt>
                      <c:pt idx="84" formatCode="General">
                        <c:v>-19.841066066066066</c:v>
                      </c:pt>
                      <c:pt idx="85" formatCode="General">
                        <c:v>-19.854879879879881</c:v>
                      </c:pt>
                      <c:pt idx="86" formatCode="General">
                        <c:v>-19.868693693693693</c:v>
                      </c:pt>
                      <c:pt idx="87" formatCode="General">
                        <c:v>-28.733663366336632</c:v>
                      </c:pt>
                      <c:pt idx="88" formatCode="General">
                        <c:v>-28.828712871287127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3-7F43-47D9-9E15-19AA26622F09}"/>
                  </c:ext>
                </c:extLst>
              </c15:ser>
            </c15:filteredScatterSeries>
            <c15:filteredScatterSeries>
              <c15:ser>
                <c:idx val="46"/>
                <c:order val="47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306</c:v>
                      </c:pt>
                      <c:pt idx="1">
                        <c:v>314</c:v>
                      </c:pt>
                      <c:pt idx="2">
                        <c:v>322</c:v>
                      </c:pt>
                      <c:pt idx="3">
                        <c:v>330</c:v>
                      </c:pt>
                      <c:pt idx="4">
                        <c:v>338</c:v>
                      </c:pt>
                      <c:pt idx="5">
                        <c:v>346</c:v>
                      </c:pt>
                      <c:pt idx="6">
                        <c:v>354</c:v>
                      </c:pt>
                      <c:pt idx="7">
                        <c:v>362</c:v>
                      </c:pt>
                      <c:pt idx="8">
                        <c:v>370</c:v>
                      </c:pt>
                      <c:pt idx="9">
                        <c:v>378</c:v>
                      </c:pt>
                      <c:pt idx="10">
                        <c:v>386</c:v>
                      </c:pt>
                      <c:pt idx="11">
                        <c:v>394</c:v>
                      </c:pt>
                      <c:pt idx="12">
                        <c:v>402</c:v>
                      </c:pt>
                      <c:pt idx="13">
                        <c:v>410</c:v>
                      </c:pt>
                      <c:pt idx="14">
                        <c:v>418</c:v>
                      </c:pt>
                      <c:pt idx="15">
                        <c:v>426</c:v>
                      </c:pt>
                      <c:pt idx="16">
                        <c:v>434</c:v>
                      </c:pt>
                      <c:pt idx="17">
                        <c:v>442</c:v>
                      </c:pt>
                      <c:pt idx="18">
                        <c:v>450</c:v>
                      </c:pt>
                      <c:pt idx="19">
                        <c:v>458</c:v>
                      </c:pt>
                      <c:pt idx="20">
                        <c:v>466</c:v>
                      </c:pt>
                      <c:pt idx="21">
                        <c:v>474</c:v>
                      </c:pt>
                      <c:pt idx="22">
                        <c:v>482</c:v>
                      </c:pt>
                      <c:pt idx="23">
                        <c:v>490</c:v>
                      </c:pt>
                      <c:pt idx="24">
                        <c:v>498</c:v>
                      </c:pt>
                      <c:pt idx="25">
                        <c:v>506</c:v>
                      </c:pt>
                      <c:pt idx="26">
                        <c:v>514</c:v>
                      </c:pt>
                      <c:pt idx="27">
                        <c:v>522</c:v>
                      </c:pt>
                      <c:pt idx="28">
                        <c:v>530</c:v>
                      </c:pt>
                      <c:pt idx="29">
                        <c:v>538</c:v>
                      </c:pt>
                      <c:pt idx="30">
                        <c:v>546</c:v>
                      </c:pt>
                      <c:pt idx="31">
                        <c:v>554</c:v>
                      </c:pt>
                      <c:pt idx="32">
                        <c:v>562</c:v>
                      </c:pt>
                      <c:pt idx="33">
                        <c:v>570</c:v>
                      </c:pt>
                      <c:pt idx="34">
                        <c:v>578</c:v>
                      </c:pt>
                      <c:pt idx="35">
                        <c:v>586</c:v>
                      </c:pt>
                      <c:pt idx="36">
                        <c:v>594</c:v>
                      </c:pt>
                      <c:pt idx="37">
                        <c:v>602</c:v>
                      </c:pt>
                      <c:pt idx="38">
                        <c:v>610</c:v>
                      </c:pt>
                      <c:pt idx="39">
                        <c:v>618</c:v>
                      </c:pt>
                      <c:pt idx="40">
                        <c:v>626</c:v>
                      </c:pt>
                      <c:pt idx="41">
                        <c:v>634</c:v>
                      </c:pt>
                      <c:pt idx="42">
                        <c:v>642</c:v>
                      </c:pt>
                      <c:pt idx="43">
                        <c:v>650</c:v>
                      </c:pt>
                      <c:pt idx="44">
                        <c:v>658</c:v>
                      </c:pt>
                      <c:pt idx="45">
                        <c:v>666</c:v>
                      </c:pt>
                      <c:pt idx="46">
                        <c:v>674</c:v>
                      </c:pt>
                      <c:pt idx="47">
                        <c:v>682</c:v>
                      </c:pt>
                      <c:pt idx="48">
                        <c:v>690</c:v>
                      </c:pt>
                      <c:pt idx="49">
                        <c:v>698</c:v>
                      </c:pt>
                      <c:pt idx="50">
                        <c:v>706</c:v>
                      </c:pt>
                      <c:pt idx="51">
                        <c:v>714</c:v>
                      </c:pt>
                      <c:pt idx="52">
                        <c:v>722</c:v>
                      </c:pt>
                      <c:pt idx="53">
                        <c:v>730</c:v>
                      </c:pt>
                      <c:pt idx="54">
                        <c:v>738</c:v>
                      </c:pt>
                      <c:pt idx="55">
                        <c:v>746</c:v>
                      </c:pt>
                      <c:pt idx="56">
                        <c:v>754</c:v>
                      </c:pt>
                      <c:pt idx="57">
                        <c:v>762</c:v>
                      </c:pt>
                      <c:pt idx="58">
                        <c:v>770</c:v>
                      </c:pt>
                      <c:pt idx="59">
                        <c:v>778</c:v>
                      </c:pt>
                      <c:pt idx="60">
                        <c:v>786</c:v>
                      </c:pt>
                      <c:pt idx="61">
                        <c:v>794</c:v>
                      </c:pt>
                      <c:pt idx="62">
                        <c:v>802</c:v>
                      </c:pt>
                      <c:pt idx="63">
                        <c:v>810</c:v>
                      </c:pt>
                      <c:pt idx="64">
                        <c:v>818</c:v>
                      </c:pt>
                      <c:pt idx="65">
                        <c:v>826</c:v>
                      </c:pt>
                      <c:pt idx="66">
                        <c:v>834</c:v>
                      </c:pt>
                      <c:pt idx="67">
                        <c:v>842</c:v>
                      </c:pt>
                      <c:pt idx="68">
                        <c:v>850</c:v>
                      </c:pt>
                      <c:pt idx="69">
                        <c:v>858</c:v>
                      </c:pt>
                      <c:pt idx="70">
                        <c:v>866</c:v>
                      </c:pt>
                      <c:pt idx="71">
                        <c:v>874</c:v>
                      </c:pt>
                      <c:pt idx="72">
                        <c:v>882</c:v>
                      </c:pt>
                      <c:pt idx="73">
                        <c:v>890</c:v>
                      </c:pt>
                      <c:pt idx="74">
                        <c:v>898</c:v>
                      </c:pt>
                      <c:pt idx="75">
                        <c:v>906</c:v>
                      </c:pt>
                      <c:pt idx="76">
                        <c:v>914</c:v>
                      </c:pt>
                      <c:pt idx="77">
                        <c:v>922</c:v>
                      </c:pt>
                      <c:pt idx="78">
                        <c:v>930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EVALUATION!$B$148:$CP$148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-59.157387387387388</c:v>
                      </c:pt>
                      <c:pt idx="1">
                        <c:v>-57.482912912912909</c:v>
                      </c:pt>
                      <c:pt idx="2">
                        <c:v>-55.808438438438436</c:v>
                      </c:pt>
                      <c:pt idx="3">
                        <c:v>-54.133963963963964</c:v>
                      </c:pt>
                      <c:pt idx="4" formatCode="General">
                        <c:v>-52.494700598802396</c:v>
                      </c:pt>
                      <c:pt idx="5" formatCode="General">
                        <c:v>-50.863562874251492</c:v>
                      </c:pt>
                      <c:pt idx="6" formatCode="General">
                        <c:v>-49.232425149700596</c:v>
                      </c:pt>
                      <c:pt idx="7" formatCode="General">
                        <c:v>-47.601287425149692</c:v>
                      </c:pt>
                      <c:pt idx="8" formatCode="General">
                        <c:v>-46.077035928143708</c:v>
                      </c:pt>
                      <c:pt idx="9" formatCode="General">
                        <c:v>-44.613562874251492</c:v>
                      </c:pt>
                      <c:pt idx="10" formatCode="General">
                        <c:v>-43.150089820359277</c:v>
                      </c:pt>
                      <c:pt idx="11" formatCode="General">
                        <c:v>-41.686616766467068</c:v>
                      </c:pt>
                      <c:pt idx="12" formatCode="General">
                        <c:v>-40.325059880239522</c:v>
                      </c:pt>
                      <c:pt idx="13" formatCode="General">
                        <c:v>-39.081946107784432</c:v>
                      </c:pt>
                      <c:pt idx="14" formatCode="General">
                        <c:v>-37.838832335329343</c:v>
                      </c:pt>
                      <c:pt idx="15" formatCode="General">
                        <c:v>-36.595718562874254</c:v>
                      </c:pt>
                      <c:pt idx="16" formatCode="General">
                        <c:v>-35.412514970059881</c:v>
                      </c:pt>
                      <c:pt idx="17" formatCode="General">
                        <c:v>-34.377784431137727</c:v>
                      </c:pt>
                      <c:pt idx="18" formatCode="General">
                        <c:v>-33.343053892215572</c:v>
                      </c:pt>
                      <c:pt idx="19" formatCode="General">
                        <c:v>-32.308323353293417</c:v>
                      </c:pt>
                      <c:pt idx="20" formatCode="General">
                        <c:v>-31.289491017964075</c:v>
                      </c:pt>
                      <c:pt idx="21" formatCode="General">
                        <c:v>-30.396077844311378</c:v>
                      </c:pt>
                      <c:pt idx="22" formatCode="General">
                        <c:v>-29.502664670658685</c:v>
                      </c:pt>
                      <c:pt idx="23" formatCode="General">
                        <c:v>-28.609251497005989</c:v>
                      </c:pt>
                      <c:pt idx="24" formatCode="General">
                        <c:v>-27.715838323353292</c:v>
                      </c:pt>
                      <c:pt idx="25" formatCode="General">
                        <c:v>-27.464054054054053</c:v>
                      </c:pt>
                      <c:pt idx="26" formatCode="General">
                        <c:v>-27.255045045045044</c:v>
                      </c:pt>
                      <c:pt idx="27" formatCode="General">
                        <c:v>-27.046036036036035</c:v>
                      </c:pt>
                      <c:pt idx="28" formatCode="General">
                        <c:v>-26.837027027027027</c:v>
                      </c:pt>
                      <c:pt idx="29" formatCode="General">
                        <c:v>-27.03502994011976</c:v>
                      </c:pt>
                      <c:pt idx="30" formatCode="General">
                        <c:v>-27.351197604790418</c:v>
                      </c:pt>
                      <c:pt idx="31" formatCode="General">
                        <c:v>-27.667365269461076</c:v>
                      </c:pt>
                      <c:pt idx="32" formatCode="General">
                        <c:v>-27.983532934131734</c:v>
                      </c:pt>
                      <c:pt idx="33" formatCode="General">
                        <c:v>-28.296826347305387</c:v>
                      </c:pt>
                      <c:pt idx="34" formatCode="General">
                        <c:v>-28.60820359281437</c:v>
                      </c:pt>
                      <c:pt idx="35" formatCode="General">
                        <c:v>-28.919580838323352</c:v>
                      </c:pt>
                      <c:pt idx="36" formatCode="General">
                        <c:v>-29.230958083832334</c:v>
                      </c:pt>
                      <c:pt idx="37" formatCode="General">
                        <c:v>-29.540299401197604</c:v>
                      </c:pt>
                      <c:pt idx="38" formatCode="General">
                        <c:v>-29.84688622754491</c:v>
                      </c:pt>
                      <c:pt idx="39" formatCode="General">
                        <c:v>-30.153473053892217</c:v>
                      </c:pt>
                      <c:pt idx="40" formatCode="General">
                        <c:v>-30.460059880239523</c:v>
                      </c:pt>
                      <c:pt idx="41" formatCode="General">
                        <c:v>-30.7648502994012</c:v>
                      </c:pt>
                      <c:pt idx="42" formatCode="General">
                        <c:v>-31.064251497005991</c:v>
                      </c:pt>
                      <c:pt idx="43" formatCode="General">
                        <c:v>-31.363652694610781</c:v>
                      </c:pt>
                      <c:pt idx="44" formatCode="General">
                        <c:v>-31.663053892215572</c:v>
                      </c:pt>
                      <c:pt idx="45" formatCode="General">
                        <c:v>-31.961916167664672</c:v>
                      </c:pt>
                      <c:pt idx="46" formatCode="General">
                        <c:v>-32.254131736526951</c:v>
                      </c:pt>
                      <c:pt idx="47" formatCode="General">
                        <c:v>-32.546347305389219</c:v>
                      </c:pt>
                      <c:pt idx="48" formatCode="General">
                        <c:v>-32.838562874251494</c:v>
                      </c:pt>
                      <c:pt idx="49" formatCode="General">
                        <c:v>-33.130778443113769</c:v>
                      </c:pt>
                      <c:pt idx="50" formatCode="General">
                        <c:v>-33.403235955056175</c:v>
                      </c:pt>
                      <c:pt idx="51" formatCode="General">
                        <c:v>-33.673498127340821</c:v>
                      </c:pt>
                      <c:pt idx="52" formatCode="General">
                        <c:v>-33.943760299625467</c:v>
                      </c:pt>
                      <c:pt idx="53" formatCode="General">
                        <c:v>-34.214022471910113</c:v>
                      </c:pt>
                      <c:pt idx="54" formatCode="General">
                        <c:v>-34.484284644194759</c:v>
                      </c:pt>
                      <c:pt idx="55" formatCode="General">
                        <c:v>-34.754546816479397</c:v>
                      </c:pt>
                      <c:pt idx="56" formatCode="General">
                        <c:v>-35.024808988764043</c:v>
                      </c:pt>
                      <c:pt idx="57" formatCode="General">
                        <c:v>-35.295071161048689</c:v>
                      </c:pt>
                      <c:pt idx="58" formatCode="General">
                        <c:v>-35.565333333333335</c:v>
                      </c:pt>
                      <c:pt idx="59" formatCode="General">
                        <c:v>-35.835595505617981</c:v>
                      </c:pt>
                      <c:pt idx="60" formatCode="General">
                        <c:v>-36.10585767790262</c:v>
                      </c:pt>
                      <c:pt idx="61" formatCode="General">
                        <c:v>-36.376119850187266</c:v>
                      </c:pt>
                      <c:pt idx="62" formatCode="General">
                        <c:v>-36.646382022471911</c:v>
                      </c:pt>
                      <c:pt idx="63" formatCode="General">
                        <c:v>-36.916644194756557</c:v>
                      </c:pt>
                      <c:pt idx="64" formatCode="General">
                        <c:v>-37.186906367041203</c:v>
                      </c:pt>
                      <c:pt idx="65" formatCode="General">
                        <c:v>-37.457168539325849</c:v>
                      </c:pt>
                      <c:pt idx="66" formatCode="General">
                        <c:v>-37.717880149812736</c:v>
                      </c:pt>
                      <c:pt idx="67" formatCode="General">
                        <c:v>-37.943198501872665</c:v>
                      </c:pt>
                      <c:pt idx="68" formatCode="General">
                        <c:v>-38.168516853932587</c:v>
                      </c:pt>
                      <c:pt idx="69" formatCode="General">
                        <c:v>-38.393835205992509</c:v>
                      </c:pt>
                      <c:pt idx="70" formatCode="General">
                        <c:v>-38.619153558052439</c:v>
                      </c:pt>
                      <c:pt idx="71" formatCode="General">
                        <c:v>-38.844471910112361</c:v>
                      </c:pt>
                      <c:pt idx="72" formatCode="General">
                        <c:v>-39.06979026217229</c:v>
                      </c:pt>
                      <c:pt idx="73" formatCode="General">
                        <c:v>-39.295108614232213</c:v>
                      </c:pt>
                      <c:pt idx="74" formatCode="General">
                        <c:v>-39.520426966292135</c:v>
                      </c:pt>
                      <c:pt idx="75" formatCode="General">
                        <c:v>-39.745745318352064</c:v>
                      </c:pt>
                      <c:pt idx="76" formatCode="General">
                        <c:v>-39.971063670411986</c:v>
                      </c:pt>
                      <c:pt idx="77" formatCode="General">
                        <c:v>-40.196382022471909</c:v>
                      </c:pt>
                      <c:pt idx="78" formatCode="General">
                        <c:v>-40.421700374531838</c:v>
                      </c:pt>
                      <c:pt idx="79" formatCode="General">
                        <c:v>-40.64701872659176</c:v>
                      </c:pt>
                      <c:pt idx="80" formatCode="General">
                        <c:v>-40.87233707865169</c:v>
                      </c:pt>
                      <c:pt idx="81" formatCode="General">
                        <c:v>-41.097655430711612</c:v>
                      </c:pt>
                      <c:pt idx="82" formatCode="General">
                        <c:v>-41.322973782771534</c:v>
                      </c:pt>
                      <c:pt idx="83" formatCode="General">
                        <c:v>-41.521441441441439</c:v>
                      </c:pt>
                      <c:pt idx="84" formatCode="General">
                        <c:v>-41.695615615615615</c:v>
                      </c:pt>
                      <c:pt idx="85" formatCode="General">
                        <c:v>-41.869789789789792</c:v>
                      </c:pt>
                      <c:pt idx="86" formatCode="General">
                        <c:v>-42.043963963963961</c:v>
                      </c:pt>
                      <c:pt idx="87" formatCode="General">
                        <c:v>-28.733663366336632</c:v>
                      </c:pt>
                      <c:pt idx="88" formatCode="General">
                        <c:v>-28.828712871287127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4-7F43-47D9-9E15-19AA26622F09}"/>
                  </c:ext>
                </c:extLst>
              </c15:ser>
            </c15:filteredScatterSeries>
            <c15:filteredScatterSeries>
              <c15:ser>
                <c:idx val="47"/>
                <c:order val="48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306</c:v>
                      </c:pt>
                      <c:pt idx="1">
                        <c:v>314</c:v>
                      </c:pt>
                      <c:pt idx="2">
                        <c:v>322</c:v>
                      </c:pt>
                      <c:pt idx="3">
                        <c:v>330</c:v>
                      </c:pt>
                      <c:pt idx="4">
                        <c:v>338</c:v>
                      </c:pt>
                      <c:pt idx="5">
                        <c:v>346</c:v>
                      </c:pt>
                      <c:pt idx="6">
                        <c:v>354</c:v>
                      </c:pt>
                      <c:pt idx="7">
                        <c:v>362</c:v>
                      </c:pt>
                      <c:pt idx="8">
                        <c:v>370</c:v>
                      </c:pt>
                      <c:pt idx="9">
                        <c:v>378</c:v>
                      </c:pt>
                      <c:pt idx="10">
                        <c:v>386</c:v>
                      </c:pt>
                      <c:pt idx="11">
                        <c:v>394</c:v>
                      </c:pt>
                      <c:pt idx="12">
                        <c:v>402</c:v>
                      </c:pt>
                      <c:pt idx="13">
                        <c:v>410</c:v>
                      </c:pt>
                      <c:pt idx="14">
                        <c:v>418</c:v>
                      </c:pt>
                      <c:pt idx="15">
                        <c:v>426</c:v>
                      </c:pt>
                      <c:pt idx="16">
                        <c:v>434</c:v>
                      </c:pt>
                      <c:pt idx="17">
                        <c:v>442</c:v>
                      </c:pt>
                      <c:pt idx="18">
                        <c:v>450</c:v>
                      </c:pt>
                      <c:pt idx="19">
                        <c:v>458</c:v>
                      </c:pt>
                      <c:pt idx="20">
                        <c:v>466</c:v>
                      </c:pt>
                      <c:pt idx="21">
                        <c:v>474</c:v>
                      </c:pt>
                      <c:pt idx="22">
                        <c:v>482</c:v>
                      </c:pt>
                      <c:pt idx="23">
                        <c:v>490</c:v>
                      </c:pt>
                      <c:pt idx="24">
                        <c:v>498</c:v>
                      </c:pt>
                      <c:pt idx="25">
                        <c:v>506</c:v>
                      </c:pt>
                      <c:pt idx="26">
                        <c:v>514</c:v>
                      </c:pt>
                      <c:pt idx="27">
                        <c:v>522</c:v>
                      </c:pt>
                      <c:pt idx="28">
                        <c:v>530</c:v>
                      </c:pt>
                      <c:pt idx="29">
                        <c:v>538</c:v>
                      </c:pt>
                      <c:pt idx="30">
                        <c:v>546</c:v>
                      </c:pt>
                      <c:pt idx="31">
                        <c:v>554</c:v>
                      </c:pt>
                      <c:pt idx="32">
                        <c:v>562</c:v>
                      </c:pt>
                      <c:pt idx="33">
                        <c:v>570</c:v>
                      </c:pt>
                      <c:pt idx="34">
                        <c:v>578</c:v>
                      </c:pt>
                      <c:pt idx="35">
                        <c:v>586</c:v>
                      </c:pt>
                      <c:pt idx="36">
                        <c:v>594</c:v>
                      </c:pt>
                      <c:pt idx="37">
                        <c:v>602</c:v>
                      </c:pt>
                      <c:pt idx="38">
                        <c:v>610</c:v>
                      </c:pt>
                      <c:pt idx="39">
                        <c:v>618</c:v>
                      </c:pt>
                      <c:pt idx="40">
                        <c:v>626</c:v>
                      </c:pt>
                      <c:pt idx="41">
                        <c:v>634</c:v>
                      </c:pt>
                      <c:pt idx="42">
                        <c:v>642</c:v>
                      </c:pt>
                      <c:pt idx="43">
                        <c:v>650</c:v>
                      </c:pt>
                      <c:pt idx="44">
                        <c:v>658</c:v>
                      </c:pt>
                      <c:pt idx="45">
                        <c:v>666</c:v>
                      </c:pt>
                      <c:pt idx="46">
                        <c:v>674</c:v>
                      </c:pt>
                      <c:pt idx="47">
                        <c:v>682</c:v>
                      </c:pt>
                      <c:pt idx="48">
                        <c:v>690</c:v>
                      </c:pt>
                      <c:pt idx="49">
                        <c:v>698</c:v>
                      </c:pt>
                      <c:pt idx="50">
                        <c:v>706</c:v>
                      </c:pt>
                      <c:pt idx="51">
                        <c:v>714</c:v>
                      </c:pt>
                      <c:pt idx="52">
                        <c:v>722</c:v>
                      </c:pt>
                      <c:pt idx="53">
                        <c:v>730</c:v>
                      </c:pt>
                      <c:pt idx="54">
                        <c:v>738</c:v>
                      </c:pt>
                      <c:pt idx="55">
                        <c:v>746</c:v>
                      </c:pt>
                      <c:pt idx="56">
                        <c:v>754</c:v>
                      </c:pt>
                      <c:pt idx="57">
                        <c:v>762</c:v>
                      </c:pt>
                      <c:pt idx="58">
                        <c:v>770</c:v>
                      </c:pt>
                      <c:pt idx="59">
                        <c:v>778</c:v>
                      </c:pt>
                      <c:pt idx="60">
                        <c:v>786</c:v>
                      </c:pt>
                      <c:pt idx="61">
                        <c:v>794</c:v>
                      </c:pt>
                      <c:pt idx="62">
                        <c:v>802</c:v>
                      </c:pt>
                      <c:pt idx="63">
                        <c:v>810</c:v>
                      </c:pt>
                      <c:pt idx="64">
                        <c:v>818</c:v>
                      </c:pt>
                      <c:pt idx="65">
                        <c:v>826</c:v>
                      </c:pt>
                      <c:pt idx="66">
                        <c:v>834</c:v>
                      </c:pt>
                      <c:pt idx="67">
                        <c:v>842</c:v>
                      </c:pt>
                      <c:pt idx="68">
                        <c:v>850</c:v>
                      </c:pt>
                      <c:pt idx="69">
                        <c:v>858</c:v>
                      </c:pt>
                      <c:pt idx="70">
                        <c:v>866</c:v>
                      </c:pt>
                      <c:pt idx="71">
                        <c:v>874</c:v>
                      </c:pt>
                      <c:pt idx="72">
                        <c:v>882</c:v>
                      </c:pt>
                      <c:pt idx="73">
                        <c:v>890</c:v>
                      </c:pt>
                      <c:pt idx="74">
                        <c:v>898</c:v>
                      </c:pt>
                      <c:pt idx="75">
                        <c:v>906</c:v>
                      </c:pt>
                      <c:pt idx="76">
                        <c:v>914</c:v>
                      </c:pt>
                      <c:pt idx="77">
                        <c:v>922</c:v>
                      </c:pt>
                      <c:pt idx="78">
                        <c:v>930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EVALUATION!$B$149:$CP$149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-15.512792792792792</c:v>
                      </c:pt>
                      <c:pt idx="1">
                        <c:v>-15.013093093093092</c:v>
                      </c:pt>
                      <c:pt idx="2">
                        <c:v>-14.513393393393393</c:v>
                      </c:pt>
                      <c:pt idx="3">
                        <c:v>-14.013693693693693</c:v>
                      </c:pt>
                      <c:pt idx="4" formatCode="General">
                        <c:v>-13.456826347305389</c:v>
                      </c:pt>
                      <c:pt idx="5" formatCode="General">
                        <c:v>-12.886766467065867</c:v>
                      </c:pt>
                      <c:pt idx="6" formatCode="General">
                        <c:v>-12.316706586826346</c:v>
                      </c:pt>
                      <c:pt idx="7" formatCode="General">
                        <c:v>-11.746646706586823</c:v>
                      </c:pt>
                      <c:pt idx="8" formatCode="General">
                        <c:v>-11.204988023952094</c:v>
                      </c:pt>
                      <c:pt idx="9" formatCode="General">
                        <c:v>-10.679479041916167</c:v>
                      </c:pt>
                      <c:pt idx="10" formatCode="General">
                        <c:v>-10.153970059880239</c:v>
                      </c:pt>
                      <c:pt idx="11" formatCode="General">
                        <c:v>-9.628461077844312</c:v>
                      </c:pt>
                      <c:pt idx="12" formatCode="General">
                        <c:v>-9.1539101796407198</c:v>
                      </c:pt>
                      <c:pt idx="13" formatCode="General">
                        <c:v>-8.7385808383233528</c:v>
                      </c:pt>
                      <c:pt idx="14" formatCode="General">
                        <c:v>-8.3232514970059874</c:v>
                      </c:pt>
                      <c:pt idx="15" formatCode="General">
                        <c:v>-7.9079221556886221</c:v>
                      </c:pt>
                      <c:pt idx="16" formatCode="General">
                        <c:v>-7.5390748502994009</c:v>
                      </c:pt>
                      <c:pt idx="17" formatCode="General">
                        <c:v>-7.2854221556886225</c:v>
                      </c:pt>
                      <c:pt idx="18" formatCode="General">
                        <c:v>-7.031769461077845</c:v>
                      </c:pt>
                      <c:pt idx="19" formatCode="General">
                        <c:v>-6.7781167664670665</c:v>
                      </c:pt>
                      <c:pt idx="20" formatCode="General">
                        <c:v>-6.5428413173652693</c:v>
                      </c:pt>
                      <c:pt idx="21" formatCode="General">
                        <c:v>-6.4525419161676645</c:v>
                      </c:pt>
                      <c:pt idx="22" formatCode="General">
                        <c:v>-6.3622425149700597</c:v>
                      </c:pt>
                      <c:pt idx="23" formatCode="General">
                        <c:v>-6.2719431137724548</c:v>
                      </c:pt>
                      <c:pt idx="24" formatCode="General">
                        <c:v>-6.18164371257485</c:v>
                      </c:pt>
                      <c:pt idx="25" formatCode="General">
                        <c:v>-6.3239729729729737</c:v>
                      </c:pt>
                      <c:pt idx="26" formatCode="General">
                        <c:v>-6.4818108108108117</c:v>
                      </c:pt>
                      <c:pt idx="27" formatCode="General">
                        <c:v>-6.6396486486486497</c:v>
                      </c:pt>
                      <c:pt idx="28" formatCode="General">
                        <c:v>-6.7974864864864877</c:v>
                      </c:pt>
                      <c:pt idx="29" formatCode="General">
                        <c:v>-6.8348562874251497</c:v>
                      </c:pt>
                      <c:pt idx="30" formatCode="General">
                        <c:v>-6.8372514970059886</c:v>
                      </c:pt>
                      <c:pt idx="31" formatCode="General">
                        <c:v>-6.8396467065868265</c:v>
                      </c:pt>
                      <c:pt idx="32" formatCode="General">
                        <c:v>-6.8420419161676644</c:v>
                      </c:pt>
                      <c:pt idx="33" formatCode="General">
                        <c:v>-6.8517664670658682</c:v>
                      </c:pt>
                      <c:pt idx="34" formatCode="General">
                        <c:v>-6.866377245508982</c:v>
                      </c:pt>
                      <c:pt idx="35" formatCode="General">
                        <c:v>-6.8809880239520957</c:v>
                      </c:pt>
                      <c:pt idx="36" formatCode="General">
                        <c:v>-6.8955988023952095</c:v>
                      </c:pt>
                      <c:pt idx="37" formatCode="General">
                        <c:v>-6.911838323353293</c:v>
                      </c:pt>
                      <c:pt idx="38" formatCode="General">
                        <c:v>-6.930281437125748</c:v>
                      </c:pt>
                      <c:pt idx="39" formatCode="General">
                        <c:v>-6.9487245508982038</c:v>
                      </c:pt>
                      <c:pt idx="40" formatCode="General">
                        <c:v>-6.9671676646706588</c:v>
                      </c:pt>
                      <c:pt idx="41" formatCode="General">
                        <c:v>-6.9858502994011973</c:v>
                      </c:pt>
                      <c:pt idx="42" formatCode="General">
                        <c:v>-7.0052514970059878</c:v>
                      </c:pt>
                      <c:pt idx="43" formatCode="General">
                        <c:v>-7.0246526946107783</c:v>
                      </c:pt>
                      <c:pt idx="44" formatCode="General">
                        <c:v>-7.0440538922155689</c:v>
                      </c:pt>
                      <c:pt idx="45" formatCode="General">
                        <c:v>-7.0634550898203594</c:v>
                      </c:pt>
                      <c:pt idx="46" formatCode="General">
                        <c:v>-7.0828562874251499</c:v>
                      </c:pt>
                      <c:pt idx="47" formatCode="General">
                        <c:v>-7.1022574850299405</c:v>
                      </c:pt>
                      <c:pt idx="48" formatCode="General">
                        <c:v>-7.1216586826347301</c:v>
                      </c:pt>
                      <c:pt idx="49" formatCode="General">
                        <c:v>-7.1410598802395207</c:v>
                      </c:pt>
                      <c:pt idx="50" formatCode="General">
                        <c:v>-7.1602584269662923</c:v>
                      </c:pt>
                      <c:pt idx="51" formatCode="General">
                        <c:v>-7.1794344569288393</c:v>
                      </c:pt>
                      <c:pt idx="52" formatCode="General">
                        <c:v>-7.1986104868913854</c:v>
                      </c:pt>
                      <c:pt idx="53" formatCode="General">
                        <c:v>-7.2177865168539324</c:v>
                      </c:pt>
                      <c:pt idx="54" formatCode="General">
                        <c:v>-7.2369625468164793</c:v>
                      </c:pt>
                      <c:pt idx="55" formatCode="General">
                        <c:v>-7.2561385767790263</c:v>
                      </c:pt>
                      <c:pt idx="56" formatCode="General">
                        <c:v>-7.2753146067415733</c:v>
                      </c:pt>
                      <c:pt idx="57" formatCode="General">
                        <c:v>-7.2944906367041202</c:v>
                      </c:pt>
                      <c:pt idx="58" formatCode="General">
                        <c:v>-7.3136666666666663</c:v>
                      </c:pt>
                      <c:pt idx="59" formatCode="General">
                        <c:v>-7.3328426966292133</c:v>
                      </c:pt>
                      <c:pt idx="60" formatCode="General">
                        <c:v>-7.3520187265917603</c:v>
                      </c:pt>
                      <c:pt idx="61" formatCode="General">
                        <c:v>-7.3711947565543072</c:v>
                      </c:pt>
                      <c:pt idx="62" formatCode="General">
                        <c:v>-7.3903707865168542</c:v>
                      </c:pt>
                      <c:pt idx="63" formatCode="General">
                        <c:v>-7.4095468164794012</c:v>
                      </c:pt>
                      <c:pt idx="64" formatCode="General">
                        <c:v>-7.4287228464419481</c:v>
                      </c:pt>
                      <c:pt idx="65" formatCode="General">
                        <c:v>-7.4478988764044942</c:v>
                      </c:pt>
                      <c:pt idx="66" formatCode="General">
                        <c:v>-7.4668456928838953</c:v>
                      </c:pt>
                      <c:pt idx="67" formatCode="General">
                        <c:v>-7.484943071161049</c:v>
                      </c:pt>
                      <c:pt idx="68" formatCode="General">
                        <c:v>-7.5030404494382026</c:v>
                      </c:pt>
                      <c:pt idx="69" formatCode="General">
                        <c:v>-7.5211378277153562</c:v>
                      </c:pt>
                      <c:pt idx="70" formatCode="General">
                        <c:v>-7.5392352059925098</c:v>
                      </c:pt>
                      <c:pt idx="71" formatCode="General">
                        <c:v>-7.5573325842696626</c:v>
                      </c:pt>
                      <c:pt idx="72" formatCode="General">
                        <c:v>-7.5754299625468162</c:v>
                      </c:pt>
                      <c:pt idx="73" formatCode="General">
                        <c:v>-7.5935273408239699</c:v>
                      </c:pt>
                      <c:pt idx="74" formatCode="General">
                        <c:v>-7.6116247191011235</c:v>
                      </c:pt>
                      <c:pt idx="75" formatCode="General">
                        <c:v>-7.6297220973782771</c:v>
                      </c:pt>
                      <c:pt idx="76" formatCode="General">
                        <c:v>-7.6478194756554307</c:v>
                      </c:pt>
                      <c:pt idx="77" formatCode="General">
                        <c:v>-7.6659168539325844</c:v>
                      </c:pt>
                      <c:pt idx="78" formatCode="General">
                        <c:v>-7.684014232209738</c:v>
                      </c:pt>
                      <c:pt idx="79" formatCode="General">
                        <c:v>-7.7021116104868916</c:v>
                      </c:pt>
                      <c:pt idx="80" formatCode="General">
                        <c:v>-7.7202089887640444</c:v>
                      </c:pt>
                      <c:pt idx="81" formatCode="General">
                        <c:v>-7.738306367041198</c:v>
                      </c:pt>
                      <c:pt idx="82" formatCode="General">
                        <c:v>-7.7564037453183516</c:v>
                      </c:pt>
                      <c:pt idx="83" formatCode="General">
                        <c:v>-7.7739234234234234</c:v>
                      </c:pt>
                      <c:pt idx="84" formatCode="General">
                        <c:v>-7.7909204204204201</c:v>
                      </c:pt>
                      <c:pt idx="85" formatCode="General">
                        <c:v>-7.8079174174174168</c:v>
                      </c:pt>
                      <c:pt idx="86" formatCode="General">
                        <c:v>-7.8249144144144145</c:v>
                      </c:pt>
                      <c:pt idx="87" formatCode="General">
                        <c:v>-28.733663366336632</c:v>
                      </c:pt>
                      <c:pt idx="88" formatCode="General">
                        <c:v>-28.828712871287127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5-7F43-47D9-9E15-19AA26622F09}"/>
                  </c:ext>
                </c:extLst>
              </c15:ser>
            </c15:filteredScatterSeries>
            <c15:filteredScatterSeries>
              <c15:ser>
                <c:idx val="48"/>
                <c:order val="49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306</c:v>
                      </c:pt>
                      <c:pt idx="1">
                        <c:v>314</c:v>
                      </c:pt>
                      <c:pt idx="2">
                        <c:v>322</c:v>
                      </c:pt>
                      <c:pt idx="3">
                        <c:v>330</c:v>
                      </c:pt>
                      <c:pt idx="4">
                        <c:v>338</c:v>
                      </c:pt>
                      <c:pt idx="5">
                        <c:v>346</c:v>
                      </c:pt>
                      <c:pt idx="6">
                        <c:v>354</c:v>
                      </c:pt>
                      <c:pt idx="7">
                        <c:v>362</c:v>
                      </c:pt>
                      <c:pt idx="8">
                        <c:v>370</c:v>
                      </c:pt>
                      <c:pt idx="9">
                        <c:v>378</c:v>
                      </c:pt>
                      <c:pt idx="10">
                        <c:v>386</c:v>
                      </c:pt>
                      <c:pt idx="11">
                        <c:v>394</c:v>
                      </c:pt>
                      <c:pt idx="12">
                        <c:v>402</c:v>
                      </c:pt>
                      <c:pt idx="13">
                        <c:v>410</c:v>
                      </c:pt>
                      <c:pt idx="14">
                        <c:v>418</c:v>
                      </c:pt>
                      <c:pt idx="15">
                        <c:v>426</c:v>
                      </c:pt>
                      <c:pt idx="16">
                        <c:v>434</c:v>
                      </c:pt>
                      <c:pt idx="17">
                        <c:v>442</c:v>
                      </c:pt>
                      <c:pt idx="18">
                        <c:v>450</c:v>
                      </c:pt>
                      <c:pt idx="19">
                        <c:v>458</c:v>
                      </c:pt>
                      <c:pt idx="20">
                        <c:v>466</c:v>
                      </c:pt>
                      <c:pt idx="21">
                        <c:v>474</c:v>
                      </c:pt>
                      <c:pt idx="22">
                        <c:v>482</c:v>
                      </c:pt>
                      <c:pt idx="23">
                        <c:v>490</c:v>
                      </c:pt>
                      <c:pt idx="24">
                        <c:v>498</c:v>
                      </c:pt>
                      <c:pt idx="25">
                        <c:v>506</c:v>
                      </c:pt>
                      <c:pt idx="26">
                        <c:v>514</c:v>
                      </c:pt>
                      <c:pt idx="27">
                        <c:v>522</c:v>
                      </c:pt>
                      <c:pt idx="28">
                        <c:v>530</c:v>
                      </c:pt>
                      <c:pt idx="29">
                        <c:v>538</c:v>
                      </c:pt>
                      <c:pt idx="30">
                        <c:v>546</c:v>
                      </c:pt>
                      <c:pt idx="31">
                        <c:v>554</c:v>
                      </c:pt>
                      <c:pt idx="32">
                        <c:v>562</c:v>
                      </c:pt>
                      <c:pt idx="33">
                        <c:v>570</c:v>
                      </c:pt>
                      <c:pt idx="34">
                        <c:v>578</c:v>
                      </c:pt>
                      <c:pt idx="35">
                        <c:v>586</c:v>
                      </c:pt>
                      <c:pt idx="36">
                        <c:v>594</c:v>
                      </c:pt>
                      <c:pt idx="37">
                        <c:v>602</c:v>
                      </c:pt>
                      <c:pt idx="38">
                        <c:v>610</c:v>
                      </c:pt>
                      <c:pt idx="39">
                        <c:v>618</c:v>
                      </c:pt>
                      <c:pt idx="40">
                        <c:v>626</c:v>
                      </c:pt>
                      <c:pt idx="41">
                        <c:v>634</c:v>
                      </c:pt>
                      <c:pt idx="42">
                        <c:v>642</c:v>
                      </c:pt>
                      <c:pt idx="43">
                        <c:v>650</c:v>
                      </c:pt>
                      <c:pt idx="44">
                        <c:v>658</c:v>
                      </c:pt>
                      <c:pt idx="45">
                        <c:v>666</c:v>
                      </c:pt>
                      <c:pt idx="46">
                        <c:v>674</c:v>
                      </c:pt>
                      <c:pt idx="47">
                        <c:v>682</c:v>
                      </c:pt>
                      <c:pt idx="48">
                        <c:v>690</c:v>
                      </c:pt>
                      <c:pt idx="49">
                        <c:v>698</c:v>
                      </c:pt>
                      <c:pt idx="50">
                        <c:v>706</c:v>
                      </c:pt>
                      <c:pt idx="51">
                        <c:v>714</c:v>
                      </c:pt>
                      <c:pt idx="52">
                        <c:v>722</c:v>
                      </c:pt>
                      <c:pt idx="53">
                        <c:v>730</c:v>
                      </c:pt>
                      <c:pt idx="54">
                        <c:v>738</c:v>
                      </c:pt>
                      <c:pt idx="55">
                        <c:v>746</c:v>
                      </c:pt>
                      <c:pt idx="56">
                        <c:v>754</c:v>
                      </c:pt>
                      <c:pt idx="57">
                        <c:v>762</c:v>
                      </c:pt>
                      <c:pt idx="58">
                        <c:v>770</c:v>
                      </c:pt>
                      <c:pt idx="59">
                        <c:v>778</c:v>
                      </c:pt>
                      <c:pt idx="60">
                        <c:v>786</c:v>
                      </c:pt>
                      <c:pt idx="61">
                        <c:v>794</c:v>
                      </c:pt>
                      <c:pt idx="62">
                        <c:v>802</c:v>
                      </c:pt>
                      <c:pt idx="63">
                        <c:v>810</c:v>
                      </c:pt>
                      <c:pt idx="64">
                        <c:v>818</c:v>
                      </c:pt>
                      <c:pt idx="65">
                        <c:v>826</c:v>
                      </c:pt>
                      <c:pt idx="66">
                        <c:v>834</c:v>
                      </c:pt>
                      <c:pt idx="67">
                        <c:v>842</c:v>
                      </c:pt>
                      <c:pt idx="68">
                        <c:v>850</c:v>
                      </c:pt>
                      <c:pt idx="69">
                        <c:v>858</c:v>
                      </c:pt>
                      <c:pt idx="70">
                        <c:v>866</c:v>
                      </c:pt>
                      <c:pt idx="71">
                        <c:v>874</c:v>
                      </c:pt>
                      <c:pt idx="72">
                        <c:v>882</c:v>
                      </c:pt>
                      <c:pt idx="73">
                        <c:v>890</c:v>
                      </c:pt>
                      <c:pt idx="74">
                        <c:v>898</c:v>
                      </c:pt>
                      <c:pt idx="75">
                        <c:v>906</c:v>
                      </c:pt>
                      <c:pt idx="76">
                        <c:v>914</c:v>
                      </c:pt>
                      <c:pt idx="77">
                        <c:v>922</c:v>
                      </c:pt>
                      <c:pt idx="78">
                        <c:v>930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EVALUATION!$B$150:$CP$150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-21.943243243243245</c:v>
                      </c:pt>
                      <c:pt idx="1">
                        <c:v>-21.741441441441442</c:v>
                      </c:pt>
                      <c:pt idx="2">
                        <c:v>-21.539639639639642</c:v>
                      </c:pt>
                      <c:pt idx="3">
                        <c:v>-21.337837837837839</c:v>
                      </c:pt>
                      <c:pt idx="4" formatCode="General">
                        <c:v>-21.317514970059882</c:v>
                      </c:pt>
                      <c:pt idx="5" formatCode="General">
                        <c:v>-21.339071856287426</c:v>
                      </c:pt>
                      <c:pt idx="6" formatCode="General">
                        <c:v>-21.360628742514972</c:v>
                      </c:pt>
                      <c:pt idx="7" formatCode="General">
                        <c:v>-21.382185628742516</c:v>
                      </c:pt>
                      <c:pt idx="8" formatCode="General">
                        <c:v>-21.452604790419162</c:v>
                      </c:pt>
                      <c:pt idx="9" formatCode="General">
                        <c:v>-21.550808383233534</c:v>
                      </c:pt>
                      <c:pt idx="10" formatCode="General">
                        <c:v>-21.649011976047905</c:v>
                      </c:pt>
                      <c:pt idx="11" formatCode="General">
                        <c:v>-21.747215568862277</c:v>
                      </c:pt>
                      <c:pt idx="12" formatCode="General">
                        <c:v>-21.843203592814373</c:v>
                      </c:pt>
                      <c:pt idx="13" formatCode="General">
                        <c:v>-21.936616766467068</c:v>
                      </c:pt>
                      <c:pt idx="14" formatCode="General">
                        <c:v>-22.030029940119761</c:v>
                      </c:pt>
                      <c:pt idx="15" formatCode="General">
                        <c:v>-22.123443113772456</c:v>
                      </c:pt>
                      <c:pt idx="16" formatCode="General">
                        <c:v>-22.209970059880241</c:v>
                      </c:pt>
                      <c:pt idx="17" formatCode="General">
                        <c:v>-22.279431137724551</c:v>
                      </c:pt>
                      <c:pt idx="18" formatCode="General">
                        <c:v>-22.348892215568863</c:v>
                      </c:pt>
                      <c:pt idx="19" formatCode="General">
                        <c:v>-22.418353293413173</c:v>
                      </c:pt>
                      <c:pt idx="20" formatCode="General">
                        <c:v>-22.488353293413173</c:v>
                      </c:pt>
                      <c:pt idx="21" formatCode="General">
                        <c:v>-22.562604790419162</c:v>
                      </c:pt>
                      <c:pt idx="22" formatCode="General">
                        <c:v>-22.63685628742515</c:v>
                      </c:pt>
                      <c:pt idx="23" formatCode="General">
                        <c:v>-22.711107784431139</c:v>
                      </c:pt>
                      <c:pt idx="24" formatCode="General">
                        <c:v>-22.785359281437124</c:v>
                      </c:pt>
                      <c:pt idx="25" formatCode="General">
                        <c:v>-22.846306306306307</c:v>
                      </c:pt>
                      <c:pt idx="26" formatCode="General">
                        <c:v>-22.906366366366367</c:v>
                      </c:pt>
                      <c:pt idx="27" formatCode="General">
                        <c:v>-22.966426426426427</c:v>
                      </c:pt>
                      <c:pt idx="28" formatCode="General">
                        <c:v>-23.026486486486487</c:v>
                      </c:pt>
                      <c:pt idx="29" formatCode="General">
                        <c:v>-23.130958083832336</c:v>
                      </c:pt>
                      <c:pt idx="30" formatCode="General">
                        <c:v>-23.248323353293415</c:v>
                      </c:pt>
                      <c:pt idx="31" formatCode="General">
                        <c:v>-23.36568862275449</c:v>
                      </c:pt>
                      <c:pt idx="32" formatCode="General">
                        <c:v>-23.483053892215569</c:v>
                      </c:pt>
                      <c:pt idx="33" formatCode="General">
                        <c:v>-23.60185628742515</c:v>
                      </c:pt>
                      <c:pt idx="34" formatCode="General">
                        <c:v>-23.721616766467065</c:v>
                      </c:pt>
                      <c:pt idx="35" formatCode="General">
                        <c:v>-23.841377245508983</c:v>
                      </c:pt>
                      <c:pt idx="36" formatCode="General">
                        <c:v>-23.961137724550898</c:v>
                      </c:pt>
                      <c:pt idx="37" formatCode="General">
                        <c:v>-24.078862275449104</c:v>
                      </c:pt>
                      <c:pt idx="38" formatCode="General">
                        <c:v>-24.193832335329343</c:v>
                      </c:pt>
                      <c:pt idx="39" formatCode="General">
                        <c:v>-24.308802395209582</c:v>
                      </c:pt>
                      <c:pt idx="40" formatCode="General">
                        <c:v>-24.423772455089821</c:v>
                      </c:pt>
                      <c:pt idx="41" formatCode="General">
                        <c:v>-24.53874251497006</c:v>
                      </c:pt>
                      <c:pt idx="42" formatCode="General">
                        <c:v>-24.653712574850299</c:v>
                      </c:pt>
                      <c:pt idx="43" formatCode="General">
                        <c:v>-24.768682634730538</c:v>
                      </c:pt>
                      <c:pt idx="44" formatCode="General">
                        <c:v>-24.883652694610777</c:v>
                      </c:pt>
                      <c:pt idx="45" formatCode="General">
                        <c:v>-24.998622754491016</c:v>
                      </c:pt>
                      <c:pt idx="46" formatCode="General">
                        <c:v>-25.113592814371255</c:v>
                      </c:pt>
                      <c:pt idx="47" formatCode="General">
                        <c:v>-25.228562874251494</c:v>
                      </c:pt>
                      <c:pt idx="48" formatCode="General">
                        <c:v>-25.343532934131737</c:v>
                      </c:pt>
                      <c:pt idx="49" formatCode="General">
                        <c:v>-25.458502994011976</c:v>
                      </c:pt>
                      <c:pt idx="50" formatCode="General">
                        <c:v>-25.567617977528091</c:v>
                      </c:pt>
                      <c:pt idx="51" formatCode="General">
                        <c:v>-25.676082397003746</c:v>
                      </c:pt>
                      <c:pt idx="52" formatCode="General">
                        <c:v>-25.784546816479402</c:v>
                      </c:pt>
                      <c:pt idx="53" formatCode="General">
                        <c:v>-25.893011235955058</c:v>
                      </c:pt>
                      <c:pt idx="54" formatCode="General">
                        <c:v>-26.001475655430713</c:v>
                      </c:pt>
                      <c:pt idx="55" formatCode="General">
                        <c:v>-26.109940074906369</c:v>
                      </c:pt>
                      <c:pt idx="56" formatCode="General">
                        <c:v>-26.218404494382021</c:v>
                      </c:pt>
                      <c:pt idx="57" formatCode="General">
                        <c:v>-26.326868913857677</c:v>
                      </c:pt>
                      <c:pt idx="58" formatCode="General">
                        <c:v>-26.435333333333332</c:v>
                      </c:pt>
                      <c:pt idx="59" formatCode="General">
                        <c:v>-26.543797752808988</c:v>
                      </c:pt>
                      <c:pt idx="60" formatCode="General">
                        <c:v>-26.652262172284644</c:v>
                      </c:pt>
                      <c:pt idx="61" formatCode="General">
                        <c:v>-26.760726591760299</c:v>
                      </c:pt>
                      <c:pt idx="62" formatCode="General">
                        <c:v>-26.869191011235955</c:v>
                      </c:pt>
                      <c:pt idx="63" formatCode="General">
                        <c:v>-26.977655430711611</c:v>
                      </c:pt>
                      <c:pt idx="64" formatCode="General">
                        <c:v>-27.086119850187266</c:v>
                      </c:pt>
                      <c:pt idx="65" formatCode="General">
                        <c:v>-27.194584269662922</c:v>
                      </c:pt>
                      <c:pt idx="66" formatCode="General">
                        <c:v>-27.301902621722849</c:v>
                      </c:pt>
                      <c:pt idx="67" formatCode="General">
                        <c:v>-27.404973782771538</c:v>
                      </c:pt>
                      <c:pt idx="68" formatCode="General">
                        <c:v>-27.508044943820227</c:v>
                      </c:pt>
                      <c:pt idx="69" formatCode="General">
                        <c:v>-27.611116104868916</c:v>
                      </c:pt>
                      <c:pt idx="70" formatCode="General">
                        <c:v>-27.714187265917605</c:v>
                      </c:pt>
                      <c:pt idx="71" formatCode="General">
                        <c:v>-27.817258426966294</c:v>
                      </c:pt>
                      <c:pt idx="72" formatCode="General">
                        <c:v>-27.920329588014983</c:v>
                      </c:pt>
                      <c:pt idx="73" formatCode="General">
                        <c:v>-28.023400749063672</c:v>
                      </c:pt>
                      <c:pt idx="74" formatCode="General">
                        <c:v>-28.126471910112361</c:v>
                      </c:pt>
                      <c:pt idx="75" formatCode="General">
                        <c:v>-28.22954307116105</c:v>
                      </c:pt>
                      <c:pt idx="76" formatCode="General">
                        <c:v>-28.332614232209739</c:v>
                      </c:pt>
                      <c:pt idx="77" formatCode="General">
                        <c:v>-28.435685393258428</c:v>
                      </c:pt>
                      <c:pt idx="78" formatCode="General">
                        <c:v>-28.538756554307117</c:v>
                      </c:pt>
                      <c:pt idx="79" formatCode="General">
                        <c:v>-28.641827715355806</c:v>
                      </c:pt>
                      <c:pt idx="80" formatCode="General">
                        <c:v>-28.744898876404495</c:v>
                      </c:pt>
                      <c:pt idx="81" formatCode="General">
                        <c:v>-28.847970037453184</c:v>
                      </c:pt>
                      <c:pt idx="82" formatCode="General">
                        <c:v>-28.951041198501873</c:v>
                      </c:pt>
                      <c:pt idx="83" formatCode="General">
                        <c:v>-29.051396396396395</c:v>
                      </c:pt>
                      <c:pt idx="84" formatCode="General">
                        <c:v>-29.149294294294293</c:v>
                      </c:pt>
                      <c:pt idx="85" formatCode="General">
                        <c:v>-29.247192192192191</c:v>
                      </c:pt>
                      <c:pt idx="86" formatCode="General">
                        <c:v>-29.345090090090089</c:v>
                      </c:pt>
                      <c:pt idx="87" formatCode="General">
                        <c:v>-7.3468118811881187</c:v>
                      </c:pt>
                      <c:pt idx="88" formatCode="General">
                        <c:v>-7.3646336633663365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6-7F43-47D9-9E15-19AA26622F09}"/>
                  </c:ext>
                </c:extLst>
              </c15:ser>
            </c15:filteredScatterSeries>
            <c15:filteredScatterSeries>
              <c15:ser>
                <c:idx val="49"/>
                <c:order val="50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306</c:v>
                      </c:pt>
                      <c:pt idx="1">
                        <c:v>314</c:v>
                      </c:pt>
                      <c:pt idx="2">
                        <c:v>322</c:v>
                      </c:pt>
                      <c:pt idx="3">
                        <c:v>330</c:v>
                      </c:pt>
                      <c:pt idx="4">
                        <c:v>338</c:v>
                      </c:pt>
                      <c:pt idx="5">
                        <c:v>346</c:v>
                      </c:pt>
                      <c:pt idx="6">
                        <c:v>354</c:v>
                      </c:pt>
                      <c:pt idx="7">
                        <c:v>362</c:v>
                      </c:pt>
                      <c:pt idx="8">
                        <c:v>370</c:v>
                      </c:pt>
                      <c:pt idx="9">
                        <c:v>378</c:v>
                      </c:pt>
                      <c:pt idx="10">
                        <c:v>386</c:v>
                      </c:pt>
                      <c:pt idx="11">
                        <c:v>394</c:v>
                      </c:pt>
                      <c:pt idx="12">
                        <c:v>402</c:v>
                      </c:pt>
                      <c:pt idx="13">
                        <c:v>410</c:v>
                      </c:pt>
                      <c:pt idx="14">
                        <c:v>418</c:v>
                      </c:pt>
                      <c:pt idx="15">
                        <c:v>426</c:v>
                      </c:pt>
                      <c:pt idx="16">
                        <c:v>434</c:v>
                      </c:pt>
                      <c:pt idx="17">
                        <c:v>442</c:v>
                      </c:pt>
                      <c:pt idx="18">
                        <c:v>450</c:v>
                      </c:pt>
                      <c:pt idx="19">
                        <c:v>458</c:v>
                      </c:pt>
                      <c:pt idx="20">
                        <c:v>466</c:v>
                      </c:pt>
                      <c:pt idx="21">
                        <c:v>474</c:v>
                      </c:pt>
                      <c:pt idx="22">
                        <c:v>482</c:v>
                      </c:pt>
                      <c:pt idx="23">
                        <c:v>490</c:v>
                      </c:pt>
                      <c:pt idx="24">
                        <c:v>498</c:v>
                      </c:pt>
                      <c:pt idx="25">
                        <c:v>506</c:v>
                      </c:pt>
                      <c:pt idx="26">
                        <c:v>514</c:v>
                      </c:pt>
                      <c:pt idx="27">
                        <c:v>522</c:v>
                      </c:pt>
                      <c:pt idx="28">
                        <c:v>530</c:v>
                      </c:pt>
                      <c:pt idx="29">
                        <c:v>538</c:v>
                      </c:pt>
                      <c:pt idx="30">
                        <c:v>546</c:v>
                      </c:pt>
                      <c:pt idx="31">
                        <c:v>554</c:v>
                      </c:pt>
                      <c:pt idx="32">
                        <c:v>562</c:v>
                      </c:pt>
                      <c:pt idx="33">
                        <c:v>570</c:v>
                      </c:pt>
                      <c:pt idx="34">
                        <c:v>578</c:v>
                      </c:pt>
                      <c:pt idx="35">
                        <c:v>586</c:v>
                      </c:pt>
                      <c:pt idx="36">
                        <c:v>594</c:v>
                      </c:pt>
                      <c:pt idx="37">
                        <c:v>602</c:v>
                      </c:pt>
                      <c:pt idx="38">
                        <c:v>610</c:v>
                      </c:pt>
                      <c:pt idx="39">
                        <c:v>618</c:v>
                      </c:pt>
                      <c:pt idx="40">
                        <c:v>626</c:v>
                      </c:pt>
                      <c:pt idx="41">
                        <c:v>634</c:v>
                      </c:pt>
                      <c:pt idx="42">
                        <c:v>642</c:v>
                      </c:pt>
                      <c:pt idx="43">
                        <c:v>650</c:v>
                      </c:pt>
                      <c:pt idx="44">
                        <c:v>658</c:v>
                      </c:pt>
                      <c:pt idx="45">
                        <c:v>666</c:v>
                      </c:pt>
                      <c:pt idx="46">
                        <c:v>674</c:v>
                      </c:pt>
                      <c:pt idx="47">
                        <c:v>682</c:v>
                      </c:pt>
                      <c:pt idx="48">
                        <c:v>690</c:v>
                      </c:pt>
                      <c:pt idx="49">
                        <c:v>698</c:v>
                      </c:pt>
                      <c:pt idx="50">
                        <c:v>706</c:v>
                      </c:pt>
                      <c:pt idx="51">
                        <c:v>714</c:v>
                      </c:pt>
                      <c:pt idx="52">
                        <c:v>722</c:v>
                      </c:pt>
                      <c:pt idx="53">
                        <c:v>730</c:v>
                      </c:pt>
                      <c:pt idx="54">
                        <c:v>738</c:v>
                      </c:pt>
                      <c:pt idx="55">
                        <c:v>746</c:v>
                      </c:pt>
                      <c:pt idx="56">
                        <c:v>754</c:v>
                      </c:pt>
                      <c:pt idx="57">
                        <c:v>762</c:v>
                      </c:pt>
                      <c:pt idx="58">
                        <c:v>770</c:v>
                      </c:pt>
                      <c:pt idx="59">
                        <c:v>778</c:v>
                      </c:pt>
                      <c:pt idx="60">
                        <c:v>786</c:v>
                      </c:pt>
                      <c:pt idx="61">
                        <c:v>794</c:v>
                      </c:pt>
                      <c:pt idx="62">
                        <c:v>802</c:v>
                      </c:pt>
                      <c:pt idx="63">
                        <c:v>810</c:v>
                      </c:pt>
                      <c:pt idx="64">
                        <c:v>818</c:v>
                      </c:pt>
                      <c:pt idx="65">
                        <c:v>826</c:v>
                      </c:pt>
                      <c:pt idx="66">
                        <c:v>834</c:v>
                      </c:pt>
                      <c:pt idx="67">
                        <c:v>842</c:v>
                      </c:pt>
                      <c:pt idx="68">
                        <c:v>850</c:v>
                      </c:pt>
                      <c:pt idx="69">
                        <c:v>858</c:v>
                      </c:pt>
                      <c:pt idx="70">
                        <c:v>866</c:v>
                      </c:pt>
                      <c:pt idx="71">
                        <c:v>874</c:v>
                      </c:pt>
                      <c:pt idx="72">
                        <c:v>882</c:v>
                      </c:pt>
                      <c:pt idx="73">
                        <c:v>890</c:v>
                      </c:pt>
                      <c:pt idx="74">
                        <c:v>898</c:v>
                      </c:pt>
                      <c:pt idx="75">
                        <c:v>906</c:v>
                      </c:pt>
                      <c:pt idx="76">
                        <c:v>914</c:v>
                      </c:pt>
                      <c:pt idx="77">
                        <c:v>922</c:v>
                      </c:pt>
                      <c:pt idx="78">
                        <c:v>930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EVALUATION!$B$151:$CP$151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7-7F43-47D9-9E15-19AA26622F09}"/>
                  </c:ext>
                </c:extLst>
              </c15:ser>
            </c15:filteredScatterSeries>
            <c15:filteredScatterSeries>
              <c15:ser>
                <c:idx val="50"/>
                <c:order val="51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306</c:v>
                      </c:pt>
                      <c:pt idx="1">
                        <c:v>314</c:v>
                      </c:pt>
                      <c:pt idx="2">
                        <c:v>322</c:v>
                      </c:pt>
                      <c:pt idx="3">
                        <c:v>330</c:v>
                      </c:pt>
                      <c:pt idx="4">
                        <c:v>338</c:v>
                      </c:pt>
                      <c:pt idx="5">
                        <c:v>346</c:v>
                      </c:pt>
                      <c:pt idx="6">
                        <c:v>354</c:v>
                      </c:pt>
                      <c:pt idx="7">
                        <c:v>362</c:v>
                      </c:pt>
                      <c:pt idx="8">
                        <c:v>370</c:v>
                      </c:pt>
                      <c:pt idx="9">
                        <c:v>378</c:v>
                      </c:pt>
                      <c:pt idx="10">
                        <c:v>386</c:v>
                      </c:pt>
                      <c:pt idx="11">
                        <c:v>394</c:v>
                      </c:pt>
                      <c:pt idx="12">
                        <c:v>402</c:v>
                      </c:pt>
                      <c:pt idx="13">
                        <c:v>410</c:v>
                      </c:pt>
                      <c:pt idx="14">
                        <c:v>418</c:v>
                      </c:pt>
                      <c:pt idx="15">
                        <c:v>426</c:v>
                      </c:pt>
                      <c:pt idx="16">
                        <c:v>434</c:v>
                      </c:pt>
                      <c:pt idx="17">
                        <c:v>442</c:v>
                      </c:pt>
                      <c:pt idx="18">
                        <c:v>450</c:v>
                      </c:pt>
                      <c:pt idx="19">
                        <c:v>458</c:v>
                      </c:pt>
                      <c:pt idx="20">
                        <c:v>466</c:v>
                      </c:pt>
                      <c:pt idx="21">
                        <c:v>474</c:v>
                      </c:pt>
                      <c:pt idx="22">
                        <c:v>482</c:v>
                      </c:pt>
                      <c:pt idx="23">
                        <c:v>490</c:v>
                      </c:pt>
                      <c:pt idx="24">
                        <c:v>498</c:v>
                      </c:pt>
                      <c:pt idx="25">
                        <c:v>506</c:v>
                      </c:pt>
                      <c:pt idx="26">
                        <c:v>514</c:v>
                      </c:pt>
                      <c:pt idx="27">
                        <c:v>522</c:v>
                      </c:pt>
                      <c:pt idx="28">
                        <c:v>530</c:v>
                      </c:pt>
                      <c:pt idx="29">
                        <c:v>538</c:v>
                      </c:pt>
                      <c:pt idx="30">
                        <c:v>546</c:v>
                      </c:pt>
                      <c:pt idx="31">
                        <c:v>554</c:v>
                      </c:pt>
                      <c:pt idx="32">
                        <c:v>562</c:v>
                      </c:pt>
                      <c:pt idx="33">
                        <c:v>570</c:v>
                      </c:pt>
                      <c:pt idx="34">
                        <c:v>578</c:v>
                      </c:pt>
                      <c:pt idx="35">
                        <c:v>586</c:v>
                      </c:pt>
                      <c:pt idx="36">
                        <c:v>594</c:v>
                      </c:pt>
                      <c:pt idx="37">
                        <c:v>602</c:v>
                      </c:pt>
                      <c:pt idx="38">
                        <c:v>610</c:v>
                      </c:pt>
                      <c:pt idx="39">
                        <c:v>618</c:v>
                      </c:pt>
                      <c:pt idx="40">
                        <c:v>626</c:v>
                      </c:pt>
                      <c:pt idx="41">
                        <c:v>634</c:v>
                      </c:pt>
                      <c:pt idx="42">
                        <c:v>642</c:v>
                      </c:pt>
                      <c:pt idx="43">
                        <c:v>650</c:v>
                      </c:pt>
                      <c:pt idx="44">
                        <c:v>658</c:v>
                      </c:pt>
                      <c:pt idx="45">
                        <c:v>666</c:v>
                      </c:pt>
                      <c:pt idx="46">
                        <c:v>674</c:v>
                      </c:pt>
                      <c:pt idx="47">
                        <c:v>682</c:v>
                      </c:pt>
                      <c:pt idx="48">
                        <c:v>690</c:v>
                      </c:pt>
                      <c:pt idx="49">
                        <c:v>698</c:v>
                      </c:pt>
                      <c:pt idx="50">
                        <c:v>706</c:v>
                      </c:pt>
                      <c:pt idx="51">
                        <c:v>714</c:v>
                      </c:pt>
                      <c:pt idx="52">
                        <c:v>722</c:v>
                      </c:pt>
                      <c:pt idx="53">
                        <c:v>730</c:v>
                      </c:pt>
                      <c:pt idx="54">
                        <c:v>738</c:v>
                      </c:pt>
                      <c:pt idx="55">
                        <c:v>746</c:v>
                      </c:pt>
                      <c:pt idx="56">
                        <c:v>754</c:v>
                      </c:pt>
                      <c:pt idx="57">
                        <c:v>762</c:v>
                      </c:pt>
                      <c:pt idx="58">
                        <c:v>770</c:v>
                      </c:pt>
                      <c:pt idx="59">
                        <c:v>778</c:v>
                      </c:pt>
                      <c:pt idx="60">
                        <c:v>786</c:v>
                      </c:pt>
                      <c:pt idx="61">
                        <c:v>794</c:v>
                      </c:pt>
                      <c:pt idx="62">
                        <c:v>802</c:v>
                      </c:pt>
                      <c:pt idx="63">
                        <c:v>810</c:v>
                      </c:pt>
                      <c:pt idx="64">
                        <c:v>818</c:v>
                      </c:pt>
                      <c:pt idx="65">
                        <c:v>826</c:v>
                      </c:pt>
                      <c:pt idx="66">
                        <c:v>834</c:v>
                      </c:pt>
                      <c:pt idx="67">
                        <c:v>842</c:v>
                      </c:pt>
                      <c:pt idx="68">
                        <c:v>850</c:v>
                      </c:pt>
                      <c:pt idx="69">
                        <c:v>858</c:v>
                      </c:pt>
                      <c:pt idx="70">
                        <c:v>866</c:v>
                      </c:pt>
                      <c:pt idx="71">
                        <c:v>874</c:v>
                      </c:pt>
                      <c:pt idx="72">
                        <c:v>882</c:v>
                      </c:pt>
                      <c:pt idx="73">
                        <c:v>890</c:v>
                      </c:pt>
                      <c:pt idx="74">
                        <c:v>898</c:v>
                      </c:pt>
                      <c:pt idx="75">
                        <c:v>906</c:v>
                      </c:pt>
                      <c:pt idx="76">
                        <c:v>914</c:v>
                      </c:pt>
                      <c:pt idx="77">
                        <c:v>922</c:v>
                      </c:pt>
                      <c:pt idx="78">
                        <c:v>930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EVALUATION!$B$152:$CP$152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8-7F43-47D9-9E15-19AA26622F09}"/>
                  </c:ext>
                </c:extLst>
              </c15:ser>
            </c15:filteredScatterSeries>
            <c15:filteredScatterSeries>
              <c15:ser>
                <c:idx val="51"/>
                <c:order val="52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306</c:v>
                      </c:pt>
                      <c:pt idx="1">
                        <c:v>314</c:v>
                      </c:pt>
                      <c:pt idx="2">
                        <c:v>322</c:v>
                      </c:pt>
                      <c:pt idx="3">
                        <c:v>330</c:v>
                      </c:pt>
                      <c:pt idx="4">
                        <c:v>338</c:v>
                      </c:pt>
                      <c:pt idx="5">
                        <c:v>346</c:v>
                      </c:pt>
                      <c:pt idx="6">
                        <c:v>354</c:v>
                      </c:pt>
                      <c:pt idx="7">
                        <c:v>362</c:v>
                      </c:pt>
                      <c:pt idx="8">
                        <c:v>370</c:v>
                      </c:pt>
                      <c:pt idx="9">
                        <c:v>378</c:v>
                      </c:pt>
                      <c:pt idx="10">
                        <c:v>386</c:v>
                      </c:pt>
                      <c:pt idx="11">
                        <c:v>394</c:v>
                      </c:pt>
                      <c:pt idx="12">
                        <c:v>402</c:v>
                      </c:pt>
                      <c:pt idx="13">
                        <c:v>410</c:v>
                      </c:pt>
                      <c:pt idx="14">
                        <c:v>418</c:v>
                      </c:pt>
                      <c:pt idx="15">
                        <c:v>426</c:v>
                      </c:pt>
                      <c:pt idx="16">
                        <c:v>434</c:v>
                      </c:pt>
                      <c:pt idx="17">
                        <c:v>442</c:v>
                      </c:pt>
                      <c:pt idx="18">
                        <c:v>450</c:v>
                      </c:pt>
                      <c:pt idx="19">
                        <c:v>458</c:v>
                      </c:pt>
                      <c:pt idx="20">
                        <c:v>466</c:v>
                      </c:pt>
                      <c:pt idx="21">
                        <c:v>474</c:v>
                      </c:pt>
                      <c:pt idx="22">
                        <c:v>482</c:v>
                      </c:pt>
                      <c:pt idx="23">
                        <c:v>490</c:v>
                      </c:pt>
                      <c:pt idx="24">
                        <c:v>498</c:v>
                      </c:pt>
                      <c:pt idx="25">
                        <c:v>506</c:v>
                      </c:pt>
                      <c:pt idx="26">
                        <c:v>514</c:v>
                      </c:pt>
                      <c:pt idx="27">
                        <c:v>522</c:v>
                      </c:pt>
                      <c:pt idx="28">
                        <c:v>530</c:v>
                      </c:pt>
                      <c:pt idx="29">
                        <c:v>538</c:v>
                      </c:pt>
                      <c:pt idx="30">
                        <c:v>546</c:v>
                      </c:pt>
                      <c:pt idx="31">
                        <c:v>554</c:v>
                      </c:pt>
                      <c:pt idx="32">
                        <c:v>562</c:v>
                      </c:pt>
                      <c:pt idx="33">
                        <c:v>570</c:v>
                      </c:pt>
                      <c:pt idx="34">
                        <c:v>578</c:v>
                      </c:pt>
                      <c:pt idx="35">
                        <c:v>586</c:v>
                      </c:pt>
                      <c:pt idx="36">
                        <c:v>594</c:v>
                      </c:pt>
                      <c:pt idx="37">
                        <c:v>602</c:v>
                      </c:pt>
                      <c:pt idx="38">
                        <c:v>610</c:v>
                      </c:pt>
                      <c:pt idx="39">
                        <c:v>618</c:v>
                      </c:pt>
                      <c:pt idx="40">
                        <c:v>626</c:v>
                      </c:pt>
                      <c:pt idx="41">
                        <c:v>634</c:v>
                      </c:pt>
                      <c:pt idx="42">
                        <c:v>642</c:v>
                      </c:pt>
                      <c:pt idx="43">
                        <c:v>650</c:v>
                      </c:pt>
                      <c:pt idx="44">
                        <c:v>658</c:v>
                      </c:pt>
                      <c:pt idx="45">
                        <c:v>666</c:v>
                      </c:pt>
                      <c:pt idx="46">
                        <c:v>674</c:v>
                      </c:pt>
                      <c:pt idx="47">
                        <c:v>682</c:v>
                      </c:pt>
                      <c:pt idx="48">
                        <c:v>690</c:v>
                      </c:pt>
                      <c:pt idx="49">
                        <c:v>698</c:v>
                      </c:pt>
                      <c:pt idx="50">
                        <c:v>706</c:v>
                      </c:pt>
                      <c:pt idx="51">
                        <c:v>714</c:v>
                      </c:pt>
                      <c:pt idx="52">
                        <c:v>722</c:v>
                      </c:pt>
                      <c:pt idx="53">
                        <c:v>730</c:v>
                      </c:pt>
                      <c:pt idx="54">
                        <c:v>738</c:v>
                      </c:pt>
                      <c:pt idx="55">
                        <c:v>746</c:v>
                      </c:pt>
                      <c:pt idx="56">
                        <c:v>754</c:v>
                      </c:pt>
                      <c:pt idx="57">
                        <c:v>762</c:v>
                      </c:pt>
                      <c:pt idx="58">
                        <c:v>770</c:v>
                      </c:pt>
                      <c:pt idx="59">
                        <c:v>778</c:v>
                      </c:pt>
                      <c:pt idx="60">
                        <c:v>786</c:v>
                      </c:pt>
                      <c:pt idx="61">
                        <c:v>794</c:v>
                      </c:pt>
                      <c:pt idx="62">
                        <c:v>802</c:v>
                      </c:pt>
                      <c:pt idx="63">
                        <c:v>810</c:v>
                      </c:pt>
                      <c:pt idx="64">
                        <c:v>818</c:v>
                      </c:pt>
                      <c:pt idx="65">
                        <c:v>826</c:v>
                      </c:pt>
                      <c:pt idx="66">
                        <c:v>834</c:v>
                      </c:pt>
                      <c:pt idx="67">
                        <c:v>842</c:v>
                      </c:pt>
                      <c:pt idx="68">
                        <c:v>850</c:v>
                      </c:pt>
                      <c:pt idx="69">
                        <c:v>858</c:v>
                      </c:pt>
                      <c:pt idx="70">
                        <c:v>866</c:v>
                      </c:pt>
                      <c:pt idx="71">
                        <c:v>874</c:v>
                      </c:pt>
                      <c:pt idx="72">
                        <c:v>882</c:v>
                      </c:pt>
                      <c:pt idx="73">
                        <c:v>890</c:v>
                      </c:pt>
                      <c:pt idx="74">
                        <c:v>898</c:v>
                      </c:pt>
                      <c:pt idx="75">
                        <c:v>906</c:v>
                      </c:pt>
                      <c:pt idx="76">
                        <c:v>914</c:v>
                      </c:pt>
                      <c:pt idx="77">
                        <c:v>922</c:v>
                      </c:pt>
                      <c:pt idx="78">
                        <c:v>930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EVALUATION!$B$153:$CP$153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9-7F43-47D9-9E15-19AA26622F09}"/>
                  </c:ext>
                </c:extLst>
              </c15:ser>
            </c15:filteredScatterSeries>
            <c15:filteredScatterSeries>
              <c15:ser>
                <c:idx val="52"/>
                <c:order val="53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306</c:v>
                      </c:pt>
                      <c:pt idx="1">
                        <c:v>314</c:v>
                      </c:pt>
                      <c:pt idx="2">
                        <c:v>322</c:v>
                      </c:pt>
                      <c:pt idx="3">
                        <c:v>330</c:v>
                      </c:pt>
                      <c:pt idx="4">
                        <c:v>338</c:v>
                      </c:pt>
                      <c:pt idx="5">
                        <c:v>346</c:v>
                      </c:pt>
                      <c:pt idx="6">
                        <c:v>354</c:v>
                      </c:pt>
                      <c:pt idx="7">
                        <c:v>362</c:v>
                      </c:pt>
                      <c:pt idx="8">
                        <c:v>370</c:v>
                      </c:pt>
                      <c:pt idx="9">
                        <c:v>378</c:v>
                      </c:pt>
                      <c:pt idx="10">
                        <c:v>386</c:v>
                      </c:pt>
                      <c:pt idx="11">
                        <c:v>394</c:v>
                      </c:pt>
                      <c:pt idx="12">
                        <c:v>402</c:v>
                      </c:pt>
                      <c:pt idx="13">
                        <c:v>410</c:v>
                      </c:pt>
                      <c:pt idx="14">
                        <c:v>418</c:v>
                      </c:pt>
                      <c:pt idx="15">
                        <c:v>426</c:v>
                      </c:pt>
                      <c:pt idx="16">
                        <c:v>434</c:v>
                      </c:pt>
                      <c:pt idx="17">
                        <c:v>442</c:v>
                      </c:pt>
                      <c:pt idx="18">
                        <c:v>450</c:v>
                      </c:pt>
                      <c:pt idx="19">
                        <c:v>458</c:v>
                      </c:pt>
                      <c:pt idx="20">
                        <c:v>466</c:v>
                      </c:pt>
                      <c:pt idx="21">
                        <c:v>474</c:v>
                      </c:pt>
                      <c:pt idx="22">
                        <c:v>482</c:v>
                      </c:pt>
                      <c:pt idx="23">
                        <c:v>490</c:v>
                      </c:pt>
                      <c:pt idx="24">
                        <c:v>498</c:v>
                      </c:pt>
                      <c:pt idx="25">
                        <c:v>506</c:v>
                      </c:pt>
                      <c:pt idx="26">
                        <c:v>514</c:v>
                      </c:pt>
                      <c:pt idx="27">
                        <c:v>522</c:v>
                      </c:pt>
                      <c:pt idx="28">
                        <c:v>530</c:v>
                      </c:pt>
                      <c:pt idx="29">
                        <c:v>538</c:v>
                      </c:pt>
                      <c:pt idx="30">
                        <c:v>546</c:v>
                      </c:pt>
                      <c:pt idx="31">
                        <c:v>554</c:v>
                      </c:pt>
                      <c:pt idx="32">
                        <c:v>562</c:v>
                      </c:pt>
                      <c:pt idx="33">
                        <c:v>570</c:v>
                      </c:pt>
                      <c:pt idx="34">
                        <c:v>578</c:v>
                      </c:pt>
                      <c:pt idx="35">
                        <c:v>586</c:v>
                      </c:pt>
                      <c:pt idx="36">
                        <c:v>594</c:v>
                      </c:pt>
                      <c:pt idx="37">
                        <c:v>602</c:v>
                      </c:pt>
                      <c:pt idx="38">
                        <c:v>610</c:v>
                      </c:pt>
                      <c:pt idx="39">
                        <c:v>618</c:v>
                      </c:pt>
                      <c:pt idx="40">
                        <c:v>626</c:v>
                      </c:pt>
                      <c:pt idx="41">
                        <c:v>634</c:v>
                      </c:pt>
                      <c:pt idx="42">
                        <c:v>642</c:v>
                      </c:pt>
                      <c:pt idx="43">
                        <c:v>650</c:v>
                      </c:pt>
                      <c:pt idx="44">
                        <c:v>658</c:v>
                      </c:pt>
                      <c:pt idx="45">
                        <c:v>666</c:v>
                      </c:pt>
                      <c:pt idx="46">
                        <c:v>674</c:v>
                      </c:pt>
                      <c:pt idx="47">
                        <c:v>682</c:v>
                      </c:pt>
                      <c:pt idx="48">
                        <c:v>690</c:v>
                      </c:pt>
                      <c:pt idx="49">
                        <c:v>698</c:v>
                      </c:pt>
                      <c:pt idx="50">
                        <c:v>706</c:v>
                      </c:pt>
                      <c:pt idx="51">
                        <c:v>714</c:v>
                      </c:pt>
                      <c:pt idx="52">
                        <c:v>722</c:v>
                      </c:pt>
                      <c:pt idx="53">
                        <c:v>730</c:v>
                      </c:pt>
                      <c:pt idx="54">
                        <c:v>738</c:v>
                      </c:pt>
                      <c:pt idx="55">
                        <c:v>746</c:v>
                      </c:pt>
                      <c:pt idx="56">
                        <c:v>754</c:v>
                      </c:pt>
                      <c:pt idx="57">
                        <c:v>762</c:v>
                      </c:pt>
                      <c:pt idx="58">
                        <c:v>770</c:v>
                      </c:pt>
                      <c:pt idx="59">
                        <c:v>778</c:v>
                      </c:pt>
                      <c:pt idx="60">
                        <c:v>786</c:v>
                      </c:pt>
                      <c:pt idx="61">
                        <c:v>794</c:v>
                      </c:pt>
                      <c:pt idx="62">
                        <c:v>802</c:v>
                      </c:pt>
                      <c:pt idx="63">
                        <c:v>810</c:v>
                      </c:pt>
                      <c:pt idx="64">
                        <c:v>818</c:v>
                      </c:pt>
                      <c:pt idx="65">
                        <c:v>826</c:v>
                      </c:pt>
                      <c:pt idx="66">
                        <c:v>834</c:v>
                      </c:pt>
                      <c:pt idx="67">
                        <c:v>842</c:v>
                      </c:pt>
                      <c:pt idx="68">
                        <c:v>850</c:v>
                      </c:pt>
                      <c:pt idx="69">
                        <c:v>858</c:v>
                      </c:pt>
                      <c:pt idx="70">
                        <c:v>866</c:v>
                      </c:pt>
                      <c:pt idx="71">
                        <c:v>874</c:v>
                      </c:pt>
                      <c:pt idx="72">
                        <c:v>882</c:v>
                      </c:pt>
                      <c:pt idx="73">
                        <c:v>890</c:v>
                      </c:pt>
                      <c:pt idx="74">
                        <c:v>898</c:v>
                      </c:pt>
                      <c:pt idx="75">
                        <c:v>906</c:v>
                      </c:pt>
                      <c:pt idx="76">
                        <c:v>914</c:v>
                      </c:pt>
                      <c:pt idx="77">
                        <c:v>922</c:v>
                      </c:pt>
                      <c:pt idx="78">
                        <c:v>930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EVALUATION!$B$154:$CP$154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A-7F43-47D9-9E15-19AA26622F09}"/>
                  </c:ext>
                </c:extLst>
              </c15:ser>
            </c15:filteredScatterSeries>
          </c:ext>
        </c:extLst>
      </c:scatterChart>
      <c:valAx>
        <c:axId val="938785983"/>
        <c:scaling>
          <c:orientation val="minMax"/>
          <c:max val="1000"/>
          <c:min val="3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38775583"/>
        <c:crosses val="autoZero"/>
        <c:crossBetween val="midCat"/>
        <c:majorUnit val="100"/>
      </c:valAx>
      <c:valAx>
        <c:axId val="938775583"/>
        <c:scaling>
          <c:orientation val="minMax"/>
          <c:max val="-40"/>
          <c:min val="-7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38785983"/>
        <c:crosses val="autoZero"/>
        <c:crossBetween val="midCat"/>
      </c:valAx>
    </c:plotArea>
    <c:plotVisOnly val="0"/>
    <c:dispBlanksAs val="gap"/>
    <c:showDLblsOverMax val="0"/>
    <c:extLst/>
  </c:chart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1" i="1" u="none" strike="noStrike" kern="1200" spc="0" baseline="0">
                <a:solidFill>
                  <a:srgbClr val="7030A0"/>
                </a:solidFill>
                <a:latin typeface="+mn-lt"/>
                <a:ea typeface="+mn-ea"/>
                <a:cs typeface="+mn-cs"/>
              </a:defRPr>
            </a:pPr>
            <a:r>
              <a:rPr lang="en-US" sz="2000" b="1" i="1">
                <a:solidFill>
                  <a:srgbClr val="7030A0"/>
                </a:solidFill>
              </a:rPr>
              <a:t>Ga2Se3</a:t>
            </a:r>
          </a:p>
        </c:rich>
      </c:tx>
      <c:layout>
        <c:manualLayout>
          <c:xMode val="edge"/>
          <c:yMode val="edge"/>
          <c:x val="0.45923209945810856"/>
          <c:y val="0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3565836995543892"/>
          <c:y val="0.10656915812117258"/>
          <c:w val="0.79872285919300678"/>
          <c:h val="0.79349420735008158"/>
        </c:manualLayout>
      </c:layout>
      <c:scatterChart>
        <c:scatterStyle val="smoothMarker"/>
        <c:varyColors val="0"/>
        <c:ser>
          <c:idx val="5"/>
          <c:order val="7"/>
          <c:spPr>
            <a:ln>
              <a:solidFill>
                <a:srgbClr val="7030A0"/>
              </a:solidFill>
            </a:ln>
          </c:spPr>
          <c:marker>
            <c:symbol val="none"/>
          </c:marker>
          <c:xVal>
            <c:numRef>
              <c:f>EVALUATION!$B$100:$CP$100</c:f>
              <c:numCache>
                <c:formatCode>0</c:formatCode>
                <c:ptCount val="93"/>
                <c:pt idx="0">
                  <c:v>306</c:v>
                </c:pt>
                <c:pt idx="1">
                  <c:v>314</c:v>
                </c:pt>
                <c:pt idx="2">
                  <c:v>322</c:v>
                </c:pt>
                <c:pt idx="3">
                  <c:v>330</c:v>
                </c:pt>
                <c:pt idx="4">
                  <c:v>338</c:v>
                </c:pt>
                <c:pt idx="5">
                  <c:v>346</c:v>
                </c:pt>
                <c:pt idx="6">
                  <c:v>354</c:v>
                </c:pt>
                <c:pt idx="7">
                  <c:v>362</c:v>
                </c:pt>
                <c:pt idx="8">
                  <c:v>370</c:v>
                </c:pt>
                <c:pt idx="9">
                  <c:v>378</c:v>
                </c:pt>
                <c:pt idx="10">
                  <c:v>386</c:v>
                </c:pt>
                <c:pt idx="11">
                  <c:v>394</c:v>
                </c:pt>
                <c:pt idx="12">
                  <c:v>402</c:v>
                </c:pt>
                <c:pt idx="13">
                  <c:v>410</c:v>
                </c:pt>
                <c:pt idx="14">
                  <c:v>418</c:v>
                </c:pt>
                <c:pt idx="15">
                  <c:v>426</c:v>
                </c:pt>
                <c:pt idx="16">
                  <c:v>434</c:v>
                </c:pt>
                <c:pt idx="17">
                  <c:v>442</c:v>
                </c:pt>
                <c:pt idx="18">
                  <c:v>450</c:v>
                </c:pt>
                <c:pt idx="19">
                  <c:v>458</c:v>
                </c:pt>
                <c:pt idx="20">
                  <c:v>466</c:v>
                </c:pt>
                <c:pt idx="21">
                  <c:v>474</c:v>
                </c:pt>
                <c:pt idx="22">
                  <c:v>482</c:v>
                </c:pt>
                <c:pt idx="23">
                  <c:v>490</c:v>
                </c:pt>
                <c:pt idx="24">
                  <c:v>498</c:v>
                </c:pt>
                <c:pt idx="25">
                  <c:v>506</c:v>
                </c:pt>
                <c:pt idx="26">
                  <c:v>514</c:v>
                </c:pt>
                <c:pt idx="27">
                  <c:v>522</c:v>
                </c:pt>
                <c:pt idx="28">
                  <c:v>530</c:v>
                </c:pt>
                <c:pt idx="29">
                  <c:v>538</c:v>
                </c:pt>
                <c:pt idx="30">
                  <c:v>546</c:v>
                </c:pt>
                <c:pt idx="31">
                  <c:v>554</c:v>
                </c:pt>
                <c:pt idx="32">
                  <c:v>562</c:v>
                </c:pt>
                <c:pt idx="33">
                  <c:v>570</c:v>
                </c:pt>
                <c:pt idx="34">
                  <c:v>578</c:v>
                </c:pt>
                <c:pt idx="35">
                  <c:v>586</c:v>
                </c:pt>
                <c:pt idx="36">
                  <c:v>594</c:v>
                </c:pt>
                <c:pt idx="37">
                  <c:v>602</c:v>
                </c:pt>
                <c:pt idx="38">
                  <c:v>610</c:v>
                </c:pt>
                <c:pt idx="39">
                  <c:v>618</c:v>
                </c:pt>
                <c:pt idx="40">
                  <c:v>626</c:v>
                </c:pt>
                <c:pt idx="41">
                  <c:v>634</c:v>
                </c:pt>
                <c:pt idx="42">
                  <c:v>642</c:v>
                </c:pt>
                <c:pt idx="43">
                  <c:v>650</c:v>
                </c:pt>
                <c:pt idx="44">
                  <c:v>658</c:v>
                </c:pt>
                <c:pt idx="45">
                  <c:v>666</c:v>
                </c:pt>
                <c:pt idx="46">
                  <c:v>674</c:v>
                </c:pt>
                <c:pt idx="47">
                  <c:v>682</c:v>
                </c:pt>
                <c:pt idx="48">
                  <c:v>690</c:v>
                </c:pt>
                <c:pt idx="49">
                  <c:v>698</c:v>
                </c:pt>
                <c:pt idx="50">
                  <c:v>706</c:v>
                </c:pt>
                <c:pt idx="51">
                  <c:v>714</c:v>
                </c:pt>
                <c:pt idx="52">
                  <c:v>722</c:v>
                </c:pt>
                <c:pt idx="53">
                  <c:v>730</c:v>
                </c:pt>
                <c:pt idx="54">
                  <c:v>738</c:v>
                </c:pt>
                <c:pt idx="55">
                  <c:v>746</c:v>
                </c:pt>
                <c:pt idx="56">
                  <c:v>754</c:v>
                </c:pt>
                <c:pt idx="57">
                  <c:v>762</c:v>
                </c:pt>
                <c:pt idx="58">
                  <c:v>770</c:v>
                </c:pt>
                <c:pt idx="59">
                  <c:v>778</c:v>
                </c:pt>
                <c:pt idx="60">
                  <c:v>786</c:v>
                </c:pt>
                <c:pt idx="61">
                  <c:v>794</c:v>
                </c:pt>
                <c:pt idx="62">
                  <c:v>802</c:v>
                </c:pt>
                <c:pt idx="63">
                  <c:v>810</c:v>
                </c:pt>
                <c:pt idx="64">
                  <c:v>818</c:v>
                </c:pt>
                <c:pt idx="65">
                  <c:v>826</c:v>
                </c:pt>
                <c:pt idx="66">
                  <c:v>834</c:v>
                </c:pt>
                <c:pt idx="67">
                  <c:v>842</c:v>
                </c:pt>
                <c:pt idx="68">
                  <c:v>850</c:v>
                </c:pt>
                <c:pt idx="69">
                  <c:v>858</c:v>
                </c:pt>
                <c:pt idx="70">
                  <c:v>866</c:v>
                </c:pt>
                <c:pt idx="71">
                  <c:v>874</c:v>
                </c:pt>
                <c:pt idx="72">
                  <c:v>882</c:v>
                </c:pt>
                <c:pt idx="73">
                  <c:v>890</c:v>
                </c:pt>
                <c:pt idx="74">
                  <c:v>898</c:v>
                </c:pt>
                <c:pt idx="75">
                  <c:v>906</c:v>
                </c:pt>
                <c:pt idx="76">
                  <c:v>914</c:v>
                </c:pt>
                <c:pt idx="77">
                  <c:v>922</c:v>
                </c:pt>
                <c:pt idx="78">
                  <c:v>930</c:v>
                </c:pt>
                <c:pt idx="79">
                  <c:v>938</c:v>
                </c:pt>
                <c:pt idx="80">
                  <c:v>946</c:v>
                </c:pt>
                <c:pt idx="81">
                  <c:v>954</c:v>
                </c:pt>
                <c:pt idx="82">
                  <c:v>962</c:v>
                </c:pt>
                <c:pt idx="83">
                  <c:v>970</c:v>
                </c:pt>
                <c:pt idx="84">
                  <c:v>978</c:v>
                </c:pt>
                <c:pt idx="85">
                  <c:v>986</c:v>
                </c:pt>
                <c:pt idx="86">
                  <c:v>994</c:v>
                </c:pt>
              </c:numCache>
            </c:numRef>
          </c:xVal>
          <c:yVal>
            <c:numRef>
              <c:f>EVALUATION!$B$108:$CP$108</c:f>
              <c:numCache>
                <c:formatCode>0</c:formatCode>
                <c:ptCount val="93"/>
                <c:pt idx="0">
                  <c:v>-183.77576576576575</c:v>
                </c:pt>
                <c:pt idx="1">
                  <c:v>-179.80219219219219</c:v>
                </c:pt>
                <c:pt idx="2">
                  <c:v>-175.82861861861863</c:v>
                </c:pt>
                <c:pt idx="3">
                  <c:v>-171.85504504504505</c:v>
                </c:pt>
                <c:pt idx="4" formatCode="General">
                  <c:v>-168.51000000000002</c:v>
                </c:pt>
                <c:pt idx="5" formatCode="General">
                  <c:v>-165.31</c:v>
                </c:pt>
                <c:pt idx="6" formatCode="General">
                  <c:v>-162.10999999999999</c:v>
                </c:pt>
                <c:pt idx="7" formatCode="General">
                  <c:v>-158.91</c:v>
                </c:pt>
                <c:pt idx="8" formatCode="General">
                  <c:v>-156.06730538922156</c:v>
                </c:pt>
                <c:pt idx="9" formatCode="General">
                  <c:v>-153.42778443113772</c:v>
                </c:pt>
                <c:pt idx="10" formatCode="General">
                  <c:v>-150.78826347305389</c:v>
                </c:pt>
                <c:pt idx="11" formatCode="General">
                  <c:v>-148.14874251497005</c:v>
                </c:pt>
                <c:pt idx="12" formatCode="General">
                  <c:v>-145.70751497005986</c:v>
                </c:pt>
                <c:pt idx="13" formatCode="General">
                  <c:v>-143.49673652694611</c:v>
                </c:pt>
                <c:pt idx="14" formatCode="General">
                  <c:v>-141.28595808383233</c:v>
                </c:pt>
                <c:pt idx="15" formatCode="General">
                  <c:v>-139.07517964071855</c:v>
                </c:pt>
                <c:pt idx="16" formatCode="General">
                  <c:v>-136.96080838323354</c:v>
                </c:pt>
                <c:pt idx="17" formatCode="General">
                  <c:v>-135.08535928143712</c:v>
                </c:pt>
                <c:pt idx="18" formatCode="General">
                  <c:v>-133.20991017964073</c:v>
                </c:pt>
                <c:pt idx="19" formatCode="General">
                  <c:v>-131.33446107784434</c:v>
                </c:pt>
                <c:pt idx="20" formatCode="General">
                  <c:v>-129.49</c:v>
                </c:pt>
                <c:pt idx="21" formatCode="General">
                  <c:v>-127.89000000000001</c:v>
                </c:pt>
                <c:pt idx="22" formatCode="General">
                  <c:v>-126.29000000000002</c:v>
                </c:pt>
                <c:pt idx="23" formatCode="General">
                  <c:v>-124.69000000000001</c:v>
                </c:pt>
                <c:pt idx="24" formatCode="General">
                  <c:v>-123.09</c:v>
                </c:pt>
                <c:pt idx="25" formatCode="General">
                  <c:v>-121.94495495495497</c:v>
                </c:pt>
                <c:pt idx="26" formatCode="General">
                  <c:v>-120.83024024024024</c:v>
                </c:pt>
                <c:pt idx="27" formatCode="General">
                  <c:v>-119.71552552552552</c:v>
                </c:pt>
                <c:pt idx="28" formatCode="General">
                  <c:v>-118.6008108108108</c:v>
                </c:pt>
                <c:pt idx="29" formatCode="General">
                  <c:v>-119.12407185628743</c:v>
                </c:pt>
                <c:pt idx="30" formatCode="General">
                  <c:v>-120.12287425149701</c:v>
                </c:pt>
                <c:pt idx="31" formatCode="General">
                  <c:v>-121.12167664670659</c:v>
                </c:pt>
                <c:pt idx="32" formatCode="General">
                  <c:v>-122.12047904191617</c:v>
                </c:pt>
                <c:pt idx="33" formatCode="General">
                  <c:v>-123.0919760479042</c:v>
                </c:pt>
                <c:pt idx="34" formatCode="General">
                  <c:v>-124.04526946107785</c:v>
                </c:pt>
                <c:pt idx="35" formatCode="General">
                  <c:v>-124.9985628742515</c:v>
                </c:pt>
                <c:pt idx="36" formatCode="General">
                  <c:v>-125.95185628742516</c:v>
                </c:pt>
                <c:pt idx="37" formatCode="General">
                  <c:v>-126.90514970059881</c:v>
                </c:pt>
                <c:pt idx="38" formatCode="General">
                  <c:v>-127.85844311377247</c:v>
                </c:pt>
                <c:pt idx="39" formatCode="General">
                  <c:v>-128.81173652694611</c:v>
                </c:pt>
                <c:pt idx="40" formatCode="General">
                  <c:v>-129.76502994011977</c:v>
                </c:pt>
                <c:pt idx="41" formatCode="General">
                  <c:v>-130.71832335329341</c:v>
                </c:pt>
                <c:pt idx="42" formatCode="General">
                  <c:v>-131.67161676646708</c:v>
                </c:pt>
                <c:pt idx="43" formatCode="General">
                  <c:v>-132.62491017964072</c:v>
                </c:pt>
                <c:pt idx="44" formatCode="General">
                  <c:v>-133.57820359281436</c:v>
                </c:pt>
                <c:pt idx="45" formatCode="General">
                  <c:v>-134.53149700598803</c:v>
                </c:pt>
                <c:pt idx="46" formatCode="General">
                  <c:v>-135.48479041916167</c:v>
                </c:pt>
                <c:pt idx="47" formatCode="General">
                  <c:v>-136.43808383233534</c:v>
                </c:pt>
                <c:pt idx="48" formatCode="General">
                  <c:v>-137.39137724550898</c:v>
                </c:pt>
                <c:pt idx="49" formatCode="General">
                  <c:v>-138.34467065868265</c:v>
                </c:pt>
                <c:pt idx="50" formatCode="General">
                  <c:v>-139.21824719101124</c:v>
                </c:pt>
                <c:pt idx="51" formatCode="General">
                  <c:v>-140.08296629213484</c:v>
                </c:pt>
                <c:pt idx="52" formatCode="General">
                  <c:v>-140.94768539325844</c:v>
                </c:pt>
                <c:pt idx="53" formatCode="General">
                  <c:v>-141.81240449438204</c:v>
                </c:pt>
                <c:pt idx="54" formatCode="General">
                  <c:v>-142.67712359550563</c:v>
                </c:pt>
                <c:pt idx="55" formatCode="General">
                  <c:v>-143.54184269662923</c:v>
                </c:pt>
                <c:pt idx="56" formatCode="General">
                  <c:v>-144.40656179775283</c:v>
                </c:pt>
                <c:pt idx="57" formatCode="General">
                  <c:v>-145.2712808988764</c:v>
                </c:pt>
                <c:pt idx="58" formatCode="General">
                  <c:v>-146.136</c:v>
                </c:pt>
                <c:pt idx="59" formatCode="General">
                  <c:v>-147.00071910112359</c:v>
                </c:pt>
                <c:pt idx="60" formatCode="General">
                  <c:v>-147.86543820224719</c:v>
                </c:pt>
                <c:pt idx="61" formatCode="General">
                  <c:v>-148.73015730337079</c:v>
                </c:pt>
                <c:pt idx="62" formatCode="General">
                  <c:v>-149.59487640449439</c:v>
                </c:pt>
                <c:pt idx="63" formatCode="General">
                  <c:v>-150.45959550561798</c:v>
                </c:pt>
                <c:pt idx="64" formatCode="General">
                  <c:v>-151.32431460674158</c:v>
                </c:pt>
                <c:pt idx="65" formatCode="General">
                  <c:v>-152.18903370786518</c:v>
                </c:pt>
                <c:pt idx="66" formatCode="General">
                  <c:v>-153.03172284644197</c:v>
                </c:pt>
                <c:pt idx="67" formatCode="General">
                  <c:v>-153.79277153558053</c:v>
                </c:pt>
                <c:pt idx="68" formatCode="General">
                  <c:v>-154.55382022471912</c:v>
                </c:pt>
                <c:pt idx="69" formatCode="General">
                  <c:v>-155.31486891385768</c:v>
                </c:pt>
                <c:pt idx="70" formatCode="General">
                  <c:v>-156.07591760299627</c:v>
                </c:pt>
                <c:pt idx="71" formatCode="General">
                  <c:v>-156.83696629213483</c:v>
                </c:pt>
                <c:pt idx="72" formatCode="General">
                  <c:v>-157.59801498127342</c:v>
                </c:pt>
                <c:pt idx="73" formatCode="General">
                  <c:v>-158.35906367041198</c:v>
                </c:pt>
                <c:pt idx="74" formatCode="General">
                  <c:v>-159.12011235955057</c:v>
                </c:pt>
                <c:pt idx="75" formatCode="General">
                  <c:v>-159.88116104868914</c:v>
                </c:pt>
                <c:pt idx="76" formatCode="General">
                  <c:v>-160.64220973782773</c:v>
                </c:pt>
                <c:pt idx="77" formatCode="General">
                  <c:v>-161.40325842696629</c:v>
                </c:pt>
                <c:pt idx="78" formatCode="General">
                  <c:v>-162.16430711610488</c:v>
                </c:pt>
                <c:pt idx="79" formatCode="General">
                  <c:v>-162.92535580524344</c:v>
                </c:pt>
                <c:pt idx="80" formatCode="General">
                  <c:v>-163.68640449438203</c:v>
                </c:pt>
                <c:pt idx="81" formatCode="General">
                  <c:v>-164.44745318352059</c:v>
                </c:pt>
                <c:pt idx="82" formatCode="General">
                  <c:v>-165.20850187265918</c:v>
                </c:pt>
                <c:pt idx="83" formatCode="General">
                  <c:v>-165.92838323353294</c:v>
                </c:pt>
                <c:pt idx="84" formatCode="General">
                  <c:v>-166.61101796407183</c:v>
                </c:pt>
                <c:pt idx="85" formatCode="General">
                  <c:v>-167.29365269461076</c:v>
                </c:pt>
                <c:pt idx="86" formatCode="General">
                  <c:v>-167.97628742514968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F8E-44D6-9842-8CC6ABD00D40}"/>
            </c:ext>
          </c:extLst>
        </c:ser>
        <c:ser>
          <c:idx val="36"/>
          <c:order val="38"/>
          <c:spPr>
            <a:ln>
              <a:solidFill>
                <a:srgbClr val="7030A0"/>
              </a:solidFill>
              <a:prstDash val="sysDash"/>
            </a:ln>
          </c:spPr>
          <c:marker>
            <c:symbol val="none"/>
          </c:marker>
          <c:xVal>
            <c:numRef>
              <c:f>EVALUATION!$B$100:$CP$100</c:f>
              <c:numCache>
                <c:formatCode>0</c:formatCode>
                <c:ptCount val="93"/>
                <c:pt idx="0">
                  <c:v>306</c:v>
                </c:pt>
                <c:pt idx="1">
                  <c:v>314</c:v>
                </c:pt>
                <c:pt idx="2">
                  <c:v>322</c:v>
                </c:pt>
                <c:pt idx="3">
                  <c:v>330</c:v>
                </c:pt>
                <c:pt idx="4">
                  <c:v>338</c:v>
                </c:pt>
                <c:pt idx="5">
                  <c:v>346</c:v>
                </c:pt>
                <c:pt idx="6">
                  <c:v>354</c:v>
                </c:pt>
                <c:pt idx="7">
                  <c:v>362</c:v>
                </c:pt>
                <c:pt idx="8">
                  <c:v>370</c:v>
                </c:pt>
                <c:pt idx="9">
                  <c:v>378</c:v>
                </c:pt>
                <c:pt idx="10">
                  <c:v>386</c:v>
                </c:pt>
                <c:pt idx="11">
                  <c:v>394</c:v>
                </c:pt>
                <c:pt idx="12">
                  <c:v>402</c:v>
                </c:pt>
                <c:pt idx="13">
                  <c:v>410</c:v>
                </c:pt>
                <c:pt idx="14">
                  <c:v>418</c:v>
                </c:pt>
                <c:pt idx="15">
                  <c:v>426</c:v>
                </c:pt>
                <c:pt idx="16">
                  <c:v>434</c:v>
                </c:pt>
                <c:pt idx="17">
                  <c:v>442</c:v>
                </c:pt>
                <c:pt idx="18">
                  <c:v>450</c:v>
                </c:pt>
                <c:pt idx="19">
                  <c:v>458</c:v>
                </c:pt>
                <c:pt idx="20">
                  <c:v>466</c:v>
                </c:pt>
                <c:pt idx="21">
                  <c:v>474</c:v>
                </c:pt>
                <c:pt idx="22">
                  <c:v>482</c:v>
                </c:pt>
                <c:pt idx="23">
                  <c:v>490</c:v>
                </c:pt>
                <c:pt idx="24">
                  <c:v>498</c:v>
                </c:pt>
                <c:pt idx="25">
                  <c:v>506</c:v>
                </c:pt>
                <c:pt idx="26">
                  <c:v>514</c:v>
                </c:pt>
                <c:pt idx="27">
                  <c:v>522</c:v>
                </c:pt>
                <c:pt idx="28">
                  <c:v>530</c:v>
                </c:pt>
                <c:pt idx="29">
                  <c:v>538</c:v>
                </c:pt>
                <c:pt idx="30">
                  <c:v>546</c:v>
                </c:pt>
                <c:pt idx="31">
                  <c:v>554</c:v>
                </c:pt>
                <c:pt idx="32">
                  <c:v>562</c:v>
                </c:pt>
                <c:pt idx="33">
                  <c:v>570</c:v>
                </c:pt>
                <c:pt idx="34">
                  <c:v>578</c:v>
                </c:pt>
                <c:pt idx="35">
                  <c:v>586</c:v>
                </c:pt>
                <c:pt idx="36">
                  <c:v>594</c:v>
                </c:pt>
                <c:pt idx="37">
                  <c:v>602</c:v>
                </c:pt>
                <c:pt idx="38">
                  <c:v>610</c:v>
                </c:pt>
                <c:pt idx="39">
                  <c:v>618</c:v>
                </c:pt>
                <c:pt idx="40">
                  <c:v>626</c:v>
                </c:pt>
                <c:pt idx="41">
                  <c:v>634</c:v>
                </c:pt>
                <c:pt idx="42">
                  <c:v>642</c:v>
                </c:pt>
                <c:pt idx="43">
                  <c:v>650</c:v>
                </c:pt>
                <c:pt idx="44">
                  <c:v>658</c:v>
                </c:pt>
                <c:pt idx="45">
                  <c:v>666</c:v>
                </c:pt>
                <c:pt idx="46">
                  <c:v>674</c:v>
                </c:pt>
                <c:pt idx="47">
                  <c:v>682</c:v>
                </c:pt>
                <c:pt idx="48">
                  <c:v>690</c:v>
                </c:pt>
                <c:pt idx="49">
                  <c:v>698</c:v>
                </c:pt>
                <c:pt idx="50">
                  <c:v>706</c:v>
                </c:pt>
                <c:pt idx="51">
                  <c:v>714</c:v>
                </c:pt>
                <c:pt idx="52">
                  <c:v>722</c:v>
                </c:pt>
                <c:pt idx="53">
                  <c:v>730</c:v>
                </c:pt>
                <c:pt idx="54">
                  <c:v>738</c:v>
                </c:pt>
                <c:pt idx="55">
                  <c:v>746</c:v>
                </c:pt>
                <c:pt idx="56">
                  <c:v>754</c:v>
                </c:pt>
                <c:pt idx="57">
                  <c:v>762</c:v>
                </c:pt>
                <c:pt idx="58">
                  <c:v>770</c:v>
                </c:pt>
                <c:pt idx="59">
                  <c:v>778</c:v>
                </c:pt>
                <c:pt idx="60">
                  <c:v>786</c:v>
                </c:pt>
                <c:pt idx="61">
                  <c:v>794</c:v>
                </c:pt>
                <c:pt idx="62">
                  <c:v>802</c:v>
                </c:pt>
                <c:pt idx="63">
                  <c:v>810</c:v>
                </c:pt>
                <c:pt idx="64">
                  <c:v>818</c:v>
                </c:pt>
                <c:pt idx="65">
                  <c:v>826</c:v>
                </c:pt>
                <c:pt idx="66">
                  <c:v>834</c:v>
                </c:pt>
                <c:pt idx="67">
                  <c:v>842</c:v>
                </c:pt>
                <c:pt idx="68">
                  <c:v>850</c:v>
                </c:pt>
                <c:pt idx="69">
                  <c:v>858</c:v>
                </c:pt>
                <c:pt idx="70">
                  <c:v>866</c:v>
                </c:pt>
                <c:pt idx="71">
                  <c:v>874</c:v>
                </c:pt>
                <c:pt idx="72">
                  <c:v>882</c:v>
                </c:pt>
                <c:pt idx="73">
                  <c:v>890</c:v>
                </c:pt>
                <c:pt idx="74">
                  <c:v>898</c:v>
                </c:pt>
                <c:pt idx="75">
                  <c:v>906</c:v>
                </c:pt>
                <c:pt idx="76">
                  <c:v>914</c:v>
                </c:pt>
                <c:pt idx="77">
                  <c:v>922</c:v>
                </c:pt>
                <c:pt idx="78">
                  <c:v>930</c:v>
                </c:pt>
                <c:pt idx="79">
                  <c:v>938</c:v>
                </c:pt>
                <c:pt idx="80">
                  <c:v>946</c:v>
                </c:pt>
                <c:pt idx="81">
                  <c:v>954</c:v>
                </c:pt>
                <c:pt idx="82">
                  <c:v>962</c:v>
                </c:pt>
                <c:pt idx="83">
                  <c:v>970</c:v>
                </c:pt>
                <c:pt idx="84">
                  <c:v>978</c:v>
                </c:pt>
                <c:pt idx="85">
                  <c:v>986</c:v>
                </c:pt>
                <c:pt idx="86">
                  <c:v>994</c:v>
                </c:pt>
              </c:numCache>
            </c:numRef>
          </c:xVal>
          <c:yVal>
            <c:numRef>
              <c:f>EVALUATION!$B$139:$CP$139</c:f>
              <c:numCache>
                <c:formatCode>0</c:formatCode>
                <c:ptCount val="93"/>
                <c:pt idx="0">
                  <c:v>-184.14450450450451</c:v>
                </c:pt>
                <c:pt idx="1">
                  <c:v>-180.19015015015015</c:v>
                </c:pt>
                <c:pt idx="2">
                  <c:v>-176.23579579579581</c:v>
                </c:pt>
                <c:pt idx="3">
                  <c:v>-172.28144144144147</c:v>
                </c:pt>
                <c:pt idx="4" formatCode="General">
                  <c:v>-168.94194610778445</c:v>
                </c:pt>
                <c:pt idx="5" formatCode="General">
                  <c:v>-165.74434131736527</c:v>
                </c:pt>
                <c:pt idx="6" formatCode="General">
                  <c:v>-162.54673652694612</c:v>
                </c:pt>
                <c:pt idx="7" formatCode="General">
                  <c:v>-159.34913173652694</c:v>
                </c:pt>
                <c:pt idx="8" formatCode="General">
                  <c:v>-156.51188622754489</c:v>
                </c:pt>
                <c:pt idx="9" formatCode="General">
                  <c:v>-153.87955089820358</c:v>
                </c:pt>
                <c:pt idx="10" formatCode="General">
                  <c:v>-151.24721556886226</c:v>
                </c:pt>
                <c:pt idx="11" formatCode="General">
                  <c:v>-148.61488023952094</c:v>
                </c:pt>
                <c:pt idx="12" formatCode="General">
                  <c:v>-146.17973053892214</c:v>
                </c:pt>
                <c:pt idx="13" formatCode="General">
                  <c:v>-143.97374251497007</c:v>
                </c:pt>
                <c:pt idx="14" formatCode="General">
                  <c:v>-141.76775449101797</c:v>
                </c:pt>
                <c:pt idx="15" formatCode="General">
                  <c:v>-139.56176646706587</c:v>
                </c:pt>
                <c:pt idx="16" formatCode="General">
                  <c:v>-137.45494011976049</c:v>
                </c:pt>
                <c:pt idx="17" formatCode="General">
                  <c:v>-135.59386227544911</c:v>
                </c:pt>
                <c:pt idx="18" formatCode="General">
                  <c:v>-133.73278443113773</c:v>
                </c:pt>
                <c:pt idx="19" formatCode="General">
                  <c:v>-131.87170658682635</c:v>
                </c:pt>
                <c:pt idx="20" formatCode="General">
                  <c:v>-130.04404191616766</c:v>
                </c:pt>
                <c:pt idx="21" formatCode="General">
                  <c:v>-128.47997005988023</c:v>
                </c:pt>
                <c:pt idx="22" formatCode="General">
                  <c:v>-126.91589820359282</c:v>
                </c:pt>
                <c:pt idx="23" formatCode="General">
                  <c:v>-125.35182634730539</c:v>
                </c:pt>
                <c:pt idx="24" formatCode="General">
                  <c:v>-123.78775449101796</c:v>
                </c:pt>
                <c:pt idx="25" formatCode="General">
                  <c:v>-123.46702702702703</c:v>
                </c:pt>
                <c:pt idx="26" formatCode="General">
                  <c:v>-123.22918918918919</c:v>
                </c:pt>
                <c:pt idx="27" formatCode="General">
                  <c:v>-122.99135135135135</c:v>
                </c:pt>
                <c:pt idx="28" formatCode="General">
                  <c:v>-122.75351351351351</c:v>
                </c:pt>
                <c:pt idx="29" formatCode="General">
                  <c:v>-123.46293413173653</c:v>
                </c:pt>
                <c:pt idx="30" formatCode="General">
                  <c:v>-124.44736526946109</c:v>
                </c:pt>
                <c:pt idx="31" formatCode="General">
                  <c:v>-125.43179640718563</c:v>
                </c:pt>
                <c:pt idx="32" formatCode="General">
                  <c:v>-126.41622754491017</c:v>
                </c:pt>
                <c:pt idx="33" formatCode="General">
                  <c:v>-127.39922155688622</c:v>
                </c:pt>
                <c:pt idx="34" formatCode="General">
                  <c:v>-128.38125748502995</c:v>
                </c:pt>
                <c:pt idx="35" formatCode="General">
                  <c:v>-129.36329341317364</c:v>
                </c:pt>
                <c:pt idx="36" formatCode="General">
                  <c:v>-130.34532934131735</c:v>
                </c:pt>
                <c:pt idx="37" formatCode="General">
                  <c:v>-131.31718562874252</c:v>
                </c:pt>
                <c:pt idx="38" formatCode="General">
                  <c:v>-132.27526946107784</c:v>
                </c:pt>
                <c:pt idx="39" formatCode="General">
                  <c:v>-133.23335329341316</c:v>
                </c:pt>
                <c:pt idx="40" formatCode="General">
                  <c:v>-134.19143712574851</c:v>
                </c:pt>
                <c:pt idx="41" formatCode="General">
                  <c:v>-135.14592814371258</c:v>
                </c:pt>
                <c:pt idx="42" formatCode="General">
                  <c:v>-136.08964071856286</c:v>
                </c:pt>
                <c:pt idx="43" formatCode="General">
                  <c:v>-137.03335329341317</c:v>
                </c:pt>
                <c:pt idx="44" formatCode="General">
                  <c:v>-137.97706586826348</c:v>
                </c:pt>
                <c:pt idx="45" formatCode="General">
                  <c:v>-138.91970059880239</c:v>
                </c:pt>
                <c:pt idx="46" formatCode="General">
                  <c:v>-139.84904191616766</c:v>
                </c:pt>
                <c:pt idx="47" formatCode="General">
                  <c:v>-140.77838323353294</c:v>
                </c:pt>
                <c:pt idx="48" formatCode="General">
                  <c:v>-141.70772455089821</c:v>
                </c:pt>
                <c:pt idx="49" formatCode="General">
                  <c:v>-142.63706586826348</c:v>
                </c:pt>
                <c:pt idx="50" formatCode="General">
                  <c:v>-143.50932584269663</c:v>
                </c:pt>
                <c:pt idx="51" formatCode="General">
                  <c:v>-144.37524344569289</c:v>
                </c:pt>
                <c:pt idx="52" formatCode="General">
                  <c:v>-145.24116104868915</c:v>
                </c:pt>
                <c:pt idx="53" formatCode="General">
                  <c:v>-146.10707865168538</c:v>
                </c:pt>
                <c:pt idx="54" formatCode="General">
                  <c:v>-146.97299625468165</c:v>
                </c:pt>
                <c:pt idx="55" formatCode="General">
                  <c:v>-147.83891385767791</c:v>
                </c:pt>
                <c:pt idx="56" formatCode="General">
                  <c:v>-148.70483146067417</c:v>
                </c:pt>
                <c:pt idx="57" formatCode="General">
                  <c:v>-149.57074906367041</c:v>
                </c:pt>
                <c:pt idx="58" formatCode="General">
                  <c:v>-150.43666666666667</c:v>
                </c:pt>
                <c:pt idx="59" formatCode="General">
                  <c:v>-151.30258426966293</c:v>
                </c:pt>
                <c:pt idx="60" formatCode="General">
                  <c:v>-152.16850187265919</c:v>
                </c:pt>
                <c:pt idx="61" formatCode="General">
                  <c:v>-153.03441947565543</c:v>
                </c:pt>
                <c:pt idx="62" formatCode="General">
                  <c:v>-153.90033707865169</c:v>
                </c:pt>
                <c:pt idx="63" formatCode="General">
                  <c:v>-154.76625468164795</c:v>
                </c:pt>
                <c:pt idx="64" formatCode="General">
                  <c:v>-155.63217228464421</c:v>
                </c:pt>
                <c:pt idx="65" formatCode="General">
                  <c:v>-156.49808988764045</c:v>
                </c:pt>
                <c:pt idx="66" formatCode="General">
                  <c:v>-157.34146816479401</c:v>
                </c:pt>
                <c:pt idx="67" formatCode="General">
                  <c:v>-158.10131835205993</c:v>
                </c:pt>
                <c:pt idx="68" formatCode="General">
                  <c:v>-158.86116853932586</c:v>
                </c:pt>
                <c:pt idx="69" formatCode="General">
                  <c:v>-159.62101872659179</c:v>
                </c:pt>
                <c:pt idx="70" formatCode="General">
                  <c:v>-160.38086891385768</c:v>
                </c:pt>
                <c:pt idx="71" formatCode="General">
                  <c:v>-161.14071910112361</c:v>
                </c:pt>
                <c:pt idx="72" formatCode="General">
                  <c:v>-161.90056928838953</c:v>
                </c:pt>
                <c:pt idx="73" formatCode="General">
                  <c:v>-162.66041947565543</c:v>
                </c:pt>
                <c:pt idx="74" formatCode="General">
                  <c:v>-163.42026966292136</c:v>
                </c:pt>
                <c:pt idx="75" formatCode="General">
                  <c:v>-164.18011985018728</c:v>
                </c:pt>
                <c:pt idx="76" formatCode="General">
                  <c:v>-164.93997003745321</c:v>
                </c:pt>
                <c:pt idx="77" formatCode="General">
                  <c:v>-165.6998202247191</c:v>
                </c:pt>
                <c:pt idx="78" formatCode="General">
                  <c:v>-166.45967041198503</c:v>
                </c:pt>
                <c:pt idx="79" formatCode="General">
                  <c:v>-167.21952059925096</c:v>
                </c:pt>
                <c:pt idx="80" formatCode="General">
                  <c:v>-167.97937078651688</c:v>
                </c:pt>
                <c:pt idx="81" formatCode="General">
                  <c:v>-168.73922097378278</c:v>
                </c:pt>
                <c:pt idx="82" formatCode="General">
                  <c:v>-169.4990711610487</c:v>
                </c:pt>
                <c:pt idx="83" formatCode="General">
                  <c:v>-170.1970720720721</c:v>
                </c:pt>
                <c:pt idx="84" formatCode="General">
                  <c:v>-170.83911411411412</c:v>
                </c:pt>
                <c:pt idx="85" formatCode="General">
                  <c:v>-171.48115615615617</c:v>
                </c:pt>
                <c:pt idx="86" formatCode="General">
                  <c:v>-172.12319819819822</c:v>
                </c:pt>
                <c:pt idx="87" formatCode="General">
                  <c:v>-19.85920792079208</c:v>
                </c:pt>
                <c:pt idx="88" formatCode="General">
                  <c:v>-19.871089108910891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6F8E-44D6-9842-8CC6ABD00D40}"/>
            </c:ext>
          </c:extLst>
        </c:ser>
        <c:ser>
          <c:idx val="53"/>
          <c:order val="54"/>
          <c:tx>
            <c:v>temp</c:v>
          </c:tx>
          <c:spPr>
            <a:ln>
              <a:solidFill>
                <a:schemeClr val="tx1"/>
              </a:solidFill>
            </a:ln>
          </c:spPr>
          <c:marker>
            <c:symbol val="none"/>
          </c:marker>
          <c:xVal>
            <c:numRef>
              <c:f>EVALUATION!$A$98:$A$99</c:f>
              <c:numCache>
                <c:formatCode>General</c:formatCode>
                <c:ptCount val="2"/>
                <c:pt idx="0">
                  <c:v>700</c:v>
                </c:pt>
                <c:pt idx="1">
                  <c:v>700</c:v>
                </c:pt>
              </c:numCache>
            </c:numRef>
          </c:xVal>
          <c:yVal>
            <c:numRef>
              <c:f>EVALUATION!$B$98:$B$99</c:f>
              <c:numCache>
                <c:formatCode>0</c:formatCode>
                <c:ptCount val="2"/>
                <c:pt idx="0">
                  <c:v>-184.14450450450451</c:v>
                </c:pt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6F8E-44D6-9842-8CC6ABD00D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38785983"/>
        <c:axId val="938775583"/>
        <c:extLst>
          <c:ext xmlns:c15="http://schemas.microsoft.com/office/drawing/2012/chart" uri="{02D57815-91ED-43cb-92C2-25804820EDAC}">
            <c15:filteredScatterSeries>
              <c15:ser>
                <c:idx val="0"/>
                <c:order val="0"/>
                <c:spPr>
                  <a:ln w="19050" cap="rnd">
                    <a:solidFill>
                      <a:srgbClr val="FF0000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306</c:v>
                      </c:pt>
                      <c:pt idx="1">
                        <c:v>314</c:v>
                      </c:pt>
                      <c:pt idx="2">
                        <c:v>322</c:v>
                      </c:pt>
                      <c:pt idx="3">
                        <c:v>330</c:v>
                      </c:pt>
                      <c:pt idx="4">
                        <c:v>338</c:v>
                      </c:pt>
                      <c:pt idx="5">
                        <c:v>346</c:v>
                      </c:pt>
                      <c:pt idx="6">
                        <c:v>354</c:v>
                      </c:pt>
                      <c:pt idx="7">
                        <c:v>362</c:v>
                      </c:pt>
                      <c:pt idx="8">
                        <c:v>370</c:v>
                      </c:pt>
                      <c:pt idx="9">
                        <c:v>378</c:v>
                      </c:pt>
                      <c:pt idx="10">
                        <c:v>386</c:v>
                      </c:pt>
                      <c:pt idx="11">
                        <c:v>394</c:v>
                      </c:pt>
                      <c:pt idx="12">
                        <c:v>402</c:v>
                      </c:pt>
                      <c:pt idx="13">
                        <c:v>410</c:v>
                      </c:pt>
                      <c:pt idx="14">
                        <c:v>418</c:v>
                      </c:pt>
                      <c:pt idx="15">
                        <c:v>426</c:v>
                      </c:pt>
                      <c:pt idx="16">
                        <c:v>434</c:v>
                      </c:pt>
                      <c:pt idx="17">
                        <c:v>442</c:v>
                      </c:pt>
                      <c:pt idx="18">
                        <c:v>450</c:v>
                      </c:pt>
                      <c:pt idx="19">
                        <c:v>458</c:v>
                      </c:pt>
                      <c:pt idx="20">
                        <c:v>466</c:v>
                      </c:pt>
                      <c:pt idx="21">
                        <c:v>474</c:v>
                      </c:pt>
                      <c:pt idx="22">
                        <c:v>482</c:v>
                      </c:pt>
                      <c:pt idx="23">
                        <c:v>490</c:v>
                      </c:pt>
                      <c:pt idx="24">
                        <c:v>498</c:v>
                      </c:pt>
                      <c:pt idx="25">
                        <c:v>506</c:v>
                      </c:pt>
                      <c:pt idx="26">
                        <c:v>514</c:v>
                      </c:pt>
                      <c:pt idx="27">
                        <c:v>522</c:v>
                      </c:pt>
                      <c:pt idx="28">
                        <c:v>530</c:v>
                      </c:pt>
                      <c:pt idx="29">
                        <c:v>538</c:v>
                      </c:pt>
                      <c:pt idx="30">
                        <c:v>546</c:v>
                      </c:pt>
                      <c:pt idx="31">
                        <c:v>554</c:v>
                      </c:pt>
                      <c:pt idx="32">
                        <c:v>562</c:v>
                      </c:pt>
                      <c:pt idx="33">
                        <c:v>570</c:v>
                      </c:pt>
                      <c:pt idx="34">
                        <c:v>578</c:v>
                      </c:pt>
                      <c:pt idx="35">
                        <c:v>586</c:v>
                      </c:pt>
                      <c:pt idx="36">
                        <c:v>594</c:v>
                      </c:pt>
                      <c:pt idx="37">
                        <c:v>602</c:v>
                      </c:pt>
                      <c:pt idx="38">
                        <c:v>610</c:v>
                      </c:pt>
                      <c:pt idx="39">
                        <c:v>618</c:v>
                      </c:pt>
                      <c:pt idx="40">
                        <c:v>626</c:v>
                      </c:pt>
                      <c:pt idx="41">
                        <c:v>634</c:v>
                      </c:pt>
                      <c:pt idx="42">
                        <c:v>642</c:v>
                      </c:pt>
                      <c:pt idx="43">
                        <c:v>650</c:v>
                      </c:pt>
                      <c:pt idx="44">
                        <c:v>658</c:v>
                      </c:pt>
                      <c:pt idx="45">
                        <c:v>666</c:v>
                      </c:pt>
                      <c:pt idx="46">
                        <c:v>674</c:v>
                      </c:pt>
                      <c:pt idx="47">
                        <c:v>682</c:v>
                      </c:pt>
                      <c:pt idx="48">
                        <c:v>690</c:v>
                      </c:pt>
                      <c:pt idx="49">
                        <c:v>698</c:v>
                      </c:pt>
                      <c:pt idx="50">
                        <c:v>706</c:v>
                      </c:pt>
                      <c:pt idx="51">
                        <c:v>714</c:v>
                      </c:pt>
                      <c:pt idx="52">
                        <c:v>722</c:v>
                      </c:pt>
                      <c:pt idx="53">
                        <c:v>730</c:v>
                      </c:pt>
                      <c:pt idx="54">
                        <c:v>738</c:v>
                      </c:pt>
                      <c:pt idx="55">
                        <c:v>746</c:v>
                      </c:pt>
                      <c:pt idx="56">
                        <c:v>754</c:v>
                      </c:pt>
                      <c:pt idx="57">
                        <c:v>762</c:v>
                      </c:pt>
                      <c:pt idx="58">
                        <c:v>770</c:v>
                      </c:pt>
                      <c:pt idx="59">
                        <c:v>778</c:v>
                      </c:pt>
                      <c:pt idx="60">
                        <c:v>786</c:v>
                      </c:pt>
                      <c:pt idx="61">
                        <c:v>794</c:v>
                      </c:pt>
                      <c:pt idx="62">
                        <c:v>802</c:v>
                      </c:pt>
                      <c:pt idx="63">
                        <c:v>810</c:v>
                      </c:pt>
                      <c:pt idx="64">
                        <c:v>818</c:v>
                      </c:pt>
                      <c:pt idx="65">
                        <c:v>826</c:v>
                      </c:pt>
                      <c:pt idx="66">
                        <c:v>834</c:v>
                      </c:pt>
                      <c:pt idx="67">
                        <c:v>842</c:v>
                      </c:pt>
                      <c:pt idx="68">
                        <c:v>850</c:v>
                      </c:pt>
                      <c:pt idx="69">
                        <c:v>858</c:v>
                      </c:pt>
                      <c:pt idx="70">
                        <c:v>866</c:v>
                      </c:pt>
                      <c:pt idx="71">
                        <c:v>874</c:v>
                      </c:pt>
                      <c:pt idx="72">
                        <c:v>882</c:v>
                      </c:pt>
                      <c:pt idx="73">
                        <c:v>890</c:v>
                      </c:pt>
                      <c:pt idx="74">
                        <c:v>898</c:v>
                      </c:pt>
                      <c:pt idx="75">
                        <c:v>906</c:v>
                      </c:pt>
                      <c:pt idx="76">
                        <c:v>914</c:v>
                      </c:pt>
                      <c:pt idx="77">
                        <c:v>922</c:v>
                      </c:pt>
                      <c:pt idx="78">
                        <c:v>930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EVALUATION!$B$101:$CP$101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-15.118108108108107</c:v>
                      </c:pt>
                      <c:pt idx="1">
                        <c:v>-14.88027027027027</c:v>
                      </c:pt>
                      <c:pt idx="2">
                        <c:v>-14.642432432432432</c:v>
                      </c:pt>
                      <c:pt idx="3">
                        <c:v>-14.404594594594593</c:v>
                      </c:pt>
                      <c:pt idx="4" formatCode="General">
                        <c:v>-13.959101796407184</c:v>
                      </c:pt>
                      <c:pt idx="5" formatCode="General">
                        <c:v>-13.46568862275449</c:v>
                      </c:pt>
                      <c:pt idx="6" formatCode="General">
                        <c:v>-12.972275449101796</c:v>
                      </c:pt>
                      <c:pt idx="7" formatCode="General">
                        <c:v>-12.478862275449101</c:v>
                      </c:pt>
                      <c:pt idx="8" formatCode="General">
                        <c:v>-11.950329341317365</c:v>
                      </c:pt>
                      <c:pt idx="9" formatCode="General">
                        <c:v>-11.40182634730539</c:v>
                      </c:pt>
                      <c:pt idx="10" formatCode="General">
                        <c:v>-10.853323353293414</c:v>
                      </c:pt>
                      <c:pt idx="11" formatCode="General">
                        <c:v>-10.304820359281438</c:v>
                      </c:pt>
                      <c:pt idx="12" formatCode="General">
                        <c:v>-9.7896616766467073</c:v>
                      </c:pt>
                      <c:pt idx="13" formatCode="General">
                        <c:v>-9.3132544910179647</c:v>
                      </c:pt>
                      <c:pt idx="14" formatCode="General">
                        <c:v>-8.836847305389222</c:v>
                      </c:pt>
                      <c:pt idx="15" formatCode="General">
                        <c:v>-8.3604401197604794</c:v>
                      </c:pt>
                      <c:pt idx="16" formatCode="General">
                        <c:v>-7.9011107784431145</c:v>
                      </c:pt>
                      <c:pt idx="17" formatCode="General">
                        <c:v>-7.4841047904191624</c:v>
                      </c:pt>
                      <c:pt idx="18" formatCode="General">
                        <c:v>-7.0670988023952104</c:v>
                      </c:pt>
                      <c:pt idx="19" formatCode="General">
                        <c:v>-6.6500928143712592</c:v>
                      </c:pt>
                      <c:pt idx="20" formatCode="General">
                        <c:v>-6.2383952095808395</c:v>
                      </c:pt>
                      <c:pt idx="21" formatCode="General">
                        <c:v>-5.8685748502994022</c:v>
                      </c:pt>
                      <c:pt idx="22" formatCode="General">
                        <c:v>-5.4987544910179649</c:v>
                      </c:pt>
                      <c:pt idx="23" formatCode="General">
                        <c:v>-5.1289341317365267</c:v>
                      </c:pt>
                      <c:pt idx="24" formatCode="General">
                        <c:v>-4.7591137724550894</c:v>
                      </c:pt>
                      <c:pt idx="25" formatCode="General">
                        <c:v>-4.6019909909909904</c:v>
                      </c:pt>
                      <c:pt idx="26" formatCode="General">
                        <c:v>-4.4590480480480474</c:v>
                      </c:pt>
                      <c:pt idx="27" formatCode="General">
                        <c:v>-4.3161051051051045</c:v>
                      </c:pt>
                      <c:pt idx="28" formatCode="General">
                        <c:v>-4.1731621621621615</c:v>
                      </c:pt>
                      <c:pt idx="29" formatCode="General">
                        <c:v>-4.1562215568862273</c:v>
                      </c:pt>
                      <c:pt idx="30" formatCode="General">
                        <c:v>-4.1758622754491022</c:v>
                      </c:pt>
                      <c:pt idx="31" formatCode="General">
                        <c:v>-4.1955029940119761</c:v>
                      </c:pt>
                      <c:pt idx="32" formatCode="General">
                        <c:v>-4.2151437125748501</c:v>
                      </c:pt>
                      <c:pt idx="33" formatCode="General">
                        <c:v>-4.2348562874251492</c:v>
                      </c:pt>
                      <c:pt idx="34" formatCode="General">
                        <c:v>-4.2546167664670653</c:v>
                      </c:pt>
                      <c:pt idx="35" formatCode="General">
                        <c:v>-4.2743772455089815</c:v>
                      </c:pt>
                      <c:pt idx="36" formatCode="General">
                        <c:v>-4.2941377245508976</c:v>
                      </c:pt>
                      <c:pt idx="37" formatCode="General">
                        <c:v>-4.3138982035928146</c:v>
                      </c:pt>
                      <c:pt idx="38" formatCode="General">
                        <c:v>-4.3336586826347308</c:v>
                      </c:pt>
                      <c:pt idx="39" formatCode="General">
                        <c:v>-4.3534191616766469</c:v>
                      </c:pt>
                      <c:pt idx="40" formatCode="General">
                        <c:v>-4.373179640718563</c:v>
                      </c:pt>
                      <c:pt idx="41" formatCode="General">
                        <c:v>-4.3929401197604792</c:v>
                      </c:pt>
                      <c:pt idx="42" formatCode="General">
                        <c:v>-4.4127005988023953</c:v>
                      </c:pt>
                      <c:pt idx="43" formatCode="General">
                        <c:v>-4.4324610778443114</c:v>
                      </c:pt>
                      <c:pt idx="44" formatCode="General">
                        <c:v>-4.4522215568862276</c:v>
                      </c:pt>
                      <c:pt idx="45" formatCode="General">
                        <c:v>-4.4719820359281437</c:v>
                      </c:pt>
                      <c:pt idx="46" formatCode="General">
                        <c:v>-4.4917425149700598</c:v>
                      </c:pt>
                      <c:pt idx="47" formatCode="General">
                        <c:v>-4.511502994011976</c:v>
                      </c:pt>
                      <c:pt idx="48" formatCode="General">
                        <c:v>-4.5312634730538921</c:v>
                      </c:pt>
                      <c:pt idx="49" formatCode="General">
                        <c:v>-4.5510239520958082</c:v>
                      </c:pt>
                      <c:pt idx="50" formatCode="General">
                        <c:v>-4.5702584269662925</c:v>
                      </c:pt>
                      <c:pt idx="51" formatCode="General">
                        <c:v>-4.5894344569288394</c:v>
                      </c:pt>
                      <c:pt idx="52" formatCode="General">
                        <c:v>-4.6086104868913855</c:v>
                      </c:pt>
                      <c:pt idx="53" formatCode="General">
                        <c:v>-4.6277865168539325</c:v>
                      </c:pt>
                      <c:pt idx="54" formatCode="General">
                        <c:v>-4.6469625468164795</c:v>
                      </c:pt>
                      <c:pt idx="55" formatCode="General">
                        <c:v>-4.6661385767790264</c:v>
                      </c:pt>
                      <c:pt idx="56" formatCode="General">
                        <c:v>-4.6853146067415734</c:v>
                      </c:pt>
                      <c:pt idx="57" formatCode="General">
                        <c:v>-4.7044906367041204</c:v>
                      </c:pt>
                      <c:pt idx="58" formatCode="General">
                        <c:v>-4.7236666666666665</c:v>
                      </c:pt>
                      <c:pt idx="59" formatCode="General">
                        <c:v>-4.7428426966292134</c:v>
                      </c:pt>
                      <c:pt idx="60" formatCode="General">
                        <c:v>-4.7620187265917604</c:v>
                      </c:pt>
                      <c:pt idx="61" formatCode="General">
                        <c:v>-4.7811947565543074</c:v>
                      </c:pt>
                      <c:pt idx="62" formatCode="General">
                        <c:v>-4.8003707865168543</c:v>
                      </c:pt>
                      <c:pt idx="63" formatCode="General">
                        <c:v>-4.8195468164794013</c:v>
                      </c:pt>
                      <c:pt idx="64" formatCode="General">
                        <c:v>-4.8387228464419483</c:v>
                      </c:pt>
                      <c:pt idx="65" formatCode="General">
                        <c:v>-4.8578988764044944</c:v>
                      </c:pt>
                      <c:pt idx="66" formatCode="General">
                        <c:v>-4.8768456928838955</c:v>
                      </c:pt>
                      <c:pt idx="67" formatCode="General">
                        <c:v>-4.8949430711610491</c:v>
                      </c:pt>
                      <c:pt idx="68" formatCode="General">
                        <c:v>-4.9130404494382027</c:v>
                      </c:pt>
                      <c:pt idx="69" formatCode="General">
                        <c:v>-4.9311378277153564</c:v>
                      </c:pt>
                      <c:pt idx="70" formatCode="General">
                        <c:v>-4.94923520599251</c:v>
                      </c:pt>
                      <c:pt idx="71" formatCode="General">
                        <c:v>-4.9673325842696627</c:v>
                      </c:pt>
                      <c:pt idx="72" formatCode="General">
                        <c:v>-4.9854299625468164</c:v>
                      </c:pt>
                      <c:pt idx="73" formatCode="General">
                        <c:v>-5.00352734082397</c:v>
                      </c:pt>
                      <c:pt idx="74" formatCode="General">
                        <c:v>-5.0216247191011236</c:v>
                      </c:pt>
                      <c:pt idx="75" formatCode="General">
                        <c:v>-5.0397220973782773</c:v>
                      </c:pt>
                      <c:pt idx="76" formatCode="General">
                        <c:v>-5.0578194756554309</c:v>
                      </c:pt>
                      <c:pt idx="77" formatCode="General">
                        <c:v>-5.0759168539325845</c:v>
                      </c:pt>
                      <c:pt idx="78" formatCode="General">
                        <c:v>-5.0940142322097381</c:v>
                      </c:pt>
                      <c:pt idx="79" formatCode="General">
                        <c:v>-5.1121116104868918</c:v>
                      </c:pt>
                      <c:pt idx="80" formatCode="General">
                        <c:v>-5.1302089887640445</c:v>
                      </c:pt>
                      <c:pt idx="81" formatCode="General">
                        <c:v>-5.1483063670411982</c:v>
                      </c:pt>
                      <c:pt idx="82" formatCode="General">
                        <c:v>-5.1664037453183518</c:v>
                      </c:pt>
                      <c:pt idx="83" formatCode="General">
                        <c:v>-5.1840538922155686</c:v>
                      </c:pt>
                      <c:pt idx="84" formatCode="General">
                        <c:v>-5.2012994011976046</c:v>
                      </c:pt>
                      <c:pt idx="85" formatCode="General">
                        <c:v>-5.2185449101796406</c:v>
                      </c:pt>
                      <c:pt idx="86" formatCode="General">
                        <c:v>-5.2357904191616766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3-6F8E-44D6-9842-8CC6ABD00D40}"/>
                  </c:ext>
                </c:extLst>
              </c15:ser>
            </c15:filteredScatterSeries>
            <c15:filteredScatterSeries>
              <c15:ser>
                <c:idx val="39"/>
                <c:order val="1"/>
                <c:spPr>
                  <a:ln w="19050" cap="rnd">
                    <a:solidFill>
                      <a:srgbClr val="FF0000"/>
                    </a:solidFill>
                    <a:prstDash val="sysDash"/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306</c:v>
                      </c:pt>
                      <c:pt idx="1">
                        <c:v>314</c:v>
                      </c:pt>
                      <c:pt idx="2">
                        <c:v>322</c:v>
                      </c:pt>
                      <c:pt idx="3">
                        <c:v>330</c:v>
                      </c:pt>
                      <c:pt idx="4">
                        <c:v>338</c:v>
                      </c:pt>
                      <c:pt idx="5">
                        <c:v>346</c:v>
                      </c:pt>
                      <c:pt idx="6">
                        <c:v>354</c:v>
                      </c:pt>
                      <c:pt idx="7">
                        <c:v>362</c:v>
                      </c:pt>
                      <c:pt idx="8">
                        <c:v>370</c:v>
                      </c:pt>
                      <c:pt idx="9">
                        <c:v>378</c:v>
                      </c:pt>
                      <c:pt idx="10">
                        <c:v>386</c:v>
                      </c:pt>
                      <c:pt idx="11">
                        <c:v>394</c:v>
                      </c:pt>
                      <c:pt idx="12">
                        <c:v>402</c:v>
                      </c:pt>
                      <c:pt idx="13">
                        <c:v>410</c:v>
                      </c:pt>
                      <c:pt idx="14">
                        <c:v>418</c:v>
                      </c:pt>
                      <c:pt idx="15">
                        <c:v>426</c:v>
                      </c:pt>
                      <c:pt idx="16">
                        <c:v>434</c:v>
                      </c:pt>
                      <c:pt idx="17">
                        <c:v>442</c:v>
                      </c:pt>
                      <c:pt idx="18">
                        <c:v>450</c:v>
                      </c:pt>
                      <c:pt idx="19">
                        <c:v>458</c:v>
                      </c:pt>
                      <c:pt idx="20">
                        <c:v>466</c:v>
                      </c:pt>
                      <c:pt idx="21">
                        <c:v>474</c:v>
                      </c:pt>
                      <c:pt idx="22">
                        <c:v>482</c:v>
                      </c:pt>
                      <c:pt idx="23">
                        <c:v>490</c:v>
                      </c:pt>
                      <c:pt idx="24">
                        <c:v>498</c:v>
                      </c:pt>
                      <c:pt idx="25">
                        <c:v>506</c:v>
                      </c:pt>
                      <c:pt idx="26">
                        <c:v>514</c:v>
                      </c:pt>
                      <c:pt idx="27">
                        <c:v>522</c:v>
                      </c:pt>
                      <c:pt idx="28">
                        <c:v>530</c:v>
                      </c:pt>
                      <c:pt idx="29">
                        <c:v>538</c:v>
                      </c:pt>
                      <c:pt idx="30">
                        <c:v>546</c:v>
                      </c:pt>
                      <c:pt idx="31">
                        <c:v>554</c:v>
                      </c:pt>
                      <c:pt idx="32">
                        <c:v>562</c:v>
                      </c:pt>
                      <c:pt idx="33">
                        <c:v>570</c:v>
                      </c:pt>
                      <c:pt idx="34">
                        <c:v>578</c:v>
                      </c:pt>
                      <c:pt idx="35">
                        <c:v>586</c:v>
                      </c:pt>
                      <c:pt idx="36">
                        <c:v>594</c:v>
                      </c:pt>
                      <c:pt idx="37">
                        <c:v>602</c:v>
                      </c:pt>
                      <c:pt idx="38">
                        <c:v>610</c:v>
                      </c:pt>
                      <c:pt idx="39">
                        <c:v>618</c:v>
                      </c:pt>
                      <c:pt idx="40">
                        <c:v>626</c:v>
                      </c:pt>
                      <c:pt idx="41">
                        <c:v>634</c:v>
                      </c:pt>
                      <c:pt idx="42">
                        <c:v>642</c:v>
                      </c:pt>
                      <c:pt idx="43">
                        <c:v>650</c:v>
                      </c:pt>
                      <c:pt idx="44">
                        <c:v>658</c:v>
                      </c:pt>
                      <c:pt idx="45">
                        <c:v>666</c:v>
                      </c:pt>
                      <c:pt idx="46">
                        <c:v>674</c:v>
                      </c:pt>
                      <c:pt idx="47">
                        <c:v>682</c:v>
                      </c:pt>
                      <c:pt idx="48">
                        <c:v>690</c:v>
                      </c:pt>
                      <c:pt idx="49">
                        <c:v>698</c:v>
                      </c:pt>
                      <c:pt idx="50">
                        <c:v>706</c:v>
                      </c:pt>
                      <c:pt idx="51">
                        <c:v>714</c:v>
                      </c:pt>
                      <c:pt idx="52">
                        <c:v>722</c:v>
                      </c:pt>
                      <c:pt idx="53">
                        <c:v>730</c:v>
                      </c:pt>
                      <c:pt idx="54">
                        <c:v>738</c:v>
                      </c:pt>
                      <c:pt idx="55">
                        <c:v>746</c:v>
                      </c:pt>
                      <c:pt idx="56">
                        <c:v>754</c:v>
                      </c:pt>
                      <c:pt idx="57">
                        <c:v>762</c:v>
                      </c:pt>
                      <c:pt idx="58">
                        <c:v>770</c:v>
                      </c:pt>
                      <c:pt idx="59">
                        <c:v>778</c:v>
                      </c:pt>
                      <c:pt idx="60">
                        <c:v>786</c:v>
                      </c:pt>
                      <c:pt idx="61">
                        <c:v>794</c:v>
                      </c:pt>
                      <c:pt idx="62">
                        <c:v>802</c:v>
                      </c:pt>
                      <c:pt idx="63">
                        <c:v>810</c:v>
                      </c:pt>
                      <c:pt idx="64">
                        <c:v>818</c:v>
                      </c:pt>
                      <c:pt idx="65">
                        <c:v>826</c:v>
                      </c:pt>
                      <c:pt idx="66">
                        <c:v>834</c:v>
                      </c:pt>
                      <c:pt idx="67">
                        <c:v>842</c:v>
                      </c:pt>
                      <c:pt idx="68">
                        <c:v>850</c:v>
                      </c:pt>
                      <c:pt idx="69">
                        <c:v>858</c:v>
                      </c:pt>
                      <c:pt idx="70">
                        <c:v>866</c:v>
                      </c:pt>
                      <c:pt idx="71">
                        <c:v>874</c:v>
                      </c:pt>
                      <c:pt idx="72">
                        <c:v>882</c:v>
                      </c:pt>
                      <c:pt idx="73">
                        <c:v>890</c:v>
                      </c:pt>
                      <c:pt idx="74">
                        <c:v>898</c:v>
                      </c:pt>
                      <c:pt idx="75">
                        <c:v>906</c:v>
                      </c:pt>
                      <c:pt idx="76">
                        <c:v>914</c:v>
                      </c:pt>
                      <c:pt idx="77">
                        <c:v>922</c:v>
                      </c:pt>
                      <c:pt idx="78">
                        <c:v>930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EVALUATION!$B$102:$CP$102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-15.118108108108107</c:v>
                      </c:pt>
                      <c:pt idx="1">
                        <c:v>-14.88027027027027</c:v>
                      </c:pt>
                      <c:pt idx="2">
                        <c:v>-14.642432432432432</c:v>
                      </c:pt>
                      <c:pt idx="3">
                        <c:v>-14.404594594594593</c:v>
                      </c:pt>
                      <c:pt idx="4" formatCode="General">
                        <c:v>-13.959101796407184</c:v>
                      </c:pt>
                      <c:pt idx="5" formatCode="General">
                        <c:v>-13.46568862275449</c:v>
                      </c:pt>
                      <c:pt idx="6" formatCode="General">
                        <c:v>-12.972275449101796</c:v>
                      </c:pt>
                      <c:pt idx="7" formatCode="General">
                        <c:v>-12.478862275449101</c:v>
                      </c:pt>
                      <c:pt idx="8" formatCode="General">
                        <c:v>-11.950329341317365</c:v>
                      </c:pt>
                      <c:pt idx="9" formatCode="General">
                        <c:v>-11.40182634730539</c:v>
                      </c:pt>
                      <c:pt idx="10" formatCode="General">
                        <c:v>-10.853323353293414</c:v>
                      </c:pt>
                      <c:pt idx="11" formatCode="General">
                        <c:v>-10.304820359281438</c:v>
                      </c:pt>
                      <c:pt idx="12" formatCode="General">
                        <c:v>-9.7896616766467073</c:v>
                      </c:pt>
                      <c:pt idx="13" formatCode="General">
                        <c:v>-9.3132544910179647</c:v>
                      </c:pt>
                      <c:pt idx="14" formatCode="General">
                        <c:v>-8.836847305389222</c:v>
                      </c:pt>
                      <c:pt idx="15" formatCode="General">
                        <c:v>-8.3604401197604794</c:v>
                      </c:pt>
                      <c:pt idx="16" formatCode="General">
                        <c:v>-7.9011107784431145</c:v>
                      </c:pt>
                      <c:pt idx="17" formatCode="General">
                        <c:v>-7.4841047904191624</c:v>
                      </c:pt>
                      <c:pt idx="18" formatCode="General">
                        <c:v>-7.0670988023952104</c:v>
                      </c:pt>
                      <c:pt idx="19" formatCode="General">
                        <c:v>-6.6500928143712592</c:v>
                      </c:pt>
                      <c:pt idx="20" formatCode="General">
                        <c:v>-6.2383952095808395</c:v>
                      </c:pt>
                      <c:pt idx="21" formatCode="General">
                        <c:v>-5.8685748502994022</c:v>
                      </c:pt>
                      <c:pt idx="22" formatCode="General">
                        <c:v>-5.4987544910179649</c:v>
                      </c:pt>
                      <c:pt idx="23" formatCode="General">
                        <c:v>-5.1289341317365267</c:v>
                      </c:pt>
                      <c:pt idx="24" formatCode="General">
                        <c:v>-4.7591137724550894</c:v>
                      </c:pt>
                      <c:pt idx="25" formatCode="General">
                        <c:v>-4.6019909909909904</c:v>
                      </c:pt>
                      <c:pt idx="26" formatCode="General">
                        <c:v>-4.4590480480480474</c:v>
                      </c:pt>
                      <c:pt idx="27" formatCode="General">
                        <c:v>-4.3161051051051045</c:v>
                      </c:pt>
                      <c:pt idx="28" formatCode="General">
                        <c:v>-4.1731621621621615</c:v>
                      </c:pt>
                      <c:pt idx="29" formatCode="General">
                        <c:v>-4.1562215568862273</c:v>
                      </c:pt>
                      <c:pt idx="30" formatCode="General">
                        <c:v>-4.1758622754491022</c:v>
                      </c:pt>
                      <c:pt idx="31" formatCode="General">
                        <c:v>-4.1955029940119761</c:v>
                      </c:pt>
                      <c:pt idx="32" formatCode="General">
                        <c:v>-4.2151437125748501</c:v>
                      </c:pt>
                      <c:pt idx="33" formatCode="General">
                        <c:v>-4.2348562874251492</c:v>
                      </c:pt>
                      <c:pt idx="34" formatCode="General">
                        <c:v>-4.2546167664670653</c:v>
                      </c:pt>
                      <c:pt idx="35" formatCode="General">
                        <c:v>-4.2743772455089815</c:v>
                      </c:pt>
                      <c:pt idx="36" formatCode="General">
                        <c:v>-4.2941377245508976</c:v>
                      </c:pt>
                      <c:pt idx="37" formatCode="General">
                        <c:v>-4.3138982035928146</c:v>
                      </c:pt>
                      <c:pt idx="38" formatCode="General">
                        <c:v>-4.3336586826347308</c:v>
                      </c:pt>
                      <c:pt idx="39" formatCode="General">
                        <c:v>-4.3534191616766469</c:v>
                      </c:pt>
                      <c:pt idx="40" formatCode="General">
                        <c:v>-4.373179640718563</c:v>
                      </c:pt>
                      <c:pt idx="41" formatCode="General">
                        <c:v>-4.3929401197604792</c:v>
                      </c:pt>
                      <c:pt idx="42" formatCode="General">
                        <c:v>-4.4127005988023953</c:v>
                      </c:pt>
                      <c:pt idx="43" formatCode="General">
                        <c:v>-4.4324610778443114</c:v>
                      </c:pt>
                      <c:pt idx="44" formatCode="General">
                        <c:v>-4.4522215568862276</c:v>
                      </c:pt>
                      <c:pt idx="45" formatCode="General">
                        <c:v>-4.4719820359281437</c:v>
                      </c:pt>
                      <c:pt idx="46" formatCode="General">
                        <c:v>-4.4917425149700598</c:v>
                      </c:pt>
                      <c:pt idx="47" formatCode="General">
                        <c:v>-4.511502994011976</c:v>
                      </c:pt>
                      <c:pt idx="48" formatCode="General">
                        <c:v>-4.5312634730538921</c:v>
                      </c:pt>
                      <c:pt idx="49" formatCode="General">
                        <c:v>-4.5510239520958082</c:v>
                      </c:pt>
                      <c:pt idx="50" formatCode="General">
                        <c:v>-4.5702584269662925</c:v>
                      </c:pt>
                      <c:pt idx="51" formatCode="General">
                        <c:v>-4.5894344569288394</c:v>
                      </c:pt>
                      <c:pt idx="52" formatCode="General">
                        <c:v>-4.6086104868913855</c:v>
                      </c:pt>
                      <c:pt idx="53" formatCode="General">
                        <c:v>-4.6277865168539325</c:v>
                      </c:pt>
                      <c:pt idx="54" formatCode="General">
                        <c:v>-4.6469625468164795</c:v>
                      </c:pt>
                      <c:pt idx="55" formatCode="General">
                        <c:v>-4.6661385767790264</c:v>
                      </c:pt>
                      <c:pt idx="56" formatCode="General">
                        <c:v>-4.6853146067415734</c:v>
                      </c:pt>
                      <c:pt idx="57" formatCode="General">
                        <c:v>-4.7044906367041204</c:v>
                      </c:pt>
                      <c:pt idx="58" formatCode="General">
                        <c:v>-4.7236666666666665</c:v>
                      </c:pt>
                      <c:pt idx="59" formatCode="General">
                        <c:v>-4.7428426966292134</c:v>
                      </c:pt>
                      <c:pt idx="60" formatCode="General">
                        <c:v>-4.7620187265917604</c:v>
                      </c:pt>
                      <c:pt idx="61" formatCode="General">
                        <c:v>-4.7811947565543074</c:v>
                      </c:pt>
                      <c:pt idx="62" formatCode="General">
                        <c:v>-4.8003707865168543</c:v>
                      </c:pt>
                      <c:pt idx="63" formatCode="General">
                        <c:v>-4.8195468164794013</c:v>
                      </c:pt>
                      <c:pt idx="64" formatCode="General">
                        <c:v>-4.8387228464419483</c:v>
                      </c:pt>
                      <c:pt idx="65" formatCode="General">
                        <c:v>-4.8578988764044944</c:v>
                      </c:pt>
                      <c:pt idx="66" formatCode="General">
                        <c:v>-4.8768456928838955</c:v>
                      </c:pt>
                      <c:pt idx="67" formatCode="General">
                        <c:v>-4.8949430711610491</c:v>
                      </c:pt>
                      <c:pt idx="68" formatCode="General">
                        <c:v>-4.9130404494382027</c:v>
                      </c:pt>
                      <c:pt idx="69" formatCode="General">
                        <c:v>-4.9311378277153564</c:v>
                      </c:pt>
                      <c:pt idx="70" formatCode="General">
                        <c:v>-4.94923520599251</c:v>
                      </c:pt>
                      <c:pt idx="71" formatCode="General">
                        <c:v>-4.9673325842696627</c:v>
                      </c:pt>
                      <c:pt idx="72" formatCode="General">
                        <c:v>-4.9854299625468164</c:v>
                      </c:pt>
                      <c:pt idx="73" formatCode="General">
                        <c:v>-5.00352734082397</c:v>
                      </c:pt>
                      <c:pt idx="74" formatCode="General">
                        <c:v>-5.0216247191011236</c:v>
                      </c:pt>
                      <c:pt idx="75" formatCode="General">
                        <c:v>-5.0397220973782773</c:v>
                      </c:pt>
                      <c:pt idx="76" formatCode="General">
                        <c:v>-5.0578194756554309</c:v>
                      </c:pt>
                      <c:pt idx="77" formatCode="General">
                        <c:v>-5.0759168539325845</c:v>
                      </c:pt>
                      <c:pt idx="78" formatCode="General">
                        <c:v>-5.0940142322097381</c:v>
                      </c:pt>
                      <c:pt idx="79" formatCode="General">
                        <c:v>-5.1121116104868918</c:v>
                      </c:pt>
                      <c:pt idx="80" formatCode="General">
                        <c:v>-5.1302089887640445</c:v>
                      </c:pt>
                      <c:pt idx="81" formatCode="General">
                        <c:v>-5.1483063670411982</c:v>
                      </c:pt>
                      <c:pt idx="82" formatCode="General">
                        <c:v>-5.1664037453183518</c:v>
                      </c:pt>
                      <c:pt idx="83" formatCode="General">
                        <c:v>-5.1840538922155686</c:v>
                      </c:pt>
                      <c:pt idx="84" formatCode="General">
                        <c:v>-5.2012994011976046</c:v>
                      </c:pt>
                      <c:pt idx="85" formatCode="General">
                        <c:v>-5.2185449101796406</c:v>
                      </c:pt>
                      <c:pt idx="86" formatCode="General">
                        <c:v>-5.2357904191616766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4-6F8E-44D6-9842-8CC6ABD00D40}"/>
                  </c:ext>
                </c:extLst>
              </c15:ser>
            </c15:filteredScatterSeries>
            <c15:filteredScatterSeries>
              <c15:ser>
                <c:idx val="54"/>
                <c:order val="2"/>
                <c:spPr>
                  <a:ln w="19050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none"/>
                </c:marker>
                <c:dPt>
                  <c:idx val="1"/>
                  <c:bubble3D val="0"/>
                  <c:spPr>
                    <a:ln w="19050" cap="rnd">
                      <a:solidFill>
                        <a:schemeClr val="tx1"/>
                      </a:solidFill>
                      <a:round/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06-6F8E-44D6-9842-8CC6ABD00D40}"/>
                    </c:ext>
                  </c:extLst>
                </c:dPt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306</c:v>
                      </c:pt>
                      <c:pt idx="1">
                        <c:v>314</c:v>
                      </c:pt>
                      <c:pt idx="2">
                        <c:v>322</c:v>
                      </c:pt>
                      <c:pt idx="3">
                        <c:v>330</c:v>
                      </c:pt>
                      <c:pt idx="4">
                        <c:v>338</c:v>
                      </c:pt>
                      <c:pt idx="5">
                        <c:v>346</c:v>
                      </c:pt>
                      <c:pt idx="6">
                        <c:v>354</c:v>
                      </c:pt>
                      <c:pt idx="7">
                        <c:v>362</c:v>
                      </c:pt>
                      <c:pt idx="8">
                        <c:v>370</c:v>
                      </c:pt>
                      <c:pt idx="9">
                        <c:v>378</c:v>
                      </c:pt>
                      <c:pt idx="10">
                        <c:v>386</c:v>
                      </c:pt>
                      <c:pt idx="11">
                        <c:v>394</c:v>
                      </c:pt>
                      <c:pt idx="12">
                        <c:v>402</c:v>
                      </c:pt>
                      <c:pt idx="13">
                        <c:v>410</c:v>
                      </c:pt>
                      <c:pt idx="14">
                        <c:v>418</c:v>
                      </c:pt>
                      <c:pt idx="15">
                        <c:v>426</c:v>
                      </c:pt>
                      <c:pt idx="16">
                        <c:v>434</c:v>
                      </c:pt>
                      <c:pt idx="17">
                        <c:v>442</c:v>
                      </c:pt>
                      <c:pt idx="18">
                        <c:v>450</c:v>
                      </c:pt>
                      <c:pt idx="19">
                        <c:v>458</c:v>
                      </c:pt>
                      <c:pt idx="20">
                        <c:v>466</c:v>
                      </c:pt>
                      <c:pt idx="21">
                        <c:v>474</c:v>
                      </c:pt>
                      <c:pt idx="22">
                        <c:v>482</c:v>
                      </c:pt>
                      <c:pt idx="23">
                        <c:v>490</c:v>
                      </c:pt>
                      <c:pt idx="24">
                        <c:v>498</c:v>
                      </c:pt>
                      <c:pt idx="25">
                        <c:v>506</c:v>
                      </c:pt>
                      <c:pt idx="26">
                        <c:v>514</c:v>
                      </c:pt>
                      <c:pt idx="27">
                        <c:v>522</c:v>
                      </c:pt>
                      <c:pt idx="28">
                        <c:v>530</c:v>
                      </c:pt>
                      <c:pt idx="29">
                        <c:v>538</c:v>
                      </c:pt>
                      <c:pt idx="30">
                        <c:v>546</c:v>
                      </c:pt>
                      <c:pt idx="31">
                        <c:v>554</c:v>
                      </c:pt>
                      <c:pt idx="32">
                        <c:v>562</c:v>
                      </c:pt>
                      <c:pt idx="33">
                        <c:v>570</c:v>
                      </c:pt>
                      <c:pt idx="34">
                        <c:v>578</c:v>
                      </c:pt>
                      <c:pt idx="35">
                        <c:v>586</c:v>
                      </c:pt>
                      <c:pt idx="36">
                        <c:v>594</c:v>
                      </c:pt>
                      <c:pt idx="37">
                        <c:v>602</c:v>
                      </c:pt>
                      <c:pt idx="38">
                        <c:v>610</c:v>
                      </c:pt>
                      <c:pt idx="39">
                        <c:v>618</c:v>
                      </c:pt>
                      <c:pt idx="40">
                        <c:v>626</c:v>
                      </c:pt>
                      <c:pt idx="41">
                        <c:v>634</c:v>
                      </c:pt>
                      <c:pt idx="42">
                        <c:v>642</c:v>
                      </c:pt>
                      <c:pt idx="43">
                        <c:v>650</c:v>
                      </c:pt>
                      <c:pt idx="44">
                        <c:v>658</c:v>
                      </c:pt>
                      <c:pt idx="45">
                        <c:v>666</c:v>
                      </c:pt>
                      <c:pt idx="46">
                        <c:v>674</c:v>
                      </c:pt>
                      <c:pt idx="47">
                        <c:v>682</c:v>
                      </c:pt>
                      <c:pt idx="48">
                        <c:v>690</c:v>
                      </c:pt>
                      <c:pt idx="49">
                        <c:v>698</c:v>
                      </c:pt>
                      <c:pt idx="50">
                        <c:v>706</c:v>
                      </c:pt>
                      <c:pt idx="51">
                        <c:v>714</c:v>
                      </c:pt>
                      <c:pt idx="52">
                        <c:v>722</c:v>
                      </c:pt>
                      <c:pt idx="53">
                        <c:v>730</c:v>
                      </c:pt>
                      <c:pt idx="54">
                        <c:v>738</c:v>
                      </c:pt>
                      <c:pt idx="55">
                        <c:v>746</c:v>
                      </c:pt>
                      <c:pt idx="56">
                        <c:v>754</c:v>
                      </c:pt>
                      <c:pt idx="57">
                        <c:v>762</c:v>
                      </c:pt>
                      <c:pt idx="58">
                        <c:v>770</c:v>
                      </c:pt>
                      <c:pt idx="59">
                        <c:v>778</c:v>
                      </c:pt>
                      <c:pt idx="60">
                        <c:v>786</c:v>
                      </c:pt>
                      <c:pt idx="61">
                        <c:v>794</c:v>
                      </c:pt>
                      <c:pt idx="62">
                        <c:v>802</c:v>
                      </c:pt>
                      <c:pt idx="63">
                        <c:v>810</c:v>
                      </c:pt>
                      <c:pt idx="64">
                        <c:v>818</c:v>
                      </c:pt>
                      <c:pt idx="65">
                        <c:v>826</c:v>
                      </c:pt>
                      <c:pt idx="66">
                        <c:v>834</c:v>
                      </c:pt>
                      <c:pt idx="67">
                        <c:v>842</c:v>
                      </c:pt>
                      <c:pt idx="68">
                        <c:v>850</c:v>
                      </c:pt>
                      <c:pt idx="69">
                        <c:v>858</c:v>
                      </c:pt>
                      <c:pt idx="70">
                        <c:v>866</c:v>
                      </c:pt>
                      <c:pt idx="71">
                        <c:v>874</c:v>
                      </c:pt>
                      <c:pt idx="72">
                        <c:v>882</c:v>
                      </c:pt>
                      <c:pt idx="73">
                        <c:v>890</c:v>
                      </c:pt>
                      <c:pt idx="74">
                        <c:v>898</c:v>
                      </c:pt>
                      <c:pt idx="75">
                        <c:v>906</c:v>
                      </c:pt>
                      <c:pt idx="76">
                        <c:v>914</c:v>
                      </c:pt>
                      <c:pt idx="77">
                        <c:v>922</c:v>
                      </c:pt>
                      <c:pt idx="78">
                        <c:v>930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EVALUATION!$B$103:$CP$103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-36.591171171171169</c:v>
                      </c:pt>
                      <c:pt idx="1">
                        <c:v>-35.925705705705703</c:v>
                      </c:pt>
                      <c:pt idx="2">
                        <c:v>-35.260240240240236</c:v>
                      </c:pt>
                      <c:pt idx="3">
                        <c:v>-34.594774774774777</c:v>
                      </c:pt>
                      <c:pt idx="4" formatCode="General">
                        <c:v>-34.041856287425148</c:v>
                      </c:pt>
                      <c:pt idx="5" formatCode="General">
                        <c:v>-33.514910179640715</c:v>
                      </c:pt>
                      <c:pt idx="6" formatCode="General">
                        <c:v>-32.987964071856283</c:v>
                      </c:pt>
                      <c:pt idx="7" formatCode="General">
                        <c:v>-32.46101796407185</c:v>
                      </c:pt>
                      <c:pt idx="8" formatCode="General">
                        <c:v>-31.996676646706582</c:v>
                      </c:pt>
                      <c:pt idx="9" formatCode="General">
                        <c:v>-31.567934131736521</c:v>
                      </c:pt>
                      <c:pt idx="10" formatCode="General">
                        <c:v>-31.139191616766464</c:v>
                      </c:pt>
                      <c:pt idx="11" formatCode="General">
                        <c:v>-30.710449101796403</c:v>
                      </c:pt>
                      <c:pt idx="12" formatCode="General">
                        <c:v>-30.316158682634729</c:v>
                      </c:pt>
                      <c:pt idx="13" formatCode="General">
                        <c:v>-29.961907185628743</c:v>
                      </c:pt>
                      <c:pt idx="14" formatCode="General">
                        <c:v>-29.607655688622753</c:v>
                      </c:pt>
                      <c:pt idx="15" formatCode="General">
                        <c:v>-29.253404191616767</c:v>
                      </c:pt>
                      <c:pt idx="16" formatCode="General">
                        <c:v>-28.916230538922157</c:v>
                      </c:pt>
                      <c:pt idx="17" formatCode="General">
                        <c:v>-28.62138023952096</c:v>
                      </c:pt>
                      <c:pt idx="18" formatCode="General">
                        <c:v>-28.326529940119762</c:v>
                      </c:pt>
                      <c:pt idx="19" formatCode="General">
                        <c:v>-28.031679640718565</c:v>
                      </c:pt>
                      <c:pt idx="20" formatCode="General">
                        <c:v>-27.742407185628743</c:v>
                      </c:pt>
                      <c:pt idx="21" formatCode="General">
                        <c:v>-27.4971377245509</c:v>
                      </c:pt>
                      <c:pt idx="22" formatCode="General">
                        <c:v>-27.251868263473057</c:v>
                      </c:pt>
                      <c:pt idx="23" formatCode="General">
                        <c:v>-27.00659880239521</c:v>
                      </c:pt>
                      <c:pt idx="24" formatCode="General">
                        <c:v>-26.761329341317367</c:v>
                      </c:pt>
                      <c:pt idx="25" formatCode="General">
                        <c:v>-26.724603603603605</c:v>
                      </c:pt>
                      <c:pt idx="26" formatCode="General">
                        <c:v>-26.701780780780783</c:v>
                      </c:pt>
                      <c:pt idx="27" formatCode="General">
                        <c:v>-26.678957957957962</c:v>
                      </c:pt>
                      <c:pt idx="28" formatCode="General">
                        <c:v>-26.656135135135138</c:v>
                      </c:pt>
                      <c:pt idx="29" formatCode="General">
                        <c:v>-26.760892215568866</c:v>
                      </c:pt>
                      <c:pt idx="30" formatCode="General">
                        <c:v>-26.902688622754493</c:v>
                      </c:pt>
                      <c:pt idx="31" formatCode="General">
                        <c:v>-27.04448502994012</c:v>
                      </c:pt>
                      <c:pt idx="32" formatCode="General">
                        <c:v>-27.186281437125746</c:v>
                      </c:pt>
                      <c:pt idx="33" formatCode="General">
                        <c:v>-27.324556886227544</c:v>
                      </c:pt>
                      <c:pt idx="34" formatCode="General">
                        <c:v>-27.460485029940116</c:v>
                      </c:pt>
                      <c:pt idx="35" formatCode="General">
                        <c:v>-27.596413173652692</c:v>
                      </c:pt>
                      <c:pt idx="36" formatCode="General">
                        <c:v>-27.732341317365268</c:v>
                      </c:pt>
                      <c:pt idx="37" formatCode="General">
                        <c:v>-27.868269461077844</c:v>
                      </c:pt>
                      <c:pt idx="38" formatCode="General">
                        <c:v>-28.00419760479042</c:v>
                      </c:pt>
                      <c:pt idx="39" formatCode="General">
                        <c:v>-28.140125748502992</c:v>
                      </c:pt>
                      <c:pt idx="40" formatCode="General">
                        <c:v>-28.276053892215568</c:v>
                      </c:pt>
                      <c:pt idx="41" formatCode="General">
                        <c:v>-28.411982035928144</c:v>
                      </c:pt>
                      <c:pt idx="42" formatCode="General">
                        <c:v>-28.54791017964072</c:v>
                      </c:pt>
                      <c:pt idx="43" formatCode="General">
                        <c:v>-28.683838323353296</c:v>
                      </c:pt>
                      <c:pt idx="44" formatCode="General">
                        <c:v>-28.819766467065868</c:v>
                      </c:pt>
                      <c:pt idx="45" formatCode="General">
                        <c:v>-28.955694610778444</c:v>
                      </c:pt>
                      <c:pt idx="46" formatCode="General">
                        <c:v>-29.09162275449102</c:v>
                      </c:pt>
                      <c:pt idx="47" formatCode="General">
                        <c:v>-29.227550898203596</c:v>
                      </c:pt>
                      <c:pt idx="48" formatCode="General">
                        <c:v>-29.363479041916172</c:v>
                      </c:pt>
                      <c:pt idx="49" formatCode="General">
                        <c:v>-29.499407185628744</c:v>
                      </c:pt>
                      <c:pt idx="50" formatCode="General">
                        <c:v>-29.627876404494383</c:v>
                      </c:pt>
                      <c:pt idx="51" formatCode="General">
                        <c:v>-29.755516853932587</c:v>
                      </c:pt>
                      <c:pt idx="52" formatCode="General">
                        <c:v>-29.88315730337079</c:v>
                      </c:pt>
                      <c:pt idx="53" formatCode="General">
                        <c:v>-30.01079775280899</c:v>
                      </c:pt>
                      <c:pt idx="54" formatCode="General">
                        <c:v>-30.138438202247194</c:v>
                      </c:pt>
                      <c:pt idx="55" formatCode="General">
                        <c:v>-30.266078651685394</c:v>
                      </c:pt>
                      <c:pt idx="56" formatCode="General">
                        <c:v>-30.393719101123597</c:v>
                      </c:pt>
                      <c:pt idx="57" formatCode="General">
                        <c:v>-30.521359550561801</c:v>
                      </c:pt>
                      <c:pt idx="58" formatCode="General">
                        <c:v>-30.649000000000001</c:v>
                      </c:pt>
                      <c:pt idx="59" formatCode="General">
                        <c:v>-30.776640449438204</c:v>
                      </c:pt>
                      <c:pt idx="60" formatCode="General">
                        <c:v>-30.904280898876408</c:v>
                      </c:pt>
                      <c:pt idx="61" formatCode="General">
                        <c:v>-31.031921348314608</c:v>
                      </c:pt>
                      <c:pt idx="62" formatCode="General">
                        <c:v>-31.159561797752811</c:v>
                      </c:pt>
                      <c:pt idx="63" formatCode="General">
                        <c:v>-31.287202247191011</c:v>
                      </c:pt>
                      <c:pt idx="64" formatCode="General">
                        <c:v>-31.414842696629215</c:v>
                      </c:pt>
                      <c:pt idx="65" formatCode="General">
                        <c:v>-31.542483146067418</c:v>
                      </c:pt>
                      <c:pt idx="66" formatCode="General">
                        <c:v>-31.668748314606741</c:v>
                      </c:pt>
                      <c:pt idx="67" formatCode="General">
                        <c:v>-31.789916853932585</c:v>
                      </c:pt>
                      <c:pt idx="68" formatCode="General">
                        <c:v>-31.911085393258428</c:v>
                      </c:pt>
                      <c:pt idx="69" formatCode="General">
                        <c:v>-32.032253932584268</c:v>
                      </c:pt>
                      <c:pt idx="70" formatCode="General">
                        <c:v>-32.153422471910112</c:v>
                      </c:pt>
                      <c:pt idx="71" formatCode="General">
                        <c:v>-32.274591011235955</c:v>
                      </c:pt>
                      <c:pt idx="72" formatCode="General">
                        <c:v>-32.395759550561799</c:v>
                      </c:pt>
                      <c:pt idx="73" formatCode="General">
                        <c:v>-32.516928089887642</c:v>
                      </c:pt>
                      <c:pt idx="74" formatCode="General">
                        <c:v>-32.638096629213486</c:v>
                      </c:pt>
                      <c:pt idx="75" formatCode="General">
                        <c:v>-32.759265168539329</c:v>
                      </c:pt>
                      <c:pt idx="76" formatCode="General">
                        <c:v>-32.880433707865166</c:v>
                      </c:pt>
                      <c:pt idx="77" formatCode="General">
                        <c:v>-33.001602247191009</c:v>
                      </c:pt>
                      <c:pt idx="78" formatCode="General">
                        <c:v>-33.122770786516853</c:v>
                      </c:pt>
                      <c:pt idx="79" formatCode="General">
                        <c:v>-33.243939325842696</c:v>
                      </c:pt>
                      <c:pt idx="80" formatCode="General">
                        <c:v>-33.36510786516854</c:v>
                      </c:pt>
                      <c:pt idx="81" formatCode="General">
                        <c:v>-33.486276404494383</c:v>
                      </c:pt>
                      <c:pt idx="82" formatCode="General">
                        <c:v>-33.607444943820227</c:v>
                      </c:pt>
                      <c:pt idx="83" formatCode="General">
                        <c:v>-33.725610778443112</c:v>
                      </c:pt>
                      <c:pt idx="84" formatCode="General">
                        <c:v>-33.84105988023952</c:v>
                      </c:pt>
                      <c:pt idx="85" formatCode="General">
                        <c:v>-33.956508982035928</c:v>
                      </c:pt>
                      <c:pt idx="86" formatCode="General">
                        <c:v>-34.071958083832335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6F8E-44D6-9842-8CC6ABD00D40}"/>
                  </c:ext>
                </c:extLst>
              </c15:ser>
            </c15:filteredScatterSeries>
            <c15:filteredScatterSeries>
              <c15:ser>
                <c:idx val="1"/>
                <c:order val="3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306</c:v>
                      </c:pt>
                      <c:pt idx="1">
                        <c:v>314</c:v>
                      </c:pt>
                      <c:pt idx="2">
                        <c:v>322</c:v>
                      </c:pt>
                      <c:pt idx="3">
                        <c:v>330</c:v>
                      </c:pt>
                      <c:pt idx="4">
                        <c:v>338</c:v>
                      </c:pt>
                      <c:pt idx="5">
                        <c:v>346</c:v>
                      </c:pt>
                      <c:pt idx="6">
                        <c:v>354</c:v>
                      </c:pt>
                      <c:pt idx="7">
                        <c:v>362</c:v>
                      </c:pt>
                      <c:pt idx="8">
                        <c:v>370</c:v>
                      </c:pt>
                      <c:pt idx="9">
                        <c:v>378</c:v>
                      </c:pt>
                      <c:pt idx="10">
                        <c:v>386</c:v>
                      </c:pt>
                      <c:pt idx="11">
                        <c:v>394</c:v>
                      </c:pt>
                      <c:pt idx="12">
                        <c:v>402</c:v>
                      </c:pt>
                      <c:pt idx="13">
                        <c:v>410</c:v>
                      </c:pt>
                      <c:pt idx="14">
                        <c:v>418</c:v>
                      </c:pt>
                      <c:pt idx="15">
                        <c:v>426</c:v>
                      </c:pt>
                      <c:pt idx="16">
                        <c:v>434</c:v>
                      </c:pt>
                      <c:pt idx="17">
                        <c:v>442</c:v>
                      </c:pt>
                      <c:pt idx="18">
                        <c:v>450</c:v>
                      </c:pt>
                      <c:pt idx="19">
                        <c:v>458</c:v>
                      </c:pt>
                      <c:pt idx="20">
                        <c:v>466</c:v>
                      </c:pt>
                      <c:pt idx="21">
                        <c:v>474</c:v>
                      </c:pt>
                      <c:pt idx="22">
                        <c:v>482</c:v>
                      </c:pt>
                      <c:pt idx="23">
                        <c:v>490</c:v>
                      </c:pt>
                      <c:pt idx="24">
                        <c:v>498</c:v>
                      </c:pt>
                      <c:pt idx="25">
                        <c:v>506</c:v>
                      </c:pt>
                      <c:pt idx="26">
                        <c:v>514</c:v>
                      </c:pt>
                      <c:pt idx="27">
                        <c:v>522</c:v>
                      </c:pt>
                      <c:pt idx="28">
                        <c:v>530</c:v>
                      </c:pt>
                      <c:pt idx="29">
                        <c:v>538</c:v>
                      </c:pt>
                      <c:pt idx="30">
                        <c:v>546</c:v>
                      </c:pt>
                      <c:pt idx="31">
                        <c:v>554</c:v>
                      </c:pt>
                      <c:pt idx="32">
                        <c:v>562</c:v>
                      </c:pt>
                      <c:pt idx="33">
                        <c:v>570</c:v>
                      </c:pt>
                      <c:pt idx="34">
                        <c:v>578</c:v>
                      </c:pt>
                      <c:pt idx="35">
                        <c:v>586</c:v>
                      </c:pt>
                      <c:pt idx="36">
                        <c:v>594</c:v>
                      </c:pt>
                      <c:pt idx="37">
                        <c:v>602</c:v>
                      </c:pt>
                      <c:pt idx="38">
                        <c:v>610</c:v>
                      </c:pt>
                      <c:pt idx="39">
                        <c:v>618</c:v>
                      </c:pt>
                      <c:pt idx="40">
                        <c:v>626</c:v>
                      </c:pt>
                      <c:pt idx="41">
                        <c:v>634</c:v>
                      </c:pt>
                      <c:pt idx="42">
                        <c:v>642</c:v>
                      </c:pt>
                      <c:pt idx="43">
                        <c:v>650</c:v>
                      </c:pt>
                      <c:pt idx="44">
                        <c:v>658</c:v>
                      </c:pt>
                      <c:pt idx="45">
                        <c:v>666</c:v>
                      </c:pt>
                      <c:pt idx="46">
                        <c:v>674</c:v>
                      </c:pt>
                      <c:pt idx="47">
                        <c:v>682</c:v>
                      </c:pt>
                      <c:pt idx="48">
                        <c:v>690</c:v>
                      </c:pt>
                      <c:pt idx="49">
                        <c:v>698</c:v>
                      </c:pt>
                      <c:pt idx="50">
                        <c:v>706</c:v>
                      </c:pt>
                      <c:pt idx="51">
                        <c:v>714</c:v>
                      </c:pt>
                      <c:pt idx="52">
                        <c:v>722</c:v>
                      </c:pt>
                      <c:pt idx="53">
                        <c:v>730</c:v>
                      </c:pt>
                      <c:pt idx="54">
                        <c:v>738</c:v>
                      </c:pt>
                      <c:pt idx="55">
                        <c:v>746</c:v>
                      </c:pt>
                      <c:pt idx="56">
                        <c:v>754</c:v>
                      </c:pt>
                      <c:pt idx="57">
                        <c:v>762</c:v>
                      </c:pt>
                      <c:pt idx="58">
                        <c:v>770</c:v>
                      </c:pt>
                      <c:pt idx="59">
                        <c:v>778</c:v>
                      </c:pt>
                      <c:pt idx="60">
                        <c:v>786</c:v>
                      </c:pt>
                      <c:pt idx="61">
                        <c:v>794</c:v>
                      </c:pt>
                      <c:pt idx="62">
                        <c:v>802</c:v>
                      </c:pt>
                      <c:pt idx="63">
                        <c:v>810</c:v>
                      </c:pt>
                      <c:pt idx="64">
                        <c:v>818</c:v>
                      </c:pt>
                      <c:pt idx="65">
                        <c:v>826</c:v>
                      </c:pt>
                      <c:pt idx="66">
                        <c:v>834</c:v>
                      </c:pt>
                      <c:pt idx="67">
                        <c:v>842</c:v>
                      </c:pt>
                      <c:pt idx="68">
                        <c:v>850</c:v>
                      </c:pt>
                      <c:pt idx="69">
                        <c:v>858</c:v>
                      </c:pt>
                      <c:pt idx="70">
                        <c:v>866</c:v>
                      </c:pt>
                      <c:pt idx="71">
                        <c:v>874</c:v>
                      </c:pt>
                      <c:pt idx="72">
                        <c:v>882</c:v>
                      </c:pt>
                      <c:pt idx="73">
                        <c:v>890</c:v>
                      </c:pt>
                      <c:pt idx="74">
                        <c:v>898</c:v>
                      </c:pt>
                      <c:pt idx="75">
                        <c:v>906</c:v>
                      </c:pt>
                      <c:pt idx="76">
                        <c:v>914</c:v>
                      </c:pt>
                      <c:pt idx="77">
                        <c:v>922</c:v>
                      </c:pt>
                      <c:pt idx="78">
                        <c:v>930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EVALUATION!$B$104:$CP$104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-59.678288288288286</c:v>
                      </c:pt>
                      <c:pt idx="1">
                        <c:v>-58.332942942942942</c:v>
                      </c:pt>
                      <c:pt idx="2">
                        <c:v>-56.987597597597599</c:v>
                      </c:pt>
                      <c:pt idx="3">
                        <c:v>-55.642252252252256</c:v>
                      </c:pt>
                      <c:pt idx="4" formatCode="General">
                        <c:v>-54.130868263473054</c:v>
                      </c:pt>
                      <c:pt idx="5" formatCode="General">
                        <c:v>-52.581167664670659</c:v>
                      </c:pt>
                      <c:pt idx="6" formatCode="General">
                        <c:v>-51.031467065868263</c:v>
                      </c:pt>
                      <c:pt idx="7" formatCode="General">
                        <c:v>-49.481766467065867</c:v>
                      </c:pt>
                      <c:pt idx="8" formatCode="General">
                        <c:v>-47.964131736526944</c:v>
                      </c:pt>
                      <c:pt idx="9" formatCode="General">
                        <c:v>-46.464730538922154</c:v>
                      </c:pt>
                      <c:pt idx="10" formatCode="General">
                        <c:v>-44.965329341317364</c:v>
                      </c:pt>
                      <c:pt idx="11" formatCode="General">
                        <c:v>-43.465928143712574</c:v>
                      </c:pt>
                      <c:pt idx="12" formatCode="General">
                        <c:v>-42.064011976047901</c:v>
                      </c:pt>
                      <c:pt idx="13" formatCode="General">
                        <c:v>-40.775389221556885</c:v>
                      </c:pt>
                      <c:pt idx="14" formatCode="General">
                        <c:v>-39.48676646706587</c:v>
                      </c:pt>
                      <c:pt idx="15" formatCode="General">
                        <c:v>-38.198143712574847</c:v>
                      </c:pt>
                      <c:pt idx="16" formatCode="General">
                        <c:v>-36.957724550898206</c:v>
                      </c:pt>
                      <c:pt idx="17" formatCode="General">
                        <c:v>-35.836766467065871</c:v>
                      </c:pt>
                      <c:pt idx="18" formatCode="General">
                        <c:v>-34.715808383233536</c:v>
                      </c:pt>
                      <c:pt idx="19" formatCode="General">
                        <c:v>-33.594850299401202</c:v>
                      </c:pt>
                      <c:pt idx="20" formatCode="General">
                        <c:v>-32.488982035928146</c:v>
                      </c:pt>
                      <c:pt idx="21" formatCode="General">
                        <c:v>-31.502155688622757</c:v>
                      </c:pt>
                      <c:pt idx="22" formatCode="General">
                        <c:v>-30.515329341317369</c:v>
                      </c:pt>
                      <c:pt idx="23" formatCode="General">
                        <c:v>-29.528502994011976</c:v>
                      </c:pt>
                      <c:pt idx="24" formatCode="General">
                        <c:v>-28.541676646706588</c:v>
                      </c:pt>
                      <c:pt idx="25" formatCode="General">
                        <c:v>-27.788558558558559</c:v>
                      </c:pt>
                      <c:pt idx="26" formatCode="General">
                        <c:v>-27.051021021021018</c:v>
                      </c:pt>
                      <c:pt idx="27" formatCode="General">
                        <c:v>-26.313483483483481</c:v>
                      </c:pt>
                      <c:pt idx="28" formatCode="General">
                        <c:v>-25.575945945945943</c:v>
                      </c:pt>
                      <c:pt idx="29" formatCode="General">
                        <c:v>-25.655029940119761</c:v>
                      </c:pt>
                      <c:pt idx="30" formatCode="General">
                        <c:v>-25.971197604790419</c:v>
                      </c:pt>
                      <c:pt idx="31" formatCode="General">
                        <c:v>-26.287365269461077</c:v>
                      </c:pt>
                      <c:pt idx="32" formatCode="General">
                        <c:v>-26.603532934131735</c:v>
                      </c:pt>
                      <c:pt idx="33" formatCode="General">
                        <c:v>-26.911437125748503</c:v>
                      </c:pt>
                      <c:pt idx="34" formatCode="General">
                        <c:v>-27.213832335329339</c:v>
                      </c:pt>
                      <c:pt idx="35" formatCode="General">
                        <c:v>-27.51622754491018</c:v>
                      </c:pt>
                      <c:pt idx="36" formatCode="General">
                        <c:v>-27.818622754491017</c:v>
                      </c:pt>
                      <c:pt idx="37" formatCode="General">
                        <c:v>-28.121017964071857</c:v>
                      </c:pt>
                      <c:pt idx="38" formatCode="General">
                        <c:v>-28.423413173652694</c:v>
                      </c:pt>
                      <c:pt idx="39" formatCode="General">
                        <c:v>-28.725808383233534</c:v>
                      </c:pt>
                      <c:pt idx="40" formatCode="General">
                        <c:v>-29.028203592814371</c:v>
                      </c:pt>
                      <c:pt idx="41" formatCode="General">
                        <c:v>-29.330598802395212</c:v>
                      </c:pt>
                      <c:pt idx="42" formatCode="General">
                        <c:v>-29.632994011976049</c:v>
                      </c:pt>
                      <c:pt idx="43" formatCode="General">
                        <c:v>-29.935389221556889</c:v>
                      </c:pt>
                      <c:pt idx="44" formatCode="General">
                        <c:v>-30.237784431137726</c:v>
                      </c:pt>
                      <c:pt idx="45" formatCode="General">
                        <c:v>-30.540179640718566</c:v>
                      </c:pt>
                      <c:pt idx="46" formatCode="General">
                        <c:v>-30.842574850299403</c:v>
                      </c:pt>
                      <c:pt idx="47" formatCode="General">
                        <c:v>-31.144970059880244</c:v>
                      </c:pt>
                      <c:pt idx="48" formatCode="General">
                        <c:v>-31.447365269461081</c:v>
                      </c:pt>
                      <c:pt idx="49" formatCode="General">
                        <c:v>-31.749760479041917</c:v>
                      </c:pt>
                      <c:pt idx="50" formatCode="General">
                        <c:v>-32.022696629213485</c:v>
                      </c:pt>
                      <c:pt idx="51" formatCode="General">
                        <c:v>-32.292359550561798</c:v>
                      </c:pt>
                      <c:pt idx="52" formatCode="General">
                        <c:v>-32.562022471910112</c:v>
                      </c:pt>
                      <c:pt idx="53" formatCode="General">
                        <c:v>-32.831685393258432</c:v>
                      </c:pt>
                      <c:pt idx="54" formatCode="General">
                        <c:v>-33.101348314606746</c:v>
                      </c:pt>
                      <c:pt idx="55" formatCode="General">
                        <c:v>-33.371011235955059</c:v>
                      </c:pt>
                      <c:pt idx="56" formatCode="General">
                        <c:v>-33.640674157303373</c:v>
                      </c:pt>
                      <c:pt idx="57" formatCode="General">
                        <c:v>-33.910337078651686</c:v>
                      </c:pt>
                      <c:pt idx="58" formatCode="General">
                        <c:v>-34.18</c:v>
                      </c:pt>
                      <c:pt idx="59" formatCode="General">
                        <c:v>-34.44966292134832</c:v>
                      </c:pt>
                      <c:pt idx="60" formatCode="General">
                        <c:v>-34.719325842696634</c:v>
                      </c:pt>
                      <c:pt idx="61" formatCode="General">
                        <c:v>-34.988988764044947</c:v>
                      </c:pt>
                      <c:pt idx="62" formatCode="General">
                        <c:v>-35.258651685393261</c:v>
                      </c:pt>
                      <c:pt idx="63" formatCode="General">
                        <c:v>-35.528314606741574</c:v>
                      </c:pt>
                      <c:pt idx="64" formatCode="General">
                        <c:v>-35.797977528089888</c:v>
                      </c:pt>
                      <c:pt idx="65" formatCode="General">
                        <c:v>-36.067640449438201</c:v>
                      </c:pt>
                      <c:pt idx="66" formatCode="General">
                        <c:v>-36.328007490636708</c:v>
                      </c:pt>
                      <c:pt idx="67" formatCode="General">
                        <c:v>-36.553925093632962</c:v>
                      </c:pt>
                      <c:pt idx="68" formatCode="General">
                        <c:v>-36.779842696629217</c:v>
                      </c:pt>
                      <c:pt idx="69" formatCode="General">
                        <c:v>-37.005760299625472</c:v>
                      </c:pt>
                      <c:pt idx="70" formatCode="General">
                        <c:v>-37.231677902621726</c:v>
                      </c:pt>
                      <c:pt idx="71" formatCode="General">
                        <c:v>-37.457595505617981</c:v>
                      </c:pt>
                      <c:pt idx="72" formatCode="General">
                        <c:v>-37.683513108614235</c:v>
                      </c:pt>
                      <c:pt idx="73" formatCode="General">
                        <c:v>-37.90943071161049</c:v>
                      </c:pt>
                      <c:pt idx="74" formatCode="General">
                        <c:v>-38.135348314606745</c:v>
                      </c:pt>
                      <c:pt idx="75" formatCode="General">
                        <c:v>-38.361265917602999</c:v>
                      </c:pt>
                      <c:pt idx="76" formatCode="General">
                        <c:v>-38.587183520599254</c:v>
                      </c:pt>
                      <c:pt idx="77" formatCode="General">
                        <c:v>-38.813101123595509</c:v>
                      </c:pt>
                      <c:pt idx="78" formatCode="General">
                        <c:v>-39.039018726591763</c:v>
                      </c:pt>
                      <c:pt idx="79" formatCode="General">
                        <c:v>-39.264936329588011</c:v>
                      </c:pt>
                      <c:pt idx="80" formatCode="General">
                        <c:v>-39.490853932584265</c:v>
                      </c:pt>
                      <c:pt idx="81" formatCode="General">
                        <c:v>-39.71677153558052</c:v>
                      </c:pt>
                      <c:pt idx="82" formatCode="General">
                        <c:v>-39.942689138576775</c:v>
                      </c:pt>
                      <c:pt idx="83" formatCode="General">
                        <c:v>-40.151856287425147</c:v>
                      </c:pt>
                      <c:pt idx="84" formatCode="General">
                        <c:v>-40.345868263473051</c:v>
                      </c:pt>
                      <c:pt idx="85" formatCode="General">
                        <c:v>-40.539880239520954</c:v>
                      </c:pt>
                      <c:pt idx="86" formatCode="General">
                        <c:v>-40.733892215568858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6F8E-44D6-9842-8CC6ABD00D40}"/>
                  </c:ext>
                </c:extLst>
              </c15:ser>
            </c15:filteredScatterSeries>
            <c15:filteredScatterSeries>
              <c15:ser>
                <c:idx val="2"/>
                <c:order val="4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306</c:v>
                      </c:pt>
                      <c:pt idx="1">
                        <c:v>314</c:v>
                      </c:pt>
                      <c:pt idx="2">
                        <c:v>322</c:v>
                      </c:pt>
                      <c:pt idx="3">
                        <c:v>330</c:v>
                      </c:pt>
                      <c:pt idx="4">
                        <c:v>338</c:v>
                      </c:pt>
                      <c:pt idx="5">
                        <c:v>346</c:v>
                      </c:pt>
                      <c:pt idx="6">
                        <c:v>354</c:v>
                      </c:pt>
                      <c:pt idx="7">
                        <c:v>362</c:v>
                      </c:pt>
                      <c:pt idx="8">
                        <c:v>370</c:v>
                      </c:pt>
                      <c:pt idx="9">
                        <c:v>378</c:v>
                      </c:pt>
                      <c:pt idx="10">
                        <c:v>386</c:v>
                      </c:pt>
                      <c:pt idx="11">
                        <c:v>394</c:v>
                      </c:pt>
                      <c:pt idx="12">
                        <c:v>402</c:v>
                      </c:pt>
                      <c:pt idx="13">
                        <c:v>410</c:v>
                      </c:pt>
                      <c:pt idx="14">
                        <c:v>418</c:v>
                      </c:pt>
                      <c:pt idx="15">
                        <c:v>426</c:v>
                      </c:pt>
                      <c:pt idx="16">
                        <c:v>434</c:v>
                      </c:pt>
                      <c:pt idx="17">
                        <c:v>442</c:v>
                      </c:pt>
                      <c:pt idx="18">
                        <c:v>450</c:v>
                      </c:pt>
                      <c:pt idx="19">
                        <c:v>458</c:v>
                      </c:pt>
                      <c:pt idx="20">
                        <c:v>466</c:v>
                      </c:pt>
                      <c:pt idx="21">
                        <c:v>474</c:v>
                      </c:pt>
                      <c:pt idx="22">
                        <c:v>482</c:v>
                      </c:pt>
                      <c:pt idx="23">
                        <c:v>490</c:v>
                      </c:pt>
                      <c:pt idx="24">
                        <c:v>498</c:v>
                      </c:pt>
                      <c:pt idx="25">
                        <c:v>506</c:v>
                      </c:pt>
                      <c:pt idx="26">
                        <c:v>514</c:v>
                      </c:pt>
                      <c:pt idx="27">
                        <c:v>522</c:v>
                      </c:pt>
                      <c:pt idx="28">
                        <c:v>530</c:v>
                      </c:pt>
                      <c:pt idx="29">
                        <c:v>538</c:v>
                      </c:pt>
                      <c:pt idx="30">
                        <c:v>546</c:v>
                      </c:pt>
                      <c:pt idx="31">
                        <c:v>554</c:v>
                      </c:pt>
                      <c:pt idx="32">
                        <c:v>562</c:v>
                      </c:pt>
                      <c:pt idx="33">
                        <c:v>570</c:v>
                      </c:pt>
                      <c:pt idx="34">
                        <c:v>578</c:v>
                      </c:pt>
                      <c:pt idx="35">
                        <c:v>586</c:v>
                      </c:pt>
                      <c:pt idx="36">
                        <c:v>594</c:v>
                      </c:pt>
                      <c:pt idx="37">
                        <c:v>602</c:v>
                      </c:pt>
                      <c:pt idx="38">
                        <c:v>610</c:v>
                      </c:pt>
                      <c:pt idx="39">
                        <c:v>618</c:v>
                      </c:pt>
                      <c:pt idx="40">
                        <c:v>626</c:v>
                      </c:pt>
                      <c:pt idx="41">
                        <c:v>634</c:v>
                      </c:pt>
                      <c:pt idx="42">
                        <c:v>642</c:v>
                      </c:pt>
                      <c:pt idx="43">
                        <c:v>650</c:v>
                      </c:pt>
                      <c:pt idx="44">
                        <c:v>658</c:v>
                      </c:pt>
                      <c:pt idx="45">
                        <c:v>666</c:v>
                      </c:pt>
                      <c:pt idx="46">
                        <c:v>674</c:v>
                      </c:pt>
                      <c:pt idx="47">
                        <c:v>682</c:v>
                      </c:pt>
                      <c:pt idx="48">
                        <c:v>690</c:v>
                      </c:pt>
                      <c:pt idx="49">
                        <c:v>698</c:v>
                      </c:pt>
                      <c:pt idx="50">
                        <c:v>706</c:v>
                      </c:pt>
                      <c:pt idx="51">
                        <c:v>714</c:v>
                      </c:pt>
                      <c:pt idx="52">
                        <c:v>722</c:v>
                      </c:pt>
                      <c:pt idx="53">
                        <c:v>730</c:v>
                      </c:pt>
                      <c:pt idx="54">
                        <c:v>738</c:v>
                      </c:pt>
                      <c:pt idx="55">
                        <c:v>746</c:v>
                      </c:pt>
                      <c:pt idx="56">
                        <c:v>754</c:v>
                      </c:pt>
                      <c:pt idx="57">
                        <c:v>762</c:v>
                      </c:pt>
                      <c:pt idx="58">
                        <c:v>770</c:v>
                      </c:pt>
                      <c:pt idx="59">
                        <c:v>778</c:v>
                      </c:pt>
                      <c:pt idx="60">
                        <c:v>786</c:v>
                      </c:pt>
                      <c:pt idx="61">
                        <c:v>794</c:v>
                      </c:pt>
                      <c:pt idx="62">
                        <c:v>802</c:v>
                      </c:pt>
                      <c:pt idx="63">
                        <c:v>810</c:v>
                      </c:pt>
                      <c:pt idx="64">
                        <c:v>818</c:v>
                      </c:pt>
                      <c:pt idx="65">
                        <c:v>826</c:v>
                      </c:pt>
                      <c:pt idx="66">
                        <c:v>834</c:v>
                      </c:pt>
                      <c:pt idx="67">
                        <c:v>842</c:v>
                      </c:pt>
                      <c:pt idx="68">
                        <c:v>850</c:v>
                      </c:pt>
                      <c:pt idx="69">
                        <c:v>858</c:v>
                      </c:pt>
                      <c:pt idx="70">
                        <c:v>866</c:v>
                      </c:pt>
                      <c:pt idx="71">
                        <c:v>874</c:v>
                      </c:pt>
                      <c:pt idx="72">
                        <c:v>882</c:v>
                      </c:pt>
                      <c:pt idx="73">
                        <c:v>890</c:v>
                      </c:pt>
                      <c:pt idx="74">
                        <c:v>898</c:v>
                      </c:pt>
                      <c:pt idx="75">
                        <c:v>906</c:v>
                      </c:pt>
                      <c:pt idx="76">
                        <c:v>914</c:v>
                      </c:pt>
                      <c:pt idx="77">
                        <c:v>922</c:v>
                      </c:pt>
                      <c:pt idx="78">
                        <c:v>930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EVALUATION!$B$105:$CP$105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-15.118108108108107</c:v>
                      </c:pt>
                      <c:pt idx="1">
                        <c:v>-14.88027027027027</c:v>
                      </c:pt>
                      <c:pt idx="2">
                        <c:v>-14.642432432432432</c:v>
                      </c:pt>
                      <c:pt idx="3">
                        <c:v>-14.404594594594593</c:v>
                      </c:pt>
                      <c:pt idx="4" formatCode="General">
                        <c:v>-13.959101796407184</c:v>
                      </c:pt>
                      <c:pt idx="5" formatCode="General">
                        <c:v>-13.46568862275449</c:v>
                      </c:pt>
                      <c:pt idx="6" formatCode="General">
                        <c:v>-12.972275449101796</c:v>
                      </c:pt>
                      <c:pt idx="7" formatCode="General">
                        <c:v>-12.478862275449101</c:v>
                      </c:pt>
                      <c:pt idx="8" formatCode="General">
                        <c:v>-11.950329341317365</c:v>
                      </c:pt>
                      <c:pt idx="9" formatCode="General">
                        <c:v>-11.40182634730539</c:v>
                      </c:pt>
                      <c:pt idx="10" formatCode="General">
                        <c:v>-10.853323353293414</c:v>
                      </c:pt>
                      <c:pt idx="11" formatCode="General">
                        <c:v>-10.304820359281438</c:v>
                      </c:pt>
                      <c:pt idx="12" formatCode="General">
                        <c:v>-9.7896616766467073</c:v>
                      </c:pt>
                      <c:pt idx="13" formatCode="General">
                        <c:v>-9.3132544910179647</c:v>
                      </c:pt>
                      <c:pt idx="14" formatCode="General">
                        <c:v>-8.836847305389222</c:v>
                      </c:pt>
                      <c:pt idx="15" formatCode="General">
                        <c:v>-8.3604401197604794</c:v>
                      </c:pt>
                      <c:pt idx="16" formatCode="General">
                        <c:v>-7.9011107784431145</c:v>
                      </c:pt>
                      <c:pt idx="17" formatCode="General">
                        <c:v>-7.4841047904191624</c:v>
                      </c:pt>
                      <c:pt idx="18" formatCode="General">
                        <c:v>-7.0670988023952104</c:v>
                      </c:pt>
                      <c:pt idx="19" formatCode="General">
                        <c:v>-6.6500928143712592</c:v>
                      </c:pt>
                      <c:pt idx="20" formatCode="General">
                        <c:v>-6.2383952095808395</c:v>
                      </c:pt>
                      <c:pt idx="21" formatCode="General">
                        <c:v>-5.8685748502994022</c:v>
                      </c:pt>
                      <c:pt idx="22" formatCode="General">
                        <c:v>-5.4987544910179649</c:v>
                      </c:pt>
                      <c:pt idx="23" formatCode="General">
                        <c:v>-5.1289341317365267</c:v>
                      </c:pt>
                      <c:pt idx="24" formatCode="General">
                        <c:v>-4.7591137724550894</c:v>
                      </c:pt>
                      <c:pt idx="25" formatCode="General">
                        <c:v>-4.6019909909909904</c:v>
                      </c:pt>
                      <c:pt idx="26" formatCode="General">
                        <c:v>-4.4590480480480474</c:v>
                      </c:pt>
                      <c:pt idx="27" formatCode="General">
                        <c:v>-4.3161051051051045</c:v>
                      </c:pt>
                      <c:pt idx="28" formatCode="General">
                        <c:v>-4.1731621621621615</c:v>
                      </c:pt>
                      <c:pt idx="29" formatCode="General">
                        <c:v>-4.1562215568862273</c:v>
                      </c:pt>
                      <c:pt idx="30" formatCode="General">
                        <c:v>-4.1758622754491022</c:v>
                      </c:pt>
                      <c:pt idx="31" formatCode="General">
                        <c:v>-4.1955029940119761</c:v>
                      </c:pt>
                      <c:pt idx="32" formatCode="General">
                        <c:v>-4.2151437125748501</c:v>
                      </c:pt>
                      <c:pt idx="33" formatCode="General">
                        <c:v>-4.2348562874251492</c:v>
                      </c:pt>
                      <c:pt idx="34" formatCode="General">
                        <c:v>-4.2546167664670653</c:v>
                      </c:pt>
                      <c:pt idx="35" formatCode="General">
                        <c:v>-4.2743772455089815</c:v>
                      </c:pt>
                      <c:pt idx="36" formatCode="General">
                        <c:v>-4.2941377245508976</c:v>
                      </c:pt>
                      <c:pt idx="37" formatCode="General">
                        <c:v>-4.3138982035928146</c:v>
                      </c:pt>
                      <c:pt idx="38" formatCode="General">
                        <c:v>-4.3336586826347308</c:v>
                      </c:pt>
                      <c:pt idx="39" formatCode="General">
                        <c:v>-4.3534191616766469</c:v>
                      </c:pt>
                      <c:pt idx="40" formatCode="General">
                        <c:v>-4.373179640718563</c:v>
                      </c:pt>
                      <c:pt idx="41" formatCode="General">
                        <c:v>-4.3929401197604792</c:v>
                      </c:pt>
                      <c:pt idx="42" formatCode="General">
                        <c:v>-4.4127005988023953</c:v>
                      </c:pt>
                      <c:pt idx="43" formatCode="General">
                        <c:v>-4.4324610778443114</c:v>
                      </c:pt>
                      <c:pt idx="44" formatCode="General">
                        <c:v>-4.4522215568862276</c:v>
                      </c:pt>
                      <c:pt idx="45" formatCode="General">
                        <c:v>-4.4719820359281437</c:v>
                      </c:pt>
                      <c:pt idx="46" formatCode="General">
                        <c:v>-4.4917425149700598</c:v>
                      </c:pt>
                      <c:pt idx="47" formatCode="General">
                        <c:v>-4.511502994011976</c:v>
                      </c:pt>
                      <c:pt idx="48" formatCode="General">
                        <c:v>-4.5312634730538921</c:v>
                      </c:pt>
                      <c:pt idx="49" formatCode="General">
                        <c:v>-4.5510239520958082</c:v>
                      </c:pt>
                      <c:pt idx="50" formatCode="General">
                        <c:v>-4.5702584269662925</c:v>
                      </c:pt>
                      <c:pt idx="51" formatCode="General">
                        <c:v>-4.5894344569288394</c:v>
                      </c:pt>
                      <c:pt idx="52" formatCode="General">
                        <c:v>-4.6086104868913855</c:v>
                      </c:pt>
                      <c:pt idx="53" formatCode="General">
                        <c:v>-4.6277865168539325</c:v>
                      </c:pt>
                      <c:pt idx="54" formatCode="General">
                        <c:v>-4.6469625468164795</c:v>
                      </c:pt>
                      <c:pt idx="55" formatCode="General">
                        <c:v>-4.6661385767790264</c:v>
                      </c:pt>
                      <c:pt idx="56" formatCode="General">
                        <c:v>-4.6853146067415734</c:v>
                      </c:pt>
                      <c:pt idx="57" formatCode="General">
                        <c:v>-4.7044906367041204</c:v>
                      </c:pt>
                      <c:pt idx="58" formatCode="General">
                        <c:v>-4.7236666666666665</c:v>
                      </c:pt>
                      <c:pt idx="59" formatCode="General">
                        <c:v>-4.7428426966292134</c:v>
                      </c:pt>
                      <c:pt idx="60" formatCode="General">
                        <c:v>-4.7620187265917604</c:v>
                      </c:pt>
                      <c:pt idx="61" formatCode="General">
                        <c:v>-4.7811947565543074</c:v>
                      </c:pt>
                      <c:pt idx="62" formatCode="General">
                        <c:v>-4.8003707865168543</c:v>
                      </c:pt>
                      <c:pt idx="63" formatCode="General">
                        <c:v>-4.8195468164794013</c:v>
                      </c:pt>
                      <c:pt idx="64" formatCode="General">
                        <c:v>-4.8387228464419483</c:v>
                      </c:pt>
                      <c:pt idx="65" formatCode="General">
                        <c:v>-4.8578988764044944</c:v>
                      </c:pt>
                      <c:pt idx="66" formatCode="General">
                        <c:v>-4.8768456928838955</c:v>
                      </c:pt>
                      <c:pt idx="67" formatCode="General">
                        <c:v>-4.8949430711610491</c:v>
                      </c:pt>
                      <c:pt idx="68" formatCode="General">
                        <c:v>-4.9130404494382027</c:v>
                      </c:pt>
                      <c:pt idx="69" formatCode="General">
                        <c:v>-4.9311378277153564</c:v>
                      </c:pt>
                      <c:pt idx="70" formatCode="General">
                        <c:v>-4.94923520599251</c:v>
                      </c:pt>
                      <c:pt idx="71" formatCode="General">
                        <c:v>-4.9673325842696627</c:v>
                      </c:pt>
                      <c:pt idx="72" formatCode="General">
                        <c:v>-4.9854299625468164</c:v>
                      </c:pt>
                      <c:pt idx="73" formatCode="General">
                        <c:v>-5.00352734082397</c:v>
                      </c:pt>
                      <c:pt idx="74" formatCode="General">
                        <c:v>-5.0216247191011236</c:v>
                      </c:pt>
                      <c:pt idx="75" formatCode="General">
                        <c:v>-5.0397220973782773</c:v>
                      </c:pt>
                      <c:pt idx="76" formatCode="General">
                        <c:v>-5.0578194756554309</c:v>
                      </c:pt>
                      <c:pt idx="77" formatCode="General">
                        <c:v>-5.0759168539325845</c:v>
                      </c:pt>
                      <c:pt idx="78" formatCode="General">
                        <c:v>-5.0940142322097381</c:v>
                      </c:pt>
                      <c:pt idx="79" formatCode="General">
                        <c:v>-5.1121116104868918</c:v>
                      </c:pt>
                      <c:pt idx="80" formatCode="General">
                        <c:v>-5.1302089887640445</c:v>
                      </c:pt>
                      <c:pt idx="81" formatCode="General">
                        <c:v>-5.1483063670411982</c:v>
                      </c:pt>
                      <c:pt idx="82" formatCode="General">
                        <c:v>-5.1664037453183518</c:v>
                      </c:pt>
                      <c:pt idx="83" formatCode="General">
                        <c:v>-5.1840538922155686</c:v>
                      </c:pt>
                      <c:pt idx="84" formatCode="General">
                        <c:v>-5.2012994011976046</c:v>
                      </c:pt>
                      <c:pt idx="85" formatCode="General">
                        <c:v>-5.2185449101796406</c:v>
                      </c:pt>
                      <c:pt idx="86" formatCode="General">
                        <c:v>-5.2357904191616766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6F8E-44D6-9842-8CC6ABD00D40}"/>
                  </c:ext>
                </c:extLst>
              </c15:ser>
            </c15:filteredScatterSeries>
            <c15:filteredScatterSeries>
              <c15:ser>
                <c:idx val="3"/>
                <c:order val="5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306</c:v>
                      </c:pt>
                      <c:pt idx="1">
                        <c:v>314</c:v>
                      </c:pt>
                      <c:pt idx="2">
                        <c:v>322</c:v>
                      </c:pt>
                      <c:pt idx="3">
                        <c:v>330</c:v>
                      </c:pt>
                      <c:pt idx="4">
                        <c:v>338</c:v>
                      </c:pt>
                      <c:pt idx="5">
                        <c:v>346</c:v>
                      </c:pt>
                      <c:pt idx="6">
                        <c:v>354</c:v>
                      </c:pt>
                      <c:pt idx="7">
                        <c:v>362</c:v>
                      </c:pt>
                      <c:pt idx="8">
                        <c:v>370</c:v>
                      </c:pt>
                      <c:pt idx="9">
                        <c:v>378</c:v>
                      </c:pt>
                      <c:pt idx="10">
                        <c:v>386</c:v>
                      </c:pt>
                      <c:pt idx="11">
                        <c:v>394</c:v>
                      </c:pt>
                      <c:pt idx="12">
                        <c:v>402</c:v>
                      </c:pt>
                      <c:pt idx="13">
                        <c:v>410</c:v>
                      </c:pt>
                      <c:pt idx="14">
                        <c:v>418</c:v>
                      </c:pt>
                      <c:pt idx="15">
                        <c:v>426</c:v>
                      </c:pt>
                      <c:pt idx="16">
                        <c:v>434</c:v>
                      </c:pt>
                      <c:pt idx="17">
                        <c:v>442</c:v>
                      </c:pt>
                      <c:pt idx="18">
                        <c:v>450</c:v>
                      </c:pt>
                      <c:pt idx="19">
                        <c:v>458</c:v>
                      </c:pt>
                      <c:pt idx="20">
                        <c:v>466</c:v>
                      </c:pt>
                      <c:pt idx="21">
                        <c:v>474</c:v>
                      </c:pt>
                      <c:pt idx="22">
                        <c:v>482</c:v>
                      </c:pt>
                      <c:pt idx="23">
                        <c:v>490</c:v>
                      </c:pt>
                      <c:pt idx="24">
                        <c:v>498</c:v>
                      </c:pt>
                      <c:pt idx="25">
                        <c:v>506</c:v>
                      </c:pt>
                      <c:pt idx="26">
                        <c:v>514</c:v>
                      </c:pt>
                      <c:pt idx="27">
                        <c:v>522</c:v>
                      </c:pt>
                      <c:pt idx="28">
                        <c:v>530</c:v>
                      </c:pt>
                      <c:pt idx="29">
                        <c:v>538</c:v>
                      </c:pt>
                      <c:pt idx="30">
                        <c:v>546</c:v>
                      </c:pt>
                      <c:pt idx="31">
                        <c:v>554</c:v>
                      </c:pt>
                      <c:pt idx="32">
                        <c:v>562</c:v>
                      </c:pt>
                      <c:pt idx="33">
                        <c:v>570</c:v>
                      </c:pt>
                      <c:pt idx="34">
                        <c:v>578</c:v>
                      </c:pt>
                      <c:pt idx="35">
                        <c:v>586</c:v>
                      </c:pt>
                      <c:pt idx="36">
                        <c:v>594</c:v>
                      </c:pt>
                      <c:pt idx="37">
                        <c:v>602</c:v>
                      </c:pt>
                      <c:pt idx="38">
                        <c:v>610</c:v>
                      </c:pt>
                      <c:pt idx="39">
                        <c:v>618</c:v>
                      </c:pt>
                      <c:pt idx="40">
                        <c:v>626</c:v>
                      </c:pt>
                      <c:pt idx="41">
                        <c:v>634</c:v>
                      </c:pt>
                      <c:pt idx="42">
                        <c:v>642</c:v>
                      </c:pt>
                      <c:pt idx="43">
                        <c:v>650</c:v>
                      </c:pt>
                      <c:pt idx="44">
                        <c:v>658</c:v>
                      </c:pt>
                      <c:pt idx="45">
                        <c:v>666</c:v>
                      </c:pt>
                      <c:pt idx="46">
                        <c:v>674</c:v>
                      </c:pt>
                      <c:pt idx="47">
                        <c:v>682</c:v>
                      </c:pt>
                      <c:pt idx="48">
                        <c:v>690</c:v>
                      </c:pt>
                      <c:pt idx="49">
                        <c:v>698</c:v>
                      </c:pt>
                      <c:pt idx="50">
                        <c:v>706</c:v>
                      </c:pt>
                      <c:pt idx="51">
                        <c:v>714</c:v>
                      </c:pt>
                      <c:pt idx="52">
                        <c:v>722</c:v>
                      </c:pt>
                      <c:pt idx="53">
                        <c:v>730</c:v>
                      </c:pt>
                      <c:pt idx="54">
                        <c:v>738</c:v>
                      </c:pt>
                      <c:pt idx="55">
                        <c:v>746</c:v>
                      </c:pt>
                      <c:pt idx="56">
                        <c:v>754</c:v>
                      </c:pt>
                      <c:pt idx="57">
                        <c:v>762</c:v>
                      </c:pt>
                      <c:pt idx="58">
                        <c:v>770</c:v>
                      </c:pt>
                      <c:pt idx="59">
                        <c:v>778</c:v>
                      </c:pt>
                      <c:pt idx="60">
                        <c:v>786</c:v>
                      </c:pt>
                      <c:pt idx="61">
                        <c:v>794</c:v>
                      </c:pt>
                      <c:pt idx="62">
                        <c:v>802</c:v>
                      </c:pt>
                      <c:pt idx="63">
                        <c:v>810</c:v>
                      </c:pt>
                      <c:pt idx="64">
                        <c:v>818</c:v>
                      </c:pt>
                      <c:pt idx="65">
                        <c:v>826</c:v>
                      </c:pt>
                      <c:pt idx="66">
                        <c:v>834</c:v>
                      </c:pt>
                      <c:pt idx="67">
                        <c:v>842</c:v>
                      </c:pt>
                      <c:pt idx="68">
                        <c:v>850</c:v>
                      </c:pt>
                      <c:pt idx="69">
                        <c:v>858</c:v>
                      </c:pt>
                      <c:pt idx="70">
                        <c:v>866</c:v>
                      </c:pt>
                      <c:pt idx="71">
                        <c:v>874</c:v>
                      </c:pt>
                      <c:pt idx="72">
                        <c:v>882</c:v>
                      </c:pt>
                      <c:pt idx="73">
                        <c:v>890</c:v>
                      </c:pt>
                      <c:pt idx="74">
                        <c:v>898</c:v>
                      </c:pt>
                      <c:pt idx="75">
                        <c:v>906</c:v>
                      </c:pt>
                      <c:pt idx="76">
                        <c:v>914</c:v>
                      </c:pt>
                      <c:pt idx="77">
                        <c:v>922</c:v>
                      </c:pt>
                      <c:pt idx="78">
                        <c:v>930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EVALUATION!$B$106:$CP$106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-21.473063063063062</c:v>
                      </c:pt>
                      <c:pt idx="1">
                        <c:v>-21.045435435435436</c:v>
                      </c:pt>
                      <c:pt idx="2">
                        <c:v>-20.617807807807807</c:v>
                      </c:pt>
                      <c:pt idx="3">
                        <c:v>-20.190180180180178</c:v>
                      </c:pt>
                      <c:pt idx="4" formatCode="General">
                        <c:v>-20.082754491017962</c:v>
                      </c:pt>
                      <c:pt idx="5" formatCode="General">
                        <c:v>-20.049221556886227</c:v>
                      </c:pt>
                      <c:pt idx="6" formatCode="General">
                        <c:v>-20.015688622754489</c:v>
                      </c:pt>
                      <c:pt idx="7" formatCode="General">
                        <c:v>-19.982155688622754</c:v>
                      </c:pt>
                      <c:pt idx="8" formatCode="General">
                        <c:v>-20.046347305389222</c:v>
                      </c:pt>
                      <c:pt idx="9" formatCode="General">
                        <c:v>-20.166107784431137</c:v>
                      </c:pt>
                      <c:pt idx="10" formatCode="General">
                        <c:v>-20.285868263473052</c:v>
                      </c:pt>
                      <c:pt idx="11" formatCode="General">
                        <c:v>-20.40562874251497</c:v>
                      </c:pt>
                      <c:pt idx="12" formatCode="General">
                        <c:v>-20.526497005988023</c:v>
                      </c:pt>
                      <c:pt idx="13" formatCode="General">
                        <c:v>-20.648652694610778</c:v>
                      </c:pt>
                      <c:pt idx="14" formatCode="General">
                        <c:v>-20.770808383233533</c:v>
                      </c:pt>
                      <c:pt idx="15" formatCode="General">
                        <c:v>-20.892964071856287</c:v>
                      </c:pt>
                      <c:pt idx="16" formatCode="General">
                        <c:v>-21.015119760479042</c:v>
                      </c:pt>
                      <c:pt idx="17" formatCode="General">
                        <c:v>-21.137275449101796</c:v>
                      </c:pt>
                      <c:pt idx="18" formatCode="General">
                        <c:v>-21.259431137724551</c:v>
                      </c:pt>
                      <c:pt idx="19" formatCode="General">
                        <c:v>-21.381586826347306</c:v>
                      </c:pt>
                      <c:pt idx="20" formatCode="General">
                        <c:v>-21.504011976047902</c:v>
                      </c:pt>
                      <c:pt idx="21" formatCode="General">
                        <c:v>-21.628562874251497</c:v>
                      </c:pt>
                      <c:pt idx="22" formatCode="General">
                        <c:v>-21.753113772455091</c:v>
                      </c:pt>
                      <c:pt idx="23" formatCode="General">
                        <c:v>-21.877664670658682</c:v>
                      </c:pt>
                      <c:pt idx="24" formatCode="General">
                        <c:v>-22.002215568862276</c:v>
                      </c:pt>
                      <c:pt idx="25" formatCode="General">
                        <c:v>-22.122612612612613</c:v>
                      </c:pt>
                      <c:pt idx="26" formatCode="General">
                        <c:v>-22.242732732732733</c:v>
                      </c:pt>
                      <c:pt idx="27" formatCode="General">
                        <c:v>-22.362852852852853</c:v>
                      </c:pt>
                      <c:pt idx="28" formatCode="General">
                        <c:v>-22.482972972972973</c:v>
                      </c:pt>
                      <c:pt idx="29" formatCode="General">
                        <c:v>-22.604670658682636</c:v>
                      </c:pt>
                      <c:pt idx="30" formatCode="General">
                        <c:v>-22.726826347305391</c:v>
                      </c:pt>
                      <c:pt idx="31" formatCode="General">
                        <c:v>-22.848982035928145</c:v>
                      </c:pt>
                      <c:pt idx="32" formatCode="General">
                        <c:v>-22.971137724550896</c:v>
                      </c:pt>
                      <c:pt idx="33" formatCode="General">
                        <c:v>-23.089700598802395</c:v>
                      </c:pt>
                      <c:pt idx="34" formatCode="General">
                        <c:v>-23.205868263473054</c:v>
                      </c:pt>
                      <c:pt idx="35" formatCode="General">
                        <c:v>-23.322035928143713</c:v>
                      </c:pt>
                      <c:pt idx="36" formatCode="General">
                        <c:v>-23.438203592814371</c:v>
                      </c:pt>
                      <c:pt idx="37" formatCode="General">
                        <c:v>-23.55437125748503</c:v>
                      </c:pt>
                      <c:pt idx="38" formatCode="General">
                        <c:v>-23.670538922155689</c:v>
                      </c:pt>
                      <c:pt idx="39" formatCode="General">
                        <c:v>-23.786706586826348</c:v>
                      </c:pt>
                      <c:pt idx="40" formatCode="General">
                        <c:v>-23.902874251497007</c:v>
                      </c:pt>
                      <c:pt idx="41" formatCode="General">
                        <c:v>-24.019041916167666</c:v>
                      </c:pt>
                      <c:pt idx="42" formatCode="General">
                        <c:v>-24.135209580838325</c:v>
                      </c:pt>
                      <c:pt idx="43" formatCode="General">
                        <c:v>-24.251377245508984</c:v>
                      </c:pt>
                      <c:pt idx="44" formatCode="General">
                        <c:v>-24.367544910179642</c:v>
                      </c:pt>
                      <c:pt idx="45" formatCode="General">
                        <c:v>-24.483712574850301</c:v>
                      </c:pt>
                      <c:pt idx="46" formatCode="General">
                        <c:v>-24.59988023952096</c:v>
                      </c:pt>
                      <c:pt idx="47" formatCode="General">
                        <c:v>-24.716047904191619</c:v>
                      </c:pt>
                      <c:pt idx="48" formatCode="General">
                        <c:v>-24.832215568862278</c:v>
                      </c:pt>
                      <c:pt idx="49" formatCode="General">
                        <c:v>-24.948383233532937</c:v>
                      </c:pt>
                      <c:pt idx="50" formatCode="General">
                        <c:v>-25.057617977528093</c:v>
                      </c:pt>
                      <c:pt idx="51" formatCode="General">
                        <c:v>-25.166082397003748</c:v>
                      </c:pt>
                      <c:pt idx="52" formatCode="General">
                        <c:v>-25.2745468164794</c:v>
                      </c:pt>
                      <c:pt idx="53" formatCode="General">
                        <c:v>-25.383011235955056</c:v>
                      </c:pt>
                      <c:pt idx="54" formatCode="General">
                        <c:v>-25.491475655430712</c:v>
                      </c:pt>
                      <c:pt idx="55" formatCode="General">
                        <c:v>-25.599940074906367</c:v>
                      </c:pt>
                      <c:pt idx="56" formatCode="General">
                        <c:v>-25.708404494382023</c:v>
                      </c:pt>
                      <c:pt idx="57" formatCode="General">
                        <c:v>-25.816868913857679</c:v>
                      </c:pt>
                      <c:pt idx="58" formatCode="General">
                        <c:v>-25.925333333333334</c:v>
                      </c:pt>
                      <c:pt idx="59" formatCode="General">
                        <c:v>-26.03379775280899</c:v>
                      </c:pt>
                      <c:pt idx="60" formatCode="General">
                        <c:v>-26.142262172284646</c:v>
                      </c:pt>
                      <c:pt idx="61" formatCode="General">
                        <c:v>-26.250726591760301</c:v>
                      </c:pt>
                      <c:pt idx="62" formatCode="General">
                        <c:v>-26.359191011235957</c:v>
                      </c:pt>
                      <c:pt idx="63" formatCode="General">
                        <c:v>-26.467655430711609</c:v>
                      </c:pt>
                      <c:pt idx="64" formatCode="General">
                        <c:v>-26.576119850187265</c:v>
                      </c:pt>
                      <c:pt idx="65" formatCode="General">
                        <c:v>-26.684584269662921</c:v>
                      </c:pt>
                      <c:pt idx="66" formatCode="General">
                        <c:v>-26.791902621722848</c:v>
                      </c:pt>
                      <c:pt idx="67" formatCode="General">
                        <c:v>-26.894973782771537</c:v>
                      </c:pt>
                      <c:pt idx="68" formatCode="General">
                        <c:v>-26.998044943820226</c:v>
                      </c:pt>
                      <c:pt idx="69" formatCode="General">
                        <c:v>-27.101116104868915</c:v>
                      </c:pt>
                      <c:pt idx="70" formatCode="General">
                        <c:v>-27.204187265917604</c:v>
                      </c:pt>
                      <c:pt idx="71" formatCode="General">
                        <c:v>-27.307258426966293</c:v>
                      </c:pt>
                      <c:pt idx="72" formatCode="General">
                        <c:v>-27.410329588014982</c:v>
                      </c:pt>
                      <c:pt idx="73" formatCode="General">
                        <c:v>-27.513400749063671</c:v>
                      </c:pt>
                      <c:pt idx="74" formatCode="General">
                        <c:v>-27.616471910112359</c:v>
                      </c:pt>
                      <c:pt idx="75" formatCode="General">
                        <c:v>-27.719543071161048</c:v>
                      </c:pt>
                      <c:pt idx="76" formatCode="General">
                        <c:v>-27.822614232209737</c:v>
                      </c:pt>
                      <c:pt idx="77" formatCode="General">
                        <c:v>-27.925685393258426</c:v>
                      </c:pt>
                      <c:pt idx="78" formatCode="General">
                        <c:v>-28.028756554307115</c:v>
                      </c:pt>
                      <c:pt idx="79" formatCode="General">
                        <c:v>-28.131827715355804</c:v>
                      </c:pt>
                      <c:pt idx="80" formatCode="General">
                        <c:v>-28.234898876404493</c:v>
                      </c:pt>
                      <c:pt idx="81" formatCode="General">
                        <c:v>-28.337970037453182</c:v>
                      </c:pt>
                      <c:pt idx="82" formatCode="General">
                        <c:v>-28.441041198501871</c:v>
                      </c:pt>
                      <c:pt idx="83" formatCode="General">
                        <c:v>-28.541556886227543</c:v>
                      </c:pt>
                      <c:pt idx="84" formatCode="General">
                        <c:v>-28.639760479041914</c:v>
                      </c:pt>
                      <c:pt idx="85" formatCode="General">
                        <c:v>-28.737964071856286</c:v>
                      </c:pt>
                      <c:pt idx="86" formatCode="General">
                        <c:v>-28.836167664670658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A-6F8E-44D6-9842-8CC6ABD00D40}"/>
                  </c:ext>
                </c:extLst>
              </c15:ser>
            </c15:filteredScatterSeries>
            <c15:filteredScatterSeries>
              <c15:ser>
                <c:idx val="4"/>
                <c:order val="6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306</c:v>
                      </c:pt>
                      <c:pt idx="1">
                        <c:v>314</c:v>
                      </c:pt>
                      <c:pt idx="2">
                        <c:v>322</c:v>
                      </c:pt>
                      <c:pt idx="3">
                        <c:v>330</c:v>
                      </c:pt>
                      <c:pt idx="4">
                        <c:v>338</c:v>
                      </c:pt>
                      <c:pt idx="5">
                        <c:v>346</c:v>
                      </c:pt>
                      <c:pt idx="6">
                        <c:v>354</c:v>
                      </c:pt>
                      <c:pt idx="7">
                        <c:v>362</c:v>
                      </c:pt>
                      <c:pt idx="8">
                        <c:v>370</c:v>
                      </c:pt>
                      <c:pt idx="9">
                        <c:v>378</c:v>
                      </c:pt>
                      <c:pt idx="10">
                        <c:v>386</c:v>
                      </c:pt>
                      <c:pt idx="11">
                        <c:v>394</c:v>
                      </c:pt>
                      <c:pt idx="12">
                        <c:v>402</c:v>
                      </c:pt>
                      <c:pt idx="13">
                        <c:v>410</c:v>
                      </c:pt>
                      <c:pt idx="14">
                        <c:v>418</c:v>
                      </c:pt>
                      <c:pt idx="15">
                        <c:v>426</c:v>
                      </c:pt>
                      <c:pt idx="16">
                        <c:v>434</c:v>
                      </c:pt>
                      <c:pt idx="17">
                        <c:v>442</c:v>
                      </c:pt>
                      <c:pt idx="18">
                        <c:v>450</c:v>
                      </c:pt>
                      <c:pt idx="19">
                        <c:v>458</c:v>
                      </c:pt>
                      <c:pt idx="20">
                        <c:v>466</c:v>
                      </c:pt>
                      <c:pt idx="21">
                        <c:v>474</c:v>
                      </c:pt>
                      <c:pt idx="22">
                        <c:v>482</c:v>
                      </c:pt>
                      <c:pt idx="23">
                        <c:v>490</c:v>
                      </c:pt>
                      <c:pt idx="24">
                        <c:v>498</c:v>
                      </c:pt>
                      <c:pt idx="25">
                        <c:v>506</c:v>
                      </c:pt>
                      <c:pt idx="26">
                        <c:v>514</c:v>
                      </c:pt>
                      <c:pt idx="27">
                        <c:v>522</c:v>
                      </c:pt>
                      <c:pt idx="28">
                        <c:v>530</c:v>
                      </c:pt>
                      <c:pt idx="29">
                        <c:v>538</c:v>
                      </c:pt>
                      <c:pt idx="30">
                        <c:v>546</c:v>
                      </c:pt>
                      <c:pt idx="31">
                        <c:v>554</c:v>
                      </c:pt>
                      <c:pt idx="32">
                        <c:v>562</c:v>
                      </c:pt>
                      <c:pt idx="33">
                        <c:v>570</c:v>
                      </c:pt>
                      <c:pt idx="34">
                        <c:v>578</c:v>
                      </c:pt>
                      <c:pt idx="35">
                        <c:v>586</c:v>
                      </c:pt>
                      <c:pt idx="36">
                        <c:v>594</c:v>
                      </c:pt>
                      <c:pt idx="37">
                        <c:v>602</c:v>
                      </c:pt>
                      <c:pt idx="38">
                        <c:v>610</c:v>
                      </c:pt>
                      <c:pt idx="39">
                        <c:v>618</c:v>
                      </c:pt>
                      <c:pt idx="40">
                        <c:v>626</c:v>
                      </c:pt>
                      <c:pt idx="41">
                        <c:v>634</c:v>
                      </c:pt>
                      <c:pt idx="42">
                        <c:v>642</c:v>
                      </c:pt>
                      <c:pt idx="43">
                        <c:v>650</c:v>
                      </c:pt>
                      <c:pt idx="44">
                        <c:v>658</c:v>
                      </c:pt>
                      <c:pt idx="45">
                        <c:v>666</c:v>
                      </c:pt>
                      <c:pt idx="46">
                        <c:v>674</c:v>
                      </c:pt>
                      <c:pt idx="47">
                        <c:v>682</c:v>
                      </c:pt>
                      <c:pt idx="48">
                        <c:v>690</c:v>
                      </c:pt>
                      <c:pt idx="49">
                        <c:v>698</c:v>
                      </c:pt>
                      <c:pt idx="50">
                        <c:v>706</c:v>
                      </c:pt>
                      <c:pt idx="51">
                        <c:v>714</c:v>
                      </c:pt>
                      <c:pt idx="52">
                        <c:v>722</c:v>
                      </c:pt>
                      <c:pt idx="53">
                        <c:v>730</c:v>
                      </c:pt>
                      <c:pt idx="54">
                        <c:v>738</c:v>
                      </c:pt>
                      <c:pt idx="55">
                        <c:v>746</c:v>
                      </c:pt>
                      <c:pt idx="56">
                        <c:v>754</c:v>
                      </c:pt>
                      <c:pt idx="57">
                        <c:v>762</c:v>
                      </c:pt>
                      <c:pt idx="58">
                        <c:v>770</c:v>
                      </c:pt>
                      <c:pt idx="59">
                        <c:v>778</c:v>
                      </c:pt>
                      <c:pt idx="60">
                        <c:v>786</c:v>
                      </c:pt>
                      <c:pt idx="61">
                        <c:v>794</c:v>
                      </c:pt>
                      <c:pt idx="62">
                        <c:v>802</c:v>
                      </c:pt>
                      <c:pt idx="63">
                        <c:v>810</c:v>
                      </c:pt>
                      <c:pt idx="64">
                        <c:v>818</c:v>
                      </c:pt>
                      <c:pt idx="65">
                        <c:v>826</c:v>
                      </c:pt>
                      <c:pt idx="66">
                        <c:v>834</c:v>
                      </c:pt>
                      <c:pt idx="67">
                        <c:v>842</c:v>
                      </c:pt>
                      <c:pt idx="68">
                        <c:v>850</c:v>
                      </c:pt>
                      <c:pt idx="69">
                        <c:v>858</c:v>
                      </c:pt>
                      <c:pt idx="70">
                        <c:v>866</c:v>
                      </c:pt>
                      <c:pt idx="71">
                        <c:v>874</c:v>
                      </c:pt>
                      <c:pt idx="72">
                        <c:v>882</c:v>
                      </c:pt>
                      <c:pt idx="73">
                        <c:v>890</c:v>
                      </c:pt>
                      <c:pt idx="74">
                        <c:v>898</c:v>
                      </c:pt>
                      <c:pt idx="75">
                        <c:v>906</c:v>
                      </c:pt>
                      <c:pt idx="76">
                        <c:v>914</c:v>
                      </c:pt>
                      <c:pt idx="77">
                        <c:v>922</c:v>
                      </c:pt>
                      <c:pt idx="78">
                        <c:v>930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EVALUATION!$B$107:$CP$107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-58.064234234234235</c:v>
                      </c:pt>
                      <c:pt idx="1">
                        <c:v>-56.971141141141139</c:v>
                      </c:pt>
                      <c:pt idx="2">
                        <c:v>-55.878048048048043</c:v>
                      </c:pt>
                      <c:pt idx="3">
                        <c:v>-54.784954954954955</c:v>
                      </c:pt>
                      <c:pt idx="4" formatCode="General">
                        <c:v>-54.124610778443113</c:v>
                      </c:pt>
                      <c:pt idx="5" formatCode="General">
                        <c:v>-53.564131736526946</c:v>
                      </c:pt>
                      <c:pt idx="6" formatCode="General">
                        <c:v>-53.003652694610771</c:v>
                      </c:pt>
                      <c:pt idx="7" formatCode="General">
                        <c:v>-52.443173652694604</c:v>
                      </c:pt>
                      <c:pt idx="8" formatCode="General">
                        <c:v>-52.043023952095801</c:v>
                      </c:pt>
                      <c:pt idx="9" formatCode="General">
                        <c:v>-51.734041916167662</c:v>
                      </c:pt>
                      <c:pt idx="10" formatCode="General">
                        <c:v>-51.425059880239516</c:v>
                      </c:pt>
                      <c:pt idx="11" formatCode="General">
                        <c:v>-51.11607784431137</c:v>
                      </c:pt>
                      <c:pt idx="12" formatCode="General">
                        <c:v>-50.842655688622749</c:v>
                      </c:pt>
                      <c:pt idx="13" formatCode="General">
                        <c:v>-50.610559880239521</c:v>
                      </c:pt>
                      <c:pt idx="14" formatCode="General">
                        <c:v>-50.378464071856285</c:v>
                      </c:pt>
                      <c:pt idx="15" formatCode="General">
                        <c:v>-50.146368263473057</c:v>
                      </c:pt>
                      <c:pt idx="16" formatCode="General">
                        <c:v>-49.931350299401196</c:v>
                      </c:pt>
                      <c:pt idx="17" formatCode="General">
                        <c:v>-49.758655688622753</c:v>
                      </c:pt>
                      <c:pt idx="18" formatCode="General">
                        <c:v>-49.58596107784431</c:v>
                      </c:pt>
                      <c:pt idx="19" formatCode="General">
                        <c:v>-49.413266467065867</c:v>
                      </c:pt>
                      <c:pt idx="20" formatCode="General">
                        <c:v>-49.246419161676648</c:v>
                      </c:pt>
                      <c:pt idx="21" formatCode="General">
                        <c:v>-49.125700598802396</c:v>
                      </c:pt>
                      <c:pt idx="22" formatCode="General">
                        <c:v>-49.004982035928144</c:v>
                      </c:pt>
                      <c:pt idx="23" formatCode="General">
                        <c:v>-48.884263473053892</c:v>
                      </c:pt>
                      <c:pt idx="24" formatCode="General">
                        <c:v>-48.76354491017964</c:v>
                      </c:pt>
                      <c:pt idx="25" formatCode="General">
                        <c:v>-48.847216216216218</c:v>
                      </c:pt>
                      <c:pt idx="26" formatCode="General">
                        <c:v>-48.944513513513513</c:v>
                      </c:pt>
                      <c:pt idx="27" formatCode="General">
                        <c:v>-49.041810810810816</c:v>
                      </c:pt>
                      <c:pt idx="28" formatCode="General">
                        <c:v>-49.139108108108111</c:v>
                      </c:pt>
                      <c:pt idx="29" formatCode="General">
                        <c:v>-49.365562874251502</c:v>
                      </c:pt>
                      <c:pt idx="30" formatCode="General">
                        <c:v>-49.62951497005988</c:v>
                      </c:pt>
                      <c:pt idx="31" formatCode="General">
                        <c:v>-49.893467065868265</c:v>
                      </c:pt>
                      <c:pt idx="32" formatCode="General">
                        <c:v>-50.157419161676643</c:v>
                      </c:pt>
                      <c:pt idx="33" formatCode="General">
                        <c:v>-50.414257485029935</c:v>
                      </c:pt>
                      <c:pt idx="34" formatCode="General">
                        <c:v>-50.666353293413174</c:v>
                      </c:pt>
                      <c:pt idx="35" formatCode="General">
                        <c:v>-50.918449101796405</c:v>
                      </c:pt>
                      <c:pt idx="36" formatCode="General">
                        <c:v>-51.170544910179636</c:v>
                      </c:pt>
                      <c:pt idx="37" formatCode="General">
                        <c:v>-51.422640718562874</c:v>
                      </c:pt>
                      <c:pt idx="38" formatCode="General">
                        <c:v>-51.674736526946106</c:v>
                      </c:pt>
                      <c:pt idx="39" formatCode="General">
                        <c:v>-51.926832335329337</c:v>
                      </c:pt>
                      <c:pt idx="40" formatCode="General">
                        <c:v>-52.178928143712575</c:v>
                      </c:pt>
                      <c:pt idx="41" formatCode="General">
                        <c:v>-52.431023952095806</c:v>
                      </c:pt>
                      <c:pt idx="42" formatCode="General">
                        <c:v>-52.683119760479038</c:v>
                      </c:pt>
                      <c:pt idx="43" formatCode="General">
                        <c:v>-52.935215568862276</c:v>
                      </c:pt>
                      <c:pt idx="44" formatCode="General">
                        <c:v>-53.187311377245507</c:v>
                      </c:pt>
                      <c:pt idx="45" formatCode="General">
                        <c:v>-53.439407185628738</c:v>
                      </c:pt>
                      <c:pt idx="46" formatCode="General">
                        <c:v>-53.691502994011977</c:v>
                      </c:pt>
                      <c:pt idx="47" formatCode="General">
                        <c:v>-53.943598802395208</c:v>
                      </c:pt>
                      <c:pt idx="48" formatCode="General">
                        <c:v>-54.195694610778446</c:v>
                      </c:pt>
                      <c:pt idx="49" formatCode="General">
                        <c:v>-54.447790419161677</c:v>
                      </c:pt>
                      <c:pt idx="50" formatCode="General">
                        <c:v>-54.685494382022469</c:v>
                      </c:pt>
                      <c:pt idx="51" formatCode="General">
                        <c:v>-54.921599250936332</c:v>
                      </c:pt>
                      <c:pt idx="52" formatCode="General">
                        <c:v>-55.157704119850187</c:v>
                      </c:pt>
                      <c:pt idx="53" formatCode="General">
                        <c:v>-55.393808988764043</c:v>
                      </c:pt>
                      <c:pt idx="54" formatCode="General">
                        <c:v>-55.629913857677906</c:v>
                      </c:pt>
                      <c:pt idx="55" formatCode="General">
                        <c:v>-55.866018726591761</c:v>
                      </c:pt>
                      <c:pt idx="56" formatCode="General">
                        <c:v>-56.102123595505617</c:v>
                      </c:pt>
                      <c:pt idx="57" formatCode="General">
                        <c:v>-56.338228464419473</c:v>
                      </c:pt>
                      <c:pt idx="58" formatCode="General">
                        <c:v>-56.574333333333335</c:v>
                      </c:pt>
                      <c:pt idx="59" formatCode="General">
                        <c:v>-56.810438202247191</c:v>
                      </c:pt>
                      <c:pt idx="60" formatCode="General">
                        <c:v>-57.046543071161047</c:v>
                      </c:pt>
                      <c:pt idx="61" formatCode="General">
                        <c:v>-57.282647940074902</c:v>
                      </c:pt>
                      <c:pt idx="62" formatCode="General">
                        <c:v>-57.518752808988765</c:v>
                      </c:pt>
                      <c:pt idx="63" formatCode="General">
                        <c:v>-57.754857677902621</c:v>
                      </c:pt>
                      <c:pt idx="64" formatCode="General">
                        <c:v>-57.990962546816476</c:v>
                      </c:pt>
                      <c:pt idx="65" formatCode="General">
                        <c:v>-58.227067415730332</c:v>
                      </c:pt>
                      <c:pt idx="66" formatCode="General">
                        <c:v>-58.460650936329586</c:v>
                      </c:pt>
                      <c:pt idx="67" formatCode="General">
                        <c:v>-58.684890636704118</c:v>
                      </c:pt>
                      <c:pt idx="68" formatCode="General">
                        <c:v>-58.909130337078651</c:v>
                      </c:pt>
                      <c:pt idx="69" formatCode="General">
                        <c:v>-59.133370037453183</c:v>
                      </c:pt>
                      <c:pt idx="70" formatCode="General">
                        <c:v>-59.357609737827715</c:v>
                      </c:pt>
                      <c:pt idx="71" formatCode="General">
                        <c:v>-59.581849438202241</c:v>
                      </c:pt>
                      <c:pt idx="72" formatCode="General">
                        <c:v>-59.806089138576773</c:v>
                      </c:pt>
                      <c:pt idx="73" formatCode="General">
                        <c:v>-60.030328838951306</c:v>
                      </c:pt>
                      <c:pt idx="74" formatCode="General">
                        <c:v>-60.254568539325838</c:v>
                      </c:pt>
                      <c:pt idx="75" formatCode="General">
                        <c:v>-60.478808239700371</c:v>
                      </c:pt>
                      <c:pt idx="76" formatCode="General">
                        <c:v>-60.703047940074903</c:v>
                      </c:pt>
                      <c:pt idx="77" formatCode="General">
                        <c:v>-60.927287640449435</c:v>
                      </c:pt>
                      <c:pt idx="78" formatCode="General">
                        <c:v>-61.151527340823968</c:v>
                      </c:pt>
                      <c:pt idx="79" formatCode="General">
                        <c:v>-61.3757670411985</c:v>
                      </c:pt>
                      <c:pt idx="80" formatCode="General">
                        <c:v>-61.600006741573026</c:v>
                      </c:pt>
                      <c:pt idx="81" formatCode="General">
                        <c:v>-61.824246441947558</c:v>
                      </c:pt>
                      <c:pt idx="82" formatCode="General">
                        <c:v>-62.048486142322091</c:v>
                      </c:pt>
                      <c:pt idx="83" formatCode="General">
                        <c:v>-62.267167664670652</c:v>
                      </c:pt>
                      <c:pt idx="84" formatCode="General">
                        <c:v>-62.480820359281431</c:v>
                      </c:pt>
                      <c:pt idx="85" formatCode="General">
                        <c:v>-62.69447305389221</c:v>
                      </c:pt>
                      <c:pt idx="86" formatCode="General">
                        <c:v>-62.908125748502989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B-6F8E-44D6-9842-8CC6ABD00D40}"/>
                  </c:ext>
                </c:extLst>
              </c15:ser>
            </c15:filteredScatterSeries>
            <c15:filteredScatterSeries>
              <c15:ser>
                <c:idx val="6"/>
                <c:order val="8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306</c:v>
                      </c:pt>
                      <c:pt idx="1">
                        <c:v>314</c:v>
                      </c:pt>
                      <c:pt idx="2">
                        <c:v>322</c:v>
                      </c:pt>
                      <c:pt idx="3">
                        <c:v>330</c:v>
                      </c:pt>
                      <c:pt idx="4">
                        <c:v>338</c:v>
                      </c:pt>
                      <c:pt idx="5">
                        <c:v>346</c:v>
                      </c:pt>
                      <c:pt idx="6">
                        <c:v>354</c:v>
                      </c:pt>
                      <c:pt idx="7">
                        <c:v>362</c:v>
                      </c:pt>
                      <c:pt idx="8">
                        <c:v>370</c:v>
                      </c:pt>
                      <c:pt idx="9">
                        <c:v>378</c:v>
                      </c:pt>
                      <c:pt idx="10">
                        <c:v>386</c:v>
                      </c:pt>
                      <c:pt idx="11">
                        <c:v>394</c:v>
                      </c:pt>
                      <c:pt idx="12">
                        <c:v>402</c:v>
                      </c:pt>
                      <c:pt idx="13">
                        <c:v>410</c:v>
                      </c:pt>
                      <c:pt idx="14">
                        <c:v>418</c:v>
                      </c:pt>
                      <c:pt idx="15">
                        <c:v>426</c:v>
                      </c:pt>
                      <c:pt idx="16">
                        <c:v>434</c:v>
                      </c:pt>
                      <c:pt idx="17">
                        <c:v>442</c:v>
                      </c:pt>
                      <c:pt idx="18">
                        <c:v>450</c:v>
                      </c:pt>
                      <c:pt idx="19">
                        <c:v>458</c:v>
                      </c:pt>
                      <c:pt idx="20">
                        <c:v>466</c:v>
                      </c:pt>
                      <c:pt idx="21">
                        <c:v>474</c:v>
                      </c:pt>
                      <c:pt idx="22">
                        <c:v>482</c:v>
                      </c:pt>
                      <c:pt idx="23">
                        <c:v>490</c:v>
                      </c:pt>
                      <c:pt idx="24">
                        <c:v>498</c:v>
                      </c:pt>
                      <c:pt idx="25">
                        <c:v>506</c:v>
                      </c:pt>
                      <c:pt idx="26">
                        <c:v>514</c:v>
                      </c:pt>
                      <c:pt idx="27">
                        <c:v>522</c:v>
                      </c:pt>
                      <c:pt idx="28">
                        <c:v>530</c:v>
                      </c:pt>
                      <c:pt idx="29">
                        <c:v>538</c:v>
                      </c:pt>
                      <c:pt idx="30">
                        <c:v>546</c:v>
                      </c:pt>
                      <c:pt idx="31">
                        <c:v>554</c:v>
                      </c:pt>
                      <c:pt idx="32">
                        <c:v>562</c:v>
                      </c:pt>
                      <c:pt idx="33">
                        <c:v>570</c:v>
                      </c:pt>
                      <c:pt idx="34">
                        <c:v>578</c:v>
                      </c:pt>
                      <c:pt idx="35">
                        <c:v>586</c:v>
                      </c:pt>
                      <c:pt idx="36">
                        <c:v>594</c:v>
                      </c:pt>
                      <c:pt idx="37">
                        <c:v>602</c:v>
                      </c:pt>
                      <c:pt idx="38">
                        <c:v>610</c:v>
                      </c:pt>
                      <c:pt idx="39">
                        <c:v>618</c:v>
                      </c:pt>
                      <c:pt idx="40">
                        <c:v>626</c:v>
                      </c:pt>
                      <c:pt idx="41">
                        <c:v>634</c:v>
                      </c:pt>
                      <c:pt idx="42">
                        <c:v>642</c:v>
                      </c:pt>
                      <c:pt idx="43">
                        <c:v>650</c:v>
                      </c:pt>
                      <c:pt idx="44">
                        <c:v>658</c:v>
                      </c:pt>
                      <c:pt idx="45">
                        <c:v>666</c:v>
                      </c:pt>
                      <c:pt idx="46">
                        <c:v>674</c:v>
                      </c:pt>
                      <c:pt idx="47">
                        <c:v>682</c:v>
                      </c:pt>
                      <c:pt idx="48">
                        <c:v>690</c:v>
                      </c:pt>
                      <c:pt idx="49">
                        <c:v>698</c:v>
                      </c:pt>
                      <c:pt idx="50">
                        <c:v>706</c:v>
                      </c:pt>
                      <c:pt idx="51">
                        <c:v>714</c:v>
                      </c:pt>
                      <c:pt idx="52">
                        <c:v>722</c:v>
                      </c:pt>
                      <c:pt idx="53">
                        <c:v>730</c:v>
                      </c:pt>
                      <c:pt idx="54">
                        <c:v>738</c:v>
                      </c:pt>
                      <c:pt idx="55">
                        <c:v>746</c:v>
                      </c:pt>
                      <c:pt idx="56">
                        <c:v>754</c:v>
                      </c:pt>
                      <c:pt idx="57">
                        <c:v>762</c:v>
                      </c:pt>
                      <c:pt idx="58">
                        <c:v>770</c:v>
                      </c:pt>
                      <c:pt idx="59">
                        <c:v>778</c:v>
                      </c:pt>
                      <c:pt idx="60">
                        <c:v>786</c:v>
                      </c:pt>
                      <c:pt idx="61">
                        <c:v>794</c:v>
                      </c:pt>
                      <c:pt idx="62">
                        <c:v>802</c:v>
                      </c:pt>
                      <c:pt idx="63">
                        <c:v>810</c:v>
                      </c:pt>
                      <c:pt idx="64">
                        <c:v>818</c:v>
                      </c:pt>
                      <c:pt idx="65">
                        <c:v>826</c:v>
                      </c:pt>
                      <c:pt idx="66">
                        <c:v>834</c:v>
                      </c:pt>
                      <c:pt idx="67">
                        <c:v>842</c:v>
                      </c:pt>
                      <c:pt idx="68">
                        <c:v>850</c:v>
                      </c:pt>
                      <c:pt idx="69">
                        <c:v>858</c:v>
                      </c:pt>
                      <c:pt idx="70">
                        <c:v>866</c:v>
                      </c:pt>
                      <c:pt idx="71">
                        <c:v>874</c:v>
                      </c:pt>
                      <c:pt idx="72">
                        <c:v>882</c:v>
                      </c:pt>
                      <c:pt idx="73">
                        <c:v>890</c:v>
                      </c:pt>
                      <c:pt idx="74">
                        <c:v>898</c:v>
                      </c:pt>
                      <c:pt idx="75">
                        <c:v>906</c:v>
                      </c:pt>
                      <c:pt idx="76">
                        <c:v>914</c:v>
                      </c:pt>
                      <c:pt idx="77">
                        <c:v>922</c:v>
                      </c:pt>
                      <c:pt idx="78">
                        <c:v>930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EVALUATION!$B$109:$CP$109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-30.236216216216214</c:v>
                      </c:pt>
                      <c:pt idx="1">
                        <c:v>-29.760540540540539</c:v>
                      </c:pt>
                      <c:pt idx="2">
                        <c:v>-29.284864864864865</c:v>
                      </c:pt>
                      <c:pt idx="3">
                        <c:v>-28.809189189189187</c:v>
                      </c:pt>
                      <c:pt idx="4" formatCode="General">
                        <c:v>-27.918203592814368</c:v>
                      </c:pt>
                      <c:pt idx="5" formatCode="General">
                        <c:v>-26.93137724550898</c:v>
                      </c:pt>
                      <c:pt idx="6" formatCode="General">
                        <c:v>-25.944550898203591</c:v>
                      </c:pt>
                      <c:pt idx="7" formatCode="General">
                        <c:v>-24.957724550898202</c:v>
                      </c:pt>
                      <c:pt idx="8" formatCode="General">
                        <c:v>-23.900658682634731</c:v>
                      </c:pt>
                      <c:pt idx="9" formatCode="General">
                        <c:v>-22.803652694610779</c:v>
                      </c:pt>
                      <c:pt idx="10" formatCode="General">
                        <c:v>-21.706646706586827</c:v>
                      </c:pt>
                      <c:pt idx="11" formatCode="General">
                        <c:v>-20.609640718562876</c:v>
                      </c:pt>
                      <c:pt idx="12" formatCode="General">
                        <c:v>-19.579323353293415</c:v>
                      </c:pt>
                      <c:pt idx="13" formatCode="General">
                        <c:v>-18.626508982035929</c:v>
                      </c:pt>
                      <c:pt idx="14" formatCode="General">
                        <c:v>-17.673694610778444</c:v>
                      </c:pt>
                      <c:pt idx="15" formatCode="General">
                        <c:v>-16.720880239520959</c:v>
                      </c:pt>
                      <c:pt idx="16" formatCode="General">
                        <c:v>-15.802221556886229</c:v>
                      </c:pt>
                      <c:pt idx="17" formatCode="General">
                        <c:v>-14.968209580838325</c:v>
                      </c:pt>
                      <c:pt idx="18" formatCode="General">
                        <c:v>-14.134197604790421</c:v>
                      </c:pt>
                      <c:pt idx="19" formatCode="General">
                        <c:v>-13.300185628742518</c:v>
                      </c:pt>
                      <c:pt idx="20" formatCode="General">
                        <c:v>-12.476790419161679</c:v>
                      </c:pt>
                      <c:pt idx="21" formatCode="General">
                        <c:v>-11.737149700598804</c:v>
                      </c:pt>
                      <c:pt idx="22" formatCode="General">
                        <c:v>-10.99750898203593</c:v>
                      </c:pt>
                      <c:pt idx="23" formatCode="General">
                        <c:v>-10.257868263473053</c:v>
                      </c:pt>
                      <c:pt idx="24" formatCode="General">
                        <c:v>-9.5182275449101788</c:v>
                      </c:pt>
                      <c:pt idx="25" formatCode="General">
                        <c:v>-9.2039819819819808</c:v>
                      </c:pt>
                      <c:pt idx="26" formatCode="General">
                        <c:v>-8.9180960960960949</c:v>
                      </c:pt>
                      <c:pt idx="27" formatCode="General">
                        <c:v>-8.632210210210209</c:v>
                      </c:pt>
                      <c:pt idx="28" formatCode="General">
                        <c:v>-8.346324324324323</c:v>
                      </c:pt>
                      <c:pt idx="29" formatCode="General">
                        <c:v>-8.3124431137724546</c:v>
                      </c:pt>
                      <c:pt idx="30" formatCode="General">
                        <c:v>-8.3517245508982043</c:v>
                      </c:pt>
                      <c:pt idx="31" formatCode="General">
                        <c:v>-8.3910059880239523</c:v>
                      </c:pt>
                      <c:pt idx="32" formatCode="General">
                        <c:v>-8.4302874251497002</c:v>
                      </c:pt>
                      <c:pt idx="33" formatCode="General">
                        <c:v>-8.4697125748502984</c:v>
                      </c:pt>
                      <c:pt idx="34" formatCode="General">
                        <c:v>-8.5092335329341307</c:v>
                      </c:pt>
                      <c:pt idx="35" formatCode="General">
                        <c:v>-8.5487544910179629</c:v>
                      </c:pt>
                      <c:pt idx="36" formatCode="General">
                        <c:v>-8.5882754491017952</c:v>
                      </c:pt>
                      <c:pt idx="37" formatCode="General">
                        <c:v>-8.6277964071856292</c:v>
                      </c:pt>
                      <c:pt idx="38" formatCode="General">
                        <c:v>-8.6673173652694615</c:v>
                      </c:pt>
                      <c:pt idx="39" formatCode="General">
                        <c:v>-8.7068383233532938</c:v>
                      </c:pt>
                      <c:pt idx="40" formatCode="General">
                        <c:v>-8.746359281437126</c:v>
                      </c:pt>
                      <c:pt idx="41" formatCode="General">
                        <c:v>-8.7858802395209583</c:v>
                      </c:pt>
                      <c:pt idx="42" formatCode="General">
                        <c:v>-8.8254011976047906</c:v>
                      </c:pt>
                      <c:pt idx="43" formatCode="General">
                        <c:v>-8.8649221556886229</c:v>
                      </c:pt>
                      <c:pt idx="44" formatCode="General">
                        <c:v>-8.9044431137724551</c:v>
                      </c:pt>
                      <c:pt idx="45" formatCode="General">
                        <c:v>-8.9439640718562874</c:v>
                      </c:pt>
                      <c:pt idx="46" formatCode="General">
                        <c:v>-8.9834850299401197</c:v>
                      </c:pt>
                      <c:pt idx="47" formatCode="General">
                        <c:v>-9.0230059880239519</c:v>
                      </c:pt>
                      <c:pt idx="48" formatCode="General">
                        <c:v>-9.0625269461077842</c:v>
                      </c:pt>
                      <c:pt idx="49" formatCode="General">
                        <c:v>-9.1020479041916165</c:v>
                      </c:pt>
                      <c:pt idx="50" formatCode="General">
                        <c:v>-9.140516853932585</c:v>
                      </c:pt>
                      <c:pt idx="51" formatCode="General">
                        <c:v>-9.1788689138576789</c:v>
                      </c:pt>
                      <c:pt idx="52" formatCode="General">
                        <c:v>-9.2172209737827711</c:v>
                      </c:pt>
                      <c:pt idx="53" formatCode="General">
                        <c:v>-9.255573033707865</c:v>
                      </c:pt>
                      <c:pt idx="54" formatCode="General">
                        <c:v>-9.2939250936329589</c:v>
                      </c:pt>
                      <c:pt idx="55" formatCode="General">
                        <c:v>-9.3322771535580529</c:v>
                      </c:pt>
                      <c:pt idx="56" formatCode="General">
                        <c:v>-9.3706292134831468</c:v>
                      </c:pt>
                      <c:pt idx="57" formatCode="General">
                        <c:v>-9.4089812734082408</c:v>
                      </c:pt>
                      <c:pt idx="58" formatCode="General">
                        <c:v>-9.4473333333333329</c:v>
                      </c:pt>
                      <c:pt idx="59" formatCode="General">
                        <c:v>-9.4856853932584269</c:v>
                      </c:pt>
                      <c:pt idx="60" formatCode="General">
                        <c:v>-9.5240374531835208</c:v>
                      </c:pt>
                      <c:pt idx="61" formatCode="General">
                        <c:v>-9.5623895131086147</c:v>
                      </c:pt>
                      <c:pt idx="62" formatCode="General">
                        <c:v>-9.6007415730337087</c:v>
                      </c:pt>
                      <c:pt idx="63" formatCode="General">
                        <c:v>-9.6390936329588026</c:v>
                      </c:pt>
                      <c:pt idx="64" formatCode="General">
                        <c:v>-9.6774456928838966</c:v>
                      </c:pt>
                      <c:pt idx="65" formatCode="General">
                        <c:v>-9.7157977528089887</c:v>
                      </c:pt>
                      <c:pt idx="66" formatCode="General">
                        <c:v>-9.7536913857677909</c:v>
                      </c:pt>
                      <c:pt idx="67" formatCode="General">
                        <c:v>-9.7898861423220982</c:v>
                      </c:pt>
                      <c:pt idx="68" formatCode="General">
                        <c:v>-9.8260808988764055</c:v>
                      </c:pt>
                      <c:pt idx="69" formatCode="General">
                        <c:v>-9.8622756554307127</c:v>
                      </c:pt>
                      <c:pt idx="70" formatCode="General">
                        <c:v>-9.89847041198502</c:v>
                      </c:pt>
                      <c:pt idx="71" formatCode="General">
                        <c:v>-9.9346651685393255</c:v>
                      </c:pt>
                      <c:pt idx="72" formatCode="General">
                        <c:v>-9.9708599250936327</c:v>
                      </c:pt>
                      <c:pt idx="73" formatCode="General">
                        <c:v>-10.00705468164794</c:v>
                      </c:pt>
                      <c:pt idx="74" formatCode="General">
                        <c:v>-10.043249438202247</c:v>
                      </c:pt>
                      <c:pt idx="75" formatCode="General">
                        <c:v>-10.079444194756555</c:v>
                      </c:pt>
                      <c:pt idx="76" formatCode="General">
                        <c:v>-10.115638951310862</c:v>
                      </c:pt>
                      <c:pt idx="77" formatCode="General">
                        <c:v>-10.151833707865169</c:v>
                      </c:pt>
                      <c:pt idx="78" formatCode="General">
                        <c:v>-10.188028464419476</c:v>
                      </c:pt>
                      <c:pt idx="79" formatCode="General">
                        <c:v>-10.224223220973784</c:v>
                      </c:pt>
                      <c:pt idx="80" formatCode="General">
                        <c:v>-10.260417977528089</c:v>
                      </c:pt>
                      <c:pt idx="81" formatCode="General">
                        <c:v>-10.296612734082396</c:v>
                      </c:pt>
                      <c:pt idx="82" formatCode="General">
                        <c:v>-10.332807490636704</c:v>
                      </c:pt>
                      <c:pt idx="83" formatCode="General">
                        <c:v>-10.368107784431137</c:v>
                      </c:pt>
                      <c:pt idx="84" formatCode="General">
                        <c:v>-10.402598802395209</c:v>
                      </c:pt>
                      <c:pt idx="85" formatCode="General">
                        <c:v>-10.437089820359281</c:v>
                      </c:pt>
                      <c:pt idx="86" formatCode="General">
                        <c:v>-10.471580838323353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C-6F8E-44D6-9842-8CC6ABD00D40}"/>
                  </c:ext>
                </c:extLst>
              </c15:ser>
            </c15:filteredScatterSeries>
            <c15:filteredScatterSeries>
              <c15:ser>
                <c:idx val="7"/>
                <c:order val="9"/>
                <c:spPr>
                  <a:ln>
                    <a:solidFill>
                      <a:srgbClr val="FFC000"/>
                    </a:solidFill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306</c:v>
                      </c:pt>
                      <c:pt idx="1">
                        <c:v>314</c:v>
                      </c:pt>
                      <c:pt idx="2">
                        <c:v>322</c:v>
                      </c:pt>
                      <c:pt idx="3">
                        <c:v>330</c:v>
                      </c:pt>
                      <c:pt idx="4">
                        <c:v>338</c:v>
                      </c:pt>
                      <c:pt idx="5">
                        <c:v>346</c:v>
                      </c:pt>
                      <c:pt idx="6">
                        <c:v>354</c:v>
                      </c:pt>
                      <c:pt idx="7">
                        <c:v>362</c:v>
                      </c:pt>
                      <c:pt idx="8">
                        <c:v>370</c:v>
                      </c:pt>
                      <c:pt idx="9">
                        <c:v>378</c:v>
                      </c:pt>
                      <c:pt idx="10">
                        <c:v>386</c:v>
                      </c:pt>
                      <c:pt idx="11">
                        <c:v>394</c:v>
                      </c:pt>
                      <c:pt idx="12">
                        <c:v>402</c:v>
                      </c:pt>
                      <c:pt idx="13">
                        <c:v>410</c:v>
                      </c:pt>
                      <c:pt idx="14">
                        <c:v>418</c:v>
                      </c:pt>
                      <c:pt idx="15">
                        <c:v>426</c:v>
                      </c:pt>
                      <c:pt idx="16">
                        <c:v>434</c:v>
                      </c:pt>
                      <c:pt idx="17">
                        <c:v>442</c:v>
                      </c:pt>
                      <c:pt idx="18">
                        <c:v>450</c:v>
                      </c:pt>
                      <c:pt idx="19">
                        <c:v>458</c:v>
                      </c:pt>
                      <c:pt idx="20">
                        <c:v>466</c:v>
                      </c:pt>
                      <c:pt idx="21">
                        <c:v>474</c:v>
                      </c:pt>
                      <c:pt idx="22">
                        <c:v>482</c:v>
                      </c:pt>
                      <c:pt idx="23">
                        <c:v>490</c:v>
                      </c:pt>
                      <c:pt idx="24">
                        <c:v>498</c:v>
                      </c:pt>
                      <c:pt idx="25">
                        <c:v>506</c:v>
                      </c:pt>
                      <c:pt idx="26">
                        <c:v>514</c:v>
                      </c:pt>
                      <c:pt idx="27">
                        <c:v>522</c:v>
                      </c:pt>
                      <c:pt idx="28">
                        <c:v>530</c:v>
                      </c:pt>
                      <c:pt idx="29">
                        <c:v>538</c:v>
                      </c:pt>
                      <c:pt idx="30">
                        <c:v>546</c:v>
                      </c:pt>
                      <c:pt idx="31">
                        <c:v>554</c:v>
                      </c:pt>
                      <c:pt idx="32">
                        <c:v>562</c:v>
                      </c:pt>
                      <c:pt idx="33">
                        <c:v>570</c:v>
                      </c:pt>
                      <c:pt idx="34">
                        <c:v>578</c:v>
                      </c:pt>
                      <c:pt idx="35">
                        <c:v>586</c:v>
                      </c:pt>
                      <c:pt idx="36">
                        <c:v>594</c:v>
                      </c:pt>
                      <c:pt idx="37">
                        <c:v>602</c:v>
                      </c:pt>
                      <c:pt idx="38">
                        <c:v>610</c:v>
                      </c:pt>
                      <c:pt idx="39">
                        <c:v>618</c:v>
                      </c:pt>
                      <c:pt idx="40">
                        <c:v>626</c:v>
                      </c:pt>
                      <c:pt idx="41">
                        <c:v>634</c:v>
                      </c:pt>
                      <c:pt idx="42">
                        <c:v>642</c:v>
                      </c:pt>
                      <c:pt idx="43">
                        <c:v>650</c:v>
                      </c:pt>
                      <c:pt idx="44">
                        <c:v>658</c:v>
                      </c:pt>
                      <c:pt idx="45">
                        <c:v>666</c:v>
                      </c:pt>
                      <c:pt idx="46">
                        <c:v>674</c:v>
                      </c:pt>
                      <c:pt idx="47">
                        <c:v>682</c:v>
                      </c:pt>
                      <c:pt idx="48">
                        <c:v>690</c:v>
                      </c:pt>
                      <c:pt idx="49">
                        <c:v>698</c:v>
                      </c:pt>
                      <c:pt idx="50">
                        <c:v>706</c:v>
                      </c:pt>
                      <c:pt idx="51">
                        <c:v>714</c:v>
                      </c:pt>
                      <c:pt idx="52">
                        <c:v>722</c:v>
                      </c:pt>
                      <c:pt idx="53">
                        <c:v>730</c:v>
                      </c:pt>
                      <c:pt idx="54">
                        <c:v>738</c:v>
                      </c:pt>
                      <c:pt idx="55">
                        <c:v>746</c:v>
                      </c:pt>
                      <c:pt idx="56">
                        <c:v>754</c:v>
                      </c:pt>
                      <c:pt idx="57">
                        <c:v>762</c:v>
                      </c:pt>
                      <c:pt idx="58">
                        <c:v>770</c:v>
                      </c:pt>
                      <c:pt idx="59">
                        <c:v>778</c:v>
                      </c:pt>
                      <c:pt idx="60">
                        <c:v>786</c:v>
                      </c:pt>
                      <c:pt idx="61">
                        <c:v>794</c:v>
                      </c:pt>
                      <c:pt idx="62">
                        <c:v>802</c:v>
                      </c:pt>
                      <c:pt idx="63">
                        <c:v>810</c:v>
                      </c:pt>
                      <c:pt idx="64">
                        <c:v>818</c:v>
                      </c:pt>
                      <c:pt idx="65">
                        <c:v>826</c:v>
                      </c:pt>
                      <c:pt idx="66">
                        <c:v>834</c:v>
                      </c:pt>
                      <c:pt idx="67">
                        <c:v>842</c:v>
                      </c:pt>
                      <c:pt idx="68">
                        <c:v>850</c:v>
                      </c:pt>
                      <c:pt idx="69">
                        <c:v>858</c:v>
                      </c:pt>
                      <c:pt idx="70">
                        <c:v>866</c:v>
                      </c:pt>
                      <c:pt idx="71">
                        <c:v>874</c:v>
                      </c:pt>
                      <c:pt idx="72">
                        <c:v>882</c:v>
                      </c:pt>
                      <c:pt idx="73">
                        <c:v>890</c:v>
                      </c:pt>
                      <c:pt idx="74">
                        <c:v>898</c:v>
                      </c:pt>
                      <c:pt idx="75">
                        <c:v>906</c:v>
                      </c:pt>
                      <c:pt idx="76">
                        <c:v>914</c:v>
                      </c:pt>
                      <c:pt idx="77">
                        <c:v>922</c:v>
                      </c:pt>
                      <c:pt idx="78">
                        <c:v>930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EVALUATION!$B$110:$CP$110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-15.118108108108107</c:v>
                      </c:pt>
                      <c:pt idx="1">
                        <c:v>-14.88027027027027</c:v>
                      </c:pt>
                      <c:pt idx="2">
                        <c:v>-14.642432432432432</c:v>
                      </c:pt>
                      <c:pt idx="3">
                        <c:v>-14.404594594594593</c:v>
                      </c:pt>
                      <c:pt idx="4" formatCode="General">
                        <c:v>-13.959101796407184</c:v>
                      </c:pt>
                      <c:pt idx="5" formatCode="General">
                        <c:v>-13.46568862275449</c:v>
                      </c:pt>
                      <c:pt idx="6" formatCode="General">
                        <c:v>-12.972275449101796</c:v>
                      </c:pt>
                      <c:pt idx="7" formatCode="General">
                        <c:v>-12.478862275449101</c:v>
                      </c:pt>
                      <c:pt idx="8" formatCode="General">
                        <c:v>-11.950329341317365</c:v>
                      </c:pt>
                      <c:pt idx="9" formatCode="General">
                        <c:v>-11.40182634730539</c:v>
                      </c:pt>
                      <c:pt idx="10" formatCode="General">
                        <c:v>-10.853323353293414</c:v>
                      </c:pt>
                      <c:pt idx="11" formatCode="General">
                        <c:v>-10.304820359281438</c:v>
                      </c:pt>
                      <c:pt idx="12" formatCode="General">
                        <c:v>-9.7896616766467073</c:v>
                      </c:pt>
                      <c:pt idx="13" formatCode="General">
                        <c:v>-9.3132544910179647</c:v>
                      </c:pt>
                      <c:pt idx="14" formatCode="General">
                        <c:v>-8.836847305389222</c:v>
                      </c:pt>
                      <c:pt idx="15" formatCode="General">
                        <c:v>-8.3604401197604794</c:v>
                      </c:pt>
                      <c:pt idx="16" formatCode="General">
                        <c:v>-7.9011107784431145</c:v>
                      </c:pt>
                      <c:pt idx="17" formatCode="General">
                        <c:v>-7.4841047904191624</c:v>
                      </c:pt>
                      <c:pt idx="18" formatCode="General">
                        <c:v>-7.0670988023952104</c:v>
                      </c:pt>
                      <c:pt idx="19" formatCode="General">
                        <c:v>-6.6500928143712592</c:v>
                      </c:pt>
                      <c:pt idx="20" formatCode="General">
                        <c:v>-6.2383952095808395</c:v>
                      </c:pt>
                      <c:pt idx="21" formatCode="General">
                        <c:v>-5.8685748502994022</c:v>
                      </c:pt>
                      <c:pt idx="22" formatCode="General">
                        <c:v>-5.4987544910179649</c:v>
                      </c:pt>
                      <c:pt idx="23" formatCode="General">
                        <c:v>-5.1289341317365267</c:v>
                      </c:pt>
                      <c:pt idx="24" formatCode="General">
                        <c:v>-4.7591137724550894</c:v>
                      </c:pt>
                      <c:pt idx="25" formatCode="General">
                        <c:v>-4.6019909909909904</c:v>
                      </c:pt>
                      <c:pt idx="26" formatCode="General">
                        <c:v>-4.4590480480480474</c:v>
                      </c:pt>
                      <c:pt idx="27" formatCode="General">
                        <c:v>-4.3161051051051045</c:v>
                      </c:pt>
                      <c:pt idx="28" formatCode="General">
                        <c:v>-4.1731621621621615</c:v>
                      </c:pt>
                      <c:pt idx="29" formatCode="General">
                        <c:v>-4.1562215568862273</c:v>
                      </c:pt>
                      <c:pt idx="30" formatCode="General">
                        <c:v>-4.1758622754491022</c:v>
                      </c:pt>
                      <c:pt idx="31" formatCode="General">
                        <c:v>-4.1955029940119761</c:v>
                      </c:pt>
                      <c:pt idx="32" formatCode="General">
                        <c:v>-4.2151437125748501</c:v>
                      </c:pt>
                      <c:pt idx="33" formatCode="General">
                        <c:v>-4.2348562874251492</c:v>
                      </c:pt>
                      <c:pt idx="34" formatCode="General">
                        <c:v>-4.2546167664670653</c:v>
                      </c:pt>
                      <c:pt idx="35" formatCode="General">
                        <c:v>-4.2743772455089815</c:v>
                      </c:pt>
                      <c:pt idx="36" formatCode="General">
                        <c:v>-4.2941377245508976</c:v>
                      </c:pt>
                      <c:pt idx="37" formatCode="General">
                        <c:v>-4.3138982035928146</c:v>
                      </c:pt>
                      <c:pt idx="38" formatCode="General">
                        <c:v>-4.3336586826347308</c:v>
                      </c:pt>
                      <c:pt idx="39" formatCode="General">
                        <c:v>-4.3534191616766469</c:v>
                      </c:pt>
                      <c:pt idx="40" formatCode="General">
                        <c:v>-4.373179640718563</c:v>
                      </c:pt>
                      <c:pt idx="41" formatCode="General">
                        <c:v>-4.3929401197604792</c:v>
                      </c:pt>
                      <c:pt idx="42" formatCode="General">
                        <c:v>-4.4127005988023953</c:v>
                      </c:pt>
                      <c:pt idx="43" formatCode="General">
                        <c:v>-4.4324610778443114</c:v>
                      </c:pt>
                      <c:pt idx="44" formatCode="General">
                        <c:v>-4.4522215568862276</c:v>
                      </c:pt>
                      <c:pt idx="45" formatCode="General">
                        <c:v>-4.4719820359281437</c:v>
                      </c:pt>
                      <c:pt idx="46" formatCode="General">
                        <c:v>-4.4917425149700598</c:v>
                      </c:pt>
                      <c:pt idx="47" formatCode="General">
                        <c:v>-4.511502994011976</c:v>
                      </c:pt>
                      <c:pt idx="48" formatCode="General">
                        <c:v>-4.5312634730538921</c:v>
                      </c:pt>
                      <c:pt idx="49" formatCode="General">
                        <c:v>-4.5510239520958082</c:v>
                      </c:pt>
                      <c:pt idx="50" formatCode="General">
                        <c:v>-4.5702584269662925</c:v>
                      </c:pt>
                      <c:pt idx="51" formatCode="General">
                        <c:v>-4.5894344569288394</c:v>
                      </c:pt>
                      <c:pt idx="52" formatCode="General">
                        <c:v>-4.6086104868913855</c:v>
                      </c:pt>
                      <c:pt idx="53" formatCode="General">
                        <c:v>-4.6277865168539325</c:v>
                      </c:pt>
                      <c:pt idx="54" formatCode="General">
                        <c:v>-4.6469625468164795</c:v>
                      </c:pt>
                      <c:pt idx="55" formatCode="General">
                        <c:v>-4.6661385767790264</c:v>
                      </c:pt>
                      <c:pt idx="56" formatCode="General">
                        <c:v>-4.6853146067415734</c:v>
                      </c:pt>
                      <c:pt idx="57" formatCode="General">
                        <c:v>-4.7044906367041204</c:v>
                      </c:pt>
                      <c:pt idx="58" formatCode="General">
                        <c:v>-4.7236666666666665</c:v>
                      </c:pt>
                      <c:pt idx="59" formatCode="General">
                        <c:v>-4.7428426966292134</c:v>
                      </c:pt>
                      <c:pt idx="60" formatCode="General">
                        <c:v>-4.7620187265917604</c:v>
                      </c:pt>
                      <c:pt idx="61" formatCode="General">
                        <c:v>-4.7811947565543074</c:v>
                      </c:pt>
                      <c:pt idx="62" formatCode="General">
                        <c:v>-4.8003707865168543</c:v>
                      </c:pt>
                      <c:pt idx="63" formatCode="General">
                        <c:v>-4.8195468164794013</c:v>
                      </c:pt>
                      <c:pt idx="64" formatCode="General">
                        <c:v>-4.8387228464419483</c:v>
                      </c:pt>
                      <c:pt idx="65" formatCode="General">
                        <c:v>-4.8578988764044944</c:v>
                      </c:pt>
                      <c:pt idx="66" formatCode="General">
                        <c:v>-4.8768456928838955</c:v>
                      </c:pt>
                      <c:pt idx="67" formatCode="General">
                        <c:v>-4.8949430711610491</c:v>
                      </c:pt>
                      <c:pt idx="68" formatCode="General">
                        <c:v>-4.9130404494382027</c:v>
                      </c:pt>
                      <c:pt idx="69" formatCode="General">
                        <c:v>-4.9311378277153564</c:v>
                      </c:pt>
                      <c:pt idx="70" formatCode="General">
                        <c:v>-4.94923520599251</c:v>
                      </c:pt>
                      <c:pt idx="71" formatCode="General">
                        <c:v>-4.9673325842696627</c:v>
                      </c:pt>
                      <c:pt idx="72" formatCode="General">
                        <c:v>-4.9854299625468164</c:v>
                      </c:pt>
                      <c:pt idx="73" formatCode="General">
                        <c:v>-5.00352734082397</c:v>
                      </c:pt>
                      <c:pt idx="74" formatCode="General">
                        <c:v>-5.0216247191011236</c:v>
                      </c:pt>
                      <c:pt idx="75" formatCode="General">
                        <c:v>-5.0397220973782773</c:v>
                      </c:pt>
                      <c:pt idx="76" formatCode="General">
                        <c:v>-5.0578194756554309</c:v>
                      </c:pt>
                      <c:pt idx="77" formatCode="General">
                        <c:v>-5.0759168539325845</c:v>
                      </c:pt>
                      <c:pt idx="78" formatCode="General">
                        <c:v>-5.0940142322097381</c:v>
                      </c:pt>
                      <c:pt idx="79" formatCode="General">
                        <c:v>-5.1121116104868918</c:v>
                      </c:pt>
                      <c:pt idx="80" formatCode="General">
                        <c:v>-5.1302089887640445</c:v>
                      </c:pt>
                      <c:pt idx="81" formatCode="General">
                        <c:v>-5.1483063670411982</c:v>
                      </c:pt>
                      <c:pt idx="82" formatCode="General">
                        <c:v>-5.1664037453183518</c:v>
                      </c:pt>
                      <c:pt idx="83" formatCode="General">
                        <c:v>-5.1840538922155686</c:v>
                      </c:pt>
                      <c:pt idx="84" formatCode="General">
                        <c:v>-5.2012994011976046</c:v>
                      </c:pt>
                      <c:pt idx="85" formatCode="General">
                        <c:v>-5.2185449101796406</c:v>
                      </c:pt>
                      <c:pt idx="86" formatCode="General">
                        <c:v>-5.2357904191616766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D-6F8E-44D6-9842-8CC6ABD00D40}"/>
                  </c:ext>
                </c:extLst>
              </c15:ser>
            </c15:filteredScatterSeries>
            <c15:filteredScatterSeries>
              <c15:ser>
                <c:idx val="8"/>
                <c:order val="10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306</c:v>
                      </c:pt>
                      <c:pt idx="1">
                        <c:v>314</c:v>
                      </c:pt>
                      <c:pt idx="2">
                        <c:v>322</c:v>
                      </c:pt>
                      <c:pt idx="3">
                        <c:v>330</c:v>
                      </c:pt>
                      <c:pt idx="4">
                        <c:v>338</c:v>
                      </c:pt>
                      <c:pt idx="5">
                        <c:v>346</c:v>
                      </c:pt>
                      <c:pt idx="6">
                        <c:v>354</c:v>
                      </c:pt>
                      <c:pt idx="7">
                        <c:v>362</c:v>
                      </c:pt>
                      <c:pt idx="8">
                        <c:v>370</c:v>
                      </c:pt>
                      <c:pt idx="9">
                        <c:v>378</c:v>
                      </c:pt>
                      <c:pt idx="10">
                        <c:v>386</c:v>
                      </c:pt>
                      <c:pt idx="11">
                        <c:v>394</c:v>
                      </c:pt>
                      <c:pt idx="12">
                        <c:v>402</c:v>
                      </c:pt>
                      <c:pt idx="13">
                        <c:v>410</c:v>
                      </c:pt>
                      <c:pt idx="14">
                        <c:v>418</c:v>
                      </c:pt>
                      <c:pt idx="15">
                        <c:v>426</c:v>
                      </c:pt>
                      <c:pt idx="16">
                        <c:v>434</c:v>
                      </c:pt>
                      <c:pt idx="17">
                        <c:v>442</c:v>
                      </c:pt>
                      <c:pt idx="18">
                        <c:v>450</c:v>
                      </c:pt>
                      <c:pt idx="19">
                        <c:v>458</c:v>
                      </c:pt>
                      <c:pt idx="20">
                        <c:v>466</c:v>
                      </c:pt>
                      <c:pt idx="21">
                        <c:v>474</c:v>
                      </c:pt>
                      <c:pt idx="22">
                        <c:v>482</c:v>
                      </c:pt>
                      <c:pt idx="23">
                        <c:v>490</c:v>
                      </c:pt>
                      <c:pt idx="24">
                        <c:v>498</c:v>
                      </c:pt>
                      <c:pt idx="25">
                        <c:v>506</c:v>
                      </c:pt>
                      <c:pt idx="26">
                        <c:v>514</c:v>
                      </c:pt>
                      <c:pt idx="27">
                        <c:v>522</c:v>
                      </c:pt>
                      <c:pt idx="28">
                        <c:v>530</c:v>
                      </c:pt>
                      <c:pt idx="29">
                        <c:v>538</c:v>
                      </c:pt>
                      <c:pt idx="30">
                        <c:v>546</c:v>
                      </c:pt>
                      <c:pt idx="31">
                        <c:v>554</c:v>
                      </c:pt>
                      <c:pt idx="32">
                        <c:v>562</c:v>
                      </c:pt>
                      <c:pt idx="33">
                        <c:v>570</c:v>
                      </c:pt>
                      <c:pt idx="34">
                        <c:v>578</c:v>
                      </c:pt>
                      <c:pt idx="35">
                        <c:v>586</c:v>
                      </c:pt>
                      <c:pt idx="36">
                        <c:v>594</c:v>
                      </c:pt>
                      <c:pt idx="37">
                        <c:v>602</c:v>
                      </c:pt>
                      <c:pt idx="38">
                        <c:v>610</c:v>
                      </c:pt>
                      <c:pt idx="39">
                        <c:v>618</c:v>
                      </c:pt>
                      <c:pt idx="40">
                        <c:v>626</c:v>
                      </c:pt>
                      <c:pt idx="41">
                        <c:v>634</c:v>
                      </c:pt>
                      <c:pt idx="42">
                        <c:v>642</c:v>
                      </c:pt>
                      <c:pt idx="43">
                        <c:v>650</c:v>
                      </c:pt>
                      <c:pt idx="44">
                        <c:v>658</c:v>
                      </c:pt>
                      <c:pt idx="45">
                        <c:v>666</c:v>
                      </c:pt>
                      <c:pt idx="46">
                        <c:v>674</c:v>
                      </c:pt>
                      <c:pt idx="47">
                        <c:v>682</c:v>
                      </c:pt>
                      <c:pt idx="48">
                        <c:v>690</c:v>
                      </c:pt>
                      <c:pt idx="49">
                        <c:v>698</c:v>
                      </c:pt>
                      <c:pt idx="50">
                        <c:v>706</c:v>
                      </c:pt>
                      <c:pt idx="51">
                        <c:v>714</c:v>
                      </c:pt>
                      <c:pt idx="52">
                        <c:v>722</c:v>
                      </c:pt>
                      <c:pt idx="53">
                        <c:v>730</c:v>
                      </c:pt>
                      <c:pt idx="54">
                        <c:v>738</c:v>
                      </c:pt>
                      <c:pt idx="55">
                        <c:v>746</c:v>
                      </c:pt>
                      <c:pt idx="56">
                        <c:v>754</c:v>
                      </c:pt>
                      <c:pt idx="57">
                        <c:v>762</c:v>
                      </c:pt>
                      <c:pt idx="58">
                        <c:v>770</c:v>
                      </c:pt>
                      <c:pt idx="59">
                        <c:v>778</c:v>
                      </c:pt>
                      <c:pt idx="60">
                        <c:v>786</c:v>
                      </c:pt>
                      <c:pt idx="61">
                        <c:v>794</c:v>
                      </c:pt>
                      <c:pt idx="62">
                        <c:v>802</c:v>
                      </c:pt>
                      <c:pt idx="63">
                        <c:v>810</c:v>
                      </c:pt>
                      <c:pt idx="64">
                        <c:v>818</c:v>
                      </c:pt>
                      <c:pt idx="65">
                        <c:v>826</c:v>
                      </c:pt>
                      <c:pt idx="66">
                        <c:v>834</c:v>
                      </c:pt>
                      <c:pt idx="67">
                        <c:v>842</c:v>
                      </c:pt>
                      <c:pt idx="68">
                        <c:v>850</c:v>
                      </c:pt>
                      <c:pt idx="69">
                        <c:v>858</c:v>
                      </c:pt>
                      <c:pt idx="70">
                        <c:v>866</c:v>
                      </c:pt>
                      <c:pt idx="71">
                        <c:v>874</c:v>
                      </c:pt>
                      <c:pt idx="72">
                        <c:v>882</c:v>
                      </c:pt>
                      <c:pt idx="73">
                        <c:v>890</c:v>
                      </c:pt>
                      <c:pt idx="74">
                        <c:v>898</c:v>
                      </c:pt>
                      <c:pt idx="75">
                        <c:v>906</c:v>
                      </c:pt>
                      <c:pt idx="76">
                        <c:v>914</c:v>
                      </c:pt>
                      <c:pt idx="77">
                        <c:v>922</c:v>
                      </c:pt>
                      <c:pt idx="78">
                        <c:v>930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EVALUATION!$B$111:$CP$111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-19.022342342342341</c:v>
                      </c:pt>
                      <c:pt idx="1">
                        <c:v>-19.024744744744744</c:v>
                      </c:pt>
                      <c:pt idx="2">
                        <c:v>-19.027147147147147</c:v>
                      </c:pt>
                      <c:pt idx="3">
                        <c:v>-19.02954954954955</c:v>
                      </c:pt>
                      <c:pt idx="4" formatCode="General">
                        <c:v>-19.035838323353293</c:v>
                      </c:pt>
                      <c:pt idx="5" formatCode="General">
                        <c:v>-19.043023952095808</c:v>
                      </c:pt>
                      <c:pt idx="6" formatCode="General">
                        <c:v>-19.050209580838324</c:v>
                      </c:pt>
                      <c:pt idx="7" formatCode="General">
                        <c:v>-19.057395209580836</c:v>
                      </c:pt>
                      <c:pt idx="8" formatCode="General">
                        <c:v>-19.06763473053892</c:v>
                      </c:pt>
                      <c:pt idx="9" formatCode="General">
                        <c:v>-19.079610778443111</c:v>
                      </c:pt>
                      <c:pt idx="10" formatCode="General">
                        <c:v>-19.091586826347303</c:v>
                      </c:pt>
                      <c:pt idx="11" formatCode="General">
                        <c:v>-19.103562874251498</c:v>
                      </c:pt>
                      <c:pt idx="12" formatCode="General">
                        <c:v>-19.116646706586828</c:v>
                      </c:pt>
                      <c:pt idx="13" formatCode="General">
                        <c:v>-19.131017964071855</c:v>
                      </c:pt>
                      <c:pt idx="14" formatCode="General">
                        <c:v>-19.145389221556886</c:v>
                      </c:pt>
                      <c:pt idx="15" formatCode="General">
                        <c:v>-19.159760479041918</c:v>
                      </c:pt>
                      <c:pt idx="16" formatCode="General">
                        <c:v>-19.174131736526949</c:v>
                      </c:pt>
                      <c:pt idx="17" formatCode="General">
                        <c:v>-19.188502994011976</c:v>
                      </c:pt>
                      <c:pt idx="18" formatCode="General">
                        <c:v>-19.202874251497008</c:v>
                      </c:pt>
                      <c:pt idx="19" formatCode="General">
                        <c:v>-19.217245508982035</c:v>
                      </c:pt>
                      <c:pt idx="20" formatCode="General">
                        <c:v>-19.231886227544912</c:v>
                      </c:pt>
                      <c:pt idx="21" formatCode="General">
                        <c:v>-19.248652694610779</c:v>
                      </c:pt>
                      <c:pt idx="22" formatCode="General">
                        <c:v>-19.265419161676647</c:v>
                      </c:pt>
                      <c:pt idx="23" formatCode="General">
                        <c:v>-19.282185628742514</c:v>
                      </c:pt>
                      <c:pt idx="24" formatCode="General">
                        <c:v>-19.298952095808385</c:v>
                      </c:pt>
                      <c:pt idx="25" formatCode="General">
                        <c:v>-19.2481981981982</c:v>
                      </c:pt>
                      <c:pt idx="26" formatCode="General">
                        <c:v>-19.192942942942942</c:v>
                      </c:pt>
                      <c:pt idx="27" formatCode="General">
                        <c:v>-19.137687687687688</c:v>
                      </c:pt>
                      <c:pt idx="28" formatCode="General">
                        <c:v>-19.082432432432434</c:v>
                      </c:pt>
                      <c:pt idx="29" formatCode="General">
                        <c:v>-19.062574850299402</c:v>
                      </c:pt>
                      <c:pt idx="30" formatCode="General">
                        <c:v>-19.052994011976047</c:v>
                      </c:pt>
                      <c:pt idx="31" formatCode="General">
                        <c:v>-19.043413173652695</c:v>
                      </c:pt>
                      <c:pt idx="32" formatCode="General">
                        <c:v>-19.033832335329343</c:v>
                      </c:pt>
                      <c:pt idx="33" formatCode="General">
                        <c:v>-19.040059880239522</c:v>
                      </c:pt>
                      <c:pt idx="34" formatCode="General">
                        <c:v>-19.056826347305389</c:v>
                      </c:pt>
                      <c:pt idx="35" formatCode="General">
                        <c:v>-19.07359281437126</c:v>
                      </c:pt>
                      <c:pt idx="36" formatCode="General">
                        <c:v>-19.090359281437127</c:v>
                      </c:pt>
                      <c:pt idx="37" formatCode="General">
                        <c:v>-19.107125748502995</c:v>
                      </c:pt>
                      <c:pt idx="38" formatCode="General">
                        <c:v>-19.123892215568862</c:v>
                      </c:pt>
                      <c:pt idx="39" formatCode="General">
                        <c:v>-19.140658682634729</c:v>
                      </c:pt>
                      <c:pt idx="40" formatCode="General">
                        <c:v>-19.1574251497006</c:v>
                      </c:pt>
                      <c:pt idx="41" formatCode="General">
                        <c:v>-19.174191616766468</c:v>
                      </c:pt>
                      <c:pt idx="42" formatCode="General">
                        <c:v>-19.190958083832335</c:v>
                      </c:pt>
                      <c:pt idx="43" formatCode="General">
                        <c:v>-19.207724550898202</c:v>
                      </c:pt>
                      <c:pt idx="44" formatCode="General">
                        <c:v>-19.22449101796407</c:v>
                      </c:pt>
                      <c:pt idx="45" formatCode="General">
                        <c:v>-19.241257485029941</c:v>
                      </c:pt>
                      <c:pt idx="46" formatCode="General">
                        <c:v>-19.258023952095808</c:v>
                      </c:pt>
                      <c:pt idx="47" formatCode="General">
                        <c:v>-19.274790419161675</c:v>
                      </c:pt>
                      <c:pt idx="48" formatCode="General">
                        <c:v>-19.291556886227543</c:v>
                      </c:pt>
                      <c:pt idx="49" formatCode="General">
                        <c:v>-19.30832335329341</c:v>
                      </c:pt>
                      <c:pt idx="50" formatCode="General">
                        <c:v>-19.324022471910112</c:v>
                      </c:pt>
                      <c:pt idx="51" formatCode="General">
                        <c:v>-19.33960299625468</c:v>
                      </c:pt>
                      <c:pt idx="52" formatCode="General">
                        <c:v>-19.355183520599251</c:v>
                      </c:pt>
                      <c:pt idx="53" formatCode="General">
                        <c:v>-19.370764044943819</c:v>
                      </c:pt>
                      <c:pt idx="54" formatCode="General">
                        <c:v>-19.38634456928839</c:v>
                      </c:pt>
                      <c:pt idx="55" formatCode="General">
                        <c:v>-19.401925093632958</c:v>
                      </c:pt>
                      <c:pt idx="56" formatCode="General">
                        <c:v>-19.417505617977529</c:v>
                      </c:pt>
                      <c:pt idx="57" formatCode="General">
                        <c:v>-19.433086142322097</c:v>
                      </c:pt>
                      <c:pt idx="58" formatCode="General">
                        <c:v>-19.448666666666668</c:v>
                      </c:pt>
                      <c:pt idx="59" formatCode="General">
                        <c:v>-19.464247191011236</c:v>
                      </c:pt>
                      <c:pt idx="60" formatCode="General">
                        <c:v>-19.479827715355807</c:v>
                      </c:pt>
                      <c:pt idx="61" formatCode="General">
                        <c:v>-19.495408239700375</c:v>
                      </c:pt>
                      <c:pt idx="62" formatCode="General">
                        <c:v>-19.510988764044942</c:v>
                      </c:pt>
                      <c:pt idx="63" formatCode="General">
                        <c:v>-19.526569288389513</c:v>
                      </c:pt>
                      <c:pt idx="64" formatCode="General">
                        <c:v>-19.542149812734081</c:v>
                      </c:pt>
                      <c:pt idx="65" formatCode="General">
                        <c:v>-19.557730337078652</c:v>
                      </c:pt>
                      <c:pt idx="66" formatCode="General">
                        <c:v>-19.573183520599251</c:v>
                      </c:pt>
                      <c:pt idx="67" formatCode="General">
                        <c:v>-19.58816479400749</c:v>
                      </c:pt>
                      <c:pt idx="68" formatCode="General">
                        <c:v>-19.603146067415732</c:v>
                      </c:pt>
                      <c:pt idx="69" formatCode="General">
                        <c:v>-19.618127340823971</c:v>
                      </c:pt>
                      <c:pt idx="70" formatCode="General">
                        <c:v>-19.63310861423221</c:v>
                      </c:pt>
                      <c:pt idx="71" formatCode="General">
                        <c:v>-19.648089887640449</c:v>
                      </c:pt>
                      <c:pt idx="72" formatCode="General">
                        <c:v>-19.663071161048691</c:v>
                      </c:pt>
                      <c:pt idx="73" formatCode="General">
                        <c:v>-19.67805243445693</c:v>
                      </c:pt>
                      <c:pt idx="74" formatCode="General">
                        <c:v>-19.693033707865169</c:v>
                      </c:pt>
                      <c:pt idx="75" formatCode="General">
                        <c:v>-19.708014981273408</c:v>
                      </c:pt>
                      <c:pt idx="76" formatCode="General">
                        <c:v>-19.722996254681647</c:v>
                      </c:pt>
                      <c:pt idx="77" formatCode="General">
                        <c:v>-19.737977528089889</c:v>
                      </c:pt>
                      <c:pt idx="78" formatCode="General">
                        <c:v>-19.752958801498128</c:v>
                      </c:pt>
                      <c:pt idx="79" formatCode="General">
                        <c:v>-19.767940074906367</c:v>
                      </c:pt>
                      <c:pt idx="80" formatCode="General">
                        <c:v>-19.782921348314606</c:v>
                      </c:pt>
                      <c:pt idx="81" formatCode="General">
                        <c:v>-19.797902621722848</c:v>
                      </c:pt>
                      <c:pt idx="82" formatCode="General">
                        <c:v>-19.812883895131087</c:v>
                      </c:pt>
                      <c:pt idx="83" formatCode="General">
                        <c:v>-19.82754491017964</c:v>
                      </c:pt>
                      <c:pt idx="84" formatCode="General">
                        <c:v>-19.841916167664671</c:v>
                      </c:pt>
                      <c:pt idx="85" formatCode="General">
                        <c:v>-19.856287425149699</c:v>
                      </c:pt>
                      <c:pt idx="86" formatCode="General">
                        <c:v>-19.87065868263473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E-6F8E-44D6-9842-8CC6ABD00D40}"/>
                  </c:ext>
                </c:extLst>
              </c15:ser>
            </c15:filteredScatterSeries>
            <c15:filteredScatterSeries>
              <c15:ser>
                <c:idx val="9"/>
                <c:order val="11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306</c:v>
                      </c:pt>
                      <c:pt idx="1">
                        <c:v>314</c:v>
                      </c:pt>
                      <c:pt idx="2">
                        <c:v>322</c:v>
                      </c:pt>
                      <c:pt idx="3">
                        <c:v>330</c:v>
                      </c:pt>
                      <c:pt idx="4">
                        <c:v>338</c:v>
                      </c:pt>
                      <c:pt idx="5">
                        <c:v>346</c:v>
                      </c:pt>
                      <c:pt idx="6">
                        <c:v>354</c:v>
                      </c:pt>
                      <c:pt idx="7">
                        <c:v>362</c:v>
                      </c:pt>
                      <c:pt idx="8">
                        <c:v>370</c:v>
                      </c:pt>
                      <c:pt idx="9">
                        <c:v>378</c:v>
                      </c:pt>
                      <c:pt idx="10">
                        <c:v>386</c:v>
                      </c:pt>
                      <c:pt idx="11">
                        <c:v>394</c:v>
                      </c:pt>
                      <c:pt idx="12">
                        <c:v>402</c:v>
                      </c:pt>
                      <c:pt idx="13">
                        <c:v>410</c:v>
                      </c:pt>
                      <c:pt idx="14">
                        <c:v>418</c:v>
                      </c:pt>
                      <c:pt idx="15">
                        <c:v>426</c:v>
                      </c:pt>
                      <c:pt idx="16">
                        <c:v>434</c:v>
                      </c:pt>
                      <c:pt idx="17">
                        <c:v>442</c:v>
                      </c:pt>
                      <c:pt idx="18">
                        <c:v>450</c:v>
                      </c:pt>
                      <c:pt idx="19">
                        <c:v>458</c:v>
                      </c:pt>
                      <c:pt idx="20">
                        <c:v>466</c:v>
                      </c:pt>
                      <c:pt idx="21">
                        <c:v>474</c:v>
                      </c:pt>
                      <c:pt idx="22">
                        <c:v>482</c:v>
                      </c:pt>
                      <c:pt idx="23">
                        <c:v>490</c:v>
                      </c:pt>
                      <c:pt idx="24">
                        <c:v>498</c:v>
                      </c:pt>
                      <c:pt idx="25">
                        <c:v>506</c:v>
                      </c:pt>
                      <c:pt idx="26">
                        <c:v>514</c:v>
                      </c:pt>
                      <c:pt idx="27">
                        <c:v>522</c:v>
                      </c:pt>
                      <c:pt idx="28">
                        <c:v>530</c:v>
                      </c:pt>
                      <c:pt idx="29">
                        <c:v>538</c:v>
                      </c:pt>
                      <c:pt idx="30">
                        <c:v>546</c:v>
                      </c:pt>
                      <c:pt idx="31">
                        <c:v>554</c:v>
                      </c:pt>
                      <c:pt idx="32">
                        <c:v>562</c:v>
                      </c:pt>
                      <c:pt idx="33">
                        <c:v>570</c:v>
                      </c:pt>
                      <c:pt idx="34">
                        <c:v>578</c:v>
                      </c:pt>
                      <c:pt idx="35">
                        <c:v>586</c:v>
                      </c:pt>
                      <c:pt idx="36">
                        <c:v>594</c:v>
                      </c:pt>
                      <c:pt idx="37">
                        <c:v>602</c:v>
                      </c:pt>
                      <c:pt idx="38">
                        <c:v>610</c:v>
                      </c:pt>
                      <c:pt idx="39">
                        <c:v>618</c:v>
                      </c:pt>
                      <c:pt idx="40">
                        <c:v>626</c:v>
                      </c:pt>
                      <c:pt idx="41">
                        <c:v>634</c:v>
                      </c:pt>
                      <c:pt idx="42">
                        <c:v>642</c:v>
                      </c:pt>
                      <c:pt idx="43">
                        <c:v>650</c:v>
                      </c:pt>
                      <c:pt idx="44">
                        <c:v>658</c:v>
                      </c:pt>
                      <c:pt idx="45">
                        <c:v>666</c:v>
                      </c:pt>
                      <c:pt idx="46">
                        <c:v>674</c:v>
                      </c:pt>
                      <c:pt idx="47">
                        <c:v>682</c:v>
                      </c:pt>
                      <c:pt idx="48">
                        <c:v>690</c:v>
                      </c:pt>
                      <c:pt idx="49">
                        <c:v>698</c:v>
                      </c:pt>
                      <c:pt idx="50">
                        <c:v>706</c:v>
                      </c:pt>
                      <c:pt idx="51">
                        <c:v>714</c:v>
                      </c:pt>
                      <c:pt idx="52">
                        <c:v>722</c:v>
                      </c:pt>
                      <c:pt idx="53">
                        <c:v>730</c:v>
                      </c:pt>
                      <c:pt idx="54">
                        <c:v>738</c:v>
                      </c:pt>
                      <c:pt idx="55">
                        <c:v>746</c:v>
                      </c:pt>
                      <c:pt idx="56">
                        <c:v>754</c:v>
                      </c:pt>
                      <c:pt idx="57">
                        <c:v>762</c:v>
                      </c:pt>
                      <c:pt idx="58">
                        <c:v>770</c:v>
                      </c:pt>
                      <c:pt idx="59">
                        <c:v>778</c:v>
                      </c:pt>
                      <c:pt idx="60">
                        <c:v>786</c:v>
                      </c:pt>
                      <c:pt idx="61">
                        <c:v>794</c:v>
                      </c:pt>
                      <c:pt idx="62">
                        <c:v>802</c:v>
                      </c:pt>
                      <c:pt idx="63">
                        <c:v>810</c:v>
                      </c:pt>
                      <c:pt idx="64">
                        <c:v>818</c:v>
                      </c:pt>
                      <c:pt idx="65">
                        <c:v>826</c:v>
                      </c:pt>
                      <c:pt idx="66">
                        <c:v>834</c:v>
                      </c:pt>
                      <c:pt idx="67">
                        <c:v>842</c:v>
                      </c:pt>
                      <c:pt idx="68">
                        <c:v>850</c:v>
                      </c:pt>
                      <c:pt idx="69">
                        <c:v>858</c:v>
                      </c:pt>
                      <c:pt idx="70">
                        <c:v>866</c:v>
                      </c:pt>
                      <c:pt idx="71">
                        <c:v>874</c:v>
                      </c:pt>
                      <c:pt idx="72">
                        <c:v>882</c:v>
                      </c:pt>
                      <c:pt idx="73">
                        <c:v>890</c:v>
                      </c:pt>
                      <c:pt idx="74">
                        <c:v>898</c:v>
                      </c:pt>
                      <c:pt idx="75">
                        <c:v>906</c:v>
                      </c:pt>
                      <c:pt idx="76">
                        <c:v>914</c:v>
                      </c:pt>
                      <c:pt idx="77">
                        <c:v>922</c:v>
                      </c:pt>
                      <c:pt idx="78">
                        <c:v>930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EVALUATION!$B$112:$CP$112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-15.118108108108107</c:v>
                      </c:pt>
                      <c:pt idx="1">
                        <c:v>-14.88027027027027</c:v>
                      </c:pt>
                      <c:pt idx="2">
                        <c:v>-14.642432432432432</c:v>
                      </c:pt>
                      <c:pt idx="3">
                        <c:v>-14.404594594594593</c:v>
                      </c:pt>
                      <c:pt idx="4" formatCode="General">
                        <c:v>-13.959101796407184</c:v>
                      </c:pt>
                      <c:pt idx="5" formatCode="General">
                        <c:v>-13.46568862275449</c:v>
                      </c:pt>
                      <c:pt idx="6" formatCode="General">
                        <c:v>-12.972275449101796</c:v>
                      </c:pt>
                      <c:pt idx="7" formatCode="General">
                        <c:v>-12.478862275449101</c:v>
                      </c:pt>
                      <c:pt idx="8" formatCode="General">
                        <c:v>-11.950329341317365</c:v>
                      </c:pt>
                      <c:pt idx="9" formatCode="General">
                        <c:v>-11.40182634730539</c:v>
                      </c:pt>
                      <c:pt idx="10" formatCode="General">
                        <c:v>-10.853323353293414</c:v>
                      </c:pt>
                      <c:pt idx="11" formatCode="General">
                        <c:v>-10.304820359281438</c:v>
                      </c:pt>
                      <c:pt idx="12" formatCode="General">
                        <c:v>-9.7896616766467073</c:v>
                      </c:pt>
                      <c:pt idx="13" formatCode="General">
                        <c:v>-9.3132544910179647</c:v>
                      </c:pt>
                      <c:pt idx="14" formatCode="General">
                        <c:v>-8.836847305389222</c:v>
                      </c:pt>
                      <c:pt idx="15" formatCode="General">
                        <c:v>-8.3604401197604794</c:v>
                      </c:pt>
                      <c:pt idx="16" formatCode="General">
                        <c:v>-7.9011107784431145</c:v>
                      </c:pt>
                      <c:pt idx="17" formatCode="General">
                        <c:v>-7.4841047904191624</c:v>
                      </c:pt>
                      <c:pt idx="18" formatCode="General">
                        <c:v>-7.0670988023952104</c:v>
                      </c:pt>
                      <c:pt idx="19" formatCode="General">
                        <c:v>-6.6500928143712592</c:v>
                      </c:pt>
                      <c:pt idx="20" formatCode="General">
                        <c:v>-6.2383952095808395</c:v>
                      </c:pt>
                      <c:pt idx="21" formatCode="General">
                        <c:v>-5.8685748502994022</c:v>
                      </c:pt>
                      <c:pt idx="22" formatCode="General">
                        <c:v>-5.4987544910179649</c:v>
                      </c:pt>
                      <c:pt idx="23" formatCode="General">
                        <c:v>-5.1289341317365267</c:v>
                      </c:pt>
                      <c:pt idx="24" formatCode="General">
                        <c:v>-4.7591137724550894</c:v>
                      </c:pt>
                      <c:pt idx="25" formatCode="General">
                        <c:v>-4.6019909909909904</c:v>
                      </c:pt>
                      <c:pt idx="26" formatCode="General">
                        <c:v>-4.4590480480480474</c:v>
                      </c:pt>
                      <c:pt idx="27" formatCode="General">
                        <c:v>-4.3161051051051045</c:v>
                      </c:pt>
                      <c:pt idx="28" formatCode="General">
                        <c:v>-4.1731621621621615</c:v>
                      </c:pt>
                      <c:pt idx="29" formatCode="General">
                        <c:v>-4.1562215568862273</c:v>
                      </c:pt>
                      <c:pt idx="30" formatCode="General">
                        <c:v>-4.1758622754491022</c:v>
                      </c:pt>
                      <c:pt idx="31" formatCode="General">
                        <c:v>-4.1955029940119761</c:v>
                      </c:pt>
                      <c:pt idx="32" formatCode="General">
                        <c:v>-4.2151437125748501</c:v>
                      </c:pt>
                      <c:pt idx="33" formatCode="General">
                        <c:v>-4.2348562874251492</c:v>
                      </c:pt>
                      <c:pt idx="34" formatCode="General">
                        <c:v>-4.2546167664670653</c:v>
                      </c:pt>
                      <c:pt idx="35" formatCode="General">
                        <c:v>-4.2743772455089815</c:v>
                      </c:pt>
                      <c:pt idx="36" formatCode="General">
                        <c:v>-4.2941377245508976</c:v>
                      </c:pt>
                      <c:pt idx="37" formatCode="General">
                        <c:v>-4.3138982035928146</c:v>
                      </c:pt>
                      <c:pt idx="38" formatCode="General">
                        <c:v>-4.3336586826347308</c:v>
                      </c:pt>
                      <c:pt idx="39" formatCode="General">
                        <c:v>-4.3534191616766469</c:v>
                      </c:pt>
                      <c:pt idx="40" formatCode="General">
                        <c:v>-4.373179640718563</c:v>
                      </c:pt>
                      <c:pt idx="41" formatCode="General">
                        <c:v>-4.3929401197604792</c:v>
                      </c:pt>
                      <c:pt idx="42" formatCode="General">
                        <c:v>-4.4127005988023953</c:v>
                      </c:pt>
                      <c:pt idx="43" formatCode="General">
                        <c:v>-4.4324610778443114</c:v>
                      </c:pt>
                      <c:pt idx="44" formatCode="General">
                        <c:v>-4.4522215568862276</c:v>
                      </c:pt>
                      <c:pt idx="45" formatCode="General">
                        <c:v>-4.4719820359281437</c:v>
                      </c:pt>
                      <c:pt idx="46" formatCode="General">
                        <c:v>-4.4917425149700598</c:v>
                      </c:pt>
                      <c:pt idx="47" formatCode="General">
                        <c:v>-4.511502994011976</c:v>
                      </c:pt>
                      <c:pt idx="48" formatCode="General">
                        <c:v>-4.5312634730538921</c:v>
                      </c:pt>
                      <c:pt idx="49" formatCode="General">
                        <c:v>-4.5510239520958082</c:v>
                      </c:pt>
                      <c:pt idx="50" formatCode="General">
                        <c:v>-4.5702584269662925</c:v>
                      </c:pt>
                      <c:pt idx="51" formatCode="General">
                        <c:v>-4.5894344569288394</c:v>
                      </c:pt>
                      <c:pt idx="52" formatCode="General">
                        <c:v>-4.6086104868913855</c:v>
                      </c:pt>
                      <c:pt idx="53" formatCode="General">
                        <c:v>-4.6277865168539325</c:v>
                      </c:pt>
                      <c:pt idx="54" formatCode="General">
                        <c:v>-4.6469625468164795</c:v>
                      </c:pt>
                      <c:pt idx="55" formatCode="General">
                        <c:v>-4.6661385767790264</c:v>
                      </c:pt>
                      <c:pt idx="56" formatCode="General">
                        <c:v>-4.6853146067415734</c:v>
                      </c:pt>
                      <c:pt idx="57" formatCode="General">
                        <c:v>-4.7044906367041204</c:v>
                      </c:pt>
                      <c:pt idx="58" formatCode="General">
                        <c:v>-4.7236666666666665</c:v>
                      </c:pt>
                      <c:pt idx="59" formatCode="General">
                        <c:v>-4.7428426966292134</c:v>
                      </c:pt>
                      <c:pt idx="60" formatCode="General">
                        <c:v>-4.7620187265917604</c:v>
                      </c:pt>
                      <c:pt idx="61" formatCode="General">
                        <c:v>-4.7811947565543074</c:v>
                      </c:pt>
                      <c:pt idx="62" formatCode="General">
                        <c:v>-4.8003707865168543</c:v>
                      </c:pt>
                      <c:pt idx="63" formatCode="General">
                        <c:v>-4.8195468164794013</c:v>
                      </c:pt>
                      <c:pt idx="64" formatCode="General">
                        <c:v>-4.8387228464419483</c:v>
                      </c:pt>
                      <c:pt idx="65" formatCode="General">
                        <c:v>-4.8578988764044944</c:v>
                      </c:pt>
                      <c:pt idx="66" formatCode="General">
                        <c:v>-4.8768456928838955</c:v>
                      </c:pt>
                      <c:pt idx="67" formatCode="General">
                        <c:v>-4.8949430711610491</c:v>
                      </c:pt>
                      <c:pt idx="68" formatCode="General">
                        <c:v>-4.9130404494382027</c:v>
                      </c:pt>
                      <c:pt idx="69" formatCode="General">
                        <c:v>-4.9311378277153564</c:v>
                      </c:pt>
                      <c:pt idx="70" formatCode="General">
                        <c:v>-4.94923520599251</c:v>
                      </c:pt>
                      <c:pt idx="71" formatCode="General">
                        <c:v>-4.9673325842696627</c:v>
                      </c:pt>
                      <c:pt idx="72" formatCode="General">
                        <c:v>-4.9854299625468164</c:v>
                      </c:pt>
                      <c:pt idx="73" formatCode="General">
                        <c:v>-5.00352734082397</c:v>
                      </c:pt>
                      <c:pt idx="74" formatCode="General">
                        <c:v>-5.0216247191011236</c:v>
                      </c:pt>
                      <c:pt idx="75" formatCode="General">
                        <c:v>-5.0397220973782773</c:v>
                      </c:pt>
                      <c:pt idx="76" formatCode="General">
                        <c:v>-5.0578194756554309</c:v>
                      </c:pt>
                      <c:pt idx="77" formatCode="General">
                        <c:v>-5.0759168539325845</c:v>
                      </c:pt>
                      <c:pt idx="78" formatCode="General">
                        <c:v>-5.0940142322097381</c:v>
                      </c:pt>
                      <c:pt idx="79" formatCode="General">
                        <c:v>-5.1121116104868918</c:v>
                      </c:pt>
                      <c:pt idx="80" formatCode="General">
                        <c:v>-5.1302089887640445</c:v>
                      </c:pt>
                      <c:pt idx="81" formatCode="General">
                        <c:v>-5.1483063670411982</c:v>
                      </c:pt>
                      <c:pt idx="82" formatCode="General">
                        <c:v>-5.1664037453183518</c:v>
                      </c:pt>
                      <c:pt idx="83" formatCode="General">
                        <c:v>-5.1840538922155686</c:v>
                      </c:pt>
                      <c:pt idx="84" formatCode="General">
                        <c:v>-5.2012994011976046</c:v>
                      </c:pt>
                      <c:pt idx="85" formatCode="General">
                        <c:v>-5.2185449101796406</c:v>
                      </c:pt>
                      <c:pt idx="86" formatCode="General">
                        <c:v>-5.2357904191616766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F-6F8E-44D6-9842-8CC6ABD00D40}"/>
                  </c:ext>
                </c:extLst>
              </c15:ser>
            </c15:filteredScatterSeries>
            <c15:filteredScatterSeries>
              <c15:ser>
                <c:idx val="10"/>
                <c:order val="12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306</c:v>
                      </c:pt>
                      <c:pt idx="1">
                        <c:v>314</c:v>
                      </c:pt>
                      <c:pt idx="2">
                        <c:v>322</c:v>
                      </c:pt>
                      <c:pt idx="3">
                        <c:v>330</c:v>
                      </c:pt>
                      <c:pt idx="4">
                        <c:v>338</c:v>
                      </c:pt>
                      <c:pt idx="5">
                        <c:v>346</c:v>
                      </c:pt>
                      <c:pt idx="6">
                        <c:v>354</c:v>
                      </c:pt>
                      <c:pt idx="7">
                        <c:v>362</c:v>
                      </c:pt>
                      <c:pt idx="8">
                        <c:v>370</c:v>
                      </c:pt>
                      <c:pt idx="9">
                        <c:v>378</c:v>
                      </c:pt>
                      <c:pt idx="10">
                        <c:v>386</c:v>
                      </c:pt>
                      <c:pt idx="11">
                        <c:v>394</c:v>
                      </c:pt>
                      <c:pt idx="12">
                        <c:v>402</c:v>
                      </c:pt>
                      <c:pt idx="13">
                        <c:v>410</c:v>
                      </c:pt>
                      <c:pt idx="14">
                        <c:v>418</c:v>
                      </c:pt>
                      <c:pt idx="15">
                        <c:v>426</c:v>
                      </c:pt>
                      <c:pt idx="16">
                        <c:v>434</c:v>
                      </c:pt>
                      <c:pt idx="17">
                        <c:v>442</c:v>
                      </c:pt>
                      <c:pt idx="18">
                        <c:v>450</c:v>
                      </c:pt>
                      <c:pt idx="19">
                        <c:v>458</c:v>
                      </c:pt>
                      <c:pt idx="20">
                        <c:v>466</c:v>
                      </c:pt>
                      <c:pt idx="21">
                        <c:v>474</c:v>
                      </c:pt>
                      <c:pt idx="22">
                        <c:v>482</c:v>
                      </c:pt>
                      <c:pt idx="23">
                        <c:v>490</c:v>
                      </c:pt>
                      <c:pt idx="24">
                        <c:v>498</c:v>
                      </c:pt>
                      <c:pt idx="25">
                        <c:v>506</c:v>
                      </c:pt>
                      <c:pt idx="26">
                        <c:v>514</c:v>
                      </c:pt>
                      <c:pt idx="27">
                        <c:v>522</c:v>
                      </c:pt>
                      <c:pt idx="28">
                        <c:v>530</c:v>
                      </c:pt>
                      <c:pt idx="29">
                        <c:v>538</c:v>
                      </c:pt>
                      <c:pt idx="30">
                        <c:v>546</c:v>
                      </c:pt>
                      <c:pt idx="31">
                        <c:v>554</c:v>
                      </c:pt>
                      <c:pt idx="32">
                        <c:v>562</c:v>
                      </c:pt>
                      <c:pt idx="33">
                        <c:v>570</c:v>
                      </c:pt>
                      <c:pt idx="34">
                        <c:v>578</c:v>
                      </c:pt>
                      <c:pt idx="35">
                        <c:v>586</c:v>
                      </c:pt>
                      <c:pt idx="36">
                        <c:v>594</c:v>
                      </c:pt>
                      <c:pt idx="37">
                        <c:v>602</c:v>
                      </c:pt>
                      <c:pt idx="38">
                        <c:v>610</c:v>
                      </c:pt>
                      <c:pt idx="39">
                        <c:v>618</c:v>
                      </c:pt>
                      <c:pt idx="40">
                        <c:v>626</c:v>
                      </c:pt>
                      <c:pt idx="41">
                        <c:v>634</c:v>
                      </c:pt>
                      <c:pt idx="42">
                        <c:v>642</c:v>
                      </c:pt>
                      <c:pt idx="43">
                        <c:v>650</c:v>
                      </c:pt>
                      <c:pt idx="44">
                        <c:v>658</c:v>
                      </c:pt>
                      <c:pt idx="45">
                        <c:v>666</c:v>
                      </c:pt>
                      <c:pt idx="46">
                        <c:v>674</c:v>
                      </c:pt>
                      <c:pt idx="47">
                        <c:v>682</c:v>
                      </c:pt>
                      <c:pt idx="48">
                        <c:v>690</c:v>
                      </c:pt>
                      <c:pt idx="49">
                        <c:v>698</c:v>
                      </c:pt>
                      <c:pt idx="50">
                        <c:v>706</c:v>
                      </c:pt>
                      <c:pt idx="51">
                        <c:v>714</c:v>
                      </c:pt>
                      <c:pt idx="52">
                        <c:v>722</c:v>
                      </c:pt>
                      <c:pt idx="53">
                        <c:v>730</c:v>
                      </c:pt>
                      <c:pt idx="54">
                        <c:v>738</c:v>
                      </c:pt>
                      <c:pt idx="55">
                        <c:v>746</c:v>
                      </c:pt>
                      <c:pt idx="56">
                        <c:v>754</c:v>
                      </c:pt>
                      <c:pt idx="57">
                        <c:v>762</c:v>
                      </c:pt>
                      <c:pt idx="58">
                        <c:v>770</c:v>
                      </c:pt>
                      <c:pt idx="59">
                        <c:v>778</c:v>
                      </c:pt>
                      <c:pt idx="60">
                        <c:v>786</c:v>
                      </c:pt>
                      <c:pt idx="61">
                        <c:v>794</c:v>
                      </c:pt>
                      <c:pt idx="62">
                        <c:v>802</c:v>
                      </c:pt>
                      <c:pt idx="63">
                        <c:v>810</c:v>
                      </c:pt>
                      <c:pt idx="64">
                        <c:v>818</c:v>
                      </c:pt>
                      <c:pt idx="65">
                        <c:v>826</c:v>
                      </c:pt>
                      <c:pt idx="66">
                        <c:v>834</c:v>
                      </c:pt>
                      <c:pt idx="67">
                        <c:v>842</c:v>
                      </c:pt>
                      <c:pt idx="68">
                        <c:v>850</c:v>
                      </c:pt>
                      <c:pt idx="69">
                        <c:v>858</c:v>
                      </c:pt>
                      <c:pt idx="70">
                        <c:v>866</c:v>
                      </c:pt>
                      <c:pt idx="71">
                        <c:v>874</c:v>
                      </c:pt>
                      <c:pt idx="72">
                        <c:v>882</c:v>
                      </c:pt>
                      <c:pt idx="73">
                        <c:v>890</c:v>
                      </c:pt>
                      <c:pt idx="74">
                        <c:v>898</c:v>
                      </c:pt>
                      <c:pt idx="75">
                        <c:v>906</c:v>
                      </c:pt>
                      <c:pt idx="76">
                        <c:v>914</c:v>
                      </c:pt>
                      <c:pt idx="77">
                        <c:v>922</c:v>
                      </c:pt>
                      <c:pt idx="78">
                        <c:v>930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EVALUATION!$B$113:$CP$113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-19.022342342342341</c:v>
                      </c:pt>
                      <c:pt idx="1">
                        <c:v>-19.024744744744744</c:v>
                      </c:pt>
                      <c:pt idx="2">
                        <c:v>-19.027147147147147</c:v>
                      </c:pt>
                      <c:pt idx="3">
                        <c:v>-19.02954954954955</c:v>
                      </c:pt>
                      <c:pt idx="4" formatCode="General">
                        <c:v>-19.035838323353293</c:v>
                      </c:pt>
                      <c:pt idx="5" formatCode="General">
                        <c:v>-19.043023952095808</c:v>
                      </c:pt>
                      <c:pt idx="6" formatCode="General">
                        <c:v>-19.050209580838324</c:v>
                      </c:pt>
                      <c:pt idx="7" formatCode="General">
                        <c:v>-19.057395209580836</c:v>
                      </c:pt>
                      <c:pt idx="8" formatCode="General">
                        <c:v>-19.06763473053892</c:v>
                      </c:pt>
                      <c:pt idx="9" formatCode="General">
                        <c:v>-19.079610778443111</c:v>
                      </c:pt>
                      <c:pt idx="10" formatCode="General">
                        <c:v>-19.091586826347303</c:v>
                      </c:pt>
                      <c:pt idx="11" formatCode="General">
                        <c:v>-19.103562874251498</c:v>
                      </c:pt>
                      <c:pt idx="12" formatCode="General">
                        <c:v>-19.116646706586828</c:v>
                      </c:pt>
                      <c:pt idx="13" formatCode="General">
                        <c:v>-19.131017964071855</c:v>
                      </c:pt>
                      <c:pt idx="14" formatCode="General">
                        <c:v>-19.145389221556886</c:v>
                      </c:pt>
                      <c:pt idx="15" formatCode="General">
                        <c:v>-19.159760479041918</c:v>
                      </c:pt>
                      <c:pt idx="16" formatCode="General">
                        <c:v>-19.174131736526949</c:v>
                      </c:pt>
                      <c:pt idx="17" formatCode="General">
                        <c:v>-19.188502994011976</c:v>
                      </c:pt>
                      <c:pt idx="18" formatCode="General">
                        <c:v>-19.202874251497008</c:v>
                      </c:pt>
                      <c:pt idx="19" formatCode="General">
                        <c:v>-19.217245508982035</c:v>
                      </c:pt>
                      <c:pt idx="20" formatCode="General">
                        <c:v>-19.231886227544912</c:v>
                      </c:pt>
                      <c:pt idx="21" formatCode="General">
                        <c:v>-19.248652694610779</c:v>
                      </c:pt>
                      <c:pt idx="22" formatCode="General">
                        <c:v>-19.265419161676647</c:v>
                      </c:pt>
                      <c:pt idx="23" formatCode="General">
                        <c:v>-19.282185628742514</c:v>
                      </c:pt>
                      <c:pt idx="24" formatCode="General">
                        <c:v>-19.298952095808385</c:v>
                      </c:pt>
                      <c:pt idx="25" formatCode="General">
                        <c:v>-19.2481981981982</c:v>
                      </c:pt>
                      <c:pt idx="26" formatCode="General">
                        <c:v>-19.192942942942942</c:v>
                      </c:pt>
                      <c:pt idx="27" formatCode="General">
                        <c:v>-19.137687687687688</c:v>
                      </c:pt>
                      <c:pt idx="28" formatCode="General">
                        <c:v>-19.082432432432434</c:v>
                      </c:pt>
                      <c:pt idx="29" formatCode="General">
                        <c:v>-19.062574850299402</c:v>
                      </c:pt>
                      <c:pt idx="30" formatCode="General">
                        <c:v>-19.052994011976047</c:v>
                      </c:pt>
                      <c:pt idx="31" formatCode="General">
                        <c:v>-19.043413173652695</c:v>
                      </c:pt>
                      <c:pt idx="32" formatCode="General">
                        <c:v>-19.033832335329343</c:v>
                      </c:pt>
                      <c:pt idx="33" formatCode="General">
                        <c:v>-19.040059880239522</c:v>
                      </c:pt>
                      <c:pt idx="34" formatCode="General">
                        <c:v>-19.056826347305389</c:v>
                      </c:pt>
                      <c:pt idx="35" formatCode="General">
                        <c:v>-19.07359281437126</c:v>
                      </c:pt>
                      <c:pt idx="36" formatCode="General">
                        <c:v>-19.090359281437127</c:v>
                      </c:pt>
                      <c:pt idx="37" formatCode="General">
                        <c:v>-19.107125748502995</c:v>
                      </c:pt>
                      <c:pt idx="38" formatCode="General">
                        <c:v>-19.123892215568862</c:v>
                      </c:pt>
                      <c:pt idx="39" formatCode="General">
                        <c:v>-19.140658682634729</c:v>
                      </c:pt>
                      <c:pt idx="40" formatCode="General">
                        <c:v>-19.1574251497006</c:v>
                      </c:pt>
                      <c:pt idx="41" formatCode="General">
                        <c:v>-19.174191616766468</c:v>
                      </c:pt>
                      <c:pt idx="42" formatCode="General">
                        <c:v>-19.190958083832335</c:v>
                      </c:pt>
                      <c:pt idx="43" formatCode="General">
                        <c:v>-19.207724550898202</c:v>
                      </c:pt>
                      <c:pt idx="44" formatCode="General">
                        <c:v>-19.22449101796407</c:v>
                      </c:pt>
                      <c:pt idx="45" formatCode="General">
                        <c:v>-19.241257485029941</c:v>
                      </c:pt>
                      <c:pt idx="46" formatCode="General">
                        <c:v>-19.258023952095808</c:v>
                      </c:pt>
                      <c:pt idx="47" formatCode="General">
                        <c:v>-19.274790419161675</c:v>
                      </c:pt>
                      <c:pt idx="48" formatCode="General">
                        <c:v>-19.291556886227543</c:v>
                      </c:pt>
                      <c:pt idx="49" formatCode="General">
                        <c:v>-19.30832335329341</c:v>
                      </c:pt>
                      <c:pt idx="50" formatCode="General">
                        <c:v>-19.324022471910112</c:v>
                      </c:pt>
                      <c:pt idx="51" formatCode="General">
                        <c:v>-19.33960299625468</c:v>
                      </c:pt>
                      <c:pt idx="52" formatCode="General">
                        <c:v>-19.355183520599251</c:v>
                      </c:pt>
                      <c:pt idx="53" formatCode="General">
                        <c:v>-19.370764044943819</c:v>
                      </c:pt>
                      <c:pt idx="54" formatCode="General">
                        <c:v>-19.38634456928839</c:v>
                      </c:pt>
                      <c:pt idx="55" formatCode="General">
                        <c:v>-19.401925093632958</c:v>
                      </c:pt>
                      <c:pt idx="56" formatCode="General">
                        <c:v>-19.417505617977529</c:v>
                      </c:pt>
                      <c:pt idx="57" formatCode="General">
                        <c:v>-19.433086142322097</c:v>
                      </c:pt>
                      <c:pt idx="58" formatCode="General">
                        <c:v>-19.448666666666668</c:v>
                      </c:pt>
                      <c:pt idx="59" formatCode="General">
                        <c:v>-19.464247191011236</c:v>
                      </c:pt>
                      <c:pt idx="60" formatCode="General">
                        <c:v>-19.479827715355807</c:v>
                      </c:pt>
                      <c:pt idx="61" formatCode="General">
                        <c:v>-19.495408239700375</c:v>
                      </c:pt>
                      <c:pt idx="62" formatCode="General">
                        <c:v>-19.510988764044942</c:v>
                      </c:pt>
                      <c:pt idx="63" formatCode="General">
                        <c:v>-19.526569288389513</c:v>
                      </c:pt>
                      <c:pt idx="64" formatCode="General">
                        <c:v>-19.542149812734081</c:v>
                      </c:pt>
                      <c:pt idx="65" formatCode="General">
                        <c:v>-19.557730337078652</c:v>
                      </c:pt>
                      <c:pt idx="66" formatCode="General">
                        <c:v>-19.573183520599251</c:v>
                      </c:pt>
                      <c:pt idx="67" formatCode="General">
                        <c:v>-19.58816479400749</c:v>
                      </c:pt>
                      <c:pt idx="68" formatCode="General">
                        <c:v>-19.603146067415732</c:v>
                      </c:pt>
                      <c:pt idx="69" formatCode="General">
                        <c:v>-19.618127340823971</c:v>
                      </c:pt>
                      <c:pt idx="70" formatCode="General">
                        <c:v>-19.63310861423221</c:v>
                      </c:pt>
                      <c:pt idx="71" formatCode="General">
                        <c:v>-19.648089887640449</c:v>
                      </c:pt>
                      <c:pt idx="72" formatCode="General">
                        <c:v>-19.663071161048691</c:v>
                      </c:pt>
                      <c:pt idx="73" formatCode="General">
                        <c:v>-19.67805243445693</c:v>
                      </c:pt>
                      <c:pt idx="74" formatCode="General">
                        <c:v>-19.693033707865169</c:v>
                      </c:pt>
                      <c:pt idx="75" formatCode="General">
                        <c:v>-19.708014981273408</c:v>
                      </c:pt>
                      <c:pt idx="76" formatCode="General">
                        <c:v>-19.722996254681647</c:v>
                      </c:pt>
                      <c:pt idx="77" formatCode="General">
                        <c:v>-19.737977528089889</c:v>
                      </c:pt>
                      <c:pt idx="78" formatCode="General">
                        <c:v>-19.752958801498128</c:v>
                      </c:pt>
                      <c:pt idx="79" formatCode="General">
                        <c:v>-19.767940074906367</c:v>
                      </c:pt>
                      <c:pt idx="80" formatCode="General">
                        <c:v>-19.782921348314606</c:v>
                      </c:pt>
                      <c:pt idx="81" formatCode="General">
                        <c:v>-19.797902621722848</c:v>
                      </c:pt>
                      <c:pt idx="82" formatCode="General">
                        <c:v>-19.812883895131087</c:v>
                      </c:pt>
                      <c:pt idx="83" formatCode="General">
                        <c:v>-19.82754491017964</c:v>
                      </c:pt>
                      <c:pt idx="84" formatCode="General">
                        <c:v>-19.841916167664671</c:v>
                      </c:pt>
                      <c:pt idx="85" formatCode="General">
                        <c:v>-19.856287425149699</c:v>
                      </c:pt>
                      <c:pt idx="86" formatCode="General">
                        <c:v>-19.87065868263473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0-6F8E-44D6-9842-8CC6ABD00D40}"/>
                  </c:ext>
                </c:extLst>
              </c15:ser>
            </c15:filteredScatterSeries>
            <c15:filteredScatterSeries>
              <c15:ser>
                <c:idx val="11"/>
                <c:order val="13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306</c:v>
                      </c:pt>
                      <c:pt idx="1">
                        <c:v>314</c:v>
                      </c:pt>
                      <c:pt idx="2">
                        <c:v>322</c:v>
                      </c:pt>
                      <c:pt idx="3">
                        <c:v>330</c:v>
                      </c:pt>
                      <c:pt idx="4">
                        <c:v>338</c:v>
                      </c:pt>
                      <c:pt idx="5">
                        <c:v>346</c:v>
                      </c:pt>
                      <c:pt idx="6">
                        <c:v>354</c:v>
                      </c:pt>
                      <c:pt idx="7">
                        <c:v>362</c:v>
                      </c:pt>
                      <c:pt idx="8">
                        <c:v>370</c:v>
                      </c:pt>
                      <c:pt idx="9">
                        <c:v>378</c:v>
                      </c:pt>
                      <c:pt idx="10">
                        <c:v>386</c:v>
                      </c:pt>
                      <c:pt idx="11">
                        <c:v>394</c:v>
                      </c:pt>
                      <c:pt idx="12">
                        <c:v>402</c:v>
                      </c:pt>
                      <c:pt idx="13">
                        <c:v>410</c:v>
                      </c:pt>
                      <c:pt idx="14">
                        <c:v>418</c:v>
                      </c:pt>
                      <c:pt idx="15">
                        <c:v>426</c:v>
                      </c:pt>
                      <c:pt idx="16">
                        <c:v>434</c:v>
                      </c:pt>
                      <c:pt idx="17">
                        <c:v>442</c:v>
                      </c:pt>
                      <c:pt idx="18">
                        <c:v>450</c:v>
                      </c:pt>
                      <c:pt idx="19">
                        <c:v>458</c:v>
                      </c:pt>
                      <c:pt idx="20">
                        <c:v>466</c:v>
                      </c:pt>
                      <c:pt idx="21">
                        <c:v>474</c:v>
                      </c:pt>
                      <c:pt idx="22">
                        <c:v>482</c:v>
                      </c:pt>
                      <c:pt idx="23">
                        <c:v>490</c:v>
                      </c:pt>
                      <c:pt idx="24">
                        <c:v>498</c:v>
                      </c:pt>
                      <c:pt idx="25">
                        <c:v>506</c:v>
                      </c:pt>
                      <c:pt idx="26">
                        <c:v>514</c:v>
                      </c:pt>
                      <c:pt idx="27">
                        <c:v>522</c:v>
                      </c:pt>
                      <c:pt idx="28">
                        <c:v>530</c:v>
                      </c:pt>
                      <c:pt idx="29">
                        <c:v>538</c:v>
                      </c:pt>
                      <c:pt idx="30">
                        <c:v>546</c:v>
                      </c:pt>
                      <c:pt idx="31">
                        <c:v>554</c:v>
                      </c:pt>
                      <c:pt idx="32">
                        <c:v>562</c:v>
                      </c:pt>
                      <c:pt idx="33">
                        <c:v>570</c:v>
                      </c:pt>
                      <c:pt idx="34">
                        <c:v>578</c:v>
                      </c:pt>
                      <c:pt idx="35">
                        <c:v>586</c:v>
                      </c:pt>
                      <c:pt idx="36">
                        <c:v>594</c:v>
                      </c:pt>
                      <c:pt idx="37">
                        <c:v>602</c:v>
                      </c:pt>
                      <c:pt idx="38">
                        <c:v>610</c:v>
                      </c:pt>
                      <c:pt idx="39">
                        <c:v>618</c:v>
                      </c:pt>
                      <c:pt idx="40">
                        <c:v>626</c:v>
                      </c:pt>
                      <c:pt idx="41">
                        <c:v>634</c:v>
                      </c:pt>
                      <c:pt idx="42">
                        <c:v>642</c:v>
                      </c:pt>
                      <c:pt idx="43">
                        <c:v>650</c:v>
                      </c:pt>
                      <c:pt idx="44">
                        <c:v>658</c:v>
                      </c:pt>
                      <c:pt idx="45">
                        <c:v>666</c:v>
                      </c:pt>
                      <c:pt idx="46">
                        <c:v>674</c:v>
                      </c:pt>
                      <c:pt idx="47">
                        <c:v>682</c:v>
                      </c:pt>
                      <c:pt idx="48">
                        <c:v>690</c:v>
                      </c:pt>
                      <c:pt idx="49">
                        <c:v>698</c:v>
                      </c:pt>
                      <c:pt idx="50">
                        <c:v>706</c:v>
                      </c:pt>
                      <c:pt idx="51">
                        <c:v>714</c:v>
                      </c:pt>
                      <c:pt idx="52">
                        <c:v>722</c:v>
                      </c:pt>
                      <c:pt idx="53">
                        <c:v>730</c:v>
                      </c:pt>
                      <c:pt idx="54">
                        <c:v>738</c:v>
                      </c:pt>
                      <c:pt idx="55">
                        <c:v>746</c:v>
                      </c:pt>
                      <c:pt idx="56">
                        <c:v>754</c:v>
                      </c:pt>
                      <c:pt idx="57">
                        <c:v>762</c:v>
                      </c:pt>
                      <c:pt idx="58">
                        <c:v>770</c:v>
                      </c:pt>
                      <c:pt idx="59">
                        <c:v>778</c:v>
                      </c:pt>
                      <c:pt idx="60">
                        <c:v>786</c:v>
                      </c:pt>
                      <c:pt idx="61">
                        <c:v>794</c:v>
                      </c:pt>
                      <c:pt idx="62">
                        <c:v>802</c:v>
                      </c:pt>
                      <c:pt idx="63">
                        <c:v>810</c:v>
                      </c:pt>
                      <c:pt idx="64">
                        <c:v>818</c:v>
                      </c:pt>
                      <c:pt idx="65">
                        <c:v>826</c:v>
                      </c:pt>
                      <c:pt idx="66">
                        <c:v>834</c:v>
                      </c:pt>
                      <c:pt idx="67">
                        <c:v>842</c:v>
                      </c:pt>
                      <c:pt idx="68">
                        <c:v>850</c:v>
                      </c:pt>
                      <c:pt idx="69">
                        <c:v>858</c:v>
                      </c:pt>
                      <c:pt idx="70">
                        <c:v>866</c:v>
                      </c:pt>
                      <c:pt idx="71">
                        <c:v>874</c:v>
                      </c:pt>
                      <c:pt idx="72">
                        <c:v>882</c:v>
                      </c:pt>
                      <c:pt idx="73">
                        <c:v>890</c:v>
                      </c:pt>
                      <c:pt idx="74">
                        <c:v>898</c:v>
                      </c:pt>
                      <c:pt idx="75">
                        <c:v>906</c:v>
                      </c:pt>
                      <c:pt idx="76">
                        <c:v>914</c:v>
                      </c:pt>
                      <c:pt idx="77">
                        <c:v>922</c:v>
                      </c:pt>
                      <c:pt idx="78">
                        <c:v>930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EVALUATION!$B$114:$CP$114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-59.678288288288286</c:v>
                      </c:pt>
                      <c:pt idx="1">
                        <c:v>-58.332942942942942</c:v>
                      </c:pt>
                      <c:pt idx="2">
                        <c:v>-56.987597597597599</c:v>
                      </c:pt>
                      <c:pt idx="3">
                        <c:v>-55.642252252252256</c:v>
                      </c:pt>
                      <c:pt idx="4" formatCode="General">
                        <c:v>-54.130868263473054</c:v>
                      </c:pt>
                      <c:pt idx="5" formatCode="General">
                        <c:v>-52.581167664670659</c:v>
                      </c:pt>
                      <c:pt idx="6" formatCode="General">
                        <c:v>-51.031467065868263</c:v>
                      </c:pt>
                      <c:pt idx="7" formatCode="General">
                        <c:v>-49.481766467065867</c:v>
                      </c:pt>
                      <c:pt idx="8" formatCode="General">
                        <c:v>-47.964131736526944</c:v>
                      </c:pt>
                      <c:pt idx="9" formatCode="General">
                        <c:v>-46.464730538922154</c:v>
                      </c:pt>
                      <c:pt idx="10" formatCode="General">
                        <c:v>-44.965329341317364</c:v>
                      </c:pt>
                      <c:pt idx="11" formatCode="General">
                        <c:v>-43.465928143712574</c:v>
                      </c:pt>
                      <c:pt idx="12" formatCode="General">
                        <c:v>-42.064011976047901</c:v>
                      </c:pt>
                      <c:pt idx="13" formatCode="General">
                        <c:v>-40.775389221556885</c:v>
                      </c:pt>
                      <c:pt idx="14" formatCode="General">
                        <c:v>-39.48676646706587</c:v>
                      </c:pt>
                      <c:pt idx="15" formatCode="General">
                        <c:v>-38.198143712574847</c:v>
                      </c:pt>
                      <c:pt idx="16" formatCode="General">
                        <c:v>-36.957724550898206</c:v>
                      </c:pt>
                      <c:pt idx="17" formatCode="General">
                        <c:v>-35.836766467065871</c:v>
                      </c:pt>
                      <c:pt idx="18" formatCode="General">
                        <c:v>-34.715808383233536</c:v>
                      </c:pt>
                      <c:pt idx="19" formatCode="General">
                        <c:v>-33.594850299401202</c:v>
                      </c:pt>
                      <c:pt idx="20" formatCode="General">
                        <c:v>-32.488982035928146</c:v>
                      </c:pt>
                      <c:pt idx="21" formatCode="General">
                        <c:v>-31.502155688622757</c:v>
                      </c:pt>
                      <c:pt idx="22" formatCode="General">
                        <c:v>-30.515329341317369</c:v>
                      </c:pt>
                      <c:pt idx="23" formatCode="General">
                        <c:v>-29.528502994011976</c:v>
                      </c:pt>
                      <c:pt idx="24" formatCode="General">
                        <c:v>-28.541676646706588</c:v>
                      </c:pt>
                      <c:pt idx="25" formatCode="General">
                        <c:v>-27.788558558558559</c:v>
                      </c:pt>
                      <c:pt idx="26" formatCode="General">
                        <c:v>-27.051021021021018</c:v>
                      </c:pt>
                      <c:pt idx="27" formatCode="General">
                        <c:v>-26.313483483483481</c:v>
                      </c:pt>
                      <c:pt idx="28" formatCode="General">
                        <c:v>-25.575945945945943</c:v>
                      </c:pt>
                      <c:pt idx="29" formatCode="General">
                        <c:v>-25.655029940119761</c:v>
                      </c:pt>
                      <c:pt idx="30" formatCode="General">
                        <c:v>-25.971197604790419</c:v>
                      </c:pt>
                      <c:pt idx="31" formatCode="General">
                        <c:v>-26.287365269461077</c:v>
                      </c:pt>
                      <c:pt idx="32" formatCode="General">
                        <c:v>-26.603532934131735</c:v>
                      </c:pt>
                      <c:pt idx="33" formatCode="General">
                        <c:v>-26.911437125748503</c:v>
                      </c:pt>
                      <c:pt idx="34" formatCode="General">
                        <c:v>-27.213832335329339</c:v>
                      </c:pt>
                      <c:pt idx="35" formatCode="General">
                        <c:v>-27.51622754491018</c:v>
                      </c:pt>
                      <c:pt idx="36" formatCode="General">
                        <c:v>-27.818622754491017</c:v>
                      </c:pt>
                      <c:pt idx="37" formatCode="General">
                        <c:v>-28.121017964071857</c:v>
                      </c:pt>
                      <c:pt idx="38" formatCode="General">
                        <c:v>-28.423413173652694</c:v>
                      </c:pt>
                      <c:pt idx="39" formatCode="General">
                        <c:v>-28.725808383233534</c:v>
                      </c:pt>
                      <c:pt idx="40" formatCode="General">
                        <c:v>-29.028203592814371</c:v>
                      </c:pt>
                      <c:pt idx="41" formatCode="General">
                        <c:v>-29.330598802395212</c:v>
                      </c:pt>
                      <c:pt idx="42" formatCode="General">
                        <c:v>-29.632994011976049</c:v>
                      </c:pt>
                      <c:pt idx="43" formatCode="General">
                        <c:v>-29.935389221556889</c:v>
                      </c:pt>
                      <c:pt idx="44" formatCode="General">
                        <c:v>-30.237784431137726</c:v>
                      </c:pt>
                      <c:pt idx="45" formatCode="General">
                        <c:v>-30.540179640718566</c:v>
                      </c:pt>
                      <c:pt idx="46" formatCode="General">
                        <c:v>-30.842574850299403</c:v>
                      </c:pt>
                      <c:pt idx="47" formatCode="General">
                        <c:v>-31.144970059880244</c:v>
                      </c:pt>
                      <c:pt idx="48" formatCode="General">
                        <c:v>-31.447365269461081</c:v>
                      </c:pt>
                      <c:pt idx="49" formatCode="General">
                        <c:v>-31.749760479041917</c:v>
                      </c:pt>
                      <c:pt idx="50" formatCode="General">
                        <c:v>-32.022696629213485</c:v>
                      </c:pt>
                      <c:pt idx="51" formatCode="General">
                        <c:v>-32.292359550561798</c:v>
                      </c:pt>
                      <c:pt idx="52" formatCode="General">
                        <c:v>-32.562022471910112</c:v>
                      </c:pt>
                      <c:pt idx="53" formatCode="General">
                        <c:v>-32.831685393258432</c:v>
                      </c:pt>
                      <c:pt idx="54" formatCode="General">
                        <c:v>-33.101348314606746</c:v>
                      </c:pt>
                      <c:pt idx="55" formatCode="General">
                        <c:v>-33.371011235955059</c:v>
                      </c:pt>
                      <c:pt idx="56" formatCode="General">
                        <c:v>-33.640674157303373</c:v>
                      </c:pt>
                      <c:pt idx="57" formatCode="General">
                        <c:v>-33.910337078651686</c:v>
                      </c:pt>
                      <c:pt idx="58" formatCode="General">
                        <c:v>-34.18</c:v>
                      </c:pt>
                      <c:pt idx="59" formatCode="General">
                        <c:v>-34.44966292134832</c:v>
                      </c:pt>
                      <c:pt idx="60" formatCode="General">
                        <c:v>-34.719325842696634</c:v>
                      </c:pt>
                      <c:pt idx="61" formatCode="General">
                        <c:v>-34.988988764044947</c:v>
                      </c:pt>
                      <c:pt idx="62" formatCode="General">
                        <c:v>-35.258651685393261</c:v>
                      </c:pt>
                      <c:pt idx="63" formatCode="General">
                        <c:v>-35.528314606741574</c:v>
                      </c:pt>
                      <c:pt idx="64" formatCode="General">
                        <c:v>-35.797977528089888</c:v>
                      </c:pt>
                      <c:pt idx="65" formatCode="General">
                        <c:v>-36.067640449438201</c:v>
                      </c:pt>
                      <c:pt idx="66" formatCode="General">
                        <c:v>-36.328007490636708</c:v>
                      </c:pt>
                      <c:pt idx="67" formatCode="General">
                        <c:v>-36.553925093632962</c:v>
                      </c:pt>
                      <c:pt idx="68" formatCode="General">
                        <c:v>-36.779842696629217</c:v>
                      </c:pt>
                      <c:pt idx="69" formatCode="General">
                        <c:v>-37.005760299625472</c:v>
                      </c:pt>
                      <c:pt idx="70" formatCode="General">
                        <c:v>-37.231677902621726</c:v>
                      </c:pt>
                      <c:pt idx="71" formatCode="General">
                        <c:v>-37.457595505617981</c:v>
                      </c:pt>
                      <c:pt idx="72" formatCode="General">
                        <c:v>-37.683513108614235</c:v>
                      </c:pt>
                      <c:pt idx="73" formatCode="General">
                        <c:v>-37.90943071161049</c:v>
                      </c:pt>
                      <c:pt idx="74" formatCode="General">
                        <c:v>-38.135348314606745</c:v>
                      </c:pt>
                      <c:pt idx="75" formatCode="General">
                        <c:v>-38.361265917602999</c:v>
                      </c:pt>
                      <c:pt idx="76" formatCode="General">
                        <c:v>-38.587183520599254</c:v>
                      </c:pt>
                      <c:pt idx="77" formatCode="General">
                        <c:v>-38.813101123595509</c:v>
                      </c:pt>
                      <c:pt idx="78" formatCode="General">
                        <c:v>-39.039018726591763</c:v>
                      </c:pt>
                      <c:pt idx="79" formatCode="General">
                        <c:v>-39.264936329588011</c:v>
                      </c:pt>
                      <c:pt idx="80" formatCode="General">
                        <c:v>-39.490853932584265</c:v>
                      </c:pt>
                      <c:pt idx="81" formatCode="General">
                        <c:v>-39.71677153558052</c:v>
                      </c:pt>
                      <c:pt idx="82" formatCode="General">
                        <c:v>-39.942689138576775</c:v>
                      </c:pt>
                      <c:pt idx="83" formatCode="General">
                        <c:v>-40.151856287425147</c:v>
                      </c:pt>
                      <c:pt idx="84" formatCode="General">
                        <c:v>-40.345868263473051</c:v>
                      </c:pt>
                      <c:pt idx="85" formatCode="General">
                        <c:v>-40.539880239520954</c:v>
                      </c:pt>
                      <c:pt idx="86" formatCode="General">
                        <c:v>-40.733892215568858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1-6F8E-44D6-9842-8CC6ABD00D40}"/>
                  </c:ext>
                </c:extLst>
              </c15:ser>
            </c15:filteredScatterSeries>
            <c15:filteredScatterSeries>
              <c15:ser>
                <c:idx val="12"/>
                <c:order val="14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306</c:v>
                      </c:pt>
                      <c:pt idx="1">
                        <c:v>314</c:v>
                      </c:pt>
                      <c:pt idx="2">
                        <c:v>322</c:v>
                      </c:pt>
                      <c:pt idx="3">
                        <c:v>330</c:v>
                      </c:pt>
                      <c:pt idx="4">
                        <c:v>338</c:v>
                      </c:pt>
                      <c:pt idx="5">
                        <c:v>346</c:v>
                      </c:pt>
                      <c:pt idx="6">
                        <c:v>354</c:v>
                      </c:pt>
                      <c:pt idx="7">
                        <c:v>362</c:v>
                      </c:pt>
                      <c:pt idx="8">
                        <c:v>370</c:v>
                      </c:pt>
                      <c:pt idx="9">
                        <c:v>378</c:v>
                      </c:pt>
                      <c:pt idx="10">
                        <c:v>386</c:v>
                      </c:pt>
                      <c:pt idx="11">
                        <c:v>394</c:v>
                      </c:pt>
                      <c:pt idx="12">
                        <c:v>402</c:v>
                      </c:pt>
                      <c:pt idx="13">
                        <c:v>410</c:v>
                      </c:pt>
                      <c:pt idx="14">
                        <c:v>418</c:v>
                      </c:pt>
                      <c:pt idx="15">
                        <c:v>426</c:v>
                      </c:pt>
                      <c:pt idx="16">
                        <c:v>434</c:v>
                      </c:pt>
                      <c:pt idx="17">
                        <c:v>442</c:v>
                      </c:pt>
                      <c:pt idx="18">
                        <c:v>450</c:v>
                      </c:pt>
                      <c:pt idx="19">
                        <c:v>458</c:v>
                      </c:pt>
                      <c:pt idx="20">
                        <c:v>466</c:v>
                      </c:pt>
                      <c:pt idx="21">
                        <c:v>474</c:v>
                      </c:pt>
                      <c:pt idx="22">
                        <c:v>482</c:v>
                      </c:pt>
                      <c:pt idx="23">
                        <c:v>490</c:v>
                      </c:pt>
                      <c:pt idx="24">
                        <c:v>498</c:v>
                      </c:pt>
                      <c:pt idx="25">
                        <c:v>506</c:v>
                      </c:pt>
                      <c:pt idx="26">
                        <c:v>514</c:v>
                      </c:pt>
                      <c:pt idx="27">
                        <c:v>522</c:v>
                      </c:pt>
                      <c:pt idx="28">
                        <c:v>530</c:v>
                      </c:pt>
                      <c:pt idx="29">
                        <c:v>538</c:v>
                      </c:pt>
                      <c:pt idx="30">
                        <c:v>546</c:v>
                      </c:pt>
                      <c:pt idx="31">
                        <c:v>554</c:v>
                      </c:pt>
                      <c:pt idx="32">
                        <c:v>562</c:v>
                      </c:pt>
                      <c:pt idx="33">
                        <c:v>570</c:v>
                      </c:pt>
                      <c:pt idx="34">
                        <c:v>578</c:v>
                      </c:pt>
                      <c:pt idx="35">
                        <c:v>586</c:v>
                      </c:pt>
                      <c:pt idx="36">
                        <c:v>594</c:v>
                      </c:pt>
                      <c:pt idx="37">
                        <c:v>602</c:v>
                      </c:pt>
                      <c:pt idx="38">
                        <c:v>610</c:v>
                      </c:pt>
                      <c:pt idx="39">
                        <c:v>618</c:v>
                      </c:pt>
                      <c:pt idx="40">
                        <c:v>626</c:v>
                      </c:pt>
                      <c:pt idx="41">
                        <c:v>634</c:v>
                      </c:pt>
                      <c:pt idx="42">
                        <c:v>642</c:v>
                      </c:pt>
                      <c:pt idx="43">
                        <c:v>650</c:v>
                      </c:pt>
                      <c:pt idx="44">
                        <c:v>658</c:v>
                      </c:pt>
                      <c:pt idx="45">
                        <c:v>666</c:v>
                      </c:pt>
                      <c:pt idx="46">
                        <c:v>674</c:v>
                      </c:pt>
                      <c:pt idx="47">
                        <c:v>682</c:v>
                      </c:pt>
                      <c:pt idx="48">
                        <c:v>690</c:v>
                      </c:pt>
                      <c:pt idx="49">
                        <c:v>698</c:v>
                      </c:pt>
                      <c:pt idx="50">
                        <c:v>706</c:v>
                      </c:pt>
                      <c:pt idx="51">
                        <c:v>714</c:v>
                      </c:pt>
                      <c:pt idx="52">
                        <c:v>722</c:v>
                      </c:pt>
                      <c:pt idx="53">
                        <c:v>730</c:v>
                      </c:pt>
                      <c:pt idx="54">
                        <c:v>738</c:v>
                      </c:pt>
                      <c:pt idx="55">
                        <c:v>746</c:v>
                      </c:pt>
                      <c:pt idx="56">
                        <c:v>754</c:v>
                      </c:pt>
                      <c:pt idx="57">
                        <c:v>762</c:v>
                      </c:pt>
                      <c:pt idx="58">
                        <c:v>770</c:v>
                      </c:pt>
                      <c:pt idx="59">
                        <c:v>778</c:v>
                      </c:pt>
                      <c:pt idx="60">
                        <c:v>786</c:v>
                      </c:pt>
                      <c:pt idx="61">
                        <c:v>794</c:v>
                      </c:pt>
                      <c:pt idx="62">
                        <c:v>802</c:v>
                      </c:pt>
                      <c:pt idx="63">
                        <c:v>810</c:v>
                      </c:pt>
                      <c:pt idx="64">
                        <c:v>818</c:v>
                      </c:pt>
                      <c:pt idx="65">
                        <c:v>826</c:v>
                      </c:pt>
                      <c:pt idx="66">
                        <c:v>834</c:v>
                      </c:pt>
                      <c:pt idx="67">
                        <c:v>842</c:v>
                      </c:pt>
                      <c:pt idx="68">
                        <c:v>850</c:v>
                      </c:pt>
                      <c:pt idx="69">
                        <c:v>858</c:v>
                      </c:pt>
                      <c:pt idx="70">
                        <c:v>866</c:v>
                      </c:pt>
                      <c:pt idx="71">
                        <c:v>874</c:v>
                      </c:pt>
                      <c:pt idx="72">
                        <c:v>882</c:v>
                      </c:pt>
                      <c:pt idx="73">
                        <c:v>890</c:v>
                      </c:pt>
                      <c:pt idx="74">
                        <c:v>898</c:v>
                      </c:pt>
                      <c:pt idx="75">
                        <c:v>906</c:v>
                      </c:pt>
                      <c:pt idx="76">
                        <c:v>914</c:v>
                      </c:pt>
                      <c:pt idx="77">
                        <c:v>922</c:v>
                      </c:pt>
                      <c:pt idx="78">
                        <c:v>930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EVALUATION!$B$115:$CP$115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-15.118108108108107</c:v>
                      </c:pt>
                      <c:pt idx="1">
                        <c:v>-14.88027027027027</c:v>
                      </c:pt>
                      <c:pt idx="2">
                        <c:v>-14.642432432432432</c:v>
                      </c:pt>
                      <c:pt idx="3">
                        <c:v>-14.404594594594593</c:v>
                      </c:pt>
                      <c:pt idx="4" formatCode="General">
                        <c:v>-13.959101796407184</c:v>
                      </c:pt>
                      <c:pt idx="5" formatCode="General">
                        <c:v>-13.46568862275449</c:v>
                      </c:pt>
                      <c:pt idx="6" formatCode="General">
                        <c:v>-12.972275449101796</c:v>
                      </c:pt>
                      <c:pt idx="7" formatCode="General">
                        <c:v>-12.478862275449101</c:v>
                      </c:pt>
                      <c:pt idx="8" formatCode="General">
                        <c:v>-11.950329341317365</c:v>
                      </c:pt>
                      <c:pt idx="9" formatCode="General">
                        <c:v>-11.40182634730539</c:v>
                      </c:pt>
                      <c:pt idx="10" formatCode="General">
                        <c:v>-10.853323353293414</c:v>
                      </c:pt>
                      <c:pt idx="11" formatCode="General">
                        <c:v>-10.304820359281438</c:v>
                      </c:pt>
                      <c:pt idx="12" formatCode="General">
                        <c:v>-9.7896616766467073</c:v>
                      </c:pt>
                      <c:pt idx="13" formatCode="General">
                        <c:v>-9.3132544910179647</c:v>
                      </c:pt>
                      <c:pt idx="14" formatCode="General">
                        <c:v>-8.836847305389222</c:v>
                      </c:pt>
                      <c:pt idx="15" formatCode="General">
                        <c:v>-8.3604401197604794</c:v>
                      </c:pt>
                      <c:pt idx="16" formatCode="General">
                        <c:v>-7.9011107784431145</c:v>
                      </c:pt>
                      <c:pt idx="17" formatCode="General">
                        <c:v>-7.4841047904191624</c:v>
                      </c:pt>
                      <c:pt idx="18" formatCode="General">
                        <c:v>-7.0670988023952104</c:v>
                      </c:pt>
                      <c:pt idx="19" formatCode="General">
                        <c:v>-6.6500928143712592</c:v>
                      </c:pt>
                      <c:pt idx="20" formatCode="General">
                        <c:v>-6.2383952095808395</c:v>
                      </c:pt>
                      <c:pt idx="21" formatCode="General">
                        <c:v>-5.8685748502994022</c:v>
                      </c:pt>
                      <c:pt idx="22" formatCode="General">
                        <c:v>-5.4987544910179649</c:v>
                      </c:pt>
                      <c:pt idx="23" formatCode="General">
                        <c:v>-5.1289341317365267</c:v>
                      </c:pt>
                      <c:pt idx="24" formatCode="General">
                        <c:v>-4.7591137724550894</c:v>
                      </c:pt>
                      <c:pt idx="25" formatCode="General">
                        <c:v>-4.6019909909909904</c:v>
                      </c:pt>
                      <c:pt idx="26" formatCode="General">
                        <c:v>-4.4590480480480474</c:v>
                      </c:pt>
                      <c:pt idx="27" formatCode="General">
                        <c:v>-4.3161051051051045</c:v>
                      </c:pt>
                      <c:pt idx="28" formatCode="General">
                        <c:v>-4.1731621621621615</c:v>
                      </c:pt>
                      <c:pt idx="29" formatCode="General">
                        <c:v>-4.1562215568862273</c:v>
                      </c:pt>
                      <c:pt idx="30" formatCode="General">
                        <c:v>-4.1758622754491022</c:v>
                      </c:pt>
                      <c:pt idx="31" formatCode="General">
                        <c:v>-4.1955029940119761</c:v>
                      </c:pt>
                      <c:pt idx="32" formatCode="General">
                        <c:v>-4.2151437125748501</c:v>
                      </c:pt>
                      <c:pt idx="33" formatCode="General">
                        <c:v>-4.2348562874251492</c:v>
                      </c:pt>
                      <c:pt idx="34" formatCode="General">
                        <c:v>-4.2546167664670653</c:v>
                      </c:pt>
                      <c:pt idx="35" formatCode="General">
                        <c:v>-4.2743772455089815</c:v>
                      </c:pt>
                      <c:pt idx="36" formatCode="General">
                        <c:v>-4.2941377245508976</c:v>
                      </c:pt>
                      <c:pt idx="37" formatCode="General">
                        <c:v>-4.3138982035928146</c:v>
                      </c:pt>
                      <c:pt idx="38" formatCode="General">
                        <c:v>-4.3336586826347308</c:v>
                      </c:pt>
                      <c:pt idx="39" formatCode="General">
                        <c:v>-4.3534191616766469</c:v>
                      </c:pt>
                      <c:pt idx="40" formatCode="General">
                        <c:v>-4.373179640718563</c:v>
                      </c:pt>
                      <c:pt idx="41" formatCode="General">
                        <c:v>-4.3929401197604792</c:v>
                      </c:pt>
                      <c:pt idx="42" formatCode="General">
                        <c:v>-4.4127005988023953</c:v>
                      </c:pt>
                      <c:pt idx="43" formatCode="General">
                        <c:v>-4.4324610778443114</c:v>
                      </c:pt>
                      <c:pt idx="44" formatCode="General">
                        <c:v>-4.4522215568862276</c:v>
                      </c:pt>
                      <c:pt idx="45" formatCode="General">
                        <c:v>-4.4719820359281437</c:v>
                      </c:pt>
                      <c:pt idx="46" formatCode="General">
                        <c:v>-4.4917425149700598</c:v>
                      </c:pt>
                      <c:pt idx="47" formatCode="General">
                        <c:v>-4.511502994011976</c:v>
                      </c:pt>
                      <c:pt idx="48" formatCode="General">
                        <c:v>-4.5312634730538921</c:v>
                      </c:pt>
                      <c:pt idx="49" formatCode="General">
                        <c:v>-4.5510239520958082</c:v>
                      </c:pt>
                      <c:pt idx="50" formatCode="General">
                        <c:v>-4.5702584269662925</c:v>
                      </c:pt>
                      <c:pt idx="51" formatCode="General">
                        <c:v>-4.5894344569288394</c:v>
                      </c:pt>
                      <c:pt idx="52" formatCode="General">
                        <c:v>-4.6086104868913855</c:v>
                      </c:pt>
                      <c:pt idx="53" formatCode="General">
                        <c:v>-4.6277865168539325</c:v>
                      </c:pt>
                      <c:pt idx="54" formatCode="General">
                        <c:v>-4.6469625468164795</c:v>
                      </c:pt>
                      <c:pt idx="55" formatCode="General">
                        <c:v>-4.6661385767790264</c:v>
                      </c:pt>
                      <c:pt idx="56" formatCode="General">
                        <c:v>-4.6853146067415734</c:v>
                      </c:pt>
                      <c:pt idx="57" formatCode="General">
                        <c:v>-4.7044906367041204</c:v>
                      </c:pt>
                      <c:pt idx="58" formatCode="General">
                        <c:v>-4.7236666666666665</c:v>
                      </c:pt>
                      <c:pt idx="59" formatCode="General">
                        <c:v>-4.7428426966292134</c:v>
                      </c:pt>
                      <c:pt idx="60" formatCode="General">
                        <c:v>-4.7620187265917604</c:v>
                      </c:pt>
                      <c:pt idx="61" formatCode="General">
                        <c:v>-4.7811947565543074</c:v>
                      </c:pt>
                      <c:pt idx="62" formatCode="General">
                        <c:v>-4.8003707865168543</c:v>
                      </c:pt>
                      <c:pt idx="63" formatCode="General">
                        <c:v>-4.8195468164794013</c:v>
                      </c:pt>
                      <c:pt idx="64" formatCode="General">
                        <c:v>-4.8387228464419483</c:v>
                      </c:pt>
                      <c:pt idx="65" formatCode="General">
                        <c:v>-4.8578988764044944</c:v>
                      </c:pt>
                      <c:pt idx="66" formatCode="General">
                        <c:v>-4.8768456928838955</c:v>
                      </c:pt>
                      <c:pt idx="67" formatCode="General">
                        <c:v>-4.8949430711610491</c:v>
                      </c:pt>
                      <c:pt idx="68" formatCode="General">
                        <c:v>-4.9130404494382027</c:v>
                      </c:pt>
                      <c:pt idx="69" formatCode="General">
                        <c:v>-4.9311378277153564</c:v>
                      </c:pt>
                      <c:pt idx="70" formatCode="General">
                        <c:v>-4.94923520599251</c:v>
                      </c:pt>
                      <c:pt idx="71" formatCode="General">
                        <c:v>-4.9673325842696627</c:v>
                      </c:pt>
                      <c:pt idx="72" formatCode="General">
                        <c:v>-4.9854299625468164</c:v>
                      </c:pt>
                      <c:pt idx="73" formatCode="General">
                        <c:v>-5.00352734082397</c:v>
                      </c:pt>
                      <c:pt idx="74" formatCode="General">
                        <c:v>-5.0216247191011236</c:v>
                      </c:pt>
                      <c:pt idx="75" formatCode="General">
                        <c:v>-5.0397220973782773</c:v>
                      </c:pt>
                      <c:pt idx="76" formatCode="General">
                        <c:v>-5.0578194756554309</c:v>
                      </c:pt>
                      <c:pt idx="77" formatCode="General">
                        <c:v>-5.0759168539325845</c:v>
                      </c:pt>
                      <c:pt idx="78" formatCode="General">
                        <c:v>-5.0940142322097381</c:v>
                      </c:pt>
                      <c:pt idx="79" formatCode="General">
                        <c:v>-5.1121116104868918</c:v>
                      </c:pt>
                      <c:pt idx="80" formatCode="General">
                        <c:v>-5.1302089887640445</c:v>
                      </c:pt>
                      <c:pt idx="81" formatCode="General">
                        <c:v>-5.1483063670411982</c:v>
                      </c:pt>
                      <c:pt idx="82" formatCode="General">
                        <c:v>-5.1664037453183518</c:v>
                      </c:pt>
                      <c:pt idx="83" formatCode="General">
                        <c:v>-5.1840538922155686</c:v>
                      </c:pt>
                      <c:pt idx="84" formatCode="General">
                        <c:v>-5.2012994011976046</c:v>
                      </c:pt>
                      <c:pt idx="85" formatCode="General">
                        <c:v>-5.2185449101796406</c:v>
                      </c:pt>
                      <c:pt idx="86" formatCode="General">
                        <c:v>-5.2357904191616766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2-6F8E-44D6-9842-8CC6ABD00D40}"/>
                  </c:ext>
                </c:extLst>
              </c15:ser>
            </c15:filteredScatterSeries>
            <c15:filteredScatterSeries>
              <c15:ser>
                <c:idx val="13"/>
                <c:order val="15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306</c:v>
                      </c:pt>
                      <c:pt idx="1">
                        <c:v>314</c:v>
                      </c:pt>
                      <c:pt idx="2">
                        <c:v>322</c:v>
                      </c:pt>
                      <c:pt idx="3">
                        <c:v>330</c:v>
                      </c:pt>
                      <c:pt idx="4">
                        <c:v>338</c:v>
                      </c:pt>
                      <c:pt idx="5">
                        <c:v>346</c:v>
                      </c:pt>
                      <c:pt idx="6">
                        <c:v>354</c:v>
                      </c:pt>
                      <c:pt idx="7">
                        <c:v>362</c:v>
                      </c:pt>
                      <c:pt idx="8">
                        <c:v>370</c:v>
                      </c:pt>
                      <c:pt idx="9">
                        <c:v>378</c:v>
                      </c:pt>
                      <c:pt idx="10">
                        <c:v>386</c:v>
                      </c:pt>
                      <c:pt idx="11">
                        <c:v>394</c:v>
                      </c:pt>
                      <c:pt idx="12">
                        <c:v>402</c:v>
                      </c:pt>
                      <c:pt idx="13">
                        <c:v>410</c:v>
                      </c:pt>
                      <c:pt idx="14">
                        <c:v>418</c:v>
                      </c:pt>
                      <c:pt idx="15">
                        <c:v>426</c:v>
                      </c:pt>
                      <c:pt idx="16">
                        <c:v>434</c:v>
                      </c:pt>
                      <c:pt idx="17">
                        <c:v>442</c:v>
                      </c:pt>
                      <c:pt idx="18">
                        <c:v>450</c:v>
                      </c:pt>
                      <c:pt idx="19">
                        <c:v>458</c:v>
                      </c:pt>
                      <c:pt idx="20">
                        <c:v>466</c:v>
                      </c:pt>
                      <c:pt idx="21">
                        <c:v>474</c:v>
                      </c:pt>
                      <c:pt idx="22">
                        <c:v>482</c:v>
                      </c:pt>
                      <c:pt idx="23">
                        <c:v>490</c:v>
                      </c:pt>
                      <c:pt idx="24">
                        <c:v>498</c:v>
                      </c:pt>
                      <c:pt idx="25">
                        <c:v>506</c:v>
                      </c:pt>
                      <c:pt idx="26">
                        <c:v>514</c:v>
                      </c:pt>
                      <c:pt idx="27">
                        <c:v>522</c:v>
                      </c:pt>
                      <c:pt idx="28">
                        <c:v>530</c:v>
                      </c:pt>
                      <c:pt idx="29">
                        <c:v>538</c:v>
                      </c:pt>
                      <c:pt idx="30">
                        <c:v>546</c:v>
                      </c:pt>
                      <c:pt idx="31">
                        <c:v>554</c:v>
                      </c:pt>
                      <c:pt idx="32">
                        <c:v>562</c:v>
                      </c:pt>
                      <c:pt idx="33">
                        <c:v>570</c:v>
                      </c:pt>
                      <c:pt idx="34">
                        <c:v>578</c:v>
                      </c:pt>
                      <c:pt idx="35">
                        <c:v>586</c:v>
                      </c:pt>
                      <c:pt idx="36">
                        <c:v>594</c:v>
                      </c:pt>
                      <c:pt idx="37">
                        <c:v>602</c:v>
                      </c:pt>
                      <c:pt idx="38">
                        <c:v>610</c:v>
                      </c:pt>
                      <c:pt idx="39">
                        <c:v>618</c:v>
                      </c:pt>
                      <c:pt idx="40">
                        <c:v>626</c:v>
                      </c:pt>
                      <c:pt idx="41">
                        <c:v>634</c:v>
                      </c:pt>
                      <c:pt idx="42">
                        <c:v>642</c:v>
                      </c:pt>
                      <c:pt idx="43">
                        <c:v>650</c:v>
                      </c:pt>
                      <c:pt idx="44">
                        <c:v>658</c:v>
                      </c:pt>
                      <c:pt idx="45">
                        <c:v>666</c:v>
                      </c:pt>
                      <c:pt idx="46">
                        <c:v>674</c:v>
                      </c:pt>
                      <c:pt idx="47">
                        <c:v>682</c:v>
                      </c:pt>
                      <c:pt idx="48">
                        <c:v>690</c:v>
                      </c:pt>
                      <c:pt idx="49">
                        <c:v>698</c:v>
                      </c:pt>
                      <c:pt idx="50">
                        <c:v>706</c:v>
                      </c:pt>
                      <c:pt idx="51">
                        <c:v>714</c:v>
                      </c:pt>
                      <c:pt idx="52">
                        <c:v>722</c:v>
                      </c:pt>
                      <c:pt idx="53">
                        <c:v>730</c:v>
                      </c:pt>
                      <c:pt idx="54">
                        <c:v>738</c:v>
                      </c:pt>
                      <c:pt idx="55">
                        <c:v>746</c:v>
                      </c:pt>
                      <c:pt idx="56">
                        <c:v>754</c:v>
                      </c:pt>
                      <c:pt idx="57">
                        <c:v>762</c:v>
                      </c:pt>
                      <c:pt idx="58">
                        <c:v>770</c:v>
                      </c:pt>
                      <c:pt idx="59">
                        <c:v>778</c:v>
                      </c:pt>
                      <c:pt idx="60">
                        <c:v>786</c:v>
                      </c:pt>
                      <c:pt idx="61">
                        <c:v>794</c:v>
                      </c:pt>
                      <c:pt idx="62">
                        <c:v>802</c:v>
                      </c:pt>
                      <c:pt idx="63">
                        <c:v>810</c:v>
                      </c:pt>
                      <c:pt idx="64">
                        <c:v>818</c:v>
                      </c:pt>
                      <c:pt idx="65">
                        <c:v>826</c:v>
                      </c:pt>
                      <c:pt idx="66">
                        <c:v>834</c:v>
                      </c:pt>
                      <c:pt idx="67">
                        <c:v>842</c:v>
                      </c:pt>
                      <c:pt idx="68">
                        <c:v>850</c:v>
                      </c:pt>
                      <c:pt idx="69">
                        <c:v>858</c:v>
                      </c:pt>
                      <c:pt idx="70">
                        <c:v>866</c:v>
                      </c:pt>
                      <c:pt idx="71">
                        <c:v>874</c:v>
                      </c:pt>
                      <c:pt idx="72">
                        <c:v>882</c:v>
                      </c:pt>
                      <c:pt idx="73">
                        <c:v>890</c:v>
                      </c:pt>
                      <c:pt idx="74">
                        <c:v>898</c:v>
                      </c:pt>
                      <c:pt idx="75">
                        <c:v>906</c:v>
                      </c:pt>
                      <c:pt idx="76">
                        <c:v>914</c:v>
                      </c:pt>
                      <c:pt idx="77">
                        <c:v>922</c:v>
                      </c:pt>
                      <c:pt idx="78">
                        <c:v>930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EVALUATION!$B$116:$CP$116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-21.473063063063062</c:v>
                      </c:pt>
                      <c:pt idx="1">
                        <c:v>-21.045435435435436</c:v>
                      </c:pt>
                      <c:pt idx="2">
                        <c:v>-20.617807807807807</c:v>
                      </c:pt>
                      <c:pt idx="3">
                        <c:v>-20.190180180180178</c:v>
                      </c:pt>
                      <c:pt idx="4" formatCode="General">
                        <c:v>-20.082754491017962</c:v>
                      </c:pt>
                      <c:pt idx="5" formatCode="General">
                        <c:v>-20.049221556886227</c:v>
                      </c:pt>
                      <c:pt idx="6" formatCode="General">
                        <c:v>-20.015688622754489</c:v>
                      </c:pt>
                      <c:pt idx="7" formatCode="General">
                        <c:v>-19.982155688622754</c:v>
                      </c:pt>
                      <c:pt idx="8" formatCode="General">
                        <c:v>-20.046347305389222</c:v>
                      </c:pt>
                      <c:pt idx="9" formatCode="General">
                        <c:v>-20.166107784431137</c:v>
                      </c:pt>
                      <c:pt idx="10" formatCode="General">
                        <c:v>-20.285868263473052</c:v>
                      </c:pt>
                      <c:pt idx="11" formatCode="General">
                        <c:v>-20.40562874251497</c:v>
                      </c:pt>
                      <c:pt idx="12" formatCode="General">
                        <c:v>-20.526497005988023</c:v>
                      </c:pt>
                      <c:pt idx="13" formatCode="General">
                        <c:v>-20.648652694610778</c:v>
                      </c:pt>
                      <c:pt idx="14" formatCode="General">
                        <c:v>-20.770808383233533</c:v>
                      </c:pt>
                      <c:pt idx="15" formatCode="General">
                        <c:v>-20.892964071856287</c:v>
                      </c:pt>
                      <c:pt idx="16" formatCode="General">
                        <c:v>-21.015119760479042</c:v>
                      </c:pt>
                      <c:pt idx="17" formatCode="General">
                        <c:v>-21.137275449101796</c:v>
                      </c:pt>
                      <c:pt idx="18" formatCode="General">
                        <c:v>-21.259431137724551</c:v>
                      </c:pt>
                      <c:pt idx="19" formatCode="General">
                        <c:v>-21.381586826347306</c:v>
                      </c:pt>
                      <c:pt idx="20" formatCode="General">
                        <c:v>-21.504011976047902</c:v>
                      </c:pt>
                      <c:pt idx="21" formatCode="General">
                        <c:v>-21.628562874251497</c:v>
                      </c:pt>
                      <c:pt idx="22" formatCode="General">
                        <c:v>-21.753113772455091</c:v>
                      </c:pt>
                      <c:pt idx="23" formatCode="General">
                        <c:v>-21.877664670658682</c:v>
                      </c:pt>
                      <c:pt idx="24" formatCode="General">
                        <c:v>-22.002215568862276</c:v>
                      </c:pt>
                      <c:pt idx="25" formatCode="General">
                        <c:v>-22.122612612612613</c:v>
                      </c:pt>
                      <c:pt idx="26" formatCode="General">
                        <c:v>-22.242732732732733</c:v>
                      </c:pt>
                      <c:pt idx="27" formatCode="General">
                        <c:v>-22.362852852852853</c:v>
                      </c:pt>
                      <c:pt idx="28" formatCode="General">
                        <c:v>-22.482972972972973</c:v>
                      </c:pt>
                      <c:pt idx="29" formatCode="General">
                        <c:v>-22.604670658682636</c:v>
                      </c:pt>
                      <c:pt idx="30" formatCode="General">
                        <c:v>-22.726826347305391</c:v>
                      </c:pt>
                      <c:pt idx="31" formatCode="General">
                        <c:v>-22.848982035928145</c:v>
                      </c:pt>
                      <c:pt idx="32" formatCode="General">
                        <c:v>-22.971137724550896</c:v>
                      </c:pt>
                      <c:pt idx="33" formatCode="General">
                        <c:v>-23.089700598802395</c:v>
                      </c:pt>
                      <c:pt idx="34" formatCode="General">
                        <c:v>-23.205868263473054</c:v>
                      </c:pt>
                      <c:pt idx="35" formatCode="General">
                        <c:v>-23.322035928143713</c:v>
                      </c:pt>
                      <c:pt idx="36" formatCode="General">
                        <c:v>-23.438203592814371</c:v>
                      </c:pt>
                      <c:pt idx="37" formatCode="General">
                        <c:v>-23.55437125748503</c:v>
                      </c:pt>
                      <c:pt idx="38" formatCode="General">
                        <c:v>-23.670538922155689</c:v>
                      </c:pt>
                      <c:pt idx="39" formatCode="General">
                        <c:v>-23.786706586826348</c:v>
                      </c:pt>
                      <c:pt idx="40" formatCode="General">
                        <c:v>-23.902874251497007</c:v>
                      </c:pt>
                      <c:pt idx="41" formatCode="General">
                        <c:v>-24.019041916167666</c:v>
                      </c:pt>
                      <c:pt idx="42" formatCode="General">
                        <c:v>-24.135209580838325</c:v>
                      </c:pt>
                      <c:pt idx="43" formatCode="General">
                        <c:v>-24.251377245508984</c:v>
                      </c:pt>
                      <c:pt idx="44" formatCode="General">
                        <c:v>-24.367544910179642</c:v>
                      </c:pt>
                      <c:pt idx="45" formatCode="General">
                        <c:v>-24.483712574850301</c:v>
                      </c:pt>
                      <c:pt idx="46" formatCode="General">
                        <c:v>-24.59988023952096</c:v>
                      </c:pt>
                      <c:pt idx="47" formatCode="General">
                        <c:v>-24.716047904191619</c:v>
                      </c:pt>
                      <c:pt idx="48" formatCode="General">
                        <c:v>-24.832215568862278</c:v>
                      </c:pt>
                      <c:pt idx="49" formatCode="General">
                        <c:v>-24.948383233532937</c:v>
                      </c:pt>
                      <c:pt idx="50" formatCode="General">
                        <c:v>-25.057617977528093</c:v>
                      </c:pt>
                      <c:pt idx="51" formatCode="General">
                        <c:v>-25.166082397003748</c:v>
                      </c:pt>
                      <c:pt idx="52" formatCode="General">
                        <c:v>-25.2745468164794</c:v>
                      </c:pt>
                      <c:pt idx="53" formatCode="General">
                        <c:v>-25.383011235955056</c:v>
                      </c:pt>
                      <c:pt idx="54" formatCode="General">
                        <c:v>-25.491475655430712</c:v>
                      </c:pt>
                      <c:pt idx="55" formatCode="General">
                        <c:v>-25.599940074906367</c:v>
                      </c:pt>
                      <c:pt idx="56" formatCode="General">
                        <c:v>-25.708404494382023</c:v>
                      </c:pt>
                      <c:pt idx="57" formatCode="General">
                        <c:v>-25.816868913857679</c:v>
                      </c:pt>
                      <c:pt idx="58" formatCode="General">
                        <c:v>-25.925333333333334</c:v>
                      </c:pt>
                      <c:pt idx="59" formatCode="General">
                        <c:v>-26.03379775280899</c:v>
                      </c:pt>
                      <c:pt idx="60" formatCode="General">
                        <c:v>-26.142262172284646</c:v>
                      </c:pt>
                      <c:pt idx="61" formatCode="General">
                        <c:v>-26.250726591760301</c:v>
                      </c:pt>
                      <c:pt idx="62" formatCode="General">
                        <c:v>-26.359191011235957</c:v>
                      </c:pt>
                      <c:pt idx="63" formatCode="General">
                        <c:v>-26.467655430711609</c:v>
                      </c:pt>
                      <c:pt idx="64" formatCode="General">
                        <c:v>-26.576119850187265</c:v>
                      </c:pt>
                      <c:pt idx="65" formatCode="General">
                        <c:v>-26.684584269662921</c:v>
                      </c:pt>
                      <c:pt idx="66" formatCode="General">
                        <c:v>-26.791902621722848</c:v>
                      </c:pt>
                      <c:pt idx="67" formatCode="General">
                        <c:v>-26.894973782771537</c:v>
                      </c:pt>
                      <c:pt idx="68" formatCode="General">
                        <c:v>-26.998044943820226</c:v>
                      </c:pt>
                      <c:pt idx="69" formatCode="General">
                        <c:v>-27.101116104868915</c:v>
                      </c:pt>
                      <c:pt idx="70" formatCode="General">
                        <c:v>-27.204187265917604</c:v>
                      </c:pt>
                      <c:pt idx="71" formatCode="General">
                        <c:v>-27.307258426966293</c:v>
                      </c:pt>
                      <c:pt idx="72" formatCode="General">
                        <c:v>-27.410329588014982</c:v>
                      </c:pt>
                      <c:pt idx="73" formatCode="General">
                        <c:v>-27.513400749063671</c:v>
                      </c:pt>
                      <c:pt idx="74" formatCode="General">
                        <c:v>-27.616471910112359</c:v>
                      </c:pt>
                      <c:pt idx="75" formatCode="General">
                        <c:v>-27.719543071161048</c:v>
                      </c:pt>
                      <c:pt idx="76" formatCode="General">
                        <c:v>-27.822614232209737</c:v>
                      </c:pt>
                      <c:pt idx="77" formatCode="General">
                        <c:v>-27.925685393258426</c:v>
                      </c:pt>
                      <c:pt idx="78" formatCode="General">
                        <c:v>-28.028756554307115</c:v>
                      </c:pt>
                      <c:pt idx="79" formatCode="General">
                        <c:v>-28.131827715355804</c:v>
                      </c:pt>
                      <c:pt idx="80" formatCode="General">
                        <c:v>-28.234898876404493</c:v>
                      </c:pt>
                      <c:pt idx="81" formatCode="General">
                        <c:v>-28.337970037453182</c:v>
                      </c:pt>
                      <c:pt idx="82" formatCode="General">
                        <c:v>-28.441041198501871</c:v>
                      </c:pt>
                      <c:pt idx="83" formatCode="General">
                        <c:v>-28.541556886227543</c:v>
                      </c:pt>
                      <c:pt idx="84" formatCode="General">
                        <c:v>-28.639760479041914</c:v>
                      </c:pt>
                      <c:pt idx="85" formatCode="General">
                        <c:v>-28.737964071856286</c:v>
                      </c:pt>
                      <c:pt idx="86" formatCode="General">
                        <c:v>-28.836167664670658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3-6F8E-44D6-9842-8CC6ABD00D40}"/>
                  </c:ext>
                </c:extLst>
              </c15:ser>
            </c15:filteredScatterSeries>
            <c15:filteredScatterSeries>
              <c15:ser>
                <c:idx val="14"/>
                <c:order val="16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306</c:v>
                      </c:pt>
                      <c:pt idx="1">
                        <c:v>314</c:v>
                      </c:pt>
                      <c:pt idx="2">
                        <c:v>322</c:v>
                      </c:pt>
                      <c:pt idx="3">
                        <c:v>330</c:v>
                      </c:pt>
                      <c:pt idx="4">
                        <c:v>338</c:v>
                      </c:pt>
                      <c:pt idx="5">
                        <c:v>346</c:v>
                      </c:pt>
                      <c:pt idx="6">
                        <c:v>354</c:v>
                      </c:pt>
                      <c:pt idx="7">
                        <c:v>362</c:v>
                      </c:pt>
                      <c:pt idx="8">
                        <c:v>370</c:v>
                      </c:pt>
                      <c:pt idx="9">
                        <c:v>378</c:v>
                      </c:pt>
                      <c:pt idx="10">
                        <c:v>386</c:v>
                      </c:pt>
                      <c:pt idx="11">
                        <c:v>394</c:v>
                      </c:pt>
                      <c:pt idx="12">
                        <c:v>402</c:v>
                      </c:pt>
                      <c:pt idx="13">
                        <c:v>410</c:v>
                      </c:pt>
                      <c:pt idx="14">
                        <c:v>418</c:v>
                      </c:pt>
                      <c:pt idx="15">
                        <c:v>426</c:v>
                      </c:pt>
                      <c:pt idx="16">
                        <c:v>434</c:v>
                      </c:pt>
                      <c:pt idx="17">
                        <c:v>442</c:v>
                      </c:pt>
                      <c:pt idx="18">
                        <c:v>450</c:v>
                      </c:pt>
                      <c:pt idx="19">
                        <c:v>458</c:v>
                      </c:pt>
                      <c:pt idx="20">
                        <c:v>466</c:v>
                      </c:pt>
                      <c:pt idx="21">
                        <c:v>474</c:v>
                      </c:pt>
                      <c:pt idx="22">
                        <c:v>482</c:v>
                      </c:pt>
                      <c:pt idx="23">
                        <c:v>490</c:v>
                      </c:pt>
                      <c:pt idx="24">
                        <c:v>498</c:v>
                      </c:pt>
                      <c:pt idx="25">
                        <c:v>506</c:v>
                      </c:pt>
                      <c:pt idx="26">
                        <c:v>514</c:v>
                      </c:pt>
                      <c:pt idx="27">
                        <c:v>522</c:v>
                      </c:pt>
                      <c:pt idx="28">
                        <c:v>530</c:v>
                      </c:pt>
                      <c:pt idx="29">
                        <c:v>538</c:v>
                      </c:pt>
                      <c:pt idx="30">
                        <c:v>546</c:v>
                      </c:pt>
                      <c:pt idx="31">
                        <c:v>554</c:v>
                      </c:pt>
                      <c:pt idx="32">
                        <c:v>562</c:v>
                      </c:pt>
                      <c:pt idx="33">
                        <c:v>570</c:v>
                      </c:pt>
                      <c:pt idx="34">
                        <c:v>578</c:v>
                      </c:pt>
                      <c:pt idx="35">
                        <c:v>586</c:v>
                      </c:pt>
                      <c:pt idx="36">
                        <c:v>594</c:v>
                      </c:pt>
                      <c:pt idx="37">
                        <c:v>602</c:v>
                      </c:pt>
                      <c:pt idx="38">
                        <c:v>610</c:v>
                      </c:pt>
                      <c:pt idx="39">
                        <c:v>618</c:v>
                      </c:pt>
                      <c:pt idx="40">
                        <c:v>626</c:v>
                      </c:pt>
                      <c:pt idx="41">
                        <c:v>634</c:v>
                      </c:pt>
                      <c:pt idx="42">
                        <c:v>642</c:v>
                      </c:pt>
                      <c:pt idx="43">
                        <c:v>650</c:v>
                      </c:pt>
                      <c:pt idx="44">
                        <c:v>658</c:v>
                      </c:pt>
                      <c:pt idx="45">
                        <c:v>666</c:v>
                      </c:pt>
                      <c:pt idx="46">
                        <c:v>674</c:v>
                      </c:pt>
                      <c:pt idx="47">
                        <c:v>682</c:v>
                      </c:pt>
                      <c:pt idx="48">
                        <c:v>690</c:v>
                      </c:pt>
                      <c:pt idx="49">
                        <c:v>698</c:v>
                      </c:pt>
                      <c:pt idx="50">
                        <c:v>706</c:v>
                      </c:pt>
                      <c:pt idx="51">
                        <c:v>714</c:v>
                      </c:pt>
                      <c:pt idx="52">
                        <c:v>722</c:v>
                      </c:pt>
                      <c:pt idx="53">
                        <c:v>730</c:v>
                      </c:pt>
                      <c:pt idx="54">
                        <c:v>738</c:v>
                      </c:pt>
                      <c:pt idx="55">
                        <c:v>746</c:v>
                      </c:pt>
                      <c:pt idx="56">
                        <c:v>754</c:v>
                      </c:pt>
                      <c:pt idx="57">
                        <c:v>762</c:v>
                      </c:pt>
                      <c:pt idx="58">
                        <c:v>770</c:v>
                      </c:pt>
                      <c:pt idx="59">
                        <c:v>778</c:v>
                      </c:pt>
                      <c:pt idx="60">
                        <c:v>786</c:v>
                      </c:pt>
                      <c:pt idx="61">
                        <c:v>794</c:v>
                      </c:pt>
                      <c:pt idx="62">
                        <c:v>802</c:v>
                      </c:pt>
                      <c:pt idx="63">
                        <c:v>810</c:v>
                      </c:pt>
                      <c:pt idx="64">
                        <c:v>818</c:v>
                      </c:pt>
                      <c:pt idx="65">
                        <c:v>826</c:v>
                      </c:pt>
                      <c:pt idx="66">
                        <c:v>834</c:v>
                      </c:pt>
                      <c:pt idx="67">
                        <c:v>842</c:v>
                      </c:pt>
                      <c:pt idx="68">
                        <c:v>850</c:v>
                      </c:pt>
                      <c:pt idx="69">
                        <c:v>858</c:v>
                      </c:pt>
                      <c:pt idx="70">
                        <c:v>866</c:v>
                      </c:pt>
                      <c:pt idx="71">
                        <c:v>874</c:v>
                      </c:pt>
                      <c:pt idx="72">
                        <c:v>882</c:v>
                      </c:pt>
                      <c:pt idx="73">
                        <c:v>890</c:v>
                      </c:pt>
                      <c:pt idx="74">
                        <c:v>898</c:v>
                      </c:pt>
                      <c:pt idx="75">
                        <c:v>906</c:v>
                      </c:pt>
                      <c:pt idx="76">
                        <c:v>914</c:v>
                      </c:pt>
                      <c:pt idx="77">
                        <c:v>922</c:v>
                      </c:pt>
                      <c:pt idx="78">
                        <c:v>930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EVALUATION!$B$117:$CP$117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4-6F8E-44D6-9842-8CC6ABD00D40}"/>
                  </c:ext>
                </c:extLst>
              </c15:ser>
            </c15:filteredScatterSeries>
            <c15:filteredScatterSeries>
              <c15:ser>
                <c:idx val="15"/>
                <c:order val="17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306</c:v>
                      </c:pt>
                      <c:pt idx="1">
                        <c:v>314</c:v>
                      </c:pt>
                      <c:pt idx="2">
                        <c:v>322</c:v>
                      </c:pt>
                      <c:pt idx="3">
                        <c:v>330</c:v>
                      </c:pt>
                      <c:pt idx="4">
                        <c:v>338</c:v>
                      </c:pt>
                      <c:pt idx="5">
                        <c:v>346</c:v>
                      </c:pt>
                      <c:pt idx="6">
                        <c:v>354</c:v>
                      </c:pt>
                      <c:pt idx="7">
                        <c:v>362</c:v>
                      </c:pt>
                      <c:pt idx="8">
                        <c:v>370</c:v>
                      </c:pt>
                      <c:pt idx="9">
                        <c:v>378</c:v>
                      </c:pt>
                      <c:pt idx="10">
                        <c:v>386</c:v>
                      </c:pt>
                      <c:pt idx="11">
                        <c:v>394</c:v>
                      </c:pt>
                      <c:pt idx="12">
                        <c:v>402</c:v>
                      </c:pt>
                      <c:pt idx="13">
                        <c:v>410</c:v>
                      </c:pt>
                      <c:pt idx="14">
                        <c:v>418</c:v>
                      </c:pt>
                      <c:pt idx="15">
                        <c:v>426</c:v>
                      </c:pt>
                      <c:pt idx="16">
                        <c:v>434</c:v>
                      </c:pt>
                      <c:pt idx="17">
                        <c:v>442</c:v>
                      </c:pt>
                      <c:pt idx="18">
                        <c:v>450</c:v>
                      </c:pt>
                      <c:pt idx="19">
                        <c:v>458</c:v>
                      </c:pt>
                      <c:pt idx="20">
                        <c:v>466</c:v>
                      </c:pt>
                      <c:pt idx="21">
                        <c:v>474</c:v>
                      </c:pt>
                      <c:pt idx="22">
                        <c:v>482</c:v>
                      </c:pt>
                      <c:pt idx="23">
                        <c:v>490</c:v>
                      </c:pt>
                      <c:pt idx="24">
                        <c:v>498</c:v>
                      </c:pt>
                      <c:pt idx="25">
                        <c:v>506</c:v>
                      </c:pt>
                      <c:pt idx="26">
                        <c:v>514</c:v>
                      </c:pt>
                      <c:pt idx="27">
                        <c:v>522</c:v>
                      </c:pt>
                      <c:pt idx="28">
                        <c:v>530</c:v>
                      </c:pt>
                      <c:pt idx="29">
                        <c:v>538</c:v>
                      </c:pt>
                      <c:pt idx="30">
                        <c:v>546</c:v>
                      </c:pt>
                      <c:pt idx="31">
                        <c:v>554</c:v>
                      </c:pt>
                      <c:pt idx="32">
                        <c:v>562</c:v>
                      </c:pt>
                      <c:pt idx="33">
                        <c:v>570</c:v>
                      </c:pt>
                      <c:pt idx="34">
                        <c:v>578</c:v>
                      </c:pt>
                      <c:pt idx="35">
                        <c:v>586</c:v>
                      </c:pt>
                      <c:pt idx="36">
                        <c:v>594</c:v>
                      </c:pt>
                      <c:pt idx="37">
                        <c:v>602</c:v>
                      </c:pt>
                      <c:pt idx="38">
                        <c:v>610</c:v>
                      </c:pt>
                      <c:pt idx="39">
                        <c:v>618</c:v>
                      </c:pt>
                      <c:pt idx="40">
                        <c:v>626</c:v>
                      </c:pt>
                      <c:pt idx="41">
                        <c:v>634</c:v>
                      </c:pt>
                      <c:pt idx="42">
                        <c:v>642</c:v>
                      </c:pt>
                      <c:pt idx="43">
                        <c:v>650</c:v>
                      </c:pt>
                      <c:pt idx="44">
                        <c:v>658</c:v>
                      </c:pt>
                      <c:pt idx="45">
                        <c:v>666</c:v>
                      </c:pt>
                      <c:pt idx="46">
                        <c:v>674</c:v>
                      </c:pt>
                      <c:pt idx="47">
                        <c:v>682</c:v>
                      </c:pt>
                      <c:pt idx="48">
                        <c:v>690</c:v>
                      </c:pt>
                      <c:pt idx="49">
                        <c:v>698</c:v>
                      </c:pt>
                      <c:pt idx="50">
                        <c:v>706</c:v>
                      </c:pt>
                      <c:pt idx="51">
                        <c:v>714</c:v>
                      </c:pt>
                      <c:pt idx="52">
                        <c:v>722</c:v>
                      </c:pt>
                      <c:pt idx="53">
                        <c:v>730</c:v>
                      </c:pt>
                      <c:pt idx="54">
                        <c:v>738</c:v>
                      </c:pt>
                      <c:pt idx="55">
                        <c:v>746</c:v>
                      </c:pt>
                      <c:pt idx="56">
                        <c:v>754</c:v>
                      </c:pt>
                      <c:pt idx="57">
                        <c:v>762</c:v>
                      </c:pt>
                      <c:pt idx="58">
                        <c:v>770</c:v>
                      </c:pt>
                      <c:pt idx="59">
                        <c:v>778</c:v>
                      </c:pt>
                      <c:pt idx="60">
                        <c:v>786</c:v>
                      </c:pt>
                      <c:pt idx="61">
                        <c:v>794</c:v>
                      </c:pt>
                      <c:pt idx="62">
                        <c:v>802</c:v>
                      </c:pt>
                      <c:pt idx="63">
                        <c:v>810</c:v>
                      </c:pt>
                      <c:pt idx="64">
                        <c:v>818</c:v>
                      </c:pt>
                      <c:pt idx="65">
                        <c:v>826</c:v>
                      </c:pt>
                      <c:pt idx="66">
                        <c:v>834</c:v>
                      </c:pt>
                      <c:pt idx="67">
                        <c:v>842</c:v>
                      </c:pt>
                      <c:pt idx="68">
                        <c:v>850</c:v>
                      </c:pt>
                      <c:pt idx="69">
                        <c:v>858</c:v>
                      </c:pt>
                      <c:pt idx="70">
                        <c:v>866</c:v>
                      </c:pt>
                      <c:pt idx="71">
                        <c:v>874</c:v>
                      </c:pt>
                      <c:pt idx="72">
                        <c:v>882</c:v>
                      </c:pt>
                      <c:pt idx="73">
                        <c:v>890</c:v>
                      </c:pt>
                      <c:pt idx="74">
                        <c:v>898</c:v>
                      </c:pt>
                      <c:pt idx="75">
                        <c:v>906</c:v>
                      </c:pt>
                      <c:pt idx="76">
                        <c:v>914</c:v>
                      </c:pt>
                      <c:pt idx="77">
                        <c:v>922</c:v>
                      </c:pt>
                      <c:pt idx="78">
                        <c:v>930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EVALUATION!$B$118:$CP$118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5-6F8E-44D6-9842-8CC6ABD00D40}"/>
                  </c:ext>
                </c:extLst>
              </c15:ser>
            </c15:filteredScatterSeries>
            <c15:filteredScatterSeries>
              <c15:ser>
                <c:idx val="16"/>
                <c:order val="18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306</c:v>
                      </c:pt>
                      <c:pt idx="1">
                        <c:v>314</c:v>
                      </c:pt>
                      <c:pt idx="2">
                        <c:v>322</c:v>
                      </c:pt>
                      <c:pt idx="3">
                        <c:v>330</c:v>
                      </c:pt>
                      <c:pt idx="4">
                        <c:v>338</c:v>
                      </c:pt>
                      <c:pt idx="5">
                        <c:v>346</c:v>
                      </c:pt>
                      <c:pt idx="6">
                        <c:v>354</c:v>
                      </c:pt>
                      <c:pt idx="7">
                        <c:v>362</c:v>
                      </c:pt>
                      <c:pt idx="8">
                        <c:v>370</c:v>
                      </c:pt>
                      <c:pt idx="9">
                        <c:v>378</c:v>
                      </c:pt>
                      <c:pt idx="10">
                        <c:v>386</c:v>
                      </c:pt>
                      <c:pt idx="11">
                        <c:v>394</c:v>
                      </c:pt>
                      <c:pt idx="12">
                        <c:v>402</c:v>
                      </c:pt>
                      <c:pt idx="13">
                        <c:v>410</c:v>
                      </c:pt>
                      <c:pt idx="14">
                        <c:v>418</c:v>
                      </c:pt>
                      <c:pt idx="15">
                        <c:v>426</c:v>
                      </c:pt>
                      <c:pt idx="16">
                        <c:v>434</c:v>
                      </c:pt>
                      <c:pt idx="17">
                        <c:v>442</c:v>
                      </c:pt>
                      <c:pt idx="18">
                        <c:v>450</c:v>
                      </c:pt>
                      <c:pt idx="19">
                        <c:v>458</c:v>
                      </c:pt>
                      <c:pt idx="20">
                        <c:v>466</c:v>
                      </c:pt>
                      <c:pt idx="21">
                        <c:v>474</c:v>
                      </c:pt>
                      <c:pt idx="22">
                        <c:v>482</c:v>
                      </c:pt>
                      <c:pt idx="23">
                        <c:v>490</c:v>
                      </c:pt>
                      <c:pt idx="24">
                        <c:v>498</c:v>
                      </c:pt>
                      <c:pt idx="25">
                        <c:v>506</c:v>
                      </c:pt>
                      <c:pt idx="26">
                        <c:v>514</c:v>
                      </c:pt>
                      <c:pt idx="27">
                        <c:v>522</c:v>
                      </c:pt>
                      <c:pt idx="28">
                        <c:v>530</c:v>
                      </c:pt>
                      <c:pt idx="29">
                        <c:v>538</c:v>
                      </c:pt>
                      <c:pt idx="30">
                        <c:v>546</c:v>
                      </c:pt>
                      <c:pt idx="31">
                        <c:v>554</c:v>
                      </c:pt>
                      <c:pt idx="32">
                        <c:v>562</c:v>
                      </c:pt>
                      <c:pt idx="33">
                        <c:v>570</c:v>
                      </c:pt>
                      <c:pt idx="34">
                        <c:v>578</c:v>
                      </c:pt>
                      <c:pt idx="35">
                        <c:v>586</c:v>
                      </c:pt>
                      <c:pt idx="36">
                        <c:v>594</c:v>
                      </c:pt>
                      <c:pt idx="37">
                        <c:v>602</c:v>
                      </c:pt>
                      <c:pt idx="38">
                        <c:v>610</c:v>
                      </c:pt>
                      <c:pt idx="39">
                        <c:v>618</c:v>
                      </c:pt>
                      <c:pt idx="40">
                        <c:v>626</c:v>
                      </c:pt>
                      <c:pt idx="41">
                        <c:v>634</c:v>
                      </c:pt>
                      <c:pt idx="42">
                        <c:v>642</c:v>
                      </c:pt>
                      <c:pt idx="43">
                        <c:v>650</c:v>
                      </c:pt>
                      <c:pt idx="44">
                        <c:v>658</c:v>
                      </c:pt>
                      <c:pt idx="45">
                        <c:v>666</c:v>
                      </c:pt>
                      <c:pt idx="46">
                        <c:v>674</c:v>
                      </c:pt>
                      <c:pt idx="47">
                        <c:v>682</c:v>
                      </c:pt>
                      <c:pt idx="48">
                        <c:v>690</c:v>
                      </c:pt>
                      <c:pt idx="49">
                        <c:v>698</c:v>
                      </c:pt>
                      <c:pt idx="50">
                        <c:v>706</c:v>
                      </c:pt>
                      <c:pt idx="51">
                        <c:v>714</c:v>
                      </c:pt>
                      <c:pt idx="52">
                        <c:v>722</c:v>
                      </c:pt>
                      <c:pt idx="53">
                        <c:v>730</c:v>
                      </c:pt>
                      <c:pt idx="54">
                        <c:v>738</c:v>
                      </c:pt>
                      <c:pt idx="55">
                        <c:v>746</c:v>
                      </c:pt>
                      <c:pt idx="56">
                        <c:v>754</c:v>
                      </c:pt>
                      <c:pt idx="57">
                        <c:v>762</c:v>
                      </c:pt>
                      <c:pt idx="58">
                        <c:v>770</c:v>
                      </c:pt>
                      <c:pt idx="59">
                        <c:v>778</c:v>
                      </c:pt>
                      <c:pt idx="60">
                        <c:v>786</c:v>
                      </c:pt>
                      <c:pt idx="61">
                        <c:v>794</c:v>
                      </c:pt>
                      <c:pt idx="62">
                        <c:v>802</c:v>
                      </c:pt>
                      <c:pt idx="63">
                        <c:v>810</c:v>
                      </c:pt>
                      <c:pt idx="64">
                        <c:v>818</c:v>
                      </c:pt>
                      <c:pt idx="65">
                        <c:v>826</c:v>
                      </c:pt>
                      <c:pt idx="66">
                        <c:v>834</c:v>
                      </c:pt>
                      <c:pt idx="67">
                        <c:v>842</c:v>
                      </c:pt>
                      <c:pt idx="68">
                        <c:v>850</c:v>
                      </c:pt>
                      <c:pt idx="69">
                        <c:v>858</c:v>
                      </c:pt>
                      <c:pt idx="70">
                        <c:v>866</c:v>
                      </c:pt>
                      <c:pt idx="71">
                        <c:v>874</c:v>
                      </c:pt>
                      <c:pt idx="72">
                        <c:v>882</c:v>
                      </c:pt>
                      <c:pt idx="73">
                        <c:v>890</c:v>
                      </c:pt>
                      <c:pt idx="74">
                        <c:v>898</c:v>
                      </c:pt>
                      <c:pt idx="75">
                        <c:v>906</c:v>
                      </c:pt>
                      <c:pt idx="76">
                        <c:v>914</c:v>
                      </c:pt>
                      <c:pt idx="77">
                        <c:v>922</c:v>
                      </c:pt>
                      <c:pt idx="78">
                        <c:v>930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EVALUATION!$B$119:$CP$119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6-6F8E-44D6-9842-8CC6ABD00D40}"/>
                  </c:ext>
                </c:extLst>
              </c15:ser>
            </c15:filteredScatterSeries>
            <c15:filteredScatterSeries>
              <c15:ser>
                <c:idx val="17"/>
                <c:order val="19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306</c:v>
                      </c:pt>
                      <c:pt idx="1">
                        <c:v>314</c:v>
                      </c:pt>
                      <c:pt idx="2">
                        <c:v>322</c:v>
                      </c:pt>
                      <c:pt idx="3">
                        <c:v>330</c:v>
                      </c:pt>
                      <c:pt idx="4">
                        <c:v>338</c:v>
                      </c:pt>
                      <c:pt idx="5">
                        <c:v>346</c:v>
                      </c:pt>
                      <c:pt idx="6">
                        <c:v>354</c:v>
                      </c:pt>
                      <c:pt idx="7">
                        <c:v>362</c:v>
                      </c:pt>
                      <c:pt idx="8">
                        <c:v>370</c:v>
                      </c:pt>
                      <c:pt idx="9">
                        <c:v>378</c:v>
                      </c:pt>
                      <c:pt idx="10">
                        <c:v>386</c:v>
                      </c:pt>
                      <c:pt idx="11">
                        <c:v>394</c:v>
                      </c:pt>
                      <c:pt idx="12">
                        <c:v>402</c:v>
                      </c:pt>
                      <c:pt idx="13">
                        <c:v>410</c:v>
                      </c:pt>
                      <c:pt idx="14">
                        <c:v>418</c:v>
                      </c:pt>
                      <c:pt idx="15">
                        <c:v>426</c:v>
                      </c:pt>
                      <c:pt idx="16">
                        <c:v>434</c:v>
                      </c:pt>
                      <c:pt idx="17">
                        <c:v>442</c:v>
                      </c:pt>
                      <c:pt idx="18">
                        <c:v>450</c:v>
                      </c:pt>
                      <c:pt idx="19">
                        <c:v>458</c:v>
                      </c:pt>
                      <c:pt idx="20">
                        <c:v>466</c:v>
                      </c:pt>
                      <c:pt idx="21">
                        <c:v>474</c:v>
                      </c:pt>
                      <c:pt idx="22">
                        <c:v>482</c:v>
                      </c:pt>
                      <c:pt idx="23">
                        <c:v>490</c:v>
                      </c:pt>
                      <c:pt idx="24">
                        <c:v>498</c:v>
                      </c:pt>
                      <c:pt idx="25">
                        <c:v>506</c:v>
                      </c:pt>
                      <c:pt idx="26">
                        <c:v>514</c:v>
                      </c:pt>
                      <c:pt idx="27">
                        <c:v>522</c:v>
                      </c:pt>
                      <c:pt idx="28">
                        <c:v>530</c:v>
                      </c:pt>
                      <c:pt idx="29">
                        <c:v>538</c:v>
                      </c:pt>
                      <c:pt idx="30">
                        <c:v>546</c:v>
                      </c:pt>
                      <c:pt idx="31">
                        <c:v>554</c:v>
                      </c:pt>
                      <c:pt idx="32">
                        <c:v>562</c:v>
                      </c:pt>
                      <c:pt idx="33">
                        <c:v>570</c:v>
                      </c:pt>
                      <c:pt idx="34">
                        <c:v>578</c:v>
                      </c:pt>
                      <c:pt idx="35">
                        <c:v>586</c:v>
                      </c:pt>
                      <c:pt idx="36">
                        <c:v>594</c:v>
                      </c:pt>
                      <c:pt idx="37">
                        <c:v>602</c:v>
                      </c:pt>
                      <c:pt idx="38">
                        <c:v>610</c:v>
                      </c:pt>
                      <c:pt idx="39">
                        <c:v>618</c:v>
                      </c:pt>
                      <c:pt idx="40">
                        <c:v>626</c:v>
                      </c:pt>
                      <c:pt idx="41">
                        <c:v>634</c:v>
                      </c:pt>
                      <c:pt idx="42">
                        <c:v>642</c:v>
                      </c:pt>
                      <c:pt idx="43">
                        <c:v>650</c:v>
                      </c:pt>
                      <c:pt idx="44">
                        <c:v>658</c:v>
                      </c:pt>
                      <c:pt idx="45">
                        <c:v>666</c:v>
                      </c:pt>
                      <c:pt idx="46">
                        <c:v>674</c:v>
                      </c:pt>
                      <c:pt idx="47">
                        <c:v>682</c:v>
                      </c:pt>
                      <c:pt idx="48">
                        <c:v>690</c:v>
                      </c:pt>
                      <c:pt idx="49">
                        <c:v>698</c:v>
                      </c:pt>
                      <c:pt idx="50">
                        <c:v>706</c:v>
                      </c:pt>
                      <c:pt idx="51">
                        <c:v>714</c:v>
                      </c:pt>
                      <c:pt idx="52">
                        <c:v>722</c:v>
                      </c:pt>
                      <c:pt idx="53">
                        <c:v>730</c:v>
                      </c:pt>
                      <c:pt idx="54">
                        <c:v>738</c:v>
                      </c:pt>
                      <c:pt idx="55">
                        <c:v>746</c:v>
                      </c:pt>
                      <c:pt idx="56">
                        <c:v>754</c:v>
                      </c:pt>
                      <c:pt idx="57">
                        <c:v>762</c:v>
                      </c:pt>
                      <c:pt idx="58">
                        <c:v>770</c:v>
                      </c:pt>
                      <c:pt idx="59">
                        <c:v>778</c:v>
                      </c:pt>
                      <c:pt idx="60">
                        <c:v>786</c:v>
                      </c:pt>
                      <c:pt idx="61">
                        <c:v>794</c:v>
                      </c:pt>
                      <c:pt idx="62">
                        <c:v>802</c:v>
                      </c:pt>
                      <c:pt idx="63">
                        <c:v>810</c:v>
                      </c:pt>
                      <c:pt idx="64">
                        <c:v>818</c:v>
                      </c:pt>
                      <c:pt idx="65">
                        <c:v>826</c:v>
                      </c:pt>
                      <c:pt idx="66">
                        <c:v>834</c:v>
                      </c:pt>
                      <c:pt idx="67">
                        <c:v>842</c:v>
                      </c:pt>
                      <c:pt idx="68">
                        <c:v>850</c:v>
                      </c:pt>
                      <c:pt idx="69">
                        <c:v>858</c:v>
                      </c:pt>
                      <c:pt idx="70">
                        <c:v>866</c:v>
                      </c:pt>
                      <c:pt idx="71">
                        <c:v>874</c:v>
                      </c:pt>
                      <c:pt idx="72">
                        <c:v>882</c:v>
                      </c:pt>
                      <c:pt idx="73">
                        <c:v>890</c:v>
                      </c:pt>
                      <c:pt idx="74">
                        <c:v>898</c:v>
                      </c:pt>
                      <c:pt idx="75">
                        <c:v>906</c:v>
                      </c:pt>
                      <c:pt idx="76">
                        <c:v>914</c:v>
                      </c:pt>
                      <c:pt idx="77">
                        <c:v>922</c:v>
                      </c:pt>
                      <c:pt idx="78">
                        <c:v>930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EVALUATION!$B$120:$CP$120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7-6F8E-44D6-9842-8CC6ABD00D40}"/>
                  </c:ext>
                </c:extLst>
              </c15:ser>
            </c15:filteredScatterSeries>
            <c15:filteredScatterSeries>
              <c15:ser>
                <c:idx val="18"/>
                <c:order val="20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306</c:v>
                      </c:pt>
                      <c:pt idx="1">
                        <c:v>314</c:v>
                      </c:pt>
                      <c:pt idx="2">
                        <c:v>322</c:v>
                      </c:pt>
                      <c:pt idx="3">
                        <c:v>330</c:v>
                      </c:pt>
                      <c:pt idx="4">
                        <c:v>338</c:v>
                      </c:pt>
                      <c:pt idx="5">
                        <c:v>346</c:v>
                      </c:pt>
                      <c:pt idx="6">
                        <c:v>354</c:v>
                      </c:pt>
                      <c:pt idx="7">
                        <c:v>362</c:v>
                      </c:pt>
                      <c:pt idx="8">
                        <c:v>370</c:v>
                      </c:pt>
                      <c:pt idx="9">
                        <c:v>378</c:v>
                      </c:pt>
                      <c:pt idx="10">
                        <c:v>386</c:v>
                      </c:pt>
                      <c:pt idx="11">
                        <c:v>394</c:v>
                      </c:pt>
                      <c:pt idx="12">
                        <c:v>402</c:v>
                      </c:pt>
                      <c:pt idx="13">
                        <c:v>410</c:v>
                      </c:pt>
                      <c:pt idx="14">
                        <c:v>418</c:v>
                      </c:pt>
                      <c:pt idx="15">
                        <c:v>426</c:v>
                      </c:pt>
                      <c:pt idx="16">
                        <c:v>434</c:v>
                      </c:pt>
                      <c:pt idx="17">
                        <c:v>442</c:v>
                      </c:pt>
                      <c:pt idx="18">
                        <c:v>450</c:v>
                      </c:pt>
                      <c:pt idx="19">
                        <c:v>458</c:v>
                      </c:pt>
                      <c:pt idx="20">
                        <c:v>466</c:v>
                      </c:pt>
                      <c:pt idx="21">
                        <c:v>474</c:v>
                      </c:pt>
                      <c:pt idx="22">
                        <c:v>482</c:v>
                      </c:pt>
                      <c:pt idx="23">
                        <c:v>490</c:v>
                      </c:pt>
                      <c:pt idx="24">
                        <c:v>498</c:v>
                      </c:pt>
                      <c:pt idx="25">
                        <c:v>506</c:v>
                      </c:pt>
                      <c:pt idx="26">
                        <c:v>514</c:v>
                      </c:pt>
                      <c:pt idx="27">
                        <c:v>522</c:v>
                      </c:pt>
                      <c:pt idx="28">
                        <c:v>530</c:v>
                      </c:pt>
                      <c:pt idx="29">
                        <c:v>538</c:v>
                      </c:pt>
                      <c:pt idx="30">
                        <c:v>546</c:v>
                      </c:pt>
                      <c:pt idx="31">
                        <c:v>554</c:v>
                      </c:pt>
                      <c:pt idx="32">
                        <c:v>562</c:v>
                      </c:pt>
                      <c:pt idx="33">
                        <c:v>570</c:v>
                      </c:pt>
                      <c:pt idx="34">
                        <c:v>578</c:v>
                      </c:pt>
                      <c:pt idx="35">
                        <c:v>586</c:v>
                      </c:pt>
                      <c:pt idx="36">
                        <c:v>594</c:v>
                      </c:pt>
                      <c:pt idx="37">
                        <c:v>602</c:v>
                      </c:pt>
                      <c:pt idx="38">
                        <c:v>610</c:v>
                      </c:pt>
                      <c:pt idx="39">
                        <c:v>618</c:v>
                      </c:pt>
                      <c:pt idx="40">
                        <c:v>626</c:v>
                      </c:pt>
                      <c:pt idx="41">
                        <c:v>634</c:v>
                      </c:pt>
                      <c:pt idx="42">
                        <c:v>642</c:v>
                      </c:pt>
                      <c:pt idx="43">
                        <c:v>650</c:v>
                      </c:pt>
                      <c:pt idx="44">
                        <c:v>658</c:v>
                      </c:pt>
                      <c:pt idx="45">
                        <c:v>666</c:v>
                      </c:pt>
                      <c:pt idx="46">
                        <c:v>674</c:v>
                      </c:pt>
                      <c:pt idx="47">
                        <c:v>682</c:v>
                      </c:pt>
                      <c:pt idx="48">
                        <c:v>690</c:v>
                      </c:pt>
                      <c:pt idx="49">
                        <c:v>698</c:v>
                      </c:pt>
                      <c:pt idx="50">
                        <c:v>706</c:v>
                      </c:pt>
                      <c:pt idx="51">
                        <c:v>714</c:v>
                      </c:pt>
                      <c:pt idx="52">
                        <c:v>722</c:v>
                      </c:pt>
                      <c:pt idx="53">
                        <c:v>730</c:v>
                      </c:pt>
                      <c:pt idx="54">
                        <c:v>738</c:v>
                      </c:pt>
                      <c:pt idx="55">
                        <c:v>746</c:v>
                      </c:pt>
                      <c:pt idx="56">
                        <c:v>754</c:v>
                      </c:pt>
                      <c:pt idx="57">
                        <c:v>762</c:v>
                      </c:pt>
                      <c:pt idx="58">
                        <c:v>770</c:v>
                      </c:pt>
                      <c:pt idx="59">
                        <c:v>778</c:v>
                      </c:pt>
                      <c:pt idx="60">
                        <c:v>786</c:v>
                      </c:pt>
                      <c:pt idx="61">
                        <c:v>794</c:v>
                      </c:pt>
                      <c:pt idx="62">
                        <c:v>802</c:v>
                      </c:pt>
                      <c:pt idx="63">
                        <c:v>810</c:v>
                      </c:pt>
                      <c:pt idx="64">
                        <c:v>818</c:v>
                      </c:pt>
                      <c:pt idx="65">
                        <c:v>826</c:v>
                      </c:pt>
                      <c:pt idx="66">
                        <c:v>834</c:v>
                      </c:pt>
                      <c:pt idx="67">
                        <c:v>842</c:v>
                      </c:pt>
                      <c:pt idx="68">
                        <c:v>850</c:v>
                      </c:pt>
                      <c:pt idx="69">
                        <c:v>858</c:v>
                      </c:pt>
                      <c:pt idx="70">
                        <c:v>866</c:v>
                      </c:pt>
                      <c:pt idx="71">
                        <c:v>874</c:v>
                      </c:pt>
                      <c:pt idx="72">
                        <c:v>882</c:v>
                      </c:pt>
                      <c:pt idx="73">
                        <c:v>890</c:v>
                      </c:pt>
                      <c:pt idx="74">
                        <c:v>898</c:v>
                      </c:pt>
                      <c:pt idx="75">
                        <c:v>906</c:v>
                      </c:pt>
                      <c:pt idx="76">
                        <c:v>914</c:v>
                      </c:pt>
                      <c:pt idx="77">
                        <c:v>922</c:v>
                      </c:pt>
                      <c:pt idx="78">
                        <c:v>930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EVALUATION!$B$121:$CP$121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8-6F8E-44D6-9842-8CC6ABD00D40}"/>
                  </c:ext>
                </c:extLst>
              </c15:ser>
            </c15:filteredScatterSeries>
            <c15:filteredScatterSeries>
              <c15:ser>
                <c:idx val="19"/>
                <c:order val="21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306</c:v>
                      </c:pt>
                      <c:pt idx="1">
                        <c:v>314</c:v>
                      </c:pt>
                      <c:pt idx="2">
                        <c:v>322</c:v>
                      </c:pt>
                      <c:pt idx="3">
                        <c:v>330</c:v>
                      </c:pt>
                      <c:pt idx="4">
                        <c:v>338</c:v>
                      </c:pt>
                      <c:pt idx="5">
                        <c:v>346</c:v>
                      </c:pt>
                      <c:pt idx="6">
                        <c:v>354</c:v>
                      </c:pt>
                      <c:pt idx="7">
                        <c:v>362</c:v>
                      </c:pt>
                      <c:pt idx="8">
                        <c:v>370</c:v>
                      </c:pt>
                      <c:pt idx="9">
                        <c:v>378</c:v>
                      </c:pt>
                      <c:pt idx="10">
                        <c:v>386</c:v>
                      </c:pt>
                      <c:pt idx="11">
                        <c:v>394</c:v>
                      </c:pt>
                      <c:pt idx="12">
                        <c:v>402</c:v>
                      </c:pt>
                      <c:pt idx="13">
                        <c:v>410</c:v>
                      </c:pt>
                      <c:pt idx="14">
                        <c:v>418</c:v>
                      </c:pt>
                      <c:pt idx="15">
                        <c:v>426</c:v>
                      </c:pt>
                      <c:pt idx="16">
                        <c:v>434</c:v>
                      </c:pt>
                      <c:pt idx="17">
                        <c:v>442</c:v>
                      </c:pt>
                      <c:pt idx="18">
                        <c:v>450</c:v>
                      </c:pt>
                      <c:pt idx="19">
                        <c:v>458</c:v>
                      </c:pt>
                      <c:pt idx="20">
                        <c:v>466</c:v>
                      </c:pt>
                      <c:pt idx="21">
                        <c:v>474</c:v>
                      </c:pt>
                      <c:pt idx="22">
                        <c:v>482</c:v>
                      </c:pt>
                      <c:pt idx="23">
                        <c:v>490</c:v>
                      </c:pt>
                      <c:pt idx="24">
                        <c:v>498</c:v>
                      </c:pt>
                      <c:pt idx="25">
                        <c:v>506</c:v>
                      </c:pt>
                      <c:pt idx="26">
                        <c:v>514</c:v>
                      </c:pt>
                      <c:pt idx="27">
                        <c:v>522</c:v>
                      </c:pt>
                      <c:pt idx="28">
                        <c:v>530</c:v>
                      </c:pt>
                      <c:pt idx="29">
                        <c:v>538</c:v>
                      </c:pt>
                      <c:pt idx="30">
                        <c:v>546</c:v>
                      </c:pt>
                      <c:pt idx="31">
                        <c:v>554</c:v>
                      </c:pt>
                      <c:pt idx="32">
                        <c:v>562</c:v>
                      </c:pt>
                      <c:pt idx="33">
                        <c:v>570</c:v>
                      </c:pt>
                      <c:pt idx="34">
                        <c:v>578</c:v>
                      </c:pt>
                      <c:pt idx="35">
                        <c:v>586</c:v>
                      </c:pt>
                      <c:pt idx="36">
                        <c:v>594</c:v>
                      </c:pt>
                      <c:pt idx="37">
                        <c:v>602</c:v>
                      </c:pt>
                      <c:pt idx="38">
                        <c:v>610</c:v>
                      </c:pt>
                      <c:pt idx="39">
                        <c:v>618</c:v>
                      </c:pt>
                      <c:pt idx="40">
                        <c:v>626</c:v>
                      </c:pt>
                      <c:pt idx="41">
                        <c:v>634</c:v>
                      </c:pt>
                      <c:pt idx="42">
                        <c:v>642</c:v>
                      </c:pt>
                      <c:pt idx="43">
                        <c:v>650</c:v>
                      </c:pt>
                      <c:pt idx="44">
                        <c:v>658</c:v>
                      </c:pt>
                      <c:pt idx="45">
                        <c:v>666</c:v>
                      </c:pt>
                      <c:pt idx="46">
                        <c:v>674</c:v>
                      </c:pt>
                      <c:pt idx="47">
                        <c:v>682</c:v>
                      </c:pt>
                      <c:pt idx="48">
                        <c:v>690</c:v>
                      </c:pt>
                      <c:pt idx="49">
                        <c:v>698</c:v>
                      </c:pt>
                      <c:pt idx="50">
                        <c:v>706</c:v>
                      </c:pt>
                      <c:pt idx="51">
                        <c:v>714</c:v>
                      </c:pt>
                      <c:pt idx="52">
                        <c:v>722</c:v>
                      </c:pt>
                      <c:pt idx="53">
                        <c:v>730</c:v>
                      </c:pt>
                      <c:pt idx="54">
                        <c:v>738</c:v>
                      </c:pt>
                      <c:pt idx="55">
                        <c:v>746</c:v>
                      </c:pt>
                      <c:pt idx="56">
                        <c:v>754</c:v>
                      </c:pt>
                      <c:pt idx="57">
                        <c:v>762</c:v>
                      </c:pt>
                      <c:pt idx="58">
                        <c:v>770</c:v>
                      </c:pt>
                      <c:pt idx="59">
                        <c:v>778</c:v>
                      </c:pt>
                      <c:pt idx="60">
                        <c:v>786</c:v>
                      </c:pt>
                      <c:pt idx="61">
                        <c:v>794</c:v>
                      </c:pt>
                      <c:pt idx="62">
                        <c:v>802</c:v>
                      </c:pt>
                      <c:pt idx="63">
                        <c:v>810</c:v>
                      </c:pt>
                      <c:pt idx="64">
                        <c:v>818</c:v>
                      </c:pt>
                      <c:pt idx="65">
                        <c:v>826</c:v>
                      </c:pt>
                      <c:pt idx="66">
                        <c:v>834</c:v>
                      </c:pt>
                      <c:pt idx="67">
                        <c:v>842</c:v>
                      </c:pt>
                      <c:pt idx="68">
                        <c:v>850</c:v>
                      </c:pt>
                      <c:pt idx="69">
                        <c:v>858</c:v>
                      </c:pt>
                      <c:pt idx="70">
                        <c:v>866</c:v>
                      </c:pt>
                      <c:pt idx="71">
                        <c:v>874</c:v>
                      </c:pt>
                      <c:pt idx="72">
                        <c:v>882</c:v>
                      </c:pt>
                      <c:pt idx="73">
                        <c:v>890</c:v>
                      </c:pt>
                      <c:pt idx="74">
                        <c:v>898</c:v>
                      </c:pt>
                      <c:pt idx="75">
                        <c:v>906</c:v>
                      </c:pt>
                      <c:pt idx="76">
                        <c:v>914</c:v>
                      </c:pt>
                      <c:pt idx="77">
                        <c:v>922</c:v>
                      </c:pt>
                      <c:pt idx="78">
                        <c:v>930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EVALUATION!$B$122:$CP$122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9-6F8E-44D6-9842-8CC6ABD00D40}"/>
                  </c:ext>
                </c:extLst>
              </c15:ser>
            </c15:filteredScatterSeries>
            <c15:filteredScatterSeries>
              <c15:ser>
                <c:idx val="20"/>
                <c:order val="22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306</c:v>
                      </c:pt>
                      <c:pt idx="1">
                        <c:v>314</c:v>
                      </c:pt>
                      <c:pt idx="2">
                        <c:v>322</c:v>
                      </c:pt>
                      <c:pt idx="3">
                        <c:v>330</c:v>
                      </c:pt>
                      <c:pt idx="4">
                        <c:v>338</c:v>
                      </c:pt>
                      <c:pt idx="5">
                        <c:v>346</c:v>
                      </c:pt>
                      <c:pt idx="6">
                        <c:v>354</c:v>
                      </c:pt>
                      <c:pt idx="7">
                        <c:v>362</c:v>
                      </c:pt>
                      <c:pt idx="8">
                        <c:v>370</c:v>
                      </c:pt>
                      <c:pt idx="9">
                        <c:v>378</c:v>
                      </c:pt>
                      <c:pt idx="10">
                        <c:v>386</c:v>
                      </c:pt>
                      <c:pt idx="11">
                        <c:v>394</c:v>
                      </c:pt>
                      <c:pt idx="12">
                        <c:v>402</c:v>
                      </c:pt>
                      <c:pt idx="13">
                        <c:v>410</c:v>
                      </c:pt>
                      <c:pt idx="14">
                        <c:v>418</c:v>
                      </c:pt>
                      <c:pt idx="15">
                        <c:v>426</c:v>
                      </c:pt>
                      <c:pt idx="16">
                        <c:v>434</c:v>
                      </c:pt>
                      <c:pt idx="17">
                        <c:v>442</c:v>
                      </c:pt>
                      <c:pt idx="18">
                        <c:v>450</c:v>
                      </c:pt>
                      <c:pt idx="19">
                        <c:v>458</c:v>
                      </c:pt>
                      <c:pt idx="20">
                        <c:v>466</c:v>
                      </c:pt>
                      <c:pt idx="21">
                        <c:v>474</c:v>
                      </c:pt>
                      <c:pt idx="22">
                        <c:v>482</c:v>
                      </c:pt>
                      <c:pt idx="23">
                        <c:v>490</c:v>
                      </c:pt>
                      <c:pt idx="24">
                        <c:v>498</c:v>
                      </c:pt>
                      <c:pt idx="25">
                        <c:v>506</c:v>
                      </c:pt>
                      <c:pt idx="26">
                        <c:v>514</c:v>
                      </c:pt>
                      <c:pt idx="27">
                        <c:v>522</c:v>
                      </c:pt>
                      <c:pt idx="28">
                        <c:v>530</c:v>
                      </c:pt>
                      <c:pt idx="29">
                        <c:v>538</c:v>
                      </c:pt>
                      <c:pt idx="30">
                        <c:v>546</c:v>
                      </c:pt>
                      <c:pt idx="31">
                        <c:v>554</c:v>
                      </c:pt>
                      <c:pt idx="32">
                        <c:v>562</c:v>
                      </c:pt>
                      <c:pt idx="33">
                        <c:v>570</c:v>
                      </c:pt>
                      <c:pt idx="34">
                        <c:v>578</c:v>
                      </c:pt>
                      <c:pt idx="35">
                        <c:v>586</c:v>
                      </c:pt>
                      <c:pt idx="36">
                        <c:v>594</c:v>
                      </c:pt>
                      <c:pt idx="37">
                        <c:v>602</c:v>
                      </c:pt>
                      <c:pt idx="38">
                        <c:v>610</c:v>
                      </c:pt>
                      <c:pt idx="39">
                        <c:v>618</c:v>
                      </c:pt>
                      <c:pt idx="40">
                        <c:v>626</c:v>
                      </c:pt>
                      <c:pt idx="41">
                        <c:v>634</c:v>
                      </c:pt>
                      <c:pt idx="42">
                        <c:v>642</c:v>
                      </c:pt>
                      <c:pt idx="43">
                        <c:v>650</c:v>
                      </c:pt>
                      <c:pt idx="44">
                        <c:v>658</c:v>
                      </c:pt>
                      <c:pt idx="45">
                        <c:v>666</c:v>
                      </c:pt>
                      <c:pt idx="46">
                        <c:v>674</c:v>
                      </c:pt>
                      <c:pt idx="47">
                        <c:v>682</c:v>
                      </c:pt>
                      <c:pt idx="48">
                        <c:v>690</c:v>
                      </c:pt>
                      <c:pt idx="49">
                        <c:v>698</c:v>
                      </c:pt>
                      <c:pt idx="50">
                        <c:v>706</c:v>
                      </c:pt>
                      <c:pt idx="51">
                        <c:v>714</c:v>
                      </c:pt>
                      <c:pt idx="52">
                        <c:v>722</c:v>
                      </c:pt>
                      <c:pt idx="53">
                        <c:v>730</c:v>
                      </c:pt>
                      <c:pt idx="54">
                        <c:v>738</c:v>
                      </c:pt>
                      <c:pt idx="55">
                        <c:v>746</c:v>
                      </c:pt>
                      <c:pt idx="56">
                        <c:v>754</c:v>
                      </c:pt>
                      <c:pt idx="57">
                        <c:v>762</c:v>
                      </c:pt>
                      <c:pt idx="58">
                        <c:v>770</c:v>
                      </c:pt>
                      <c:pt idx="59">
                        <c:v>778</c:v>
                      </c:pt>
                      <c:pt idx="60">
                        <c:v>786</c:v>
                      </c:pt>
                      <c:pt idx="61">
                        <c:v>794</c:v>
                      </c:pt>
                      <c:pt idx="62">
                        <c:v>802</c:v>
                      </c:pt>
                      <c:pt idx="63">
                        <c:v>810</c:v>
                      </c:pt>
                      <c:pt idx="64">
                        <c:v>818</c:v>
                      </c:pt>
                      <c:pt idx="65">
                        <c:v>826</c:v>
                      </c:pt>
                      <c:pt idx="66">
                        <c:v>834</c:v>
                      </c:pt>
                      <c:pt idx="67">
                        <c:v>842</c:v>
                      </c:pt>
                      <c:pt idx="68">
                        <c:v>850</c:v>
                      </c:pt>
                      <c:pt idx="69">
                        <c:v>858</c:v>
                      </c:pt>
                      <c:pt idx="70">
                        <c:v>866</c:v>
                      </c:pt>
                      <c:pt idx="71">
                        <c:v>874</c:v>
                      </c:pt>
                      <c:pt idx="72">
                        <c:v>882</c:v>
                      </c:pt>
                      <c:pt idx="73">
                        <c:v>890</c:v>
                      </c:pt>
                      <c:pt idx="74">
                        <c:v>898</c:v>
                      </c:pt>
                      <c:pt idx="75">
                        <c:v>906</c:v>
                      </c:pt>
                      <c:pt idx="76">
                        <c:v>914</c:v>
                      </c:pt>
                      <c:pt idx="77">
                        <c:v>922</c:v>
                      </c:pt>
                      <c:pt idx="78">
                        <c:v>930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EVALUATION!$B$123:$CP$123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A-6F8E-44D6-9842-8CC6ABD00D40}"/>
                  </c:ext>
                </c:extLst>
              </c15:ser>
            </c15:filteredScatterSeries>
            <c15:filteredScatterSeries>
              <c15:ser>
                <c:idx val="21"/>
                <c:order val="23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306</c:v>
                      </c:pt>
                      <c:pt idx="1">
                        <c:v>314</c:v>
                      </c:pt>
                      <c:pt idx="2">
                        <c:v>322</c:v>
                      </c:pt>
                      <c:pt idx="3">
                        <c:v>330</c:v>
                      </c:pt>
                      <c:pt idx="4">
                        <c:v>338</c:v>
                      </c:pt>
                      <c:pt idx="5">
                        <c:v>346</c:v>
                      </c:pt>
                      <c:pt idx="6">
                        <c:v>354</c:v>
                      </c:pt>
                      <c:pt idx="7">
                        <c:v>362</c:v>
                      </c:pt>
                      <c:pt idx="8">
                        <c:v>370</c:v>
                      </c:pt>
                      <c:pt idx="9">
                        <c:v>378</c:v>
                      </c:pt>
                      <c:pt idx="10">
                        <c:v>386</c:v>
                      </c:pt>
                      <c:pt idx="11">
                        <c:v>394</c:v>
                      </c:pt>
                      <c:pt idx="12">
                        <c:v>402</c:v>
                      </c:pt>
                      <c:pt idx="13">
                        <c:v>410</c:v>
                      </c:pt>
                      <c:pt idx="14">
                        <c:v>418</c:v>
                      </c:pt>
                      <c:pt idx="15">
                        <c:v>426</c:v>
                      </c:pt>
                      <c:pt idx="16">
                        <c:v>434</c:v>
                      </c:pt>
                      <c:pt idx="17">
                        <c:v>442</c:v>
                      </c:pt>
                      <c:pt idx="18">
                        <c:v>450</c:v>
                      </c:pt>
                      <c:pt idx="19">
                        <c:v>458</c:v>
                      </c:pt>
                      <c:pt idx="20">
                        <c:v>466</c:v>
                      </c:pt>
                      <c:pt idx="21">
                        <c:v>474</c:v>
                      </c:pt>
                      <c:pt idx="22">
                        <c:v>482</c:v>
                      </c:pt>
                      <c:pt idx="23">
                        <c:v>490</c:v>
                      </c:pt>
                      <c:pt idx="24">
                        <c:v>498</c:v>
                      </c:pt>
                      <c:pt idx="25">
                        <c:v>506</c:v>
                      </c:pt>
                      <c:pt idx="26">
                        <c:v>514</c:v>
                      </c:pt>
                      <c:pt idx="27">
                        <c:v>522</c:v>
                      </c:pt>
                      <c:pt idx="28">
                        <c:v>530</c:v>
                      </c:pt>
                      <c:pt idx="29">
                        <c:v>538</c:v>
                      </c:pt>
                      <c:pt idx="30">
                        <c:v>546</c:v>
                      </c:pt>
                      <c:pt idx="31">
                        <c:v>554</c:v>
                      </c:pt>
                      <c:pt idx="32">
                        <c:v>562</c:v>
                      </c:pt>
                      <c:pt idx="33">
                        <c:v>570</c:v>
                      </c:pt>
                      <c:pt idx="34">
                        <c:v>578</c:v>
                      </c:pt>
                      <c:pt idx="35">
                        <c:v>586</c:v>
                      </c:pt>
                      <c:pt idx="36">
                        <c:v>594</c:v>
                      </c:pt>
                      <c:pt idx="37">
                        <c:v>602</c:v>
                      </c:pt>
                      <c:pt idx="38">
                        <c:v>610</c:v>
                      </c:pt>
                      <c:pt idx="39">
                        <c:v>618</c:v>
                      </c:pt>
                      <c:pt idx="40">
                        <c:v>626</c:v>
                      </c:pt>
                      <c:pt idx="41">
                        <c:v>634</c:v>
                      </c:pt>
                      <c:pt idx="42">
                        <c:v>642</c:v>
                      </c:pt>
                      <c:pt idx="43">
                        <c:v>650</c:v>
                      </c:pt>
                      <c:pt idx="44">
                        <c:v>658</c:v>
                      </c:pt>
                      <c:pt idx="45">
                        <c:v>666</c:v>
                      </c:pt>
                      <c:pt idx="46">
                        <c:v>674</c:v>
                      </c:pt>
                      <c:pt idx="47">
                        <c:v>682</c:v>
                      </c:pt>
                      <c:pt idx="48">
                        <c:v>690</c:v>
                      </c:pt>
                      <c:pt idx="49">
                        <c:v>698</c:v>
                      </c:pt>
                      <c:pt idx="50">
                        <c:v>706</c:v>
                      </c:pt>
                      <c:pt idx="51">
                        <c:v>714</c:v>
                      </c:pt>
                      <c:pt idx="52">
                        <c:v>722</c:v>
                      </c:pt>
                      <c:pt idx="53">
                        <c:v>730</c:v>
                      </c:pt>
                      <c:pt idx="54">
                        <c:v>738</c:v>
                      </c:pt>
                      <c:pt idx="55">
                        <c:v>746</c:v>
                      </c:pt>
                      <c:pt idx="56">
                        <c:v>754</c:v>
                      </c:pt>
                      <c:pt idx="57">
                        <c:v>762</c:v>
                      </c:pt>
                      <c:pt idx="58">
                        <c:v>770</c:v>
                      </c:pt>
                      <c:pt idx="59">
                        <c:v>778</c:v>
                      </c:pt>
                      <c:pt idx="60">
                        <c:v>786</c:v>
                      </c:pt>
                      <c:pt idx="61">
                        <c:v>794</c:v>
                      </c:pt>
                      <c:pt idx="62">
                        <c:v>802</c:v>
                      </c:pt>
                      <c:pt idx="63">
                        <c:v>810</c:v>
                      </c:pt>
                      <c:pt idx="64">
                        <c:v>818</c:v>
                      </c:pt>
                      <c:pt idx="65">
                        <c:v>826</c:v>
                      </c:pt>
                      <c:pt idx="66">
                        <c:v>834</c:v>
                      </c:pt>
                      <c:pt idx="67">
                        <c:v>842</c:v>
                      </c:pt>
                      <c:pt idx="68">
                        <c:v>850</c:v>
                      </c:pt>
                      <c:pt idx="69">
                        <c:v>858</c:v>
                      </c:pt>
                      <c:pt idx="70">
                        <c:v>866</c:v>
                      </c:pt>
                      <c:pt idx="71">
                        <c:v>874</c:v>
                      </c:pt>
                      <c:pt idx="72">
                        <c:v>882</c:v>
                      </c:pt>
                      <c:pt idx="73">
                        <c:v>890</c:v>
                      </c:pt>
                      <c:pt idx="74">
                        <c:v>898</c:v>
                      </c:pt>
                      <c:pt idx="75">
                        <c:v>906</c:v>
                      </c:pt>
                      <c:pt idx="76">
                        <c:v>914</c:v>
                      </c:pt>
                      <c:pt idx="77">
                        <c:v>922</c:v>
                      </c:pt>
                      <c:pt idx="78">
                        <c:v>930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EVALUATION!$B$124:$CP$124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B-6F8E-44D6-9842-8CC6ABD00D40}"/>
                  </c:ext>
                </c:extLst>
              </c15:ser>
            </c15:filteredScatterSeries>
            <c15:filteredScatterSeries>
              <c15:ser>
                <c:idx val="22"/>
                <c:order val="24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306</c:v>
                      </c:pt>
                      <c:pt idx="1">
                        <c:v>314</c:v>
                      </c:pt>
                      <c:pt idx="2">
                        <c:v>322</c:v>
                      </c:pt>
                      <c:pt idx="3">
                        <c:v>330</c:v>
                      </c:pt>
                      <c:pt idx="4">
                        <c:v>338</c:v>
                      </c:pt>
                      <c:pt idx="5">
                        <c:v>346</c:v>
                      </c:pt>
                      <c:pt idx="6">
                        <c:v>354</c:v>
                      </c:pt>
                      <c:pt idx="7">
                        <c:v>362</c:v>
                      </c:pt>
                      <c:pt idx="8">
                        <c:v>370</c:v>
                      </c:pt>
                      <c:pt idx="9">
                        <c:v>378</c:v>
                      </c:pt>
                      <c:pt idx="10">
                        <c:v>386</c:v>
                      </c:pt>
                      <c:pt idx="11">
                        <c:v>394</c:v>
                      </c:pt>
                      <c:pt idx="12">
                        <c:v>402</c:v>
                      </c:pt>
                      <c:pt idx="13">
                        <c:v>410</c:v>
                      </c:pt>
                      <c:pt idx="14">
                        <c:v>418</c:v>
                      </c:pt>
                      <c:pt idx="15">
                        <c:v>426</c:v>
                      </c:pt>
                      <c:pt idx="16">
                        <c:v>434</c:v>
                      </c:pt>
                      <c:pt idx="17">
                        <c:v>442</c:v>
                      </c:pt>
                      <c:pt idx="18">
                        <c:v>450</c:v>
                      </c:pt>
                      <c:pt idx="19">
                        <c:v>458</c:v>
                      </c:pt>
                      <c:pt idx="20">
                        <c:v>466</c:v>
                      </c:pt>
                      <c:pt idx="21">
                        <c:v>474</c:v>
                      </c:pt>
                      <c:pt idx="22">
                        <c:v>482</c:v>
                      </c:pt>
                      <c:pt idx="23">
                        <c:v>490</c:v>
                      </c:pt>
                      <c:pt idx="24">
                        <c:v>498</c:v>
                      </c:pt>
                      <c:pt idx="25">
                        <c:v>506</c:v>
                      </c:pt>
                      <c:pt idx="26">
                        <c:v>514</c:v>
                      </c:pt>
                      <c:pt idx="27">
                        <c:v>522</c:v>
                      </c:pt>
                      <c:pt idx="28">
                        <c:v>530</c:v>
                      </c:pt>
                      <c:pt idx="29">
                        <c:v>538</c:v>
                      </c:pt>
                      <c:pt idx="30">
                        <c:v>546</c:v>
                      </c:pt>
                      <c:pt idx="31">
                        <c:v>554</c:v>
                      </c:pt>
                      <c:pt idx="32">
                        <c:v>562</c:v>
                      </c:pt>
                      <c:pt idx="33">
                        <c:v>570</c:v>
                      </c:pt>
                      <c:pt idx="34">
                        <c:v>578</c:v>
                      </c:pt>
                      <c:pt idx="35">
                        <c:v>586</c:v>
                      </c:pt>
                      <c:pt idx="36">
                        <c:v>594</c:v>
                      </c:pt>
                      <c:pt idx="37">
                        <c:v>602</c:v>
                      </c:pt>
                      <c:pt idx="38">
                        <c:v>610</c:v>
                      </c:pt>
                      <c:pt idx="39">
                        <c:v>618</c:v>
                      </c:pt>
                      <c:pt idx="40">
                        <c:v>626</c:v>
                      </c:pt>
                      <c:pt idx="41">
                        <c:v>634</c:v>
                      </c:pt>
                      <c:pt idx="42">
                        <c:v>642</c:v>
                      </c:pt>
                      <c:pt idx="43">
                        <c:v>650</c:v>
                      </c:pt>
                      <c:pt idx="44">
                        <c:v>658</c:v>
                      </c:pt>
                      <c:pt idx="45">
                        <c:v>666</c:v>
                      </c:pt>
                      <c:pt idx="46">
                        <c:v>674</c:v>
                      </c:pt>
                      <c:pt idx="47">
                        <c:v>682</c:v>
                      </c:pt>
                      <c:pt idx="48">
                        <c:v>690</c:v>
                      </c:pt>
                      <c:pt idx="49">
                        <c:v>698</c:v>
                      </c:pt>
                      <c:pt idx="50">
                        <c:v>706</c:v>
                      </c:pt>
                      <c:pt idx="51">
                        <c:v>714</c:v>
                      </c:pt>
                      <c:pt idx="52">
                        <c:v>722</c:v>
                      </c:pt>
                      <c:pt idx="53">
                        <c:v>730</c:v>
                      </c:pt>
                      <c:pt idx="54">
                        <c:v>738</c:v>
                      </c:pt>
                      <c:pt idx="55">
                        <c:v>746</c:v>
                      </c:pt>
                      <c:pt idx="56">
                        <c:v>754</c:v>
                      </c:pt>
                      <c:pt idx="57">
                        <c:v>762</c:v>
                      </c:pt>
                      <c:pt idx="58">
                        <c:v>770</c:v>
                      </c:pt>
                      <c:pt idx="59">
                        <c:v>778</c:v>
                      </c:pt>
                      <c:pt idx="60">
                        <c:v>786</c:v>
                      </c:pt>
                      <c:pt idx="61">
                        <c:v>794</c:v>
                      </c:pt>
                      <c:pt idx="62">
                        <c:v>802</c:v>
                      </c:pt>
                      <c:pt idx="63">
                        <c:v>810</c:v>
                      </c:pt>
                      <c:pt idx="64">
                        <c:v>818</c:v>
                      </c:pt>
                      <c:pt idx="65">
                        <c:v>826</c:v>
                      </c:pt>
                      <c:pt idx="66">
                        <c:v>834</c:v>
                      </c:pt>
                      <c:pt idx="67">
                        <c:v>842</c:v>
                      </c:pt>
                      <c:pt idx="68">
                        <c:v>850</c:v>
                      </c:pt>
                      <c:pt idx="69">
                        <c:v>858</c:v>
                      </c:pt>
                      <c:pt idx="70">
                        <c:v>866</c:v>
                      </c:pt>
                      <c:pt idx="71">
                        <c:v>874</c:v>
                      </c:pt>
                      <c:pt idx="72">
                        <c:v>882</c:v>
                      </c:pt>
                      <c:pt idx="73">
                        <c:v>890</c:v>
                      </c:pt>
                      <c:pt idx="74">
                        <c:v>898</c:v>
                      </c:pt>
                      <c:pt idx="75">
                        <c:v>906</c:v>
                      </c:pt>
                      <c:pt idx="76">
                        <c:v>914</c:v>
                      </c:pt>
                      <c:pt idx="77">
                        <c:v>922</c:v>
                      </c:pt>
                      <c:pt idx="78">
                        <c:v>930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EVALUATION!$B$125:$CP$125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C-6F8E-44D6-9842-8CC6ABD00D40}"/>
                  </c:ext>
                </c:extLst>
              </c15:ser>
            </c15:filteredScatterSeries>
            <c15:filteredScatterSeries>
              <c15:ser>
                <c:idx val="23"/>
                <c:order val="25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306</c:v>
                      </c:pt>
                      <c:pt idx="1">
                        <c:v>314</c:v>
                      </c:pt>
                      <c:pt idx="2">
                        <c:v>322</c:v>
                      </c:pt>
                      <c:pt idx="3">
                        <c:v>330</c:v>
                      </c:pt>
                      <c:pt idx="4">
                        <c:v>338</c:v>
                      </c:pt>
                      <c:pt idx="5">
                        <c:v>346</c:v>
                      </c:pt>
                      <c:pt idx="6">
                        <c:v>354</c:v>
                      </c:pt>
                      <c:pt idx="7">
                        <c:v>362</c:v>
                      </c:pt>
                      <c:pt idx="8">
                        <c:v>370</c:v>
                      </c:pt>
                      <c:pt idx="9">
                        <c:v>378</c:v>
                      </c:pt>
                      <c:pt idx="10">
                        <c:v>386</c:v>
                      </c:pt>
                      <c:pt idx="11">
                        <c:v>394</c:v>
                      </c:pt>
                      <c:pt idx="12">
                        <c:v>402</c:v>
                      </c:pt>
                      <c:pt idx="13">
                        <c:v>410</c:v>
                      </c:pt>
                      <c:pt idx="14">
                        <c:v>418</c:v>
                      </c:pt>
                      <c:pt idx="15">
                        <c:v>426</c:v>
                      </c:pt>
                      <c:pt idx="16">
                        <c:v>434</c:v>
                      </c:pt>
                      <c:pt idx="17">
                        <c:v>442</c:v>
                      </c:pt>
                      <c:pt idx="18">
                        <c:v>450</c:v>
                      </c:pt>
                      <c:pt idx="19">
                        <c:v>458</c:v>
                      </c:pt>
                      <c:pt idx="20">
                        <c:v>466</c:v>
                      </c:pt>
                      <c:pt idx="21">
                        <c:v>474</c:v>
                      </c:pt>
                      <c:pt idx="22">
                        <c:v>482</c:v>
                      </c:pt>
                      <c:pt idx="23">
                        <c:v>490</c:v>
                      </c:pt>
                      <c:pt idx="24">
                        <c:v>498</c:v>
                      </c:pt>
                      <c:pt idx="25">
                        <c:v>506</c:v>
                      </c:pt>
                      <c:pt idx="26">
                        <c:v>514</c:v>
                      </c:pt>
                      <c:pt idx="27">
                        <c:v>522</c:v>
                      </c:pt>
                      <c:pt idx="28">
                        <c:v>530</c:v>
                      </c:pt>
                      <c:pt idx="29">
                        <c:v>538</c:v>
                      </c:pt>
                      <c:pt idx="30">
                        <c:v>546</c:v>
                      </c:pt>
                      <c:pt idx="31">
                        <c:v>554</c:v>
                      </c:pt>
                      <c:pt idx="32">
                        <c:v>562</c:v>
                      </c:pt>
                      <c:pt idx="33">
                        <c:v>570</c:v>
                      </c:pt>
                      <c:pt idx="34">
                        <c:v>578</c:v>
                      </c:pt>
                      <c:pt idx="35">
                        <c:v>586</c:v>
                      </c:pt>
                      <c:pt idx="36">
                        <c:v>594</c:v>
                      </c:pt>
                      <c:pt idx="37">
                        <c:v>602</c:v>
                      </c:pt>
                      <c:pt idx="38">
                        <c:v>610</c:v>
                      </c:pt>
                      <c:pt idx="39">
                        <c:v>618</c:v>
                      </c:pt>
                      <c:pt idx="40">
                        <c:v>626</c:v>
                      </c:pt>
                      <c:pt idx="41">
                        <c:v>634</c:v>
                      </c:pt>
                      <c:pt idx="42">
                        <c:v>642</c:v>
                      </c:pt>
                      <c:pt idx="43">
                        <c:v>650</c:v>
                      </c:pt>
                      <c:pt idx="44">
                        <c:v>658</c:v>
                      </c:pt>
                      <c:pt idx="45">
                        <c:v>666</c:v>
                      </c:pt>
                      <c:pt idx="46">
                        <c:v>674</c:v>
                      </c:pt>
                      <c:pt idx="47">
                        <c:v>682</c:v>
                      </c:pt>
                      <c:pt idx="48">
                        <c:v>690</c:v>
                      </c:pt>
                      <c:pt idx="49">
                        <c:v>698</c:v>
                      </c:pt>
                      <c:pt idx="50">
                        <c:v>706</c:v>
                      </c:pt>
                      <c:pt idx="51">
                        <c:v>714</c:v>
                      </c:pt>
                      <c:pt idx="52">
                        <c:v>722</c:v>
                      </c:pt>
                      <c:pt idx="53">
                        <c:v>730</c:v>
                      </c:pt>
                      <c:pt idx="54">
                        <c:v>738</c:v>
                      </c:pt>
                      <c:pt idx="55">
                        <c:v>746</c:v>
                      </c:pt>
                      <c:pt idx="56">
                        <c:v>754</c:v>
                      </c:pt>
                      <c:pt idx="57">
                        <c:v>762</c:v>
                      </c:pt>
                      <c:pt idx="58">
                        <c:v>770</c:v>
                      </c:pt>
                      <c:pt idx="59">
                        <c:v>778</c:v>
                      </c:pt>
                      <c:pt idx="60">
                        <c:v>786</c:v>
                      </c:pt>
                      <c:pt idx="61">
                        <c:v>794</c:v>
                      </c:pt>
                      <c:pt idx="62">
                        <c:v>802</c:v>
                      </c:pt>
                      <c:pt idx="63">
                        <c:v>810</c:v>
                      </c:pt>
                      <c:pt idx="64">
                        <c:v>818</c:v>
                      </c:pt>
                      <c:pt idx="65">
                        <c:v>826</c:v>
                      </c:pt>
                      <c:pt idx="66">
                        <c:v>834</c:v>
                      </c:pt>
                      <c:pt idx="67">
                        <c:v>842</c:v>
                      </c:pt>
                      <c:pt idx="68">
                        <c:v>850</c:v>
                      </c:pt>
                      <c:pt idx="69">
                        <c:v>858</c:v>
                      </c:pt>
                      <c:pt idx="70">
                        <c:v>866</c:v>
                      </c:pt>
                      <c:pt idx="71">
                        <c:v>874</c:v>
                      </c:pt>
                      <c:pt idx="72">
                        <c:v>882</c:v>
                      </c:pt>
                      <c:pt idx="73">
                        <c:v>890</c:v>
                      </c:pt>
                      <c:pt idx="74">
                        <c:v>898</c:v>
                      </c:pt>
                      <c:pt idx="75">
                        <c:v>906</c:v>
                      </c:pt>
                      <c:pt idx="76">
                        <c:v>914</c:v>
                      </c:pt>
                      <c:pt idx="77">
                        <c:v>922</c:v>
                      </c:pt>
                      <c:pt idx="78">
                        <c:v>930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EVALUATION!$B$126:$CP$126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D-6F8E-44D6-9842-8CC6ABD00D40}"/>
                  </c:ext>
                </c:extLst>
              </c15:ser>
            </c15:filteredScatterSeries>
            <c15:filteredScatterSeries>
              <c15:ser>
                <c:idx val="24"/>
                <c:order val="26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306</c:v>
                      </c:pt>
                      <c:pt idx="1">
                        <c:v>314</c:v>
                      </c:pt>
                      <c:pt idx="2">
                        <c:v>322</c:v>
                      </c:pt>
                      <c:pt idx="3">
                        <c:v>330</c:v>
                      </c:pt>
                      <c:pt idx="4">
                        <c:v>338</c:v>
                      </c:pt>
                      <c:pt idx="5">
                        <c:v>346</c:v>
                      </c:pt>
                      <c:pt idx="6">
                        <c:v>354</c:v>
                      </c:pt>
                      <c:pt idx="7">
                        <c:v>362</c:v>
                      </c:pt>
                      <c:pt idx="8">
                        <c:v>370</c:v>
                      </c:pt>
                      <c:pt idx="9">
                        <c:v>378</c:v>
                      </c:pt>
                      <c:pt idx="10">
                        <c:v>386</c:v>
                      </c:pt>
                      <c:pt idx="11">
                        <c:v>394</c:v>
                      </c:pt>
                      <c:pt idx="12">
                        <c:v>402</c:v>
                      </c:pt>
                      <c:pt idx="13">
                        <c:v>410</c:v>
                      </c:pt>
                      <c:pt idx="14">
                        <c:v>418</c:v>
                      </c:pt>
                      <c:pt idx="15">
                        <c:v>426</c:v>
                      </c:pt>
                      <c:pt idx="16">
                        <c:v>434</c:v>
                      </c:pt>
                      <c:pt idx="17">
                        <c:v>442</c:v>
                      </c:pt>
                      <c:pt idx="18">
                        <c:v>450</c:v>
                      </c:pt>
                      <c:pt idx="19">
                        <c:v>458</c:v>
                      </c:pt>
                      <c:pt idx="20">
                        <c:v>466</c:v>
                      </c:pt>
                      <c:pt idx="21">
                        <c:v>474</c:v>
                      </c:pt>
                      <c:pt idx="22">
                        <c:v>482</c:v>
                      </c:pt>
                      <c:pt idx="23">
                        <c:v>490</c:v>
                      </c:pt>
                      <c:pt idx="24">
                        <c:v>498</c:v>
                      </c:pt>
                      <c:pt idx="25">
                        <c:v>506</c:v>
                      </c:pt>
                      <c:pt idx="26">
                        <c:v>514</c:v>
                      </c:pt>
                      <c:pt idx="27">
                        <c:v>522</c:v>
                      </c:pt>
                      <c:pt idx="28">
                        <c:v>530</c:v>
                      </c:pt>
                      <c:pt idx="29">
                        <c:v>538</c:v>
                      </c:pt>
                      <c:pt idx="30">
                        <c:v>546</c:v>
                      </c:pt>
                      <c:pt idx="31">
                        <c:v>554</c:v>
                      </c:pt>
                      <c:pt idx="32">
                        <c:v>562</c:v>
                      </c:pt>
                      <c:pt idx="33">
                        <c:v>570</c:v>
                      </c:pt>
                      <c:pt idx="34">
                        <c:v>578</c:v>
                      </c:pt>
                      <c:pt idx="35">
                        <c:v>586</c:v>
                      </c:pt>
                      <c:pt idx="36">
                        <c:v>594</c:v>
                      </c:pt>
                      <c:pt idx="37">
                        <c:v>602</c:v>
                      </c:pt>
                      <c:pt idx="38">
                        <c:v>610</c:v>
                      </c:pt>
                      <c:pt idx="39">
                        <c:v>618</c:v>
                      </c:pt>
                      <c:pt idx="40">
                        <c:v>626</c:v>
                      </c:pt>
                      <c:pt idx="41">
                        <c:v>634</c:v>
                      </c:pt>
                      <c:pt idx="42">
                        <c:v>642</c:v>
                      </c:pt>
                      <c:pt idx="43">
                        <c:v>650</c:v>
                      </c:pt>
                      <c:pt idx="44">
                        <c:v>658</c:v>
                      </c:pt>
                      <c:pt idx="45">
                        <c:v>666</c:v>
                      </c:pt>
                      <c:pt idx="46">
                        <c:v>674</c:v>
                      </c:pt>
                      <c:pt idx="47">
                        <c:v>682</c:v>
                      </c:pt>
                      <c:pt idx="48">
                        <c:v>690</c:v>
                      </c:pt>
                      <c:pt idx="49">
                        <c:v>698</c:v>
                      </c:pt>
                      <c:pt idx="50">
                        <c:v>706</c:v>
                      </c:pt>
                      <c:pt idx="51">
                        <c:v>714</c:v>
                      </c:pt>
                      <c:pt idx="52">
                        <c:v>722</c:v>
                      </c:pt>
                      <c:pt idx="53">
                        <c:v>730</c:v>
                      </c:pt>
                      <c:pt idx="54">
                        <c:v>738</c:v>
                      </c:pt>
                      <c:pt idx="55">
                        <c:v>746</c:v>
                      </c:pt>
                      <c:pt idx="56">
                        <c:v>754</c:v>
                      </c:pt>
                      <c:pt idx="57">
                        <c:v>762</c:v>
                      </c:pt>
                      <c:pt idx="58">
                        <c:v>770</c:v>
                      </c:pt>
                      <c:pt idx="59">
                        <c:v>778</c:v>
                      </c:pt>
                      <c:pt idx="60">
                        <c:v>786</c:v>
                      </c:pt>
                      <c:pt idx="61">
                        <c:v>794</c:v>
                      </c:pt>
                      <c:pt idx="62">
                        <c:v>802</c:v>
                      </c:pt>
                      <c:pt idx="63">
                        <c:v>810</c:v>
                      </c:pt>
                      <c:pt idx="64">
                        <c:v>818</c:v>
                      </c:pt>
                      <c:pt idx="65">
                        <c:v>826</c:v>
                      </c:pt>
                      <c:pt idx="66">
                        <c:v>834</c:v>
                      </c:pt>
                      <c:pt idx="67">
                        <c:v>842</c:v>
                      </c:pt>
                      <c:pt idx="68">
                        <c:v>850</c:v>
                      </c:pt>
                      <c:pt idx="69">
                        <c:v>858</c:v>
                      </c:pt>
                      <c:pt idx="70">
                        <c:v>866</c:v>
                      </c:pt>
                      <c:pt idx="71">
                        <c:v>874</c:v>
                      </c:pt>
                      <c:pt idx="72">
                        <c:v>882</c:v>
                      </c:pt>
                      <c:pt idx="73">
                        <c:v>890</c:v>
                      </c:pt>
                      <c:pt idx="74">
                        <c:v>898</c:v>
                      </c:pt>
                      <c:pt idx="75">
                        <c:v>906</c:v>
                      </c:pt>
                      <c:pt idx="76">
                        <c:v>914</c:v>
                      </c:pt>
                      <c:pt idx="77">
                        <c:v>922</c:v>
                      </c:pt>
                      <c:pt idx="78">
                        <c:v>930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EVALUATION!$B$127:$CP$127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E-6F8E-44D6-9842-8CC6ABD00D40}"/>
                  </c:ext>
                </c:extLst>
              </c15:ser>
            </c15:filteredScatterSeries>
            <c15:filteredScatterSeries>
              <c15:ser>
                <c:idx val="25"/>
                <c:order val="27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306</c:v>
                      </c:pt>
                      <c:pt idx="1">
                        <c:v>314</c:v>
                      </c:pt>
                      <c:pt idx="2">
                        <c:v>322</c:v>
                      </c:pt>
                      <c:pt idx="3">
                        <c:v>330</c:v>
                      </c:pt>
                      <c:pt idx="4">
                        <c:v>338</c:v>
                      </c:pt>
                      <c:pt idx="5">
                        <c:v>346</c:v>
                      </c:pt>
                      <c:pt idx="6">
                        <c:v>354</c:v>
                      </c:pt>
                      <c:pt idx="7">
                        <c:v>362</c:v>
                      </c:pt>
                      <c:pt idx="8">
                        <c:v>370</c:v>
                      </c:pt>
                      <c:pt idx="9">
                        <c:v>378</c:v>
                      </c:pt>
                      <c:pt idx="10">
                        <c:v>386</c:v>
                      </c:pt>
                      <c:pt idx="11">
                        <c:v>394</c:v>
                      </c:pt>
                      <c:pt idx="12">
                        <c:v>402</c:v>
                      </c:pt>
                      <c:pt idx="13">
                        <c:v>410</c:v>
                      </c:pt>
                      <c:pt idx="14">
                        <c:v>418</c:v>
                      </c:pt>
                      <c:pt idx="15">
                        <c:v>426</c:v>
                      </c:pt>
                      <c:pt idx="16">
                        <c:v>434</c:v>
                      </c:pt>
                      <c:pt idx="17">
                        <c:v>442</c:v>
                      </c:pt>
                      <c:pt idx="18">
                        <c:v>450</c:v>
                      </c:pt>
                      <c:pt idx="19">
                        <c:v>458</c:v>
                      </c:pt>
                      <c:pt idx="20">
                        <c:v>466</c:v>
                      </c:pt>
                      <c:pt idx="21">
                        <c:v>474</c:v>
                      </c:pt>
                      <c:pt idx="22">
                        <c:v>482</c:v>
                      </c:pt>
                      <c:pt idx="23">
                        <c:v>490</c:v>
                      </c:pt>
                      <c:pt idx="24">
                        <c:v>498</c:v>
                      </c:pt>
                      <c:pt idx="25">
                        <c:v>506</c:v>
                      </c:pt>
                      <c:pt idx="26">
                        <c:v>514</c:v>
                      </c:pt>
                      <c:pt idx="27">
                        <c:v>522</c:v>
                      </c:pt>
                      <c:pt idx="28">
                        <c:v>530</c:v>
                      </c:pt>
                      <c:pt idx="29">
                        <c:v>538</c:v>
                      </c:pt>
                      <c:pt idx="30">
                        <c:v>546</c:v>
                      </c:pt>
                      <c:pt idx="31">
                        <c:v>554</c:v>
                      </c:pt>
                      <c:pt idx="32">
                        <c:v>562</c:v>
                      </c:pt>
                      <c:pt idx="33">
                        <c:v>570</c:v>
                      </c:pt>
                      <c:pt idx="34">
                        <c:v>578</c:v>
                      </c:pt>
                      <c:pt idx="35">
                        <c:v>586</c:v>
                      </c:pt>
                      <c:pt idx="36">
                        <c:v>594</c:v>
                      </c:pt>
                      <c:pt idx="37">
                        <c:v>602</c:v>
                      </c:pt>
                      <c:pt idx="38">
                        <c:v>610</c:v>
                      </c:pt>
                      <c:pt idx="39">
                        <c:v>618</c:v>
                      </c:pt>
                      <c:pt idx="40">
                        <c:v>626</c:v>
                      </c:pt>
                      <c:pt idx="41">
                        <c:v>634</c:v>
                      </c:pt>
                      <c:pt idx="42">
                        <c:v>642</c:v>
                      </c:pt>
                      <c:pt idx="43">
                        <c:v>650</c:v>
                      </c:pt>
                      <c:pt idx="44">
                        <c:v>658</c:v>
                      </c:pt>
                      <c:pt idx="45">
                        <c:v>666</c:v>
                      </c:pt>
                      <c:pt idx="46">
                        <c:v>674</c:v>
                      </c:pt>
                      <c:pt idx="47">
                        <c:v>682</c:v>
                      </c:pt>
                      <c:pt idx="48">
                        <c:v>690</c:v>
                      </c:pt>
                      <c:pt idx="49">
                        <c:v>698</c:v>
                      </c:pt>
                      <c:pt idx="50">
                        <c:v>706</c:v>
                      </c:pt>
                      <c:pt idx="51">
                        <c:v>714</c:v>
                      </c:pt>
                      <c:pt idx="52">
                        <c:v>722</c:v>
                      </c:pt>
                      <c:pt idx="53">
                        <c:v>730</c:v>
                      </c:pt>
                      <c:pt idx="54">
                        <c:v>738</c:v>
                      </c:pt>
                      <c:pt idx="55">
                        <c:v>746</c:v>
                      </c:pt>
                      <c:pt idx="56">
                        <c:v>754</c:v>
                      </c:pt>
                      <c:pt idx="57">
                        <c:v>762</c:v>
                      </c:pt>
                      <c:pt idx="58">
                        <c:v>770</c:v>
                      </c:pt>
                      <c:pt idx="59">
                        <c:v>778</c:v>
                      </c:pt>
                      <c:pt idx="60">
                        <c:v>786</c:v>
                      </c:pt>
                      <c:pt idx="61">
                        <c:v>794</c:v>
                      </c:pt>
                      <c:pt idx="62">
                        <c:v>802</c:v>
                      </c:pt>
                      <c:pt idx="63">
                        <c:v>810</c:v>
                      </c:pt>
                      <c:pt idx="64">
                        <c:v>818</c:v>
                      </c:pt>
                      <c:pt idx="65">
                        <c:v>826</c:v>
                      </c:pt>
                      <c:pt idx="66">
                        <c:v>834</c:v>
                      </c:pt>
                      <c:pt idx="67">
                        <c:v>842</c:v>
                      </c:pt>
                      <c:pt idx="68">
                        <c:v>850</c:v>
                      </c:pt>
                      <c:pt idx="69">
                        <c:v>858</c:v>
                      </c:pt>
                      <c:pt idx="70">
                        <c:v>866</c:v>
                      </c:pt>
                      <c:pt idx="71">
                        <c:v>874</c:v>
                      </c:pt>
                      <c:pt idx="72">
                        <c:v>882</c:v>
                      </c:pt>
                      <c:pt idx="73">
                        <c:v>890</c:v>
                      </c:pt>
                      <c:pt idx="74">
                        <c:v>898</c:v>
                      </c:pt>
                      <c:pt idx="75">
                        <c:v>906</c:v>
                      </c:pt>
                      <c:pt idx="76">
                        <c:v>914</c:v>
                      </c:pt>
                      <c:pt idx="77">
                        <c:v>922</c:v>
                      </c:pt>
                      <c:pt idx="78">
                        <c:v>930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EVALUATION!$B$128:$CP$128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F-6F8E-44D6-9842-8CC6ABD00D40}"/>
                  </c:ext>
                </c:extLst>
              </c15:ser>
            </c15:filteredScatterSeries>
            <c15:filteredScatterSeries>
              <c15:ser>
                <c:idx val="26"/>
                <c:order val="28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306</c:v>
                      </c:pt>
                      <c:pt idx="1">
                        <c:v>314</c:v>
                      </c:pt>
                      <c:pt idx="2">
                        <c:v>322</c:v>
                      </c:pt>
                      <c:pt idx="3">
                        <c:v>330</c:v>
                      </c:pt>
                      <c:pt idx="4">
                        <c:v>338</c:v>
                      </c:pt>
                      <c:pt idx="5">
                        <c:v>346</c:v>
                      </c:pt>
                      <c:pt idx="6">
                        <c:v>354</c:v>
                      </c:pt>
                      <c:pt idx="7">
                        <c:v>362</c:v>
                      </c:pt>
                      <c:pt idx="8">
                        <c:v>370</c:v>
                      </c:pt>
                      <c:pt idx="9">
                        <c:v>378</c:v>
                      </c:pt>
                      <c:pt idx="10">
                        <c:v>386</c:v>
                      </c:pt>
                      <c:pt idx="11">
                        <c:v>394</c:v>
                      </c:pt>
                      <c:pt idx="12">
                        <c:v>402</c:v>
                      </c:pt>
                      <c:pt idx="13">
                        <c:v>410</c:v>
                      </c:pt>
                      <c:pt idx="14">
                        <c:v>418</c:v>
                      </c:pt>
                      <c:pt idx="15">
                        <c:v>426</c:v>
                      </c:pt>
                      <c:pt idx="16">
                        <c:v>434</c:v>
                      </c:pt>
                      <c:pt idx="17">
                        <c:v>442</c:v>
                      </c:pt>
                      <c:pt idx="18">
                        <c:v>450</c:v>
                      </c:pt>
                      <c:pt idx="19">
                        <c:v>458</c:v>
                      </c:pt>
                      <c:pt idx="20">
                        <c:v>466</c:v>
                      </c:pt>
                      <c:pt idx="21">
                        <c:v>474</c:v>
                      </c:pt>
                      <c:pt idx="22">
                        <c:v>482</c:v>
                      </c:pt>
                      <c:pt idx="23">
                        <c:v>490</c:v>
                      </c:pt>
                      <c:pt idx="24">
                        <c:v>498</c:v>
                      </c:pt>
                      <c:pt idx="25">
                        <c:v>506</c:v>
                      </c:pt>
                      <c:pt idx="26">
                        <c:v>514</c:v>
                      </c:pt>
                      <c:pt idx="27">
                        <c:v>522</c:v>
                      </c:pt>
                      <c:pt idx="28">
                        <c:v>530</c:v>
                      </c:pt>
                      <c:pt idx="29">
                        <c:v>538</c:v>
                      </c:pt>
                      <c:pt idx="30">
                        <c:v>546</c:v>
                      </c:pt>
                      <c:pt idx="31">
                        <c:v>554</c:v>
                      </c:pt>
                      <c:pt idx="32">
                        <c:v>562</c:v>
                      </c:pt>
                      <c:pt idx="33">
                        <c:v>570</c:v>
                      </c:pt>
                      <c:pt idx="34">
                        <c:v>578</c:v>
                      </c:pt>
                      <c:pt idx="35">
                        <c:v>586</c:v>
                      </c:pt>
                      <c:pt idx="36">
                        <c:v>594</c:v>
                      </c:pt>
                      <c:pt idx="37">
                        <c:v>602</c:v>
                      </c:pt>
                      <c:pt idx="38">
                        <c:v>610</c:v>
                      </c:pt>
                      <c:pt idx="39">
                        <c:v>618</c:v>
                      </c:pt>
                      <c:pt idx="40">
                        <c:v>626</c:v>
                      </c:pt>
                      <c:pt idx="41">
                        <c:v>634</c:v>
                      </c:pt>
                      <c:pt idx="42">
                        <c:v>642</c:v>
                      </c:pt>
                      <c:pt idx="43">
                        <c:v>650</c:v>
                      </c:pt>
                      <c:pt idx="44">
                        <c:v>658</c:v>
                      </c:pt>
                      <c:pt idx="45">
                        <c:v>666</c:v>
                      </c:pt>
                      <c:pt idx="46">
                        <c:v>674</c:v>
                      </c:pt>
                      <c:pt idx="47">
                        <c:v>682</c:v>
                      </c:pt>
                      <c:pt idx="48">
                        <c:v>690</c:v>
                      </c:pt>
                      <c:pt idx="49">
                        <c:v>698</c:v>
                      </c:pt>
                      <c:pt idx="50">
                        <c:v>706</c:v>
                      </c:pt>
                      <c:pt idx="51">
                        <c:v>714</c:v>
                      </c:pt>
                      <c:pt idx="52">
                        <c:v>722</c:v>
                      </c:pt>
                      <c:pt idx="53">
                        <c:v>730</c:v>
                      </c:pt>
                      <c:pt idx="54">
                        <c:v>738</c:v>
                      </c:pt>
                      <c:pt idx="55">
                        <c:v>746</c:v>
                      </c:pt>
                      <c:pt idx="56">
                        <c:v>754</c:v>
                      </c:pt>
                      <c:pt idx="57">
                        <c:v>762</c:v>
                      </c:pt>
                      <c:pt idx="58">
                        <c:v>770</c:v>
                      </c:pt>
                      <c:pt idx="59">
                        <c:v>778</c:v>
                      </c:pt>
                      <c:pt idx="60">
                        <c:v>786</c:v>
                      </c:pt>
                      <c:pt idx="61">
                        <c:v>794</c:v>
                      </c:pt>
                      <c:pt idx="62">
                        <c:v>802</c:v>
                      </c:pt>
                      <c:pt idx="63">
                        <c:v>810</c:v>
                      </c:pt>
                      <c:pt idx="64">
                        <c:v>818</c:v>
                      </c:pt>
                      <c:pt idx="65">
                        <c:v>826</c:v>
                      </c:pt>
                      <c:pt idx="66">
                        <c:v>834</c:v>
                      </c:pt>
                      <c:pt idx="67">
                        <c:v>842</c:v>
                      </c:pt>
                      <c:pt idx="68">
                        <c:v>850</c:v>
                      </c:pt>
                      <c:pt idx="69">
                        <c:v>858</c:v>
                      </c:pt>
                      <c:pt idx="70">
                        <c:v>866</c:v>
                      </c:pt>
                      <c:pt idx="71">
                        <c:v>874</c:v>
                      </c:pt>
                      <c:pt idx="72">
                        <c:v>882</c:v>
                      </c:pt>
                      <c:pt idx="73">
                        <c:v>890</c:v>
                      </c:pt>
                      <c:pt idx="74">
                        <c:v>898</c:v>
                      </c:pt>
                      <c:pt idx="75">
                        <c:v>906</c:v>
                      </c:pt>
                      <c:pt idx="76">
                        <c:v>914</c:v>
                      </c:pt>
                      <c:pt idx="77">
                        <c:v>922</c:v>
                      </c:pt>
                      <c:pt idx="78">
                        <c:v>930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EVALUATION!$B$129:$CP$129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0-6F8E-44D6-9842-8CC6ABD00D40}"/>
                  </c:ext>
                </c:extLst>
              </c15:ser>
            </c15:filteredScatterSeries>
            <c15:filteredScatterSeries>
              <c15:ser>
                <c:idx val="27"/>
                <c:order val="29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306</c:v>
                      </c:pt>
                      <c:pt idx="1">
                        <c:v>314</c:v>
                      </c:pt>
                      <c:pt idx="2">
                        <c:v>322</c:v>
                      </c:pt>
                      <c:pt idx="3">
                        <c:v>330</c:v>
                      </c:pt>
                      <c:pt idx="4">
                        <c:v>338</c:v>
                      </c:pt>
                      <c:pt idx="5">
                        <c:v>346</c:v>
                      </c:pt>
                      <c:pt idx="6">
                        <c:v>354</c:v>
                      </c:pt>
                      <c:pt idx="7">
                        <c:v>362</c:v>
                      </c:pt>
                      <c:pt idx="8">
                        <c:v>370</c:v>
                      </c:pt>
                      <c:pt idx="9">
                        <c:v>378</c:v>
                      </c:pt>
                      <c:pt idx="10">
                        <c:v>386</c:v>
                      </c:pt>
                      <c:pt idx="11">
                        <c:v>394</c:v>
                      </c:pt>
                      <c:pt idx="12">
                        <c:v>402</c:v>
                      </c:pt>
                      <c:pt idx="13">
                        <c:v>410</c:v>
                      </c:pt>
                      <c:pt idx="14">
                        <c:v>418</c:v>
                      </c:pt>
                      <c:pt idx="15">
                        <c:v>426</c:v>
                      </c:pt>
                      <c:pt idx="16">
                        <c:v>434</c:v>
                      </c:pt>
                      <c:pt idx="17">
                        <c:v>442</c:v>
                      </c:pt>
                      <c:pt idx="18">
                        <c:v>450</c:v>
                      </c:pt>
                      <c:pt idx="19">
                        <c:v>458</c:v>
                      </c:pt>
                      <c:pt idx="20">
                        <c:v>466</c:v>
                      </c:pt>
                      <c:pt idx="21">
                        <c:v>474</c:v>
                      </c:pt>
                      <c:pt idx="22">
                        <c:v>482</c:v>
                      </c:pt>
                      <c:pt idx="23">
                        <c:v>490</c:v>
                      </c:pt>
                      <c:pt idx="24">
                        <c:v>498</c:v>
                      </c:pt>
                      <c:pt idx="25">
                        <c:v>506</c:v>
                      </c:pt>
                      <c:pt idx="26">
                        <c:v>514</c:v>
                      </c:pt>
                      <c:pt idx="27">
                        <c:v>522</c:v>
                      </c:pt>
                      <c:pt idx="28">
                        <c:v>530</c:v>
                      </c:pt>
                      <c:pt idx="29">
                        <c:v>538</c:v>
                      </c:pt>
                      <c:pt idx="30">
                        <c:v>546</c:v>
                      </c:pt>
                      <c:pt idx="31">
                        <c:v>554</c:v>
                      </c:pt>
                      <c:pt idx="32">
                        <c:v>562</c:v>
                      </c:pt>
                      <c:pt idx="33">
                        <c:v>570</c:v>
                      </c:pt>
                      <c:pt idx="34">
                        <c:v>578</c:v>
                      </c:pt>
                      <c:pt idx="35">
                        <c:v>586</c:v>
                      </c:pt>
                      <c:pt idx="36">
                        <c:v>594</c:v>
                      </c:pt>
                      <c:pt idx="37">
                        <c:v>602</c:v>
                      </c:pt>
                      <c:pt idx="38">
                        <c:v>610</c:v>
                      </c:pt>
                      <c:pt idx="39">
                        <c:v>618</c:v>
                      </c:pt>
                      <c:pt idx="40">
                        <c:v>626</c:v>
                      </c:pt>
                      <c:pt idx="41">
                        <c:v>634</c:v>
                      </c:pt>
                      <c:pt idx="42">
                        <c:v>642</c:v>
                      </c:pt>
                      <c:pt idx="43">
                        <c:v>650</c:v>
                      </c:pt>
                      <c:pt idx="44">
                        <c:v>658</c:v>
                      </c:pt>
                      <c:pt idx="45">
                        <c:v>666</c:v>
                      </c:pt>
                      <c:pt idx="46">
                        <c:v>674</c:v>
                      </c:pt>
                      <c:pt idx="47">
                        <c:v>682</c:v>
                      </c:pt>
                      <c:pt idx="48">
                        <c:v>690</c:v>
                      </c:pt>
                      <c:pt idx="49">
                        <c:v>698</c:v>
                      </c:pt>
                      <c:pt idx="50">
                        <c:v>706</c:v>
                      </c:pt>
                      <c:pt idx="51">
                        <c:v>714</c:v>
                      </c:pt>
                      <c:pt idx="52">
                        <c:v>722</c:v>
                      </c:pt>
                      <c:pt idx="53">
                        <c:v>730</c:v>
                      </c:pt>
                      <c:pt idx="54">
                        <c:v>738</c:v>
                      </c:pt>
                      <c:pt idx="55">
                        <c:v>746</c:v>
                      </c:pt>
                      <c:pt idx="56">
                        <c:v>754</c:v>
                      </c:pt>
                      <c:pt idx="57">
                        <c:v>762</c:v>
                      </c:pt>
                      <c:pt idx="58">
                        <c:v>770</c:v>
                      </c:pt>
                      <c:pt idx="59">
                        <c:v>778</c:v>
                      </c:pt>
                      <c:pt idx="60">
                        <c:v>786</c:v>
                      </c:pt>
                      <c:pt idx="61">
                        <c:v>794</c:v>
                      </c:pt>
                      <c:pt idx="62">
                        <c:v>802</c:v>
                      </c:pt>
                      <c:pt idx="63">
                        <c:v>810</c:v>
                      </c:pt>
                      <c:pt idx="64">
                        <c:v>818</c:v>
                      </c:pt>
                      <c:pt idx="65">
                        <c:v>826</c:v>
                      </c:pt>
                      <c:pt idx="66">
                        <c:v>834</c:v>
                      </c:pt>
                      <c:pt idx="67">
                        <c:v>842</c:v>
                      </c:pt>
                      <c:pt idx="68">
                        <c:v>850</c:v>
                      </c:pt>
                      <c:pt idx="69">
                        <c:v>858</c:v>
                      </c:pt>
                      <c:pt idx="70">
                        <c:v>866</c:v>
                      </c:pt>
                      <c:pt idx="71">
                        <c:v>874</c:v>
                      </c:pt>
                      <c:pt idx="72">
                        <c:v>882</c:v>
                      </c:pt>
                      <c:pt idx="73">
                        <c:v>890</c:v>
                      </c:pt>
                      <c:pt idx="74">
                        <c:v>898</c:v>
                      </c:pt>
                      <c:pt idx="75">
                        <c:v>906</c:v>
                      </c:pt>
                      <c:pt idx="76">
                        <c:v>914</c:v>
                      </c:pt>
                      <c:pt idx="77">
                        <c:v>922</c:v>
                      </c:pt>
                      <c:pt idx="78">
                        <c:v>930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EVALUATION!$B$130:$CP$130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1-6F8E-44D6-9842-8CC6ABD00D40}"/>
                  </c:ext>
                </c:extLst>
              </c15:ser>
            </c15:filteredScatterSeries>
            <c15:filteredScatterSeries>
              <c15:ser>
                <c:idx val="28"/>
                <c:order val="30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306</c:v>
                      </c:pt>
                      <c:pt idx="1">
                        <c:v>314</c:v>
                      </c:pt>
                      <c:pt idx="2">
                        <c:v>322</c:v>
                      </c:pt>
                      <c:pt idx="3">
                        <c:v>330</c:v>
                      </c:pt>
                      <c:pt idx="4">
                        <c:v>338</c:v>
                      </c:pt>
                      <c:pt idx="5">
                        <c:v>346</c:v>
                      </c:pt>
                      <c:pt idx="6">
                        <c:v>354</c:v>
                      </c:pt>
                      <c:pt idx="7">
                        <c:v>362</c:v>
                      </c:pt>
                      <c:pt idx="8">
                        <c:v>370</c:v>
                      </c:pt>
                      <c:pt idx="9">
                        <c:v>378</c:v>
                      </c:pt>
                      <c:pt idx="10">
                        <c:v>386</c:v>
                      </c:pt>
                      <c:pt idx="11">
                        <c:v>394</c:v>
                      </c:pt>
                      <c:pt idx="12">
                        <c:v>402</c:v>
                      </c:pt>
                      <c:pt idx="13">
                        <c:v>410</c:v>
                      </c:pt>
                      <c:pt idx="14">
                        <c:v>418</c:v>
                      </c:pt>
                      <c:pt idx="15">
                        <c:v>426</c:v>
                      </c:pt>
                      <c:pt idx="16">
                        <c:v>434</c:v>
                      </c:pt>
                      <c:pt idx="17">
                        <c:v>442</c:v>
                      </c:pt>
                      <c:pt idx="18">
                        <c:v>450</c:v>
                      </c:pt>
                      <c:pt idx="19">
                        <c:v>458</c:v>
                      </c:pt>
                      <c:pt idx="20">
                        <c:v>466</c:v>
                      </c:pt>
                      <c:pt idx="21">
                        <c:v>474</c:v>
                      </c:pt>
                      <c:pt idx="22">
                        <c:v>482</c:v>
                      </c:pt>
                      <c:pt idx="23">
                        <c:v>490</c:v>
                      </c:pt>
                      <c:pt idx="24">
                        <c:v>498</c:v>
                      </c:pt>
                      <c:pt idx="25">
                        <c:v>506</c:v>
                      </c:pt>
                      <c:pt idx="26">
                        <c:v>514</c:v>
                      </c:pt>
                      <c:pt idx="27">
                        <c:v>522</c:v>
                      </c:pt>
                      <c:pt idx="28">
                        <c:v>530</c:v>
                      </c:pt>
                      <c:pt idx="29">
                        <c:v>538</c:v>
                      </c:pt>
                      <c:pt idx="30">
                        <c:v>546</c:v>
                      </c:pt>
                      <c:pt idx="31">
                        <c:v>554</c:v>
                      </c:pt>
                      <c:pt idx="32">
                        <c:v>562</c:v>
                      </c:pt>
                      <c:pt idx="33">
                        <c:v>570</c:v>
                      </c:pt>
                      <c:pt idx="34">
                        <c:v>578</c:v>
                      </c:pt>
                      <c:pt idx="35">
                        <c:v>586</c:v>
                      </c:pt>
                      <c:pt idx="36">
                        <c:v>594</c:v>
                      </c:pt>
                      <c:pt idx="37">
                        <c:v>602</c:v>
                      </c:pt>
                      <c:pt idx="38">
                        <c:v>610</c:v>
                      </c:pt>
                      <c:pt idx="39">
                        <c:v>618</c:v>
                      </c:pt>
                      <c:pt idx="40">
                        <c:v>626</c:v>
                      </c:pt>
                      <c:pt idx="41">
                        <c:v>634</c:v>
                      </c:pt>
                      <c:pt idx="42">
                        <c:v>642</c:v>
                      </c:pt>
                      <c:pt idx="43">
                        <c:v>650</c:v>
                      </c:pt>
                      <c:pt idx="44">
                        <c:v>658</c:v>
                      </c:pt>
                      <c:pt idx="45">
                        <c:v>666</c:v>
                      </c:pt>
                      <c:pt idx="46">
                        <c:v>674</c:v>
                      </c:pt>
                      <c:pt idx="47">
                        <c:v>682</c:v>
                      </c:pt>
                      <c:pt idx="48">
                        <c:v>690</c:v>
                      </c:pt>
                      <c:pt idx="49">
                        <c:v>698</c:v>
                      </c:pt>
                      <c:pt idx="50">
                        <c:v>706</c:v>
                      </c:pt>
                      <c:pt idx="51">
                        <c:v>714</c:v>
                      </c:pt>
                      <c:pt idx="52">
                        <c:v>722</c:v>
                      </c:pt>
                      <c:pt idx="53">
                        <c:v>730</c:v>
                      </c:pt>
                      <c:pt idx="54">
                        <c:v>738</c:v>
                      </c:pt>
                      <c:pt idx="55">
                        <c:v>746</c:v>
                      </c:pt>
                      <c:pt idx="56">
                        <c:v>754</c:v>
                      </c:pt>
                      <c:pt idx="57">
                        <c:v>762</c:v>
                      </c:pt>
                      <c:pt idx="58">
                        <c:v>770</c:v>
                      </c:pt>
                      <c:pt idx="59">
                        <c:v>778</c:v>
                      </c:pt>
                      <c:pt idx="60">
                        <c:v>786</c:v>
                      </c:pt>
                      <c:pt idx="61">
                        <c:v>794</c:v>
                      </c:pt>
                      <c:pt idx="62">
                        <c:v>802</c:v>
                      </c:pt>
                      <c:pt idx="63">
                        <c:v>810</c:v>
                      </c:pt>
                      <c:pt idx="64">
                        <c:v>818</c:v>
                      </c:pt>
                      <c:pt idx="65">
                        <c:v>826</c:v>
                      </c:pt>
                      <c:pt idx="66">
                        <c:v>834</c:v>
                      </c:pt>
                      <c:pt idx="67">
                        <c:v>842</c:v>
                      </c:pt>
                      <c:pt idx="68">
                        <c:v>850</c:v>
                      </c:pt>
                      <c:pt idx="69">
                        <c:v>858</c:v>
                      </c:pt>
                      <c:pt idx="70">
                        <c:v>866</c:v>
                      </c:pt>
                      <c:pt idx="71">
                        <c:v>874</c:v>
                      </c:pt>
                      <c:pt idx="72">
                        <c:v>882</c:v>
                      </c:pt>
                      <c:pt idx="73">
                        <c:v>890</c:v>
                      </c:pt>
                      <c:pt idx="74">
                        <c:v>898</c:v>
                      </c:pt>
                      <c:pt idx="75">
                        <c:v>906</c:v>
                      </c:pt>
                      <c:pt idx="76">
                        <c:v>914</c:v>
                      </c:pt>
                      <c:pt idx="77">
                        <c:v>922</c:v>
                      </c:pt>
                      <c:pt idx="78">
                        <c:v>930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EVALUATION!$B$131:$CP$131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2-6F8E-44D6-9842-8CC6ABD00D40}"/>
                  </c:ext>
                </c:extLst>
              </c15:ser>
            </c15:filteredScatterSeries>
            <c15:filteredScatterSeries>
              <c15:ser>
                <c:idx val="29"/>
                <c:order val="31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306</c:v>
                      </c:pt>
                      <c:pt idx="1">
                        <c:v>314</c:v>
                      </c:pt>
                      <c:pt idx="2">
                        <c:v>322</c:v>
                      </c:pt>
                      <c:pt idx="3">
                        <c:v>330</c:v>
                      </c:pt>
                      <c:pt idx="4">
                        <c:v>338</c:v>
                      </c:pt>
                      <c:pt idx="5">
                        <c:v>346</c:v>
                      </c:pt>
                      <c:pt idx="6">
                        <c:v>354</c:v>
                      </c:pt>
                      <c:pt idx="7">
                        <c:v>362</c:v>
                      </c:pt>
                      <c:pt idx="8">
                        <c:v>370</c:v>
                      </c:pt>
                      <c:pt idx="9">
                        <c:v>378</c:v>
                      </c:pt>
                      <c:pt idx="10">
                        <c:v>386</c:v>
                      </c:pt>
                      <c:pt idx="11">
                        <c:v>394</c:v>
                      </c:pt>
                      <c:pt idx="12">
                        <c:v>402</c:v>
                      </c:pt>
                      <c:pt idx="13">
                        <c:v>410</c:v>
                      </c:pt>
                      <c:pt idx="14">
                        <c:v>418</c:v>
                      </c:pt>
                      <c:pt idx="15">
                        <c:v>426</c:v>
                      </c:pt>
                      <c:pt idx="16">
                        <c:v>434</c:v>
                      </c:pt>
                      <c:pt idx="17">
                        <c:v>442</c:v>
                      </c:pt>
                      <c:pt idx="18">
                        <c:v>450</c:v>
                      </c:pt>
                      <c:pt idx="19">
                        <c:v>458</c:v>
                      </c:pt>
                      <c:pt idx="20">
                        <c:v>466</c:v>
                      </c:pt>
                      <c:pt idx="21">
                        <c:v>474</c:v>
                      </c:pt>
                      <c:pt idx="22">
                        <c:v>482</c:v>
                      </c:pt>
                      <c:pt idx="23">
                        <c:v>490</c:v>
                      </c:pt>
                      <c:pt idx="24">
                        <c:v>498</c:v>
                      </c:pt>
                      <c:pt idx="25">
                        <c:v>506</c:v>
                      </c:pt>
                      <c:pt idx="26">
                        <c:v>514</c:v>
                      </c:pt>
                      <c:pt idx="27">
                        <c:v>522</c:v>
                      </c:pt>
                      <c:pt idx="28">
                        <c:v>530</c:v>
                      </c:pt>
                      <c:pt idx="29">
                        <c:v>538</c:v>
                      </c:pt>
                      <c:pt idx="30">
                        <c:v>546</c:v>
                      </c:pt>
                      <c:pt idx="31">
                        <c:v>554</c:v>
                      </c:pt>
                      <c:pt idx="32">
                        <c:v>562</c:v>
                      </c:pt>
                      <c:pt idx="33">
                        <c:v>570</c:v>
                      </c:pt>
                      <c:pt idx="34">
                        <c:v>578</c:v>
                      </c:pt>
                      <c:pt idx="35">
                        <c:v>586</c:v>
                      </c:pt>
                      <c:pt idx="36">
                        <c:v>594</c:v>
                      </c:pt>
                      <c:pt idx="37">
                        <c:v>602</c:v>
                      </c:pt>
                      <c:pt idx="38">
                        <c:v>610</c:v>
                      </c:pt>
                      <c:pt idx="39">
                        <c:v>618</c:v>
                      </c:pt>
                      <c:pt idx="40">
                        <c:v>626</c:v>
                      </c:pt>
                      <c:pt idx="41">
                        <c:v>634</c:v>
                      </c:pt>
                      <c:pt idx="42">
                        <c:v>642</c:v>
                      </c:pt>
                      <c:pt idx="43">
                        <c:v>650</c:v>
                      </c:pt>
                      <c:pt idx="44">
                        <c:v>658</c:v>
                      </c:pt>
                      <c:pt idx="45">
                        <c:v>666</c:v>
                      </c:pt>
                      <c:pt idx="46">
                        <c:v>674</c:v>
                      </c:pt>
                      <c:pt idx="47">
                        <c:v>682</c:v>
                      </c:pt>
                      <c:pt idx="48">
                        <c:v>690</c:v>
                      </c:pt>
                      <c:pt idx="49">
                        <c:v>698</c:v>
                      </c:pt>
                      <c:pt idx="50">
                        <c:v>706</c:v>
                      </c:pt>
                      <c:pt idx="51">
                        <c:v>714</c:v>
                      </c:pt>
                      <c:pt idx="52">
                        <c:v>722</c:v>
                      </c:pt>
                      <c:pt idx="53">
                        <c:v>730</c:v>
                      </c:pt>
                      <c:pt idx="54">
                        <c:v>738</c:v>
                      </c:pt>
                      <c:pt idx="55">
                        <c:v>746</c:v>
                      </c:pt>
                      <c:pt idx="56">
                        <c:v>754</c:v>
                      </c:pt>
                      <c:pt idx="57">
                        <c:v>762</c:v>
                      </c:pt>
                      <c:pt idx="58">
                        <c:v>770</c:v>
                      </c:pt>
                      <c:pt idx="59">
                        <c:v>778</c:v>
                      </c:pt>
                      <c:pt idx="60">
                        <c:v>786</c:v>
                      </c:pt>
                      <c:pt idx="61">
                        <c:v>794</c:v>
                      </c:pt>
                      <c:pt idx="62">
                        <c:v>802</c:v>
                      </c:pt>
                      <c:pt idx="63">
                        <c:v>810</c:v>
                      </c:pt>
                      <c:pt idx="64">
                        <c:v>818</c:v>
                      </c:pt>
                      <c:pt idx="65">
                        <c:v>826</c:v>
                      </c:pt>
                      <c:pt idx="66">
                        <c:v>834</c:v>
                      </c:pt>
                      <c:pt idx="67">
                        <c:v>842</c:v>
                      </c:pt>
                      <c:pt idx="68">
                        <c:v>850</c:v>
                      </c:pt>
                      <c:pt idx="69">
                        <c:v>858</c:v>
                      </c:pt>
                      <c:pt idx="70">
                        <c:v>866</c:v>
                      </c:pt>
                      <c:pt idx="71">
                        <c:v>874</c:v>
                      </c:pt>
                      <c:pt idx="72">
                        <c:v>882</c:v>
                      </c:pt>
                      <c:pt idx="73">
                        <c:v>890</c:v>
                      </c:pt>
                      <c:pt idx="74">
                        <c:v>898</c:v>
                      </c:pt>
                      <c:pt idx="75">
                        <c:v>906</c:v>
                      </c:pt>
                      <c:pt idx="76">
                        <c:v>914</c:v>
                      </c:pt>
                      <c:pt idx="77">
                        <c:v>922</c:v>
                      </c:pt>
                      <c:pt idx="78">
                        <c:v>930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EVALUATION!$B$132:$CP$132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-37.456036036036032</c:v>
                      </c:pt>
                      <c:pt idx="1">
                        <c:v>-36.754534534534535</c:v>
                      </c:pt>
                      <c:pt idx="2">
                        <c:v>-36.053033033033032</c:v>
                      </c:pt>
                      <c:pt idx="3">
                        <c:v>-35.351531531531528</c:v>
                      </c:pt>
                      <c:pt idx="4" formatCode="General">
                        <c:v>-34.77434131736527</c:v>
                      </c:pt>
                      <c:pt idx="5" formatCode="General">
                        <c:v>-34.225838323353294</c:v>
                      </c:pt>
                      <c:pt idx="6" formatCode="General">
                        <c:v>-33.677335329341318</c:v>
                      </c:pt>
                      <c:pt idx="7" formatCode="General">
                        <c:v>-33.128832335329342</c:v>
                      </c:pt>
                      <c:pt idx="8" formatCode="General">
                        <c:v>-32.657592814371256</c:v>
                      </c:pt>
                      <c:pt idx="9" formatCode="General">
                        <c:v>-32.230287425149697</c:v>
                      </c:pt>
                      <c:pt idx="10" formatCode="General">
                        <c:v>-31.802982035928146</c:v>
                      </c:pt>
                      <c:pt idx="11" formatCode="General">
                        <c:v>-31.375676646706587</c:v>
                      </c:pt>
                      <c:pt idx="12" formatCode="General">
                        <c:v>-30.997113772455091</c:v>
                      </c:pt>
                      <c:pt idx="13" formatCode="General">
                        <c:v>-30.675197604790419</c:v>
                      </c:pt>
                      <c:pt idx="14" formatCode="General">
                        <c:v>-30.353281437125748</c:v>
                      </c:pt>
                      <c:pt idx="15" formatCode="General">
                        <c:v>-30.031365269461077</c:v>
                      </c:pt>
                      <c:pt idx="16" formatCode="General">
                        <c:v>-29.749044910179641</c:v>
                      </c:pt>
                      <c:pt idx="17" formatCode="General">
                        <c:v>-29.564853293413172</c:v>
                      </c:pt>
                      <c:pt idx="18" formatCode="General">
                        <c:v>-29.380661676646707</c:v>
                      </c:pt>
                      <c:pt idx="19" formatCode="General">
                        <c:v>-29.196470059880241</c:v>
                      </c:pt>
                      <c:pt idx="20" formatCode="General">
                        <c:v>-29.031194610778446</c:v>
                      </c:pt>
                      <c:pt idx="21" formatCode="General">
                        <c:v>-29.015146706586826</c:v>
                      </c:pt>
                      <c:pt idx="22" formatCode="General">
                        <c:v>-28.99909880239521</c:v>
                      </c:pt>
                      <c:pt idx="23" formatCode="General">
                        <c:v>-28.983050898203594</c:v>
                      </c:pt>
                      <c:pt idx="24" formatCode="General">
                        <c:v>-28.967002994011978</c:v>
                      </c:pt>
                      <c:pt idx="25" formatCode="General">
                        <c:v>-29.170279279279281</c:v>
                      </c:pt>
                      <c:pt idx="26" formatCode="General">
                        <c:v>-29.388177177177177</c:v>
                      </c:pt>
                      <c:pt idx="27" formatCode="General">
                        <c:v>-29.606075075075076</c:v>
                      </c:pt>
                      <c:pt idx="28" formatCode="General">
                        <c:v>-29.823972972972971</c:v>
                      </c:pt>
                      <c:pt idx="29" formatCode="General">
                        <c:v>-29.965814371257483</c:v>
                      </c:pt>
                      <c:pt idx="30" formatCode="General">
                        <c:v>-30.085574850299402</c:v>
                      </c:pt>
                      <c:pt idx="31" formatCode="General">
                        <c:v>-30.205335329341317</c:v>
                      </c:pt>
                      <c:pt idx="32" formatCode="General">
                        <c:v>-30.325095808383235</c:v>
                      </c:pt>
                      <c:pt idx="33" formatCode="General">
                        <c:v>-30.453622754491018</c:v>
                      </c:pt>
                      <c:pt idx="34" formatCode="General">
                        <c:v>-30.587994011976047</c:v>
                      </c:pt>
                      <c:pt idx="35" formatCode="General">
                        <c:v>-30.722365269461079</c:v>
                      </c:pt>
                      <c:pt idx="36" formatCode="General">
                        <c:v>-30.856736526946108</c:v>
                      </c:pt>
                      <c:pt idx="37" formatCode="General">
                        <c:v>-30.990700598802395</c:v>
                      </c:pt>
                      <c:pt idx="38" formatCode="General">
                        <c:v>-31.12411377245509</c:v>
                      </c:pt>
                      <c:pt idx="39" formatCode="General">
                        <c:v>-31.257526946107784</c:v>
                      </c:pt>
                      <c:pt idx="40" formatCode="General">
                        <c:v>-31.390940119760479</c:v>
                      </c:pt>
                      <c:pt idx="41" formatCode="General">
                        <c:v>-31.524592814371257</c:v>
                      </c:pt>
                      <c:pt idx="42" formatCode="General">
                        <c:v>-31.658964071856285</c:v>
                      </c:pt>
                      <c:pt idx="43" formatCode="General">
                        <c:v>-31.793335329341318</c:v>
                      </c:pt>
                      <c:pt idx="44" formatCode="General">
                        <c:v>-31.927706586826346</c:v>
                      </c:pt>
                      <c:pt idx="45" formatCode="General">
                        <c:v>-32.062077844311375</c:v>
                      </c:pt>
                      <c:pt idx="46" formatCode="General">
                        <c:v>-32.196449101796411</c:v>
                      </c:pt>
                      <c:pt idx="47" formatCode="General">
                        <c:v>-32.330820359281439</c:v>
                      </c:pt>
                      <c:pt idx="48" formatCode="General">
                        <c:v>-32.465191616766468</c:v>
                      </c:pt>
                      <c:pt idx="49" formatCode="General">
                        <c:v>-32.599562874251497</c:v>
                      </c:pt>
                      <c:pt idx="50" formatCode="General">
                        <c:v>-32.727876404494381</c:v>
                      </c:pt>
                      <c:pt idx="51" formatCode="General">
                        <c:v>-32.855516853932585</c:v>
                      </c:pt>
                      <c:pt idx="52" formatCode="General">
                        <c:v>-32.983157303370788</c:v>
                      </c:pt>
                      <c:pt idx="53" formatCode="General">
                        <c:v>-33.110797752808992</c:v>
                      </c:pt>
                      <c:pt idx="54" formatCode="General">
                        <c:v>-33.238438202247195</c:v>
                      </c:pt>
                      <c:pt idx="55" formatCode="General">
                        <c:v>-33.366078651685392</c:v>
                      </c:pt>
                      <c:pt idx="56" formatCode="General">
                        <c:v>-33.493719101123595</c:v>
                      </c:pt>
                      <c:pt idx="57" formatCode="General">
                        <c:v>-33.621359550561799</c:v>
                      </c:pt>
                      <c:pt idx="58" formatCode="General">
                        <c:v>-33.749000000000002</c:v>
                      </c:pt>
                      <c:pt idx="59" formatCode="General">
                        <c:v>-33.876640449438206</c:v>
                      </c:pt>
                      <c:pt idx="60" formatCode="General">
                        <c:v>-34.004280898876409</c:v>
                      </c:pt>
                      <c:pt idx="61" formatCode="General">
                        <c:v>-34.131921348314606</c:v>
                      </c:pt>
                      <c:pt idx="62" formatCode="General">
                        <c:v>-34.259561797752809</c:v>
                      </c:pt>
                      <c:pt idx="63" formatCode="General">
                        <c:v>-34.387202247191013</c:v>
                      </c:pt>
                      <c:pt idx="64" formatCode="General">
                        <c:v>-34.514842696629216</c:v>
                      </c:pt>
                      <c:pt idx="65" formatCode="General">
                        <c:v>-34.64248314606742</c:v>
                      </c:pt>
                      <c:pt idx="66" formatCode="General">
                        <c:v>-34.768748314606746</c:v>
                      </c:pt>
                      <c:pt idx="67" formatCode="General">
                        <c:v>-34.88991685393259</c:v>
                      </c:pt>
                      <c:pt idx="68" formatCode="General">
                        <c:v>-35.011085393258426</c:v>
                      </c:pt>
                      <c:pt idx="69" formatCode="General">
                        <c:v>-35.13225393258427</c:v>
                      </c:pt>
                      <c:pt idx="70" formatCode="General">
                        <c:v>-35.253422471910113</c:v>
                      </c:pt>
                      <c:pt idx="71" formatCode="General">
                        <c:v>-35.374591011235957</c:v>
                      </c:pt>
                      <c:pt idx="72" formatCode="General">
                        <c:v>-35.4957595505618</c:v>
                      </c:pt>
                      <c:pt idx="73" formatCode="General">
                        <c:v>-35.616928089887644</c:v>
                      </c:pt>
                      <c:pt idx="74" formatCode="General">
                        <c:v>-35.738096629213487</c:v>
                      </c:pt>
                      <c:pt idx="75" formatCode="General">
                        <c:v>-35.859265168539331</c:v>
                      </c:pt>
                      <c:pt idx="76" formatCode="General">
                        <c:v>-35.980433707865167</c:v>
                      </c:pt>
                      <c:pt idx="77" formatCode="General">
                        <c:v>-36.101602247191011</c:v>
                      </c:pt>
                      <c:pt idx="78" formatCode="General">
                        <c:v>-36.222770786516854</c:v>
                      </c:pt>
                      <c:pt idx="79" formatCode="General">
                        <c:v>-36.343939325842697</c:v>
                      </c:pt>
                      <c:pt idx="80" formatCode="General">
                        <c:v>-36.465107865168541</c:v>
                      </c:pt>
                      <c:pt idx="81" formatCode="General">
                        <c:v>-36.586276404494384</c:v>
                      </c:pt>
                      <c:pt idx="82" formatCode="General">
                        <c:v>-36.707444943820228</c:v>
                      </c:pt>
                      <c:pt idx="83" formatCode="General">
                        <c:v>-36.825319819819818</c:v>
                      </c:pt>
                      <c:pt idx="84" formatCode="General">
                        <c:v>-36.940214714714713</c:v>
                      </c:pt>
                      <c:pt idx="85" formatCode="General">
                        <c:v>-37.055109609609609</c:v>
                      </c:pt>
                      <c:pt idx="86" formatCode="General">
                        <c:v>-37.170004504504504</c:v>
                      </c:pt>
                      <c:pt idx="87" formatCode="General">
                        <c:v>-36.080475247524753</c:v>
                      </c:pt>
                      <c:pt idx="88" formatCode="General">
                        <c:v>-36.193346534653465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3-6F8E-44D6-9842-8CC6ABD00D40}"/>
                  </c:ext>
                </c:extLst>
              </c15:ser>
            </c15:filteredScatterSeries>
            <c15:filteredScatterSeries>
              <c15:ser>
                <c:idx val="30"/>
                <c:order val="32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306</c:v>
                      </c:pt>
                      <c:pt idx="1">
                        <c:v>314</c:v>
                      </c:pt>
                      <c:pt idx="2">
                        <c:v>322</c:v>
                      </c:pt>
                      <c:pt idx="3">
                        <c:v>330</c:v>
                      </c:pt>
                      <c:pt idx="4">
                        <c:v>338</c:v>
                      </c:pt>
                      <c:pt idx="5">
                        <c:v>346</c:v>
                      </c:pt>
                      <c:pt idx="6">
                        <c:v>354</c:v>
                      </c:pt>
                      <c:pt idx="7">
                        <c:v>362</c:v>
                      </c:pt>
                      <c:pt idx="8">
                        <c:v>370</c:v>
                      </c:pt>
                      <c:pt idx="9">
                        <c:v>378</c:v>
                      </c:pt>
                      <c:pt idx="10">
                        <c:v>386</c:v>
                      </c:pt>
                      <c:pt idx="11">
                        <c:v>394</c:v>
                      </c:pt>
                      <c:pt idx="12">
                        <c:v>402</c:v>
                      </c:pt>
                      <c:pt idx="13">
                        <c:v>410</c:v>
                      </c:pt>
                      <c:pt idx="14">
                        <c:v>418</c:v>
                      </c:pt>
                      <c:pt idx="15">
                        <c:v>426</c:v>
                      </c:pt>
                      <c:pt idx="16">
                        <c:v>434</c:v>
                      </c:pt>
                      <c:pt idx="17">
                        <c:v>442</c:v>
                      </c:pt>
                      <c:pt idx="18">
                        <c:v>450</c:v>
                      </c:pt>
                      <c:pt idx="19">
                        <c:v>458</c:v>
                      </c:pt>
                      <c:pt idx="20">
                        <c:v>466</c:v>
                      </c:pt>
                      <c:pt idx="21">
                        <c:v>474</c:v>
                      </c:pt>
                      <c:pt idx="22">
                        <c:v>482</c:v>
                      </c:pt>
                      <c:pt idx="23">
                        <c:v>490</c:v>
                      </c:pt>
                      <c:pt idx="24">
                        <c:v>498</c:v>
                      </c:pt>
                      <c:pt idx="25">
                        <c:v>506</c:v>
                      </c:pt>
                      <c:pt idx="26">
                        <c:v>514</c:v>
                      </c:pt>
                      <c:pt idx="27">
                        <c:v>522</c:v>
                      </c:pt>
                      <c:pt idx="28">
                        <c:v>530</c:v>
                      </c:pt>
                      <c:pt idx="29">
                        <c:v>538</c:v>
                      </c:pt>
                      <c:pt idx="30">
                        <c:v>546</c:v>
                      </c:pt>
                      <c:pt idx="31">
                        <c:v>554</c:v>
                      </c:pt>
                      <c:pt idx="32">
                        <c:v>562</c:v>
                      </c:pt>
                      <c:pt idx="33">
                        <c:v>570</c:v>
                      </c:pt>
                      <c:pt idx="34">
                        <c:v>578</c:v>
                      </c:pt>
                      <c:pt idx="35">
                        <c:v>586</c:v>
                      </c:pt>
                      <c:pt idx="36">
                        <c:v>594</c:v>
                      </c:pt>
                      <c:pt idx="37">
                        <c:v>602</c:v>
                      </c:pt>
                      <c:pt idx="38">
                        <c:v>610</c:v>
                      </c:pt>
                      <c:pt idx="39">
                        <c:v>618</c:v>
                      </c:pt>
                      <c:pt idx="40">
                        <c:v>626</c:v>
                      </c:pt>
                      <c:pt idx="41">
                        <c:v>634</c:v>
                      </c:pt>
                      <c:pt idx="42">
                        <c:v>642</c:v>
                      </c:pt>
                      <c:pt idx="43">
                        <c:v>650</c:v>
                      </c:pt>
                      <c:pt idx="44">
                        <c:v>658</c:v>
                      </c:pt>
                      <c:pt idx="45">
                        <c:v>666</c:v>
                      </c:pt>
                      <c:pt idx="46">
                        <c:v>674</c:v>
                      </c:pt>
                      <c:pt idx="47">
                        <c:v>682</c:v>
                      </c:pt>
                      <c:pt idx="48">
                        <c:v>690</c:v>
                      </c:pt>
                      <c:pt idx="49">
                        <c:v>698</c:v>
                      </c:pt>
                      <c:pt idx="50">
                        <c:v>706</c:v>
                      </c:pt>
                      <c:pt idx="51">
                        <c:v>714</c:v>
                      </c:pt>
                      <c:pt idx="52">
                        <c:v>722</c:v>
                      </c:pt>
                      <c:pt idx="53">
                        <c:v>730</c:v>
                      </c:pt>
                      <c:pt idx="54">
                        <c:v>738</c:v>
                      </c:pt>
                      <c:pt idx="55">
                        <c:v>746</c:v>
                      </c:pt>
                      <c:pt idx="56">
                        <c:v>754</c:v>
                      </c:pt>
                      <c:pt idx="57">
                        <c:v>762</c:v>
                      </c:pt>
                      <c:pt idx="58">
                        <c:v>770</c:v>
                      </c:pt>
                      <c:pt idx="59">
                        <c:v>778</c:v>
                      </c:pt>
                      <c:pt idx="60">
                        <c:v>786</c:v>
                      </c:pt>
                      <c:pt idx="61">
                        <c:v>794</c:v>
                      </c:pt>
                      <c:pt idx="62">
                        <c:v>802</c:v>
                      </c:pt>
                      <c:pt idx="63">
                        <c:v>810</c:v>
                      </c:pt>
                      <c:pt idx="64">
                        <c:v>818</c:v>
                      </c:pt>
                      <c:pt idx="65">
                        <c:v>826</c:v>
                      </c:pt>
                      <c:pt idx="66">
                        <c:v>834</c:v>
                      </c:pt>
                      <c:pt idx="67">
                        <c:v>842</c:v>
                      </c:pt>
                      <c:pt idx="68">
                        <c:v>850</c:v>
                      </c:pt>
                      <c:pt idx="69">
                        <c:v>858</c:v>
                      </c:pt>
                      <c:pt idx="70">
                        <c:v>866</c:v>
                      </c:pt>
                      <c:pt idx="71">
                        <c:v>874</c:v>
                      </c:pt>
                      <c:pt idx="72">
                        <c:v>882</c:v>
                      </c:pt>
                      <c:pt idx="73">
                        <c:v>890</c:v>
                      </c:pt>
                      <c:pt idx="74">
                        <c:v>898</c:v>
                      </c:pt>
                      <c:pt idx="75">
                        <c:v>906</c:v>
                      </c:pt>
                      <c:pt idx="76">
                        <c:v>914</c:v>
                      </c:pt>
                      <c:pt idx="77">
                        <c:v>922</c:v>
                      </c:pt>
                      <c:pt idx="78">
                        <c:v>930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EVALUATION!$B$133:$CP$133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-21.943243243243245</c:v>
                      </c:pt>
                      <c:pt idx="1">
                        <c:v>-21.741441441441442</c:v>
                      </c:pt>
                      <c:pt idx="2">
                        <c:v>-21.539639639639642</c:v>
                      </c:pt>
                      <c:pt idx="3">
                        <c:v>-21.337837837837839</c:v>
                      </c:pt>
                      <c:pt idx="4" formatCode="General">
                        <c:v>-21.317514970059882</c:v>
                      </c:pt>
                      <c:pt idx="5" formatCode="General">
                        <c:v>-21.339071856287426</c:v>
                      </c:pt>
                      <c:pt idx="6" formatCode="General">
                        <c:v>-21.360628742514972</c:v>
                      </c:pt>
                      <c:pt idx="7" formatCode="General">
                        <c:v>-21.382185628742516</c:v>
                      </c:pt>
                      <c:pt idx="8" formatCode="General">
                        <c:v>-21.452604790419162</c:v>
                      </c:pt>
                      <c:pt idx="9" formatCode="General">
                        <c:v>-21.550808383233534</c:v>
                      </c:pt>
                      <c:pt idx="10" formatCode="General">
                        <c:v>-21.649011976047905</c:v>
                      </c:pt>
                      <c:pt idx="11" formatCode="General">
                        <c:v>-21.747215568862277</c:v>
                      </c:pt>
                      <c:pt idx="12" formatCode="General">
                        <c:v>-21.843203592814373</c:v>
                      </c:pt>
                      <c:pt idx="13" formatCode="General">
                        <c:v>-21.936616766467068</c:v>
                      </c:pt>
                      <c:pt idx="14" formatCode="General">
                        <c:v>-22.030029940119761</c:v>
                      </c:pt>
                      <c:pt idx="15" formatCode="General">
                        <c:v>-22.123443113772456</c:v>
                      </c:pt>
                      <c:pt idx="16" formatCode="General">
                        <c:v>-22.209970059880241</c:v>
                      </c:pt>
                      <c:pt idx="17" formatCode="General">
                        <c:v>-22.279431137724551</c:v>
                      </c:pt>
                      <c:pt idx="18" formatCode="General">
                        <c:v>-22.348892215568863</c:v>
                      </c:pt>
                      <c:pt idx="19" formatCode="General">
                        <c:v>-22.418353293413173</c:v>
                      </c:pt>
                      <c:pt idx="20" formatCode="General">
                        <c:v>-22.488353293413173</c:v>
                      </c:pt>
                      <c:pt idx="21" formatCode="General">
                        <c:v>-22.562604790419162</c:v>
                      </c:pt>
                      <c:pt idx="22" formatCode="General">
                        <c:v>-22.63685628742515</c:v>
                      </c:pt>
                      <c:pt idx="23" formatCode="General">
                        <c:v>-22.711107784431139</c:v>
                      </c:pt>
                      <c:pt idx="24" formatCode="General">
                        <c:v>-22.785359281437124</c:v>
                      </c:pt>
                      <c:pt idx="25" formatCode="General">
                        <c:v>-22.846306306306307</c:v>
                      </c:pt>
                      <c:pt idx="26" formatCode="General">
                        <c:v>-22.906366366366367</c:v>
                      </c:pt>
                      <c:pt idx="27" formatCode="General">
                        <c:v>-22.966426426426427</c:v>
                      </c:pt>
                      <c:pt idx="28" formatCode="General">
                        <c:v>-23.026486486486487</c:v>
                      </c:pt>
                      <c:pt idx="29" formatCode="General">
                        <c:v>-23.130958083832336</c:v>
                      </c:pt>
                      <c:pt idx="30" formatCode="General">
                        <c:v>-23.248323353293415</c:v>
                      </c:pt>
                      <c:pt idx="31" formatCode="General">
                        <c:v>-23.36568862275449</c:v>
                      </c:pt>
                      <c:pt idx="32" formatCode="General">
                        <c:v>-23.483053892215569</c:v>
                      </c:pt>
                      <c:pt idx="33" formatCode="General">
                        <c:v>-23.60185628742515</c:v>
                      </c:pt>
                      <c:pt idx="34" formatCode="General">
                        <c:v>-23.721616766467065</c:v>
                      </c:pt>
                      <c:pt idx="35" formatCode="General">
                        <c:v>-23.841377245508983</c:v>
                      </c:pt>
                      <c:pt idx="36" formatCode="General">
                        <c:v>-23.961137724550898</c:v>
                      </c:pt>
                      <c:pt idx="37" formatCode="General">
                        <c:v>-24.078862275449104</c:v>
                      </c:pt>
                      <c:pt idx="38" formatCode="General">
                        <c:v>-24.193832335329343</c:v>
                      </c:pt>
                      <c:pt idx="39" formatCode="General">
                        <c:v>-24.308802395209582</c:v>
                      </c:pt>
                      <c:pt idx="40" formatCode="General">
                        <c:v>-24.423772455089821</c:v>
                      </c:pt>
                      <c:pt idx="41" formatCode="General">
                        <c:v>-24.53874251497006</c:v>
                      </c:pt>
                      <c:pt idx="42" formatCode="General">
                        <c:v>-24.653712574850299</c:v>
                      </c:pt>
                      <c:pt idx="43" formatCode="General">
                        <c:v>-24.768682634730538</c:v>
                      </c:pt>
                      <c:pt idx="44" formatCode="General">
                        <c:v>-24.883652694610777</c:v>
                      </c:pt>
                      <c:pt idx="45" formatCode="General">
                        <c:v>-24.998622754491016</c:v>
                      </c:pt>
                      <c:pt idx="46" formatCode="General">
                        <c:v>-25.113592814371255</c:v>
                      </c:pt>
                      <c:pt idx="47" formatCode="General">
                        <c:v>-25.228562874251494</c:v>
                      </c:pt>
                      <c:pt idx="48" formatCode="General">
                        <c:v>-25.343532934131737</c:v>
                      </c:pt>
                      <c:pt idx="49" formatCode="General">
                        <c:v>-25.458502994011976</c:v>
                      </c:pt>
                      <c:pt idx="50" formatCode="General">
                        <c:v>-25.567617977528091</c:v>
                      </c:pt>
                      <c:pt idx="51" formatCode="General">
                        <c:v>-25.676082397003746</c:v>
                      </c:pt>
                      <c:pt idx="52" formatCode="General">
                        <c:v>-25.784546816479402</c:v>
                      </c:pt>
                      <c:pt idx="53" formatCode="General">
                        <c:v>-25.893011235955058</c:v>
                      </c:pt>
                      <c:pt idx="54" formatCode="General">
                        <c:v>-26.001475655430713</c:v>
                      </c:pt>
                      <c:pt idx="55" formatCode="General">
                        <c:v>-26.109940074906369</c:v>
                      </c:pt>
                      <c:pt idx="56" formatCode="General">
                        <c:v>-26.218404494382021</c:v>
                      </c:pt>
                      <c:pt idx="57" formatCode="General">
                        <c:v>-26.326868913857677</c:v>
                      </c:pt>
                      <c:pt idx="58" formatCode="General">
                        <c:v>-26.435333333333332</c:v>
                      </c:pt>
                      <c:pt idx="59" formatCode="General">
                        <c:v>-26.543797752808988</c:v>
                      </c:pt>
                      <c:pt idx="60" formatCode="General">
                        <c:v>-26.652262172284644</c:v>
                      </c:pt>
                      <c:pt idx="61" formatCode="General">
                        <c:v>-26.760726591760299</c:v>
                      </c:pt>
                      <c:pt idx="62" formatCode="General">
                        <c:v>-26.869191011235955</c:v>
                      </c:pt>
                      <c:pt idx="63" formatCode="General">
                        <c:v>-26.977655430711611</c:v>
                      </c:pt>
                      <c:pt idx="64" formatCode="General">
                        <c:v>-27.086119850187266</c:v>
                      </c:pt>
                      <c:pt idx="65" formatCode="General">
                        <c:v>-27.194584269662922</c:v>
                      </c:pt>
                      <c:pt idx="66" formatCode="General">
                        <c:v>-27.301902621722849</c:v>
                      </c:pt>
                      <c:pt idx="67" formatCode="General">
                        <c:v>-27.404973782771538</c:v>
                      </c:pt>
                      <c:pt idx="68" formatCode="General">
                        <c:v>-27.508044943820227</c:v>
                      </c:pt>
                      <c:pt idx="69" formatCode="General">
                        <c:v>-27.611116104868916</c:v>
                      </c:pt>
                      <c:pt idx="70" formatCode="General">
                        <c:v>-27.714187265917605</c:v>
                      </c:pt>
                      <c:pt idx="71" formatCode="General">
                        <c:v>-27.817258426966294</c:v>
                      </c:pt>
                      <c:pt idx="72" formatCode="General">
                        <c:v>-27.920329588014983</c:v>
                      </c:pt>
                      <c:pt idx="73" formatCode="General">
                        <c:v>-28.023400749063672</c:v>
                      </c:pt>
                      <c:pt idx="74" formatCode="General">
                        <c:v>-28.126471910112361</c:v>
                      </c:pt>
                      <c:pt idx="75" formatCode="General">
                        <c:v>-28.22954307116105</c:v>
                      </c:pt>
                      <c:pt idx="76" formatCode="General">
                        <c:v>-28.332614232209739</c:v>
                      </c:pt>
                      <c:pt idx="77" formatCode="General">
                        <c:v>-28.435685393258428</c:v>
                      </c:pt>
                      <c:pt idx="78" formatCode="General">
                        <c:v>-28.538756554307117</c:v>
                      </c:pt>
                      <c:pt idx="79" formatCode="General">
                        <c:v>-28.641827715355806</c:v>
                      </c:pt>
                      <c:pt idx="80" formatCode="General">
                        <c:v>-28.744898876404495</c:v>
                      </c:pt>
                      <c:pt idx="81" formatCode="General">
                        <c:v>-28.847970037453184</c:v>
                      </c:pt>
                      <c:pt idx="82" formatCode="General">
                        <c:v>-28.951041198501873</c:v>
                      </c:pt>
                      <c:pt idx="83" formatCode="General">
                        <c:v>-29.051396396396395</c:v>
                      </c:pt>
                      <c:pt idx="84" formatCode="General">
                        <c:v>-29.149294294294293</c:v>
                      </c:pt>
                      <c:pt idx="85" formatCode="General">
                        <c:v>-29.247192192192191</c:v>
                      </c:pt>
                      <c:pt idx="86" formatCode="General">
                        <c:v>-29.345090090090089</c:v>
                      </c:pt>
                      <c:pt idx="87" formatCode="General">
                        <c:v>-8.1209504950495059</c:v>
                      </c:pt>
                      <c:pt idx="88" formatCode="General">
                        <c:v>-8.1466930693069308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4-6F8E-44D6-9842-8CC6ABD00D40}"/>
                  </c:ext>
                </c:extLst>
              </c15:ser>
            </c15:filteredScatterSeries>
            <c15:filteredScatterSeries>
              <c15:ser>
                <c:idx val="31"/>
                <c:order val="33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306</c:v>
                      </c:pt>
                      <c:pt idx="1">
                        <c:v>314</c:v>
                      </c:pt>
                      <c:pt idx="2">
                        <c:v>322</c:v>
                      </c:pt>
                      <c:pt idx="3">
                        <c:v>330</c:v>
                      </c:pt>
                      <c:pt idx="4">
                        <c:v>338</c:v>
                      </c:pt>
                      <c:pt idx="5">
                        <c:v>346</c:v>
                      </c:pt>
                      <c:pt idx="6">
                        <c:v>354</c:v>
                      </c:pt>
                      <c:pt idx="7">
                        <c:v>362</c:v>
                      </c:pt>
                      <c:pt idx="8">
                        <c:v>370</c:v>
                      </c:pt>
                      <c:pt idx="9">
                        <c:v>378</c:v>
                      </c:pt>
                      <c:pt idx="10">
                        <c:v>386</c:v>
                      </c:pt>
                      <c:pt idx="11">
                        <c:v>394</c:v>
                      </c:pt>
                      <c:pt idx="12">
                        <c:v>402</c:v>
                      </c:pt>
                      <c:pt idx="13">
                        <c:v>410</c:v>
                      </c:pt>
                      <c:pt idx="14">
                        <c:v>418</c:v>
                      </c:pt>
                      <c:pt idx="15">
                        <c:v>426</c:v>
                      </c:pt>
                      <c:pt idx="16">
                        <c:v>434</c:v>
                      </c:pt>
                      <c:pt idx="17">
                        <c:v>442</c:v>
                      </c:pt>
                      <c:pt idx="18">
                        <c:v>450</c:v>
                      </c:pt>
                      <c:pt idx="19">
                        <c:v>458</c:v>
                      </c:pt>
                      <c:pt idx="20">
                        <c:v>466</c:v>
                      </c:pt>
                      <c:pt idx="21">
                        <c:v>474</c:v>
                      </c:pt>
                      <c:pt idx="22">
                        <c:v>482</c:v>
                      </c:pt>
                      <c:pt idx="23">
                        <c:v>490</c:v>
                      </c:pt>
                      <c:pt idx="24">
                        <c:v>498</c:v>
                      </c:pt>
                      <c:pt idx="25">
                        <c:v>506</c:v>
                      </c:pt>
                      <c:pt idx="26">
                        <c:v>514</c:v>
                      </c:pt>
                      <c:pt idx="27">
                        <c:v>522</c:v>
                      </c:pt>
                      <c:pt idx="28">
                        <c:v>530</c:v>
                      </c:pt>
                      <c:pt idx="29">
                        <c:v>538</c:v>
                      </c:pt>
                      <c:pt idx="30">
                        <c:v>546</c:v>
                      </c:pt>
                      <c:pt idx="31">
                        <c:v>554</c:v>
                      </c:pt>
                      <c:pt idx="32">
                        <c:v>562</c:v>
                      </c:pt>
                      <c:pt idx="33">
                        <c:v>570</c:v>
                      </c:pt>
                      <c:pt idx="34">
                        <c:v>578</c:v>
                      </c:pt>
                      <c:pt idx="35">
                        <c:v>586</c:v>
                      </c:pt>
                      <c:pt idx="36">
                        <c:v>594</c:v>
                      </c:pt>
                      <c:pt idx="37">
                        <c:v>602</c:v>
                      </c:pt>
                      <c:pt idx="38">
                        <c:v>610</c:v>
                      </c:pt>
                      <c:pt idx="39">
                        <c:v>618</c:v>
                      </c:pt>
                      <c:pt idx="40">
                        <c:v>626</c:v>
                      </c:pt>
                      <c:pt idx="41">
                        <c:v>634</c:v>
                      </c:pt>
                      <c:pt idx="42">
                        <c:v>642</c:v>
                      </c:pt>
                      <c:pt idx="43">
                        <c:v>650</c:v>
                      </c:pt>
                      <c:pt idx="44">
                        <c:v>658</c:v>
                      </c:pt>
                      <c:pt idx="45">
                        <c:v>666</c:v>
                      </c:pt>
                      <c:pt idx="46">
                        <c:v>674</c:v>
                      </c:pt>
                      <c:pt idx="47">
                        <c:v>682</c:v>
                      </c:pt>
                      <c:pt idx="48">
                        <c:v>690</c:v>
                      </c:pt>
                      <c:pt idx="49">
                        <c:v>698</c:v>
                      </c:pt>
                      <c:pt idx="50">
                        <c:v>706</c:v>
                      </c:pt>
                      <c:pt idx="51">
                        <c:v>714</c:v>
                      </c:pt>
                      <c:pt idx="52">
                        <c:v>722</c:v>
                      </c:pt>
                      <c:pt idx="53">
                        <c:v>730</c:v>
                      </c:pt>
                      <c:pt idx="54">
                        <c:v>738</c:v>
                      </c:pt>
                      <c:pt idx="55">
                        <c:v>746</c:v>
                      </c:pt>
                      <c:pt idx="56">
                        <c:v>754</c:v>
                      </c:pt>
                      <c:pt idx="57">
                        <c:v>762</c:v>
                      </c:pt>
                      <c:pt idx="58">
                        <c:v>770</c:v>
                      </c:pt>
                      <c:pt idx="59">
                        <c:v>778</c:v>
                      </c:pt>
                      <c:pt idx="60">
                        <c:v>786</c:v>
                      </c:pt>
                      <c:pt idx="61">
                        <c:v>794</c:v>
                      </c:pt>
                      <c:pt idx="62">
                        <c:v>802</c:v>
                      </c:pt>
                      <c:pt idx="63">
                        <c:v>810</c:v>
                      </c:pt>
                      <c:pt idx="64">
                        <c:v>818</c:v>
                      </c:pt>
                      <c:pt idx="65">
                        <c:v>826</c:v>
                      </c:pt>
                      <c:pt idx="66">
                        <c:v>834</c:v>
                      </c:pt>
                      <c:pt idx="67">
                        <c:v>842</c:v>
                      </c:pt>
                      <c:pt idx="68">
                        <c:v>850</c:v>
                      </c:pt>
                      <c:pt idx="69">
                        <c:v>858</c:v>
                      </c:pt>
                      <c:pt idx="70">
                        <c:v>866</c:v>
                      </c:pt>
                      <c:pt idx="71">
                        <c:v>874</c:v>
                      </c:pt>
                      <c:pt idx="72">
                        <c:v>882</c:v>
                      </c:pt>
                      <c:pt idx="73">
                        <c:v>890</c:v>
                      </c:pt>
                      <c:pt idx="74">
                        <c:v>898</c:v>
                      </c:pt>
                      <c:pt idx="75">
                        <c:v>906</c:v>
                      </c:pt>
                      <c:pt idx="76">
                        <c:v>914</c:v>
                      </c:pt>
                      <c:pt idx="77">
                        <c:v>922</c:v>
                      </c:pt>
                      <c:pt idx="78">
                        <c:v>930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EVALUATION!$B$134:$CP$134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-184.14450450450451</c:v>
                      </c:pt>
                      <c:pt idx="1">
                        <c:v>-180.19015015015015</c:v>
                      </c:pt>
                      <c:pt idx="2">
                        <c:v>-176.23579579579581</c:v>
                      </c:pt>
                      <c:pt idx="3">
                        <c:v>-172.28144144144147</c:v>
                      </c:pt>
                      <c:pt idx="4" formatCode="General">
                        <c:v>-168.94194610778445</c:v>
                      </c:pt>
                      <c:pt idx="5" formatCode="General">
                        <c:v>-165.74434131736527</c:v>
                      </c:pt>
                      <c:pt idx="6" formatCode="General">
                        <c:v>-162.54673652694612</c:v>
                      </c:pt>
                      <c:pt idx="7" formatCode="General">
                        <c:v>-159.34913173652694</c:v>
                      </c:pt>
                      <c:pt idx="8" formatCode="General">
                        <c:v>-156.51188622754489</c:v>
                      </c:pt>
                      <c:pt idx="9" formatCode="General">
                        <c:v>-153.87955089820358</c:v>
                      </c:pt>
                      <c:pt idx="10" formatCode="General">
                        <c:v>-151.24721556886226</c:v>
                      </c:pt>
                      <c:pt idx="11" formatCode="General">
                        <c:v>-148.61488023952094</c:v>
                      </c:pt>
                      <c:pt idx="12" formatCode="General">
                        <c:v>-146.17973053892214</c:v>
                      </c:pt>
                      <c:pt idx="13" formatCode="General">
                        <c:v>-143.97374251497007</c:v>
                      </c:pt>
                      <c:pt idx="14" formatCode="General">
                        <c:v>-141.76775449101797</c:v>
                      </c:pt>
                      <c:pt idx="15" formatCode="General">
                        <c:v>-139.56176646706587</c:v>
                      </c:pt>
                      <c:pt idx="16" formatCode="General">
                        <c:v>-137.45494011976049</c:v>
                      </c:pt>
                      <c:pt idx="17" formatCode="General">
                        <c:v>-135.59386227544911</c:v>
                      </c:pt>
                      <c:pt idx="18" formatCode="General">
                        <c:v>-133.73278443113773</c:v>
                      </c:pt>
                      <c:pt idx="19" formatCode="General">
                        <c:v>-131.87170658682635</c:v>
                      </c:pt>
                      <c:pt idx="20" formatCode="General">
                        <c:v>-130.04404191616766</c:v>
                      </c:pt>
                      <c:pt idx="21" formatCode="General">
                        <c:v>-128.47997005988023</c:v>
                      </c:pt>
                      <c:pt idx="22" formatCode="General">
                        <c:v>-126.91589820359282</c:v>
                      </c:pt>
                      <c:pt idx="23" formatCode="General">
                        <c:v>-125.35182634730539</c:v>
                      </c:pt>
                      <c:pt idx="24" formatCode="General">
                        <c:v>-123.78775449101796</c:v>
                      </c:pt>
                      <c:pt idx="25" formatCode="General">
                        <c:v>-123.46702702702703</c:v>
                      </c:pt>
                      <c:pt idx="26" formatCode="General">
                        <c:v>-123.22918918918919</c:v>
                      </c:pt>
                      <c:pt idx="27" formatCode="General">
                        <c:v>-122.99135135135135</c:v>
                      </c:pt>
                      <c:pt idx="28" formatCode="General">
                        <c:v>-122.75351351351351</c:v>
                      </c:pt>
                      <c:pt idx="29" formatCode="General">
                        <c:v>-123.46293413173653</c:v>
                      </c:pt>
                      <c:pt idx="30" formatCode="General">
                        <c:v>-124.44736526946109</c:v>
                      </c:pt>
                      <c:pt idx="31" formatCode="General">
                        <c:v>-125.43179640718563</c:v>
                      </c:pt>
                      <c:pt idx="32" formatCode="General">
                        <c:v>-126.41622754491017</c:v>
                      </c:pt>
                      <c:pt idx="33" formatCode="General">
                        <c:v>-127.39922155688622</c:v>
                      </c:pt>
                      <c:pt idx="34" formatCode="General">
                        <c:v>-128.38125748502995</c:v>
                      </c:pt>
                      <c:pt idx="35" formatCode="General">
                        <c:v>-129.36329341317364</c:v>
                      </c:pt>
                      <c:pt idx="36" formatCode="General">
                        <c:v>-130.34532934131735</c:v>
                      </c:pt>
                      <c:pt idx="37" formatCode="General">
                        <c:v>-131.31718562874252</c:v>
                      </c:pt>
                      <c:pt idx="38" formatCode="General">
                        <c:v>-132.27526946107784</c:v>
                      </c:pt>
                      <c:pt idx="39" formatCode="General">
                        <c:v>-133.23335329341316</c:v>
                      </c:pt>
                      <c:pt idx="40" formatCode="General">
                        <c:v>-134.19143712574851</c:v>
                      </c:pt>
                      <c:pt idx="41" formatCode="General">
                        <c:v>-135.14592814371258</c:v>
                      </c:pt>
                      <c:pt idx="42" formatCode="General">
                        <c:v>-136.08964071856286</c:v>
                      </c:pt>
                      <c:pt idx="43" formatCode="General">
                        <c:v>-137.03335329341317</c:v>
                      </c:pt>
                      <c:pt idx="44" formatCode="General">
                        <c:v>-137.97706586826348</c:v>
                      </c:pt>
                      <c:pt idx="45" formatCode="General">
                        <c:v>-138.91970059880239</c:v>
                      </c:pt>
                      <c:pt idx="46" formatCode="General">
                        <c:v>-139.84904191616766</c:v>
                      </c:pt>
                      <c:pt idx="47" formatCode="General">
                        <c:v>-140.77838323353294</c:v>
                      </c:pt>
                      <c:pt idx="48" formatCode="General">
                        <c:v>-141.70772455089821</c:v>
                      </c:pt>
                      <c:pt idx="49" formatCode="General">
                        <c:v>-142.63706586826348</c:v>
                      </c:pt>
                      <c:pt idx="50" formatCode="General">
                        <c:v>-143.50932584269663</c:v>
                      </c:pt>
                      <c:pt idx="51" formatCode="General">
                        <c:v>-144.37524344569289</c:v>
                      </c:pt>
                      <c:pt idx="52" formatCode="General">
                        <c:v>-145.24116104868915</c:v>
                      </c:pt>
                      <c:pt idx="53" formatCode="General">
                        <c:v>-146.10707865168538</c:v>
                      </c:pt>
                      <c:pt idx="54" formatCode="General">
                        <c:v>-146.97299625468165</c:v>
                      </c:pt>
                      <c:pt idx="55" formatCode="General">
                        <c:v>-147.83891385767791</c:v>
                      </c:pt>
                      <c:pt idx="56" formatCode="General">
                        <c:v>-148.70483146067417</c:v>
                      </c:pt>
                      <c:pt idx="57" formatCode="General">
                        <c:v>-149.57074906367041</c:v>
                      </c:pt>
                      <c:pt idx="58" formatCode="General">
                        <c:v>-150.43666666666667</c:v>
                      </c:pt>
                      <c:pt idx="59" formatCode="General">
                        <c:v>-151.30258426966293</c:v>
                      </c:pt>
                      <c:pt idx="60" formatCode="General">
                        <c:v>-152.16850187265919</c:v>
                      </c:pt>
                      <c:pt idx="61" formatCode="General">
                        <c:v>-153.03441947565543</c:v>
                      </c:pt>
                      <c:pt idx="62" formatCode="General">
                        <c:v>-153.90033707865169</c:v>
                      </c:pt>
                      <c:pt idx="63" formatCode="General">
                        <c:v>-154.76625468164795</c:v>
                      </c:pt>
                      <c:pt idx="64" formatCode="General">
                        <c:v>-155.63217228464421</c:v>
                      </c:pt>
                      <c:pt idx="65" formatCode="General">
                        <c:v>-156.49808988764045</c:v>
                      </c:pt>
                      <c:pt idx="66" formatCode="General">
                        <c:v>-157.34146816479401</c:v>
                      </c:pt>
                      <c:pt idx="67" formatCode="General">
                        <c:v>-158.10131835205993</c:v>
                      </c:pt>
                      <c:pt idx="68" formatCode="General">
                        <c:v>-158.86116853932586</c:v>
                      </c:pt>
                      <c:pt idx="69" formatCode="General">
                        <c:v>-159.62101872659179</c:v>
                      </c:pt>
                      <c:pt idx="70" formatCode="General">
                        <c:v>-160.38086891385768</c:v>
                      </c:pt>
                      <c:pt idx="71" formatCode="General">
                        <c:v>-161.14071910112361</c:v>
                      </c:pt>
                      <c:pt idx="72" formatCode="General">
                        <c:v>-161.90056928838953</c:v>
                      </c:pt>
                      <c:pt idx="73" formatCode="General">
                        <c:v>-162.66041947565543</c:v>
                      </c:pt>
                      <c:pt idx="74" formatCode="General">
                        <c:v>-163.42026966292136</c:v>
                      </c:pt>
                      <c:pt idx="75" formatCode="General">
                        <c:v>-164.18011985018728</c:v>
                      </c:pt>
                      <c:pt idx="76" formatCode="General">
                        <c:v>-164.93997003745321</c:v>
                      </c:pt>
                      <c:pt idx="77" formatCode="General">
                        <c:v>-165.6998202247191</c:v>
                      </c:pt>
                      <c:pt idx="78" formatCode="General">
                        <c:v>-166.45967041198503</c:v>
                      </c:pt>
                      <c:pt idx="79" formatCode="General">
                        <c:v>-167.21952059925096</c:v>
                      </c:pt>
                      <c:pt idx="80" formatCode="General">
                        <c:v>-167.97937078651688</c:v>
                      </c:pt>
                      <c:pt idx="81" formatCode="General">
                        <c:v>-168.73922097378278</c:v>
                      </c:pt>
                      <c:pt idx="82" formatCode="General">
                        <c:v>-169.4990711610487</c:v>
                      </c:pt>
                      <c:pt idx="83" formatCode="General">
                        <c:v>-170.1970720720721</c:v>
                      </c:pt>
                      <c:pt idx="84" formatCode="General">
                        <c:v>-170.83911411411412</c:v>
                      </c:pt>
                      <c:pt idx="85" formatCode="General">
                        <c:v>-171.48115615615617</c:v>
                      </c:pt>
                      <c:pt idx="86" formatCode="General">
                        <c:v>-172.12319819819822</c:v>
                      </c:pt>
                      <c:pt idx="87" formatCode="General">
                        <c:v>-28.733663366336632</c:v>
                      </c:pt>
                      <c:pt idx="88" formatCode="General">
                        <c:v>-28.828712871287127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5-6F8E-44D6-9842-8CC6ABD00D40}"/>
                  </c:ext>
                </c:extLst>
              </c15:ser>
            </c15:filteredScatterSeries>
            <c15:filteredScatterSeries>
              <c15:ser>
                <c:idx val="32"/>
                <c:order val="34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306</c:v>
                      </c:pt>
                      <c:pt idx="1">
                        <c:v>314</c:v>
                      </c:pt>
                      <c:pt idx="2">
                        <c:v>322</c:v>
                      </c:pt>
                      <c:pt idx="3">
                        <c:v>330</c:v>
                      </c:pt>
                      <c:pt idx="4">
                        <c:v>338</c:v>
                      </c:pt>
                      <c:pt idx="5">
                        <c:v>346</c:v>
                      </c:pt>
                      <c:pt idx="6">
                        <c:v>354</c:v>
                      </c:pt>
                      <c:pt idx="7">
                        <c:v>362</c:v>
                      </c:pt>
                      <c:pt idx="8">
                        <c:v>370</c:v>
                      </c:pt>
                      <c:pt idx="9">
                        <c:v>378</c:v>
                      </c:pt>
                      <c:pt idx="10">
                        <c:v>386</c:v>
                      </c:pt>
                      <c:pt idx="11">
                        <c:v>394</c:v>
                      </c:pt>
                      <c:pt idx="12">
                        <c:v>402</c:v>
                      </c:pt>
                      <c:pt idx="13">
                        <c:v>410</c:v>
                      </c:pt>
                      <c:pt idx="14">
                        <c:v>418</c:v>
                      </c:pt>
                      <c:pt idx="15">
                        <c:v>426</c:v>
                      </c:pt>
                      <c:pt idx="16">
                        <c:v>434</c:v>
                      </c:pt>
                      <c:pt idx="17">
                        <c:v>442</c:v>
                      </c:pt>
                      <c:pt idx="18">
                        <c:v>450</c:v>
                      </c:pt>
                      <c:pt idx="19">
                        <c:v>458</c:v>
                      </c:pt>
                      <c:pt idx="20">
                        <c:v>466</c:v>
                      </c:pt>
                      <c:pt idx="21">
                        <c:v>474</c:v>
                      </c:pt>
                      <c:pt idx="22">
                        <c:v>482</c:v>
                      </c:pt>
                      <c:pt idx="23">
                        <c:v>490</c:v>
                      </c:pt>
                      <c:pt idx="24">
                        <c:v>498</c:v>
                      </c:pt>
                      <c:pt idx="25">
                        <c:v>506</c:v>
                      </c:pt>
                      <c:pt idx="26">
                        <c:v>514</c:v>
                      </c:pt>
                      <c:pt idx="27">
                        <c:v>522</c:v>
                      </c:pt>
                      <c:pt idx="28">
                        <c:v>530</c:v>
                      </c:pt>
                      <c:pt idx="29">
                        <c:v>538</c:v>
                      </c:pt>
                      <c:pt idx="30">
                        <c:v>546</c:v>
                      </c:pt>
                      <c:pt idx="31">
                        <c:v>554</c:v>
                      </c:pt>
                      <c:pt idx="32">
                        <c:v>562</c:v>
                      </c:pt>
                      <c:pt idx="33">
                        <c:v>570</c:v>
                      </c:pt>
                      <c:pt idx="34">
                        <c:v>578</c:v>
                      </c:pt>
                      <c:pt idx="35">
                        <c:v>586</c:v>
                      </c:pt>
                      <c:pt idx="36">
                        <c:v>594</c:v>
                      </c:pt>
                      <c:pt idx="37">
                        <c:v>602</c:v>
                      </c:pt>
                      <c:pt idx="38">
                        <c:v>610</c:v>
                      </c:pt>
                      <c:pt idx="39">
                        <c:v>618</c:v>
                      </c:pt>
                      <c:pt idx="40">
                        <c:v>626</c:v>
                      </c:pt>
                      <c:pt idx="41">
                        <c:v>634</c:v>
                      </c:pt>
                      <c:pt idx="42">
                        <c:v>642</c:v>
                      </c:pt>
                      <c:pt idx="43">
                        <c:v>650</c:v>
                      </c:pt>
                      <c:pt idx="44">
                        <c:v>658</c:v>
                      </c:pt>
                      <c:pt idx="45">
                        <c:v>666</c:v>
                      </c:pt>
                      <c:pt idx="46">
                        <c:v>674</c:v>
                      </c:pt>
                      <c:pt idx="47">
                        <c:v>682</c:v>
                      </c:pt>
                      <c:pt idx="48">
                        <c:v>690</c:v>
                      </c:pt>
                      <c:pt idx="49">
                        <c:v>698</c:v>
                      </c:pt>
                      <c:pt idx="50">
                        <c:v>706</c:v>
                      </c:pt>
                      <c:pt idx="51">
                        <c:v>714</c:v>
                      </c:pt>
                      <c:pt idx="52">
                        <c:v>722</c:v>
                      </c:pt>
                      <c:pt idx="53">
                        <c:v>730</c:v>
                      </c:pt>
                      <c:pt idx="54">
                        <c:v>738</c:v>
                      </c:pt>
                      <c:pt idx="55">
                        <c:v>746</c:v>
                      </c:pt>
                      <c:pt idx="56">
                        <c:v>754</c:v>
                      </c:pt>
                      <c:pt idx="57">
                        <c:v>762</c:v>
                      </c:pt>
                      <c:pt idx="58">
                        <c:v>770</c:v>
                      </c:pt>
                      <c:pt idx="59">
                        <c:v>778</c:v>
                      </c:pt>
                      <c:pt idx="60">
                        <c:v>786</c:v>
                      </c:pt>
                      <c:pt idx="61">
                        <c:v>794</c:v>
                      </c:pt>
                      <c:pt idx="62">
                        <c:v>802</c:v>
                      </c:pt>
                      <c:pt idx="63">
                        <c:v>810</c:v>
                      </c:pt>
                      <c:pt idx="64">
                        <c:v>818</c:v>
                      </c:pt>
                      <c:pt idx="65">
                        <c:v>826</c:v>
                      </c:pt>
                      <c:pt idx="66">
                        <c:v>834</c:v>
                      </c:pt>
                      <c:pt idx="67">
                        <c:v>842</c:v>
                      </c:pt>
                      <c:pt idx="68">
                        <c:v>850</c:v>
                      </c:pt>
                      <c:pt idx="69">
                        <c:v>858</c:v>
                      </c:pt>
                      <c:pt idx="70">
                        <c:v>866</c:v>
                      </c:pt>
                      <c:pt idx="71">
                        <c:v>874</c:v>
                      </c:pt>
                      <c:pt idx="72">
                        <c:v>882</c:v>
                      </c:pt>
                      <c:pt idx="73">
                        <c:v>890</c:v>
                      </c:pt>
                      <c:pt idx="74">
                        <c:v>898</c:v>
                      </c:pt>
                      <c:pt idx="75">
                        <c:v>906</c:v>
                      </c:pt>
                      <c:pt idx="76">
                        <c:v>914</c:v>
                      </c:pt>
                      <c:pt idx="77">
                        <c:v>922</c:v>
                      </c:pt>
                      <c:pt idx="78">
                        <c:v>930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EVALUATION!$B$135:$CP$135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-15.512792792792792</c:v>
                      </c:pt>
                      <c:pt idx="1">
                        <c:v>-15.013093093093092</c:v>
                      </c:pt>
                      <c:pt idx="2">
                        <c:v>-14.513393393393393</c:v>
                      </c:pt>
                      <c:pt idx="3">
                        <c:v>-14.013693693693693</c:v>
                      </c:pt>
                      <c:pt idx="4" formatCode="General">
                        <c:v>-13.456826347305389</c:v>
                      </c:pt>
                      <c:pt idx="5" formatCode="General">
                        <c:v>-12.886766467065867</c:v>
                      </c:pt>
                      <c:pt idx="6" formatCode="General">
                        <c:v>-12.316706586826346</c:v>
                      </c:pt>
                      <c:pt idx="7" formatCode="General">
                        <c:v>-11.746646706586823</c:v>
                      </c:pt>
                      <c:pt idx="8" formatCode="General">
                        <c:v>-11.204988023952094</c:v>
                      </c:pt>
                      <c:pt idx="9" formatCode="General">
                        <c:v>-10.679479041916167</c:v>
                      </c:pt>
                      <c:pt idx="10" formatCode="General">
                        <c:v>-10.153970059880239</c:v>
                      </c:pt>
                      <c:pt idx="11" formatCode="General">
                        <c:v>-9.628461077844312</c:v>
                      </c:pt>
                      <c:pt idx="12" formatCode="General">
                        <c:v>-9.1539101796407198</c:v>
                      </c:pt>
                      <c:pt idx="13" formatCode="General">
                        <c:v>-8.7385808383233528</c:v>
                      </c:pt>
                      <c:pt idx="14" formatCode="General">
                        <c:v>-8.3232514970059874</c:v>
                      </c:pt>
                      <c:pt idx="15" formatCode="General">
                        <c:v>-7.9079221556886221</c:v>
                      </c:pt>
                      <c:pt idx="16" formatCode="General">
                        <c:v>-7.5390748502994009</c:v>
                      </c:pt>
                      <c:pt idx="17" formatCode="General">
                        <c:v>-7.2854221556886225</c:v>
                      </c:pt>
                      <c:pt idx="18" formatCode="General">
                        <c:v>-7.031769461077845</c:v>
                      </c:pt>
                      <c:pt idx="19" formatCode="General">
                        <c:v>-6.7781167664670665</c:v>
                      </c:pt>
                      <c:pt idx="20" formatCode="General">
                        <c:v>-6.5428413173652693</c:v>
                      </c:pt>
                      <c:pt idx="21" formatCode="General">
                        <c:v>-6.4525419161676645</c:v>
                      </c:pt>
                      <c:pt idx="22" formatCode="General">
                        <c:v>-6.3622425149700597</c:v>
                      </c:pt>
                      <c:pt idx="23" formatCode="General">
                        <c:v>-6.2719431137724548</c:v>
                      </c:pt>
                      <c:pt idx="24" formatCode="General">
                        <c:v>-6.18164371257485</c:v>
                      </c:pt>
                      <c:pt idx="25" formatCode="General">
                        <c:v>-6.3239729729729737</c:v>
                      </c:pt>
                      <c:pt idx="26" formatCode="General">
                        <c:v>-6.4818108108108117</c:v>
                      </c:pt>
                      <c:pt idx="27" formatCode="General">
                        <c:v>-6.6396486486486497</c:v>
                      </c:pt>
                      <c:pt idx="28" formatCode="General">
                        <c:v>-6.7974864864864877</c:v>
                      </c:pt>
                      <c:pt idx="29" formatCode="General">
                        <c:v>-6.8348562874251497</c:v>
                      </c:pt>
                      <c:pt idx="30" formatCode="General">
                        <c:v>-6.8372514970059886</c:v>
                      </c:pt>
                      <c:pt idx="31" formatCode="General">
                        <c:v>-6.8396467065868265</c:v>
                      </c:pt>
                      <c:pt idx="32" formatCode="General">
                        <c:v>-6.8420419161676644</c:v>
                      </c:pt>
                      <c:pt idx="33" formatCode="General">
                        <c:v>-6.8517664670658682</c:v>
                      </c:pt>
                      <c:pt idx="34" formatCode="General">
                        <c:v>-6.866377245508982</c:v>
                      </c:pt>
                      <c:pt idx="35" formatCode="General">
                        <c:v>-6.8809880239520957</c:v>
                      </c:pt>
                      <c:pt idx="36" formatCode="General">
                        <c:v>-6.8955988023952095</c:v>
                      </c:pt>
                      <c:pt idx="37" formatCode="General">
                        <c:v>-6.911838323353293</c:v>
                      </c:pt>
                      <c:pt idx="38" formatCode="General">
                        <c:v>-6.930281437125748</c:v>
                      </c:pt>
                      <c:pt idx="39" formatCode="General">
                        <c:v>-6.9487245508982038</c:v>
                      </c:pt>
                      <c:pt idx="40" formatCode="General">
                        <c:v>-6.9671676646706588</c:v>
                      </c:pt>
                      <c:pt idx="41" formatCode="General">
                        <c:v>-6.9858502994011973</c:v>
                      </c:pt>
                      <c:pt idx="42" formatCode="General">
                        <c:v>-7.0052514970059878</c:v>
                      </c:pt>
                      <c:pt idx="43" formatCode="General">
                        <c:v>-7.0246526946107783</c:v>
                      </c:pt>
                      <c:pt idx="44" formatCode="General">
                        <c:v>-7.0440538922155689</c:v>
                      </c:pt>
                      <c:pt idx="45" formatCode="General">
                        <c:v>-7.0634550898203594</c:v>
                      </c:pt>
                      <c:pt idx="46" formatCode="General">
                        <c:v>-7.0828562874251499</c:v>
                      </c:pt>
                      <c:pt idx="47" formatCode="General">
                        <c:v>-7.1022574850299405</c:v>
                      </c:pt>
                      <c:pt idx="48" formatCode="General">
                        <c:v>-7.1216586826347301</c:v>
                      </c:pt>
                      <c:pt idx="49" formatCode="General">
                        <c:v>-7.1410598802395207</c:v>
                      </c:pt>
                      <c:pt idx="50" formatCode="General">
                        <c:v>-7.1602584269662923</c:v>
                      </c:pt>
                      <c:pt idx="51" formatCode="General">
                        <c:v>-7.1794344569288393</c:v>
                      </c:pt>
                      <c:pt idx="52" formatCode="General">
                        <c:v>-7.1986104868913854</c:v>
                      </c:pt>
                      <c:pt idx="53" formatCode="General">
                        <c:v>-7.2177865168539324</c:v>
                      </c:pt>
                      <c:pt idx="54" formatCode="General">
                        <c:v>-7.2369625468164793</c:v>
                      </c:pt>
                      <c:pt idx="55" formatCode="General">
                        <c:v>-7.2561385767790263</c:v>
                      </c:pt>
                      <c:pt idx="56" formatCode="General">
                        <c:v>-7.2753146067415733</c:v>
                      </c:pt>
                      <c:pt idx="57" formatCode="General">
                        <c:v>-7.2944906367041202</c:v>
                      </c:pt>
                      <c:pt idx="58" formatCode="General">
                        <c:v>-7.3136666666666663</c:v>
                      </c:pt>
                      <c:pt idx="59" formatCode="General">
                        <c:v>-7.3328426966292133</c:v>
                      </c:pt>
                      <c:pt idx="60" formatCode="General">
                        <c:v>-7.3520187265917603</c:v>
                      </c:pt>
                      <c:pt idx="61" formatCode="General">
                        <c:v>-7.3711947565543072</c:v>
                      </c:pt>
                      <c:pt idx="62" formatCode="General">
                        <c:v>-7.3903707865168542</c:v>
                      </c:pt>
                      <c:pt idx="63" formatCode="General">
                        <c:v>-7.4095468164794012</c:v>
                      </c:pt>
                      <c:pt idx="64" formatCode="General">
                        <c:v>-7.4287228464419481</c:v>
                      </c:pt>
                      <c:pt idx="65" formatCode="General">
                        <c:v>-7.4478988764044942</c:v>
                      </c:pt>
                      <c:pt idx="66" formatCode="General">
                        <c:v>-7.4668456928838953</c:v>
                      </c:pt>
                      <c:pt idx="67" formatCode="General">
                        <c:v>-7.484943071161049</c:v>
                      </c:pt>
                      <c:pt idx="68" formatCode="General">
                        <c:v>-7.5030404494382026</c:v>
                      </c:pt>
                      <c:pt idx="69" formatCode="General">
                        <c:v>-7.5211378277153562</c:v>
                      </c:pt>
                      <c:pt idx="70" formatCode="General">
                        <c:v>-7.5392352059925098</c:v>
                      </c:pt>
                      <c:pt idx="71" formatCode="General">
                        <c:v>-7.5573325842696626</c:v>
                      </c:pt>
                      <c:pt idx="72" formatCode="General">
                        <c:v>-7.5754299625468162</c:v>
                      </c:pt>
                      <c:pt idx="73" formatCode="General">
                        <c:v>-7.5935273408239699</c:v>
                      </c:pt>
                      <c:pt idx="74" formatCode="General">
                        <c:v>-7.6116247191011235</c:v>
                      </c:pt>
                      <c:pt idx="75" formatCode="General">
                        <c:v>-7.6297220973782771</c:v>
                      </c:pt>
                      <c:pt idx="76" formatCode="General">
                        <c:v>-7.6478194756554307</c:v>
                      </c:pt>
                      <c:pt idx="77" formatCode="General">
                        <c:v>-7.6659168539325844</c:v>
                      </c:pt>
                      <c:pt idx="78" formatCode="General">
                        <c:v>-7.684014232209738</c:v>
                      </c:pt>
                      <c:pt idx="79" formatCode="General">
                        <c:v>-7.7021116104868916</c:v>
                      </c:pt>
                      <c:pt idx="80" formatCode="General">
                        <c:v>-7.7202089887640444</c:v>
                      </c:pt>
                      <c:pt idx="81" formatCode="General">
                        <c:v>-7.738306367041198</c:v>
                      </c:pt>
                      <c:pt idx="82" formatCode="General">
                        <c:v>-7.7564037453183516</c:v>
                      </c:pt>
                      <c:pt idx="83" formatCode="General">
                        <c:v>-7.7739234234234234</c:v>
                      </c:pt>
                      <c:pt idx="84" formatCode="General">
                        <c:v>-7.7909204204204201</c:v>
                      </c:pt>
                      <c:pt idx="85" formatCode="General">
                        <c:v>-7.8079174174174168</c:v>
                      </c:pt>
                      <c:pt idx="86" formatCode="General">
                        <c:v>-7.8249144144144145</c:v>
                      </c:pt>
                      <c:pt idx="87" formatCode="General">
                        <c:v>-64.814138613861388</c:v>
                      </c:pt>
                      <c:pt idx="88" formatCode="General">
                        <c:v>-65.022059405940595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6-6F8E-44D6-9842-8CC6ABD00D40}"/>
                  </c:ext>
                </c:extLst>
              </c15:ser>
            </c15:filteredScatterSeries>
            <c15:filteredScatterSeries>
              <c15:ser>
                <c:idx val="33"/>
                <c:order val="35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306</c:v>
                      </c:pt>
                      <c:pt idx="1">
                        <c:v>314</c:v>
                      </c:pt>
                      <c:pt idx="2">
                        <c:v>322</c:v>
                      </c:pt>
                      <c:pt idx="3">
                        <c:v>330</c:v>
                      </c:pt>
                      <c:pt idx="4">
                        <c:v>338</c:v>
                      </c:pt>
                      <c:pt idx="5">
                        <c:v>346</c:v>
                      </c:pt>
                      <c:pt idx="6">
                        <c:v>354</c:v>
                      </c:pt>
                      <c:pt idx="7">
                        <c:v>362</c:v>
                      </c:pt>
                      <c:pt idx="8">
                        <c:v>370</c:v>
                      </c:pt>
                      <c:pt idx="9">
                        <c:v>378</c:v>
                      </c:pt>
                      <c:pt idx="10">
                        <c:v>386</c:v>
                      </c:pt>
                      <c:pt idx="11">
                        <c:v>394</c:v>
                      </c:pt>
                      <c:pt idx="12">
                        <c:v>402</c:v>
                      </c:pt>
                      <c:pt idx="13">
                        <c:v>410</c:v>
                      </c:pt>
                      <c:pt idx="14">
                        <c:v>418</c:v>
                      </c:pt>
                      <c:pt idx="15">
                        <c:v>426</c:v>
                      </c:pt>
                      <c:pt idx="16">
                        <c:v>434</c:v>
                      </c:pt>
                      <c:pt idx="17">
                        <c:v>442</c:v>
                      </c:pt>
                      <c:pt idx="18">
                        <c:v>450</c:v>
                      </c:pt>
                      <c:pt idx="19">
                        <c:v>458</c:v>
                      </c:pt>
                      <c:pt idx="20">
                        <c:v>466</c:v>
                      </c:pt>
                      <c:pt idx="21">
                        <c:v>474</c:v>
                      </c:pt>
                      <c:pt idx="22">
                        <c:v>482</c:v>
                      </c:pt>
                      <c:pt idx="23">
                        <c:v>490</c:v>
                      </c:pt>
                      <c:pt idx="24">
                        <c:v>498</c:v>
                      </c:pt>
                      <c:pt idx="25">
                        <c:v>506</c:v>
                      </c:pt>
                      <c:pt idx="26">
                        <c:v>514</c:v>
                      </c:pt>
                      <c:pt idx="27">
                        <c:v>522</c:v>
                      </c:pt>
                      <c:pt idx="28">
                        <c:v>530</c:v>
                      </c:pt>
                      <c:pt idx="29">
                        <c:v>538</c:v>
                      </c:pt>
                      <c:pt idx="30">
                        <c:v>546</c:v>
                      </c:pt>
                      <c:pt idx="31">
                        <c:v>554</c:v>
                      </c:pt>
                      <c:pt idx="32">
                        <c:v>562</c:v>
                      </c:pt>
                      <c:pt idx="33">
                        <c:v>570</c:v>
                      </c:pt>
                      <c:pt idx="34">
                        <c:v>578</c:v>
                      </c:pt>
                      <c:pt idx="35">
                        <c:v>586</c:v>
                      </c:pt>
                      <c:pt idx="36">
                        <c:v>594</c:v>
                      </c:pt>
                      <c:pt idx="37">
                        <c:v>602</c:v>
                      </c:pt>
                      <c:pt idx="38">
                        <c:v>610</c:v>
                      </c:pt>
                      <c:pt idx="39">
                        <c:v>618</c:v>
                      </c:pt>
                      <c:pt idx="40">
                        <c:v>626</c:v>
                      </c:pt>
                      <c:pt idx="41">
                        <c:v>634</c:v>
                      </c:pt>
                      <c:pt idx="42">
                        <c:v>642</c:v>
                      </c:pt>
                      <c:pt idx="43">
                        <c:v>650</c:v>
                      </c:pt>
                      <c:pt idx="44">
                        <c:v>658</c:v>
                      </c:pt>
                      <c:pt idx="45">
                        <c:v>666</c:v>
                      </c:pt>
                      <c:pt idx="46">
                        <c:v>674</c:v>
                      </c:pt>
                      <c:pt idx="47">
                        <c:v>682</c:v>
                      </c:pt>
                      <c:pt idx="48">
                        <c:v>690</c:v>
                      </c:pt>
                      <c:pt idx="49">
                        <c:v>698</c:v>
                      </c:pt>
                      <c:pt idx="50">
                        <c:v>706</c:v>
                      </c:pt>
                      <c:pt idx="51">
                        <c:v>714</c:v>
                      </c:pt>
                      <c:pt idx="52">
                        <c:v>722</c:v>
                      </c:pt>
                      <c:pt idx="53">
                        <c:v>730</c:v>
                      </c:pt>
                      <c:pt idx="54">
                        <c:v>738</c:v>
                      </c:pt>
                      <c:pt idx="55">
                        <c:v>746</c:v>
                      </c:pt>
                      <c:pt idx="56">
                        <c:v>754</c:v>
                      </c:pt>
                      <c:pt idx="57">
                        <c:v>762</c:v>
                      </c:pt>
                      <c:pt idx="58">
                        <c:v>770</c:v>
                      </c:pt>
                      <c:pt idx="59">
                        <c:v>778</c:v>
                      </c:pt>
                      <c:pt idx="60">
                        <c:v>786</c:v>
                      </c:pt>
                      <c:pt idx="61">
                        <c:v>794</c:v>
                      </c:pt>
                      <c:pt idx="62">
                        <c:v>802</c:v>
                      </c:pt>
                      <c:pt idx="63">
                        <c:v>810</c:v>
                      </c:pt>
                      <c:pt idx="64">
                        <c:v>818</c:v>
                      </c:pt>
                      <c:pt idx="65">
                        <c:v>826</c:v>
                      </c:pt>
                      <c:pt idx="66">
                        <c:v>834</c:v>
                      </c:pt>
                      <c:pt idx="67">
                        <c:v>842</c:v>
                      </c:pt>
                      <c:pt idx="68">
                        <c:v>850</c:v>
                      </c:pt>
                      <c:pt idx="69">
                        <c:v>858</c:v>
                      </c:pt>
                      <c:pt idx="70">
                        <c:v>866</c:v>
                      </c:pt>
                      <c:pt idx="71">
                        <c:v>874</c:v>
                      </c:pt>
                      <c:pt idx="72">
                        <c:v>882</c:v>
                      </c:pt>
                      <c:pt idx="73">
                        <c:v>890</c:v>
                      </c:pt>
                      <c:pt idx="74">
                        <c:v>898</c:v>
                      </c:pt>
                      <c:pt idx="75">
                        <c:v>906</c:v>
                      </c:pt>
                      <c:pt idx="76">
                        <c:v>914</c:v>
                      </c:pt>
                      <c:pt idx="77">
                        <c:v>922</c:v>
                      </c:pt>
                      <c:pt idx="78">
                        <c:v>930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EVALUATION!$B$136:$CP$136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-18.877657657657657</c:v>
                      </c:pt>
                      <c:pt idx="1">
                        <c:v>-18.875255255255254</c:v>
                      </c:pt>
                      <c:pt idx="2">
                        <c:v>-18.872852852852855</c:v>
                      </c:pt>
                      <c:pt idx="3">
                        <c:v>-18.870450450450452</c:v>
                      </c:pt>
                      <c:pt idx="4" formatCode="General">
                        <c:v>-18.875838323353292</c:v>
                      </c:pt>
                      <c:pt idx="5" formatCode="General">
                        <c:v>-18.883023952095808</c:v>
                      </c:pt>
                      <c:pt idx="6" formatCode="General">
                        <c:v>-18.890209580838324</c:v>
                      </c:pt>
                      <c:pt idx="7" formatCode="General">
                        <c:v>-18.897395209580836</c:v>
                      </c:pt>
                      <c:pt idx="8" formatCode="General">
                        <c:v>-18.906107784431136</c:v>
                      </c:pt>
                      <c:pt idx="9" formatCode="General">
                        <c:v>-18.915688622754491</c:v>
                      </c:pt>
                      <c:pt idx="10" formatCode="General">
                        <c:v>-18.925269461077846</c:v>
                      </c:pt>
                      <c:pt idx="11" formatCode="General">
                        <c:v>-18.934850299401198</c:v>
                      </c:pt>
                      <c:pt idx="12" formatCode="General">
                        <c:v>-18.945538922155688</c:v>
                      </c:pt>
                      <c:pt idx="13" formatCode="General">
                        <c:v>-18.957514970059879</c:v>
                      </c:pt>
                      <c:pt idx="14" formatCode="General">
                        <c:v>-18.969491017964071</c:v>
                      </c:pt>
                      <c:pt idx="15" formatCode="General">
                        <c:v>-18.981467065868262</c:v>
                      </c:pt>
                      <c:pt idx="16" formatCode="General">
                        <c:v>-18.993443113772454</c:v>
                      </c:pt>
                      <c:pt idx="17" formatCode="General">
                        <c:v>-19.005419161676645</c:v>
                      </c:pt>
                      <c:pt idx="18" formatCode="General">
                        <c:v>-19.017395209580837</c:v>
                      </c:pt>
                      <c:pt idx="19" formatCode="General">
                        <c:v>-19.029371257485028</c:v>
                      </c:pt>
                      <c:pt idx="20" formatCode="General">
                        <c:v>-19.040808383233532</c:v>
                      </c:pt>
                      <c:pt idx="21" formatCode="General">
                        <c:v>-19.047994011976048</c:v>
                      </c:pt>
                      <c:pt idx="22" formatCode="General">
                        <c:v>-19.055179640718563</c:v>
                      </c:pt>
                      <c:pt idx="23" formatCode="General">
                        <c:v>-19.062365269461079</c:v>
                      </c:pt>
                      <c:pt idx="24" formatCode="General">
                        <c:v>-19.069550898203595</c:v>
                      </c:pt>
                      <c:pt idx="25" formatCode="General">
                        <c:v>-19.045225225225227</c:v>
                      </c:pt>
                      <c:pt idx="26" formatCode="General">
                        <c:v>-19.018798798798798</c:v>
                      </c:pt>
                      <c:pt idx="27" formatCode="General">
                        <c:v>-18.992372372372373</c:v>
                      </c:pt>
                      <c:pt idx="28" formatCode="General">
                        <c:v>-18.965945945945947</c:v>
                      </c:pt>
                      <c:pt idx="29" formatCode="General">
                        <c:v>-18.972994011976049</c:v>
                      </c:pt>
                      <c:pt idx="30" formatCode="General">
                        <c:v>-18.989760479041916</c:v>
                      </c:pt>
                      <c:pt idx="31" formatCode="General">
                        <c:v>-19.006526946107787</c:v>
                      </c:pt>
                      <c:pt idx="32" formatCode="General">
                        <c:v>-19.023293413173654</c:v>
                      </c:pt>
                      <c:pt idx="33" formatCode="General">
                        <c:v>-19.040059880239522</c:v>
                      </c:pt>
                      <c:pt idx="34" formatCode="General">
                        <c:v>-19.056826347305389</c:v>
                      </c:pt>
                      <c:pt idx="35" formatCode="General">
                        <c:v>-19.07359281437126</c:v>
                      </c:pt>
                      <c:pt idx="36" formatCode="General">
                        <c:v>-19.090359281437127</c:v>
                      </c:pt>
                      <c:pt idx="37" formatCode="General">
                        <c:v>-19.107125748502995</c:v>
                      </c:pt>
                      <c:pt idx="38" formatCode="General">
                        <c:v>-19.123892215568866</c:v>
                      </c:pt>
                      <c:pt idx="39" formatCode="General">
                        <c:v>-19.140658682634733</c:v>
                      </c:pt>
                      <c:pt idx="40" formatCode="General">
                        <c:v>-19.1574251497006</c:v>
                      </c:pt>
                      <c:pt idx="41" formatCode="General">
                        <c:v>-19.174191616766468</c:v>
                      </c:pt>
                      <c:pt idx="42" formatCode="General">
                        <c:v>-19.190958083832335</c:v>
                      </c:pt>
                      <c:pt idx="43" formatCode="General">
                        <c:v>-19.207724550898202</c:v>
                      </c:pt>
                      <c:pt idx="44" formatCode="General">
                        <c:v>-19.22449101796407</c:v>
                      </c:pt>
                      <c:pt idx="45" formatCode="General">
                        <c:v>-19.241257485029937</c:v>
                      </c:pt>
                      <c:pt idx="46" formatCode="General">
                        <c:v>-19.258023952095808</c:v>
                      </c:pt>
                      <c:pt idx="47" formatCode="General">
                        <c:v>-19.274790419161675</c:v>
                      </c:pt>
                      <c:pt idx="48" formatCode="General">
                        <c:v>-19.291556886227543</c:v>
                      </c:pt>
                      <c:pt idx="49" formatCode="General">
                        <c:v>-19.30832335329341</c:v>
                      </c:pt>
                      <c:pt idx="50" formatCode="General">
                        <c:v>-19.324022471910112</c:v>
                      </c:pt>
                      <c:pt idx="51" formatCode="General">
                        <c:v>-19.33960299625468</c:v>
                      </c:pt>
                      <c:pt idx="52" formatCode="General">
                        <c:v>-19.355183520599251</c:v>
                      </c:pt>
                      <c:pt idx="53" formatCode="General">
                        <c:v>-19.370764044943819</c:v>
                      </c:pt>
                      <c:pt idx="54" formatCode="General">
                        <c:v>-19.38634456928839</c:v>
                      </c:pt>
                      <c:pt idx="55" formatCode="General">
                        <c:v>-19.401925093632958</c:v>
                      </c:pt>
                      <c:pt idx="56" formatCode="General">
                        <c:v>-19.417505617977529</c:v>
                      </c:pt>
                      <c:pt idx="57" formatCode="General">
                        <c:v>-19.433086142322097</c:v>
                      </c:pt>
                      <c:pt idx="58" formatCode="General">
                        <c:v>-19.448666666666668</c:v>
                      </c:pt>
                      <c:pt idx="59" formatCode="General">
                        <c:v>-19.464247191011236</c:v>
                      </c:pt>
                      <c:pt idx="60" formatCode="General">
                        <c:v>-19.479827715355807</c:v>
                      </c:pt>
                      <c:pt idx="61" formatCode="General">
                        <c:v>-19.495408239700375</c:v>
                      </c:pt>
                      <c:pt idx="62" formatCode="General">
                        <c:v>-19.510988764044942</c:v>
                      </c:pt>
                      <c:pt idx="63" formatCode="General">
                        <c:v>-19.526569288389513</c:v>
                      </c:pt>
                      <c:pt idx="64" formatCode="General">
                        <c:v>-19.542149812734081</c:v>
                      </c:pt>
                      <c:pt idx="65" formatCode="General">
                        <c:v>-19.557730337078652</c:v>
                      </c:pt>
                      <c:pt idx="66" formatCode="General">
                        <c:v>-19.573183520599251</c:v>
                      </c:pt>
                      <c:pt idx="67" formatCode="General">
                        <c:v>-19.58816479400749</c:v>
                      </c:pt>
                      <c:pt idx="68" formatCode="General">
                        <c:v>-19.603146067415732</c:v>
                      </c:pt>
                      <c:pt idx="69" formatCode="General">
                        <c:v>-19.618127340823971</c:v>
                      </c:pt>
                      <c:pt idx="70" formatCode="General">
                        <c:v>-19.63310861423221</c:v>
                      </c:pt>
                      <c:pt idx="71" formatCode="General">
                        <c:v>-19.648089887640449</c:v>
                      </c:pt>
                      <c:pt idx="72" formatCode="General">
                        <c:v>-19.663071161048691</c:v>
                      </c:pt>
                      <c:pt idx="73" formatCode="General">
                        <c:v>-19.67805243445693</c:v>
                      </c:pt>
                      <c:pt idx="74" formatCode="General">
                        <c:v>-19.693033707865169</c:v>
                      </c:pt>
                      <c:pt idx="75" formatCode="General">
                        <c:v>-19.708014981273408</c:v>
                      </c:pt>
                      <c:pt idx="76" formatCode="General">
                        <c:v>-19.722996254681647</c:v>
                      </c:pt>
                      <c:pt idx="77" formatCode="General">
                        <c:v>-19.737977528089889</c:v>
                      </c:pt>
                      <c:pt idx="78" formatCode="General">
                        <c:v>-19.752958801498128</c:v>
                      </c:pt>
                      <c:pt idx="79" formatCode="General">
                        <c:v>-19.767940074906367</c:v>
                      </c:pt>
                      <c:pt idx="80" formatCode="General">
                        <c:v>-19.782921348314606</c:v>
                      </c:pt>
                      <c:pt idx="81" formatCode="General">
                        <c:v>-19.797902621722848</c:v>
                      </c:pt>
                      <c:pt idx="82" formatCode="General">
                        <c:v>-19.812883895131087</c:v>
                      </c:pt>
                      <c:pt idx="83" formatCode="General">
                        <c:v>-19.827252252252254</c:v>
                      </c:pt>
                      <c:pt idx="84" formatCode="General">
                        <c:v>-19.841066066066066</c:v>
                      </c:pt>
                      <c:pt idx="85" formatCode="General">
                        <c:v>-19.854879879879881</c:v>
                      </c:pt>
                      <c:pt idx="86" formatCode="General">
                        <c:v>-19.868693693693693</c:v>
                      </c:pt>
                      <c:pt idx="87" formatCode="General">
                        <c:v>-102.44289108910891</c:v>
                      </c:pt>
                      <c:pt idx="88" formatCode="General">
                        <c:v>-102.77952475247524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7-6F8E-44D6-9842-8CC6ABD00D40}"/>
                  </c:ext>
                </c:extLst>
              </c15:ser>
            </c15:filteredScatterSeries>
            <c15:filteredScatterSeries>
              <c15:ser>
                <c:idx val="34"/>
                <c:order val="36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306</c:v>
                      </c:pt>
                      <c:pt idx="1">
                        <c:v>314</c:v>
                      </c:pt>
                      <c:pt idx="2">
                        <c:v>322</c:v>
                      </c:pt>
                      <c:pt idx="3">
                        <c:v>330</c:v>
                      </c:pt>
                      <c:pt idx="4">
                        <c:v>338</c:v>
                      </c:pt>
                      <c:pt idx="5">
                        <c:v>346</c:v>
                      </c:pt>
                      <c:pt idx="6">
                        <c:v>354</c:v>
                      </c:pt>
                      <c:pt idx="7">
                        <c:v>362</c:v>
                      </c:pt>
                      <c:pt idx="8">
                        <c:v>370</c:v>
                      </c:pt>
                      <c:pt idx="9">
                        <c:v>378</c:v>
                      </c:pt>
                      <c:pt idx="10">
                        <c:v>386</c:v>
                      </c:pt>
                      <c:pt idx="11">
                        <c:v>394</c:v>
                      </c:pt>
                      <c:pt idx="12">
                        <c:v>402</c:v>
                      </c:pt>
                      <c:pt idx="13">
                        <c:v>410</c:v>
                      </c:pt>
                      <c:pt idx="14">
                        <c:v>418</c:v>
                      </c:pt>
                      <c:pt idx="15">
                        <c:v>426</c:v>
                      </c:pt>
                      <c:pt idx="16">
                        <c:v>434</c:v>
                      </c:pt>
                      <c:pt idx="17">
                        <c:v>442</c:v>
                      </c:pt>
                      <c:pt idx="18">
                        <c:v>450</c:v>
                      </c:pt>
                      <c:pt idx="19">
                        <c:v>458</c:v>
                      </c:pt>
                      <c:pt idx="20">
                        <c:v>466</c:v>
                      </c:pt>
                      <c:pt idx="21">
                        <c:v>474</c:v>
                      </c:pt>
                      <c:pt idx="22">
                        <c:v>482</c:v>
                      </c:pt>
                      <c:pt idx="23">
                        <c:v>490</c:v>
                      </c:pt>
                      <c:pt idx="24">
                        <c:v>498</c:v>
                      </c:pt>
                      <c:pt idx="25">
                        <c:v>506</c:v>
                      </c:pt>
                      <c:pt idx="26">
                        <c:v>514</c:v>
                      </c:pt>
                      <c:pt idx="27">
                        <c:v>522</c:v>
                      </c:pt>
                      <c:pt idx="28">
                        <c:v>530</c:v>
                      </c:pt>
                      <c:pt idx="29">
                        <c:v>538</c:v>
                      </c:pt>
                      <c:pt idx="30">
                        <c:v>546</c:v>
                      </c:pt>
                      <c:pt idx="31">
                        <c:v>554</c:v>
                      </c:pt>
                      <c:pt idx="32">
                        <c:v>562</c:v>
                      </c:pt>
                      <c:pt idx="33">
                        <c:v>570</c:v>
                      </c:pt>
                      <c:pt idx="34">
                        <c:v>578</c:v>
                      </c:pt>
                      <c:pt idx="35">
                        <c:v>586</c:v>
                      </c:pt>
                      <c:pt idx="36">
                        <c:v>594</c:v>
                      </c:pt>
                      <c:pt idx="37">
                        <c:v>602</c:v>
                      </c:pt>
                      <c:pt idx="38">
                        <c:v>610</c:v>
                      </c:pt>
                      <c:pt idx="39">
                        <c:v>618</c:v>
                      </c:pt>
                      <c:pt idx="40">
                        <c:v>626</c:v>
                      </c:pt>
                      <c:pt idx="41">
                        <c:v>634</c:v>
                      </c:pt>
                      <c:pt idx="42">
                        <c:v>642</c:v>
                      </c:pt>
                      <c:pt idx="43">
                        <c:v>650</c:v>
                      </c:pt>
                      <c:pt idx="44">
                        <c:v>658</c:v>
                      </c:pt>
                      <c:pt idx="45">
                        <c:v>666</c:v>
                      </c:pt>
                      <c:pt idx="46">
                        <c:v>674</c:v>
                      </c:pt>
                      <c:pt idx="47">
                        <c:v>682</c:v>
                      </c:pt>
                      <c:pt idx="48">
                        <c:v>690</c:v>
                      </c:pt>
                      <c:pt idx="49">
                        <c:v>698</c:v>
                      </c:pt>
                      <c:pt idx="50">
                        <c:v>706</c:v>
                      </c:pt>
                      <c:pt idx="51">
                        <c:v>714</c:v>
                      </c:pt>
                      <c:pt idx="52">
                        <c:v>722</c:v>
                      </c:pt>
                      <c:pt idx="53">
                        <c:v>730</c:v>
                      </c:pt>
                      <c:pt idx="54">
                        <c:v>738</c:v>
                      </c:pt>
                      <c:pt idx="55">
                        <c:v>746</c:v>
                      </c:pt>
                      <c:pt idx="56">
                        <c:v>754</c:v>
                      </c:pt>
                      <c:pt idx="57">
                        <c:v>762</c:v>
                      </c:pt>
                      <c:pt idx="58">
                        <c:v>770</c:v>
                      </c:pt>
                      <c:pt idx="59">
                        <c:v>778</c:v>
                      </c:pt>
                      <c:pt idx="60">
                        <c:v>786</c:v>
                      </c:pt>
                      <c:pt idx="61">
                        <c:v>794</c:v>
                      </c:pt>
                      <c:pt idx="62">
                        <c:v>802</c:v>
                      </c:pt>
                      <c:pt idx="63">
                        <c:v>810</c:v>
                      </c:pt>
                      <c:pt idx="64">
                        <c:v>818</c:v>
                      </c:pt>
                      <c:pt idx="65">
                        <c:v>826</c:v>
                      </c:pt>
                      <c:pt idx="66">
                        <c:v>834</c:v>
                      </c:pt>
                      <c:pt idx="67">
                        <c:v>842</c:v>
                      </c:pt>
                      <c:pt idx="68">
                        <c:v>850</c:v>
                      </c:pt>
                      <c:pt idx="69">
                        <c:v>858</c:v>
                      </c:pt>
                      <c:pt idx="70">
                        <c:v>866</c:v>
                      </c:pt>
                      <c:pt idx="71">
                        <c:v>874</c:v>
                      </c:pt>
                      <c:pt idx="72">
                        <c:v>882</c:v>
                      </c:pt>
                      <c:pt idx="73">
                        <c:v>890</c:v>
                      </c:pt>
                      <c:pt idx="74">
                        <c:v>898</c:v>
                      </c:pt>
                      <c:pt idx="75">
                        <c:v>906</c:v>
                      </c:pt>
                      <c:pt idx="76">
                        <c:v>914</c:v>
                      </c:pt>
                      <c:pt idx="77">
                        <c:v>922</c:v>
                      </c:pt>
                      <c:pt idx="78">
                        <c:v>930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EVALUATION!$B$137:$CP$137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-59.399279279279277</c:v>
                      </c:pt>
                      <c:pt idx="1">
                        <c:v>-58.495975975975981</c:v>
                      </c:pt>
                      <c:pt idx="2">
                        <c:v>-57.592672672672677</c:v>
                      </c:pt>
                      <c:pt idx="3">
                        <c:v>-56.689369369369373</c:v>
                      </c:pt>
                      <c:pt idx="4" formatCode="General">
                        <c:v>-56.091856287425152</c:v>
                      </c:pt>
                      <c:pt idx="5" formatCode="General">
                        <c:v>-55.564910179640719</c:v>
                      </c:pt>
                      <c:pt idx="6" formatCode="General">
                        <c:v>-55.037964071856287</c:v>
                      </c:pt>
                      <c:pt idx="7" formatCode="General">
                        <c:v>-54.511017964071854</c:v>
                      </c:pt>
                      <c:pt idx="8" formatCode="General">
                        <c:v>-54.110197604790422</c:v>
                      </c:pt>
                      <c:pt idx="9" formatCode="General">
                        <c:v>-53.781095808383235</c:v>
                      </c:pt>
                      <c:pt idx="10" formatCode="General">
                        <c:v>-53.451994011976048</c:v>
                      </c:pt>
                      <c:pt idx="11" formatCode="General">
                        <c:v>-53.122892215568861</c:v>
                      </c:pt>
                      <c:pt idx="12" formatCode="General">
                        <c:v>-52.840317365269463</c:v>
                      </c:pt>
                      <c:pt idx="13" formatCode="General">
                        <c:v>-52.611814371257488</c:v>
                      </c:pt>
                      <c:pt idx="14" formatCode="General">
                        <c:v>-52.383311377245512</c:v>
                      </c:pt>
                      <c:pt idx="15" formatCode="General">
                        <c:v>-52.154808383233537</c:v>
                      </c:pt>
                      <c:pt idx="16" formatCode="General">
                        <c:v>-51.959014970059883</c:v>
                      </c:pt>
                      <c:pt idx="17" formatCode="General">
                        <c:v>-51.84428443113773</c:v>
                      </c:pt>
                      <c:pt idx="18" formatCode="General">
                        <c:v>-51.72955389221557</c:v>
                      </c:pt>
                      <c:pt idx="19" formatCode="General">
                        <c:v>-51.61482335329341</c:v>
                      </c:pt>
                      <c:pt idx="20" formatCode="General">
                        <c:v>-51.519547904191612</c:v>
                      </c:pt>
                      <c:pt idx="21" formatCode="General">
                        <c:v>-51.577751497005984</c:v>
                      </c:pt>
                      <c:pt idx="22" formatCode="General">
                        <c:v>-51.635955089820357</c:v>
                      </c:pt>
                      <c:pt idx="23" formatCode="General">
                        <c:v>-51.694158682634729</c:v>
                      </c:pt>
                      <c:pt idx="24" formatCode="General">
                        <c:v>-51.752362275449102</c:v>
                      </c:pt>
                      <c:pt idx="25" formatCode="General">
                        <c:v>-52.016585585585588</c:v>
                      </c:pt>
                      <c:pt idx="26" formatCode="General">
                        <c:v>-52.29454354354354</c:v>
                      </c:pt>
                      <c:pt idx="27" formatCode="General">
                        <c:v>-52.572501501501499</c:v>
                      </c:pt>
                      <c:pt idx="28" formatCode="General">
                        <c:v>-52.850459459459458</c:v>
                      </c:pt>
                      <c:pt idx="29" formatCode="General">
                        <c:v>-53.09677245508982</c:v>
                      </c:pt>
                      <c:pt idx="30" formatCode="General">
                        <c:v>-53.333898203592817</c:v>
                      </c:pt>
                      <c:pt idx="31" formatCode="General">
                        <c:v>-53.571023952095814</c:v>
                      </c:pt>
                      <c:pt idx="32" formatCode="General">
                        <c:v>-53.808149700598804</c:v>
                      </c:pt>
                      <c:pt idx="33" formatCode="General">
                        <c:v>-54.055479041916172</c:v>
                      </c:pt>
                      <c:pt idx="34" formatCode="General">
                        <c:v>-54.309610778443115</c:v>
                      </c:pt>
                      <c:pt idx="35" formatCode="General">
                        <c:v>-54.563742514970059</c:v>
                      </c:pt>
                      <c:pt idx="36" formatCode="General">
                        <c:v>-54.817874251497003</c:v>
                      </c:pt>
                      <c:pt idx="37" formatCode="General">
                        <c:v>-55.069562874251496</c:v>
                      </c:pt>
                      <c:pt idx="38" formatCode="General">
                        <c:v>-55.317946107784429</c:v>
                      </c:pt>
                      <c:pt idx="39" formatCode="General">
                        <c:v>-55.56632934131737</c:v>
                      </c:pt>
                      <c:pt idx="40" formatCode="General">
                        <c:v>-55.814712574850304</c:v>
                      </c:pt>
                      <c:pt idx="41" formatCode="General">
                        <c:v>-56.063335329341321</c:v>
                      </c:pt>
                      <c:pt idx="42" formatCode="General">
                        <c:v>-56.312676646706592</c:v>
                      </c:pt>
                      <c:pt idx="43" formatCode="General">
                        <c:v>-56.562017964071856</c:v>
                      </c:pt>
                      <c:pt idx="44" formatCode="General">
                        <c:v>-56.81135928143712</c:v>
                      </c:pt>
                      <c:pt idx="45" formatCode="General">
                        <c:v>-57.060700598802391</c:v>
                      </c:pt>
                      <c:pt idx="46" formatCode="General">
                        <c:v>-57.310041916167663</c:v>
                      </c:pt>
                      <c:pt idx="47" formatCode="General">
                        <c:v>-57.559383233532934</c:v>
                      </c:pt>
                      <c:pt idx="48" formatCode="General">
                        <c:v>-57.808724550898205</c:v>
                      </c:pt>
                      <c:pt idx="49" formatCode="General">
                        <c:v>-58.058065868263469</c:v>
                      </c:pt>
                      <c:pt idx="50" formatCode="General">
                        <c:v>-58.295494382022468</c:v>
                      </c:pt>
                      <c:pt idx="51" formatCode="General">
                        <c:v>-58.531599250936331</c:v>
                      </c:pt>
                      <c:pt idx="52" formatCode="General">
                        <c:v>-58.767704119850187</c:v>
                      </c:pt>
                      <c:pt idx="53" formatCode="General">
                        <c:v>-59.003808988764042</c:v>
                      </c:pt>
                      <c:pt idx="54" formatCode="General">
                        <c:v>-59.239913857677905</c:v>
                      </c:pt>
                      <c:pt idx="55" formatCode="General">
                        <c:v>-59.476018726591761</c:v>
                      </c:pt>
                      <c:pt idx="56" formatCode="General">
                        <c:v>-59.712123595505616</c:v>
                      </c:pt>
                      <c:pt idx="57" formatCode="General">
                        <c:v>-59.948228464419479</c:v>
                      </c:pt>
                      <c:pt idx="58" formatCode="General">
                        <c:v>-60.184333333333335</c:v>
                      </c:pt>
                      <c:pt idx="59" formatCode="General">
                        <c:v>-60.42043820224719</c:v>
                      </c:pt>
                      <c:pt idx="60" formatCode="General">
                        <c:v>-60.656543071161053</c:v>
                      </c:pt>
                      <c:pt idx="61" formatCode="General">
                        <c:v>-60.892647940074909</c:v>
                      </c:pt>
                      <c:pt idx="62" formatCode="General">
                        <c:v>-61.128752808988764</c:v>
                      </c:pt>
                      <c:pt idx="63" formatCode="General">
                        <c:v>-61.364857677902627</c:v>
                      </c:pt>
                      <c:pt idx="64" formatCode="General">
                        <c:v>-61.600962546816483</c:v>
                      </c:pt>
                      <c:pt idx="65" formatCode="General">
                        <c:v>-61.837067415730338</c:v>
                      </c:pt>
                      <c:pt idx="66" formatCode="General">
                        <c:v>-62.070650936329592</c:v>
                      </c:pt>
                      <c:pt idx="67" formatCode="General">
                        <c:v>-62.294890636704125</c:v>
                      </c:pt>
                      <c:pt idx="68" formatCode="General">
                        <c:v>-62.519130337078657</c:v>
                      </c:pt>
                      <c:pt idx="69" formatCode="General">
                        <c:v>-62.74337003745319</c:v>
                      </c:pt>
                      <c:pt idx="70" formatCode="General">
                        <c:v>-62.967609737827722</c:v>
                      </c:pt>
                      <c:pt idx="71" formatCode="General">
                        <c:v>-63.191849438202254</c:v>
                      </c:pt>
                      <c:pt idx="72" formatCode="General">
                        <c:v>-63.41608913857678</c:v>
                      </c:pt>
                      <c:pt idx="73" formatCode="General">
                        <c:v>-63.640328838951312</c:v>
                      </c:pt>
                      <c:pt idx="74" formatCode="General">
                        <c:v>-63.864568539325845</c:v>
                      </c:pt>
                      <c:pt idx="75" formatCode="General">
                        <c:v>-64.088808239700384</c:v>
                      </c:pt>
                      <c:pt idx="76" formatCode="General">
                        <c:v>-64.31304794007491</c:v>
                      </c:pt>
                      <c:pt idx="77" formatCode="General">
                        <c:v>-64.537287640449435</c:v>
                      </c:pt>
                      <c:pt idx="78" formatCode="General">
                        <c:v>-64.761527340823974</c:v>
                      </c:pt>
                      <c:pt idx="79" formatCode="General">
                        <c:v>-64.9857670411985</c:v>
                      </c:pt>
                      <c:pt idx="80" formatCode="General">
                        <c:v>-65.210006741573039</c:v>
                      </c:pt>
                      <c:pt idx="81" formatCode="General">
                        <c:v>-65.434246441947565</c:v>
                      </c:pt>
                      <c:pt idx="82" formatCode="General">
                        <c:v>-65.658486142322104</c:v>
                      </c:pt>
                      <c:pt idx="83" formatCode="General">
                        <c:v>-65.876716216216224</c:v>
                      </c:pt>
                      <c:pt idx="84" formatCode="General">
                        <c:v>-66.089509009009006</c:v>
                      </c:pt>
                      <c:pt idx="85" formatCode="General">
                        <c:v>-66.302301801801804</c:v>
                      </c:pt>
                      <c:pt idx="86" formatCode="General">
                        <c:v>-66.515094594594601</c:v>
                      </c:pt>
                      <c:pt idx="87" formatCode="General">
                        <c:v>-44.975564356435648</c:v>
                      </c:pt>
                      <c:pt idx="88" formatCode="General">
                        <c:v>-45.122099009900992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8-6F8E-44D6-9842-8CC6ABD00D40}"/>
                  </c:ext>
                </c:extLst>
              </c15:ser>
            </c15:filteredScatterSeries>
            <c15:filteredScatterSeries>
              <c15:ser>
                <c:idx val="35"/>
                <c:order val="37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306</c:v>
                      </c:pt>
                      <c:pt idx="1">
                        <c:v>314</c:v>
                      </c:pt>
                      <c:pt idx="2">
                        <c:v>322</c:v>
                      </c:pt>
                      <c:pt idx="3">
                        <c:v>330</c:v>
                      </c:pt>
                      <c:pt idx="4">
                        <c:v>338</c:v>
                      </c:pt>
                      <c:pt idx="5">
                        <c:v>346</c:v>
                      </c:pt>
                      <c:pt idx="6">
                        <c:v>354</c:v>
                      </c:pt>
                      <c:pt idx="7">
                        <c:v>362</c:v>
                      </c:pt>
                      <c:pt idx="8">
                        <c:v>370</c:v>
                      </c:pt>
                      <c:pt idx="9">
                        <c:v>378</c:v>
                      </c:pt>
                      <c:pt idx="10">
                        <c:v>386</c:v>
                      </c:pt>
                      <c:pt idx="11">
                        <c:v>394</c:v>
                      </c:pt>
                      <c:pt idx="12">
                        <c:v>402</c:v>
                      </c:pt>
                      <c:pt idx="13">
                        <c:v>410</c:v>
                      </c:pt>
                      <c:pt idx="14">
                        <c:v>418</c:v>
                      </c:pt>
                      <c:pt idx="15">
                        <c:v>426</c:v>
                      </c:pt>
                      <c:pt idx="16">
                        <c:v>434</c:v>
                      </c:pt>
                      <c:pt idx="17">
                        <c:v>442</c:v>
                      </c:pt>
                      <c:pt idx="18">
                        <c:v>450</c:v>
                      </c:pt>
                      <c:pt idx="19">
                        <c:v>458</c:v>
                      </c:pt>
                      <c:pt idx="20">
                        <c:v>466</c:v>
                      </c:pt>
                      <c:pt idx="21">
                        <c:v>474</c:v>
                      </c:pt>
                      <c:pt idx="22">
                        <c:v>482</c:v>
                      </c:pt>
                      <c:pt idx="23">
                        <c:v>490</c:v>
                      </c:pt>
                      <c:pt idx="24">
                        <c:v>498</c:v>
                      </c:pt>
                      <c:pt idx="25">
                        <c:v>506</c:v>
                      </c:pt>
                      <c:pt idx="26">
                        <c:v>514</c:v>
                      </c:pt>
                      <c:pt idx="27">
                        <c:v>522</c:v>
                      </c:pt>
                      <c:pt idx="28">
                        <c:v>530</c:v>
                      </c:pt>
                      <c:pt idx="29">
                        <c:v>538</c:v>
                      </c:pt>
                      <c:pt idx="30">
                        <c:v>546</c:v>
                      </c:pt>
                      <c:pt idx="31">
                        <c:v>554</c:v>
                      </c:pt>
                      <c:pt idx="32">
                        <c:v>562</c:v>
                      </c:pt>
                      <c:pt idx="33">
                        <c:v>570</c:v>
                      </c:pt>
                      <c:pt idx="34">
                        <c:v>578</c:v>
                      </c:pt>
                      <c:pt idx="35">
                        <c:v>586</c:v>
                      </c:pt>
                      <c:pt idx="36">
                        <c:v>594</c:v>
                      </c:pt>
                      <c:pt idx="37">
                        <c:v>602</c:v>
                      </c:pt>
                      <c:pt idx="38">
                        <c:v>610</c:v>
                      </c:pt>
                      <c:pt idx="39">
                        <c:v>618</c:v>
                      </c:pt>
                      <c:pt idx="40">
                        <c:v>626</c:v>
                      </c:pt>
                      <c:pt idx="41">
                        <c:v>634</c:v>
                      </c:pt>
                      <c:pt idx="42">
                        <c:v>642</c:v>
                      </c:pt>
                      <c:pt idx="43">
                        <c:v>650</c:v>
                      </c:pt>
                      <c:pt idx="44">
                        <c:v>658</c:v>
                      </c:pt>
                      <c:pt idx="45">
                        <c:v>666</c:v>
                      </c:pt>
                      <c:pt idx="46">
                        <c:v>674</c:v>
                      </c:pt>
                      <c:pt idx="47">
                        <c:v>682</c:v>
                      </c:pt>
                      <c:pt idx="48">
                        <c:v>690</c:v>
                      </c:pt>
                      <c:pt idx="49">
                        <c:v>698</c:v>
                      </c:pt>
                      <c:pt idx="50">
                        <c:v>706</c:v>
                      </c:pt>
                      <c:pt idx="51">
                        <c:v>714</c:v>
                      </c:pt>
                      <c:pt idx="52">
                        <c:v>722</c:v>
                      </c:pt>
                      <c:pt idx="53">
                        <c:v>730</c:v>
                      </c:pt>
                      <c:pt idx="54">
                        <c:v>738</c:v>
                      </c:pt>
                      <c:pt idx="55">
                        <c:v>746</c:v>
                      </c:pt>
                      <c:pt idx="56">
                        <c:v>754</c:v>
                      </c:pt>
                      <c:pt idx="57">
                        <c:v>762</c:v>
                      </c:pt>
                      <c:pt idx="58">
                        <c:v>770</c:v>
                      </c:pt>
                      <c:pt idx="59">
                        <c:v>778</c:v>
                      </c:pt>
                      <c:pt idx="60">
                        <c:v>786</c:v>
                      </c:pt>
                      <c:pt idx="61">
                        <c:v>794</c:v>
                      </c:pt>
                      <c:pt idx="62">
                        <c:v>802</c:v>
                      </c:pt>
                      <c:pt idx="63">
                        <c:v>810</c:v>
                      </c:pt>
                      <c:pt idx="64">
                        <c:v>818</c:v>
                      </c:pt>
                      <c:pt idx="65">
                        <c:v>826</c:v>
                      </c:pt>
                      <c:pt idx="66">
                        <c:v>834</c:v>
                      </c:pt>
                      <c:pt idx="67">
                        <c:v>842</c:v>
                      </c:pt>
                      <c:pt idx="68">
                        <c:v>850</c:v>
                      </c:pt>
                      <c:pt idx="69">
                        <c:v>858</c:v>
                      </c:pt>
                      <c:pt idx="70">
                        <c:v>866</c:v>
                      </c:pt>
                      <c:pt idx="71">
                        <c:v>874</c:v>
                      </c:pt>
                      <c:pt idx="72">
                        <c:v>882</c:v>
                      </c:pt>
                      <c:pt idx="73">
                        <c:v>890</c:v>
                      </c:pt>
                      <c:pt idx="74">
                        <c:v>898</c:v>
                      </c:pt>
                      <c:pt idx="75">
                        <c:v>906</c:v>
                      </c:pt>
                      <c:pt idx="76">
                        <c:v>914</c:v>
                      </c:pt>
                      <c:pt idx="77">
                        <c:v>922</c:v>
                      </c:pt>
                      <c:pt idx="78">
                        <c:v>930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EVALUATION!$B$138:$CP$138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-37.456036036036032</c:v>
                      </c:pt>
                      <c:pt idx="1">
                        <c:v>-36.754534534534535</c:v>
                      </c:pt>
                      <c:pt idx="2">
                        <c:v>-36.053033033033032</c:v>
                      </c:pt>
                      <c:pt idx="3">
                        <c:v>-35.351531531531528</c:v>
                      </c:pt>
                      <c:pt idx="4" formatCode="General">
                        <c:v>-34.77434131736527</c:v>
                      </c:pt>
                      <c:pt idx="5" formatCode="General">
                        <c:v>-34.225838323353294</c:v>
                      </c:pt>
                      <c:pt idx="6" formatCode="General">
                        <c:v>-33.677335329341318</c:v>
                      </c:pt>
                      <c:pt idx="7" formatCode="General">
                        <c:v>-33.128832335329342</c:v>
                      </c:pt>
                      <c:pt idx="8" formatCode="General">
                        <c:v>-32.657592814371256</c:v>
                      </c:pt>
                      <c:pt idx="9" formatCode="General">
                        <c:v>-32.230287425149697</c:v>
                      </c:pt>
                      <c:pt idx="10" formatCode="General">
                        <c:v>-31.802982035928146</c:v>
                      </c:pt>
                      <c:pt idx="11" formatCode="General">
                        <c:v>-31.375676646706587</c:v>
                      </c:pt>
                      <c:pt idx="12" formatCode="General">
                        <c:v>-30.997113772455091</c:v>
                      </c:pt>
                      <c:pt idx="13" formatCode="General">
                        <c:v>-30.675197604790419</c:v>
                      </c:pt>
                      <c:pt idx="14" formatCode="General">
                        <c:v>-30.353281437125748</c:v>
                      </c:pt>
                      <c:pt idx="15" formatCode="General">
                        <c:v>-30.031365269461077</c:v>
                      </c:pt>
                      <c:pt idx="16" formatCode="General">
                        <c:v>-29.749044910179641</c:v>
                      </c:pt>
                      <c:pt idx="17" formatCode="General">
                        <c:v>-29.564853293413172</c:v>
                      </c:pt>
                      <c:pt idx="18" formatCode="General">
                        <c:v>-29.380661676646707</c:v>
                      </c:pt>
                      <c:pt idx="19" formatCode="General">
                        <c:v>-29.196470059880241</c:v>
                      </c:pt>
                      <c:pt idx="20" formatCode="General">
                        <c:v>-29.031194610778446</c:v>
                      </c:pt>
                      <c:pt idx="21" formatCode="General">
                        <c:v>-29.015146706586826</c:v>
                      </c:pt>
                      <c:pt idx="22" formatCode="General">
                        <c:v>-28.99909880239521</c:v>
                      </c:pt>
                      <c:pt idx="23" formatCode="General">
                        <c:v>-28.983050898203594</c:v>
                      </c:pt>
                      <c:pt idx="24" formatCode="General">
                        <c:v>-28.967002994011978</c:v>
                      </c:pt>
                      <c:pt idx="25" formatCode="General">
                        <c:v>-29.170279279279281</c:v>
                      </c:pt>
                      <c:pt idx="26" formatCode="General">
                        <c:v>-29.388177177177177</c:v>
                      </c:pt>
                      <c:pt idx="27" formatCode="General">
                        <c:v>-29.606075075075076</c:v>
                      </c:pt>
                      <c:pt idx="28" formatCode="General">
                        <c:v>-29.823972972972971</c:v>
                      </c:pt>
                      <c:pt idx="29" formatCode="General">
                        <c:v>-29.965814371257483</c:v>
                      </c:pt>
                      <c:pt idx="30" formatCode="General">
                        <c:v>-30.085574850299402</c:v>
                      </c:pt>
                      <c:pt idx="31" formatCode="General">
                        <c:v>-30.205335329341317</c:v>
                      </c:pt>
                      <c:pt idx="32" formatCode="General">
                        <c:v>-30.325095808383235</c:v>
                      </c:pt>
                      <c:pt idx="33" formatCode="General">
                        <c:v>-30.453622754491018</c:v>
                      </c:pt>
                      <c:pt idx="34" formatCode="General">
                        <c:v>-30.587994011976047</c:v>
                      </c:pt>
                      <c:pt idx="35" formatCode="General">
                        <c:v>-30.722365269461079</c:v>
                      </c:pt>
                      <c:pt idx="36" formatCode="General">
                        <c:v>-30.856736526946108</c:v>
                      </c:pt>
                      <c:pt idx="37" formatCode="General">
                        <c:v>-30.990700598802395</c:v>
                      </c:pt>
                      <c:pt idx="38" formatCode="General">
                        <c:v>-31.12411377245509</c:v>
                      </c:pt>
                      <c:pt idx="39" formatCode="General">
                        <c:v>-31.257526946107784</c:v>
                      </c:pt>
                      <c:pt idx="40" formatCode="General">
                        <c:v>-31.390940119760479</c:v>
                      </c:pt>
                      <c:pt idx="41" formatCode="General">
                        <c:v>-31.524592814371257</c:v>
                      </c:pt>
                      <c:pt idx="42" formatCode="General">
                        <c:v>-31.658964071856285</c:v>
                      </c:pt>
                      <c:pt idx="43" formatCode="General">
                        <c:v>-31.793335329341318</c:v>
                      </c:pt>
                      <c:pt idx="44" formatCode="General">
                        <c:v>-31.927706586826346</c:v>
                      </c:pt>
                      <c:pt idx="45" formatCode="General">
                        <c:v>-32.062077844311375</c:v>
                      </c:pt>
                      <c:pt idx="46" formatCode="General">
                        <c:v>-32.196449101796411</c:v>
                      </c:pt>
                      <c:pt idx="47" formatCode="General">
                        <c:v>-32.330820359281439</c:v>
                      </c:pt>
                      <c:pt idx="48" formatCode="General">
                        <c:v>-32.465191616766468</c:v>
                      </c:pt>
                      <c:pt idx="49" formatCode="General">
                        <c:v>-32.599562874251497</c:v>
                      </c:pt>
                      <c:pt idx="50" formatCode="General">
                        <c:v>-32.727876404494381</c:v>
                      </c:pt>
                      <c:pt idx="51" formatCode="General">
                        <c:v>-32.855516853932585</c:v>
                      </c:pt>
                      <c:pt idx="52" formatCode="General">
                        <c:v>-32.983157303370788</c:v>
                      </c:pt>
                      <c:pt idx="53" formatCode="General">
                        <c:v>-33.110797752808992</c:v>
                      </c:pt>
                      <c:pt idx="54" formatCode="General">
                        <c:v>-33.238438202247195</c:v>
                      </c:pt>
                      <c:pt idx="55" formatCode="General">
                        <c:v>-33.366078651685392</c:v>
                      </c:pt>
                      <c:pt idx="56" formatCode="General">
                        <c:v>-33.493719101123595</c:v>
                      </c:pt>
                      <c:pt idx="57" formatCode="General">
                        <c:v>-33.621359550561799</c:v>
                      </c:pt>
                      <c:pt idx="58" formatCode="General">
                        <c:v>-33.749000000000002</c:v>
                      </c:pt>
                      <c:pt idx="59" formatCode="General">
                        <c:v>-33.876640449438206</c:v>
                      </c:pt>
                      <c:pt idx="60" formatCode="General">
                        <c:v>-34.004280898876409</c:v>
                      </c:pt>
                      <c:pt idx="61" formatCode="General">
                        <c:v>-34.131921348314606</c:v>
                      </c:pt>
                      <c:pt idx="62" formatCode="General">
                        <c:v>-34.259561797752809</c:v>
                      </c:pt>
                      <c:pt idx="63" formatCode="General">
                        <c:v>-34.387202247191013</c:v>
                      </c:pt>
                      <c:pt idx="64" formatCode="General">
                        <c:v>-34.514842696629216</c:v>
                      </c:pt>
                      <c:pt idx="65" formatCode="General">
                        <c:v>-34.64248314606742</c:v>
                      </c:pt>
                      <c:pt idx="66" formatCode="General">
                        <c:v>-34.768748314606746</c:v>
                      </c:pt>
                      <c:pt idx="67" formatCode="General">
                        <c:v>-34.88991685393259</c:v>
                      </c:pt>
                      <c:pt idx="68" formatCode="General">
                        <c:v>-35.011085393258426</c:v>
                      </c:pt>
                      <c:pt idx="69" formatCode="General">
                        <c:v>-35.13225393258427</c:v>
                      </c:pt>
                      <c:pt idx="70" formatCode="General">
                        <c:v>-35.253422471910113</c:v>
                      </c:pt>
                      <c:pt idx="71" formatCode="General">
                        <c:v>-35.374591011235957</c:v>
                      </c:pt>
                      <c:pt idx="72" formatCode="General">
                        <c:v>-35.4957595505618</c:v>
                      </c:pt>
                      <c:pt idx="73" formatCode="General">
                        <c:v>-35.616928089887644</c:v>
                      </c:pt>
                      <c:pt idx="74" formatCode="General">
                        <c:v>-35.738096629213487</c:v>
                      </c:pt>
                      <c:pt idx="75" formatCode="General">
                        <c:v>-35.859265168539331</c:v>
                      </c:pt>
                      <c:pt idx="76" formatCode="General">
                        <c:v>-35.980433707865167</c:v>
                      </c:pt>
                      <c:pt idx="77" formatCode="General">
                        <c:v>-36.101602247191011</c:v>
                      </c:pt>
                      <c:pt idx="78" formatCode="General">
                        <c:v>-36.222770786516854</c:v>
                      </c:pt>
                      <c:pt idx="79" formatCode="General">
                        <c:v>-36.343939325842697</c:v>
                      </c:pt>
                      <c:pt idx="80" formatCode="General">
                        <c:v>-36.465107865168541</c:v>
                      </c:pt>
                      <c:pt idx="81" formatCode="General">
                        <c:v>-36.586276404494384</c:v>
                      </c:pt>
                      <c:pt idx="82" formatCode="General">
                        <c:v>-36.707444943820228</c:v>
                      </c:pt>
                      <c:pt idx="83" formatCode="General">
                        <c:v>-36.825319819819818</c:v>
                      </c:pt>
                      <c:pt idx="84" formatCode="General">
                        <c:v>-36.940214714714713</c:v>
                      </c:pt>
                      <c:pt idx="85" formatCode="General">
                        <c:v>-37.055109609609609</c:v>
                      </c:pt>
                      <c:pt idx="86" formatCode="General">
                        <c:v>-37.170004504504504</c:v>
                      </c:pt>
                      <c:pt idx="87" formatCode="General">
                        <c:v>-8.1209504950495059</c:v>
                      </c:pt>
                      <c:pt idx="88" formatCode="General">
                        <c:v>-8.1466930693069308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9-6F8E-44D6-9842-8CC6ABD00D40}"/>
                  </c:ext>
                </c:extLst>
              </c15:ser>
            </c15:filteredScatterSeries>
            <c15:filteredScatterSeries>
              <c15:ser>
                <c:idx val="37"/>
                <c:order val="39"/>
                <c:spPr>
                  <a:ln>
                    <a:solidFill>
                      <a:srgbClr val="FFC000"/>
                    </a:solidFill>
                    <a:prstDash val="sysDash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306</c:v>
                      </c:pt>
                      <c:pt idx="1">
                        <c:v>314</c:v>
                      </c:pt>
                      <c:pt idx="2">
                        <c:v>322</c:v>
                      </c:pt>
                      <c:pt idx="3">
                        <c:v>330</c:v>
                      </c:pt>
                      <c:pt idx="4">
                        <c:v>338</c:v>
                      </c:pt>
                      <c:pt idx="5">
                        <c:v>346</c:v>
                      </c:pt>
                      <c:pt idx="6">
                        <c:v>354</c:v>
                      </c:pt>
                      <c:pt idx="7">
                        <c:v>362</c:v>
                      </c:pt>
                      <c:pt idx="8">
                        <c:v>370</c:v>
                      </c:pt>
                      <c:pt idx="9">
                        <c:v>378</c:v>
                      </c:pt>
                      <c:pt idx="10">
                        <c:v>386</c:v>
                      </c:pt>
                      <c:pt idx="11">
                        <c:v>394</c:v>
                      </c:pt>
                      <c:pt idx="12">
                        <c:v>402</c:v>
                      </c:pt>
                      <c:pt idx="13">
                        <c:v>410</c:v>
                      </c:pt>
                      <c:pt idx="14">
                        <c:v>418</c:v>
                      </c:pt>
                      <c:pt idx="15">
                        <c:v>426</c:v>
                      </c:pt>
                      <c:pt idx="16">
                        <c:v>434</c:v>
                      </c:pt>
                      <c:pt idx="17">
                        <c:v>442</c:v>
                      </c:pt>
                      <c:pt idx="18">
                        <c:v>450</c:v>
                      </c:pt>
                      <c:pt idx="19">
                        <c:v>458</c:v>
                      </c:pt>
                      <c:pt idx="20">
                        <c:v>466</c:v>
                      </c:pt>
                      <c:pt idx="21">
                        <c:v>474</c:v>
                      </c:pt>
                      <c:pt idx="22">
                        <c:v>482</c:v>
                      </c:pt>
                      <c:pt idx="23">
                        <c:v>490</c:v>
                      </c:pt>
                      <c:pt idx="24">
                        <c:v>498</c:v>
                      </c:pt>
                      <c:pt idx="25">
                        <c:v>506</c:v>
                      </c:pt>
                      <c:pt idx="26">
                        <c:v>514</c:v>
                      </c:pt>
                      <c:pt idx="27">
                        <c:v>522</c:v>
                      </c:pt>
                      <c:pt idx="28">
                        <c:v>530</c:v>
                      </c:pt>
                      <c:pt idx="29">
                        <c:v>538</c:v>
                      </c:pt>
                      <c:pt idx="30">
                        <c:v>546</c:v>
                      </c:pt>
                      <c:pt idx="31">
                        <c:v>554</c:v>
                      </c:pt>
                      <c:pt idx="32">
                        <c:v>562</c:v>
                      </c:pt>
                      <c:pt idx="33">
                        <c:v>570</c:v>
                      </c:pt>
                      <c:pt idx="34">
                        <c:v>578</c:v>
                      </c:pt>
                      <c:pt idx="35">
                        <c:v>586</c:v>
                      </c:pt>
                      <c:pt idx="36">
                        <c:v>594</c:v>
                      </c:pt>
                      <c:pt idx="37">
                        <c:v>602</c:v>
                      </c:pt>
                      <c:pt idx="38">
                        <c:v>610</c:v>
                      </c:pt>
                      <c:pt idx="39">
                        <c:v>618</c:v>
                      </c:pt>
                      <c:pt idx="40">
                        <c:v>626</c:v>
                      </c:pt>
                      <c:pt idx="41">
                        <c:v>634</c:v>
                      </c:pt>
                      <c:pt idx="42">
                        <c:v>642</c:v>
                      </c:pt>
                      <c:pt idx="43">
                        <c:v>650</c:v>
                      </c:pt>
                      <c:pt idx="44">
                        <c:v>658</c:v>
                      </c:pt>
                      <c:pt idx="45">
                        <c:v>666</c:v>
                      </c:pt>
                      <c:pt idx="46">
                        <c:v>674</c:v>
                      </c:pt>
                      <c:pt idx="47">
                        <c:v>682</c:v>
                      </c:pt>
                      <c:pt idx="48">
                        <c:v>690</c:v>
                      </c:pt>
                      <c:pt idx="49">
                        <c:v>698</c:v>
                      </c:pt>
                      <c:pt idx="50">
                        <c:v>706</c:v>
                      </c:pt>
                      <c:pt idx="51">
                        <c:v>714</c:v>
                      </c:pt>
                      <c:pt idx="52">
                        <c:v>722</c:v>
                      </c:pt>
                      <c:pt idx="53">
                        <c:v>730</c:v>
                      </c:pt>
                      <c:pt idx="54">
                        <c:v>738</c:v>
                      </c:pt>
                      <c:pt idx="55">
                        <c:v>746</c:v>
                      </c:pt>
                      <c:pt idx="56">
                        <c:v>754</c:v>
                      </c:pt>
                      <c:pt idx="57">
                        <c:v>762</c:v>
                      </c:pt>
                      <c:pt idx="58">
                        <c:v>770</c:v>
                      </c:pt>
                      <c:pt idx="59">
                        <c:v>778</c:v>
                      </c:pt>
                      <c:pt idx="60">
                        <c:v>786</c:v>
                      </c:pt>
                      <c:pt idx="61">
                        <c:v>794</c:v>
                      </c:pt>
                      <c:pt idx="62">
                        <c:v>802</c:v>
                      </c:pt>
                      <c:pt idx="63">
                        <c:v>810</c:v>
                      </c:pt>
                      <c:pt idx="64">
                        <c:v>818</c:v>
                      </c:pt>
                      <c:pt idx="65">
                        <c:v>826</c:v>
                      </c:pt>
                      <c:pt idx="66">
                        <c:v>834</c:v>
                      </c:pt>
                      <c:pt idx="67">
                        <c:v>842</c:v>
                      </c:pt>
                      <c:pt idx="68">
                        <c:v>850</c:v>
                      </c:pt>
                      <c:pt idx="69">
                        <c:v>858</c:v>
                      </c:pt>
                      <c:pt idx="70">
                        <c:v>866</c:v>
                      </c:pt>
                      <c:pt idx="71">
                        <c:v>874</c:v>
                      </c:pt>
                      <c:pt idx="72">
                        <c:v>882</c:v>
                      </c:pt>
                      <c:pt idx="73">
                        <c:v>890</c:v>
                      </c:pt>
                      <c:pt idx="74">
                        <c:v>898</c:v>
                      </c:pt>
                      <c:pt idx="75">
                        <c:v>906</c:v>
                      </c:pt>
                      <c:pt idx="76">
                        <c:v>914</c:v>
                      </c:pt>
                      <c:pt idx="77">
                        <c:v>922</c:v>
                      </c:pt>
                      <c:pt idx="78">
                        <c:v>930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EVALUATION!$B$140:$CP$140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-15.512792792792792</c:v>
                      </c:pt>
                      <c:pt idx="1">
                        <c:v>-15.013093093093092</c:v>
                      </c:pt>
                      <c:pt idx="2">
                        <c:v>-14.513393393393393</c:v>
                      </c:pt>
                      <c:pt idx="3">
                        <c:v>-14.013693693693693</c:v>
                      </c:pt>
                      <c:pt idx="4" formatCode="General">
                        <c:v>-13.456826347305389</c:v>
                      </c:pt>
                      <c:pt idx="5" formatCode="General">
                        <c:v>-12.886766467065867</c:v>
                      </c:pt>
                      <c:pt idx="6" formatCode="General">
                        <c:v>-12.316706586826346</c:v>
                      </c:pt>
                      <c:pt idx="7" formatCode="General">
                        <c:v>-11.746646706586823</c:v>
                      </c:pt>
                      <c:pt idx="8" formatCode="General">
                        <c:v>-11.204988023952094</c:v>
                      </c:pt>
                      <c:pt idx="9" formatCode="General">
                        <c:v>-10.679479041916167</c:v>
                      </c:pt>
                      <c:pt idx="10" formatCode="General">
                        <c:v>-10.153970059880239</c:v>
                      </c:pt>
                      <c:pt idx="11" formatCode="General">
                        <c:v>-9.628461077844312</c:v>
                      </c:pt>
                      <c:pt idx="12" formatCode="General">
                        <c:v>-9.1539101796407198</c:v>
                      </c:pt>
                      <c:pt idx="13" formatCode="General">
                        <c:v>-8.7385808383233528</c:v>
                      </c:pt>
                      <c:pt idx="14" formatCode="General">
                        <c:v>-8.3232514970059874</c:v>
                      </c:pt>
                      <c:pt idx="15" formatCode="General">
                        <c:v>-7.9079221556886221</c:v>
                      </c:pt>
                      <c:pt idx="16" formatCode="General">
                        <c:v>-7.5390748502994009</c:v>
                      </c:pt>
                      <c:pt idx="17" formatCode="General">
                        <c:v>-7.2854221556886225</c:v>
                      </c:pt>
                      <c:pt idx="18" formatCode="General">
                        <c:v>-7.031769461077845</c:v>
                      </c:pt>
                      <c:pt idx="19" formatCode="General">
                        <c:v>-6.7781167664670665</c:v>
                      </c:pt>
                      <c:pt idx="20" formatCode="General">
                        <c:v>-6.5428413173652693</c:v>
                      </c:pt>
                      <c:pt idx="21" formatCode="General">
                        <c:v>-6.4525419161676645</c:v>
                      </c:pt>
                      <c:pt idx="22" formatCode="General">
                        <c:v>-6.3622425149700597</c:v>
                      </c:pt>
                      <c:pt idx="23" formatCode="General">
                        <c:v>-6.2719431137724548</c:v>
                      </c:pt>
                      <c:pt idx="24" formatCode="General">
                        <c:v>-6.18164371257485</c:v>
                      </c:pt>
                      <c:pt idx="25" formatCode="General">
                        <c:v>-6.3239729729729737</c:v>
                      </c:pt>
                      <c:pt idx="26" formatCode="General">
                        <c:v>-6.4818108108108117</c:v>
                      </c:pt>
                      <c:pt idx="27" formatCode="General">
                        <c:v>-6.6396486486486497</c:v>
                      </c:pt>
                      <c:pt idx="28" formatCode="General">
                        <c:v>-6.7974864864864877</c:v>
                      </c:pt>
                      <c:pt idx="29" formatCode="General">
                        <c:v>-6.8348562874251497</c:v>
                      </c:pt>
                      <c:pt idx="30" formatCode="General">
                        <c:v>-6.8372514970059886</c:v>
                      </c:pt>
                      <c:pt idx="31" formatCode="General">
                        <c:v>-6.8396467065868265</c:v>
                      </c:pt>
                      <c:pt idx="32" formatCode="General">
                        <c:v>-6.8420419161676644</c:v>
                      </c:pt>
                      <c:pt idx="33" formatCode="General">
                        <c:v>-6.8517664670658682</c:v>
                      </c:pt>
                      <c:pt idx="34" formatCode="General">
                        <c:v>-6.866377245508982</c:v>
                      </c:pt>
                      <c:pt idx="35" formatCode="General">
                        <c:v>-6.8809880239520957</c:v>
                      </c:pt>
                      <c:pt idx="36" formatCode="General">
                        <c:v>-6.8955988023952095</c:v>
                      </c:pt>
                      <c:pt idx="37" formatCode="General">
                        <c:v>-6.911838323353293</c:v>
                      </c:pt>
                      <c:pt idx="38" formatCode="General">
                        <c:v>-6.930281437125748</c:v>
                      </c:pt>
                      <c:pt idx="39" formatCode="General">
                        <c:v>-6.9487245508982038</c:v>
                      </c:pt>
                      <c:pt idx="40" formatCode="General">
                        <c:v>-6.9671676646706588</c:v>
                      </c:pt>
                      <c:pt idx="41" formatCode="General">
                        <c:v>-6.9858502994011973</c:v>
                      </c:pt>
                      <c:pt idx="42" formatCode="General">
                        <c:v>-7.0052514970059878</c:v>
                      </c:pt>
                      <c:pt idx="43" formatCode="General">
                        <c:v>-7.0246526946107783</c:v>
                      </c:pt>
                      <c:pt idx="44" formatCode="General">
                        <c:v>-7.0440538922155689</c:v>
                      </c:pt>
                      <c:pt idx="45" formatCode="General">
                        <c:v>-7.0634550898203594</c:v>
                      </c:pt>
                      <c:pt idx="46" formatCode="General">
                        <c:v>-7.0828562874251499</c:v>
                      </c:pt>
                      <c:pt idx="47" formatCode="General">
                        <c:v>-7.1022574850299405</c:v>
                      </c:pt>
                      <c:pt idx="48" formatCode="General">
                        <c:v>-7.1216586826347301</c:v>
                      </c:pt>
                      <c:pt idx="49" formatCode="General">
                        <c:v>-7.1410598802395207</c:v>
                      </c:pt>
                      <c:pt idx="50" formatCode="General">
                        <c:v>-7.1602584269662923</c:v>
                      </c:pt>
                      <c:pt idx="51" formatCode="General">
                        <c:v>-7.1794344569288393</c:v>
                      </c:pt>
                      <c:pt idx="52" formatCode="General">
                        <c:v>-7.1986104868913854</c:v>
                      </c:pt>
                      <c:pt idx="53" formatCode="General">
                        <c:v>-7.2177865168539324</c:v>
                      </c:pt>
                      <c:pt idx="54" formatCode="General">
                        <c:v>-7.2369625468164793</c:v>
                      </c:pt>
                      <c:pt idx="55" formatCode="General">
                        <c:v>-7.2561385767790263</c:v>
                      </c:pt>
                      <c:pt idx="56" formatCode="General">
                        <c:v>-7.2753146067415733</c:v>
                      </c:pt>
                      <c:pt idx="57" formatCode="General">
                        <c:v>-7.2944906367041202</c:v>
                      </c:pt>
                      <c:pt idx="58" formatCode="General">
                        <c:v>-7.3136666666666663</c:v>
                      </c:pt>
                      <c:pt idx="59" formatCode="General">
                        <c:v>-7.3328426966292133</c:v>
                      </c:pt>
                      <c:pt idx="60" formatCode="General">
                        <c:v>-7.3520187265917603</c:v>
                      </c:pt>
                      <c:pt idx="61" formatCode="General">
                        <c:v>-7.3711947565543072</c:v>
                      </c:pt>
                      <c:pt idx="62" formatCode="General">
                        <c:v>-7.3903707865168542</c:v>
                      </c:pt>
                      <c:pt idx="63" formatCode="General">
                        <c:v>-7.4095468164794012</c:v>
                      </c:pt>
                      <c:pt idx="64" formatCode="General">
                        <c:v>-7.4287228464419481</c:v>
                      </c:pt>
                      <c:pt idx="65" formatCode="General">
                        <c:v>-7.4478988764044942</c:v>
                      </c:pt>
                      <c:pt idx="66" formatCode="General">
                        <c:v>-7.4668456928838953</c:v>
                      </c:pt>
                      <c:pt idx="67" formatCode="General">
                        <c:v>-7.484943071161049</c:v>
                      </c:pt>
                      <c:pt idx="68" formatCode="General">
                        <c:v>-7.5030404494382026</c:v>
                      </c:pt>
                      <c:pt idx="69" formatCode="General">
                        <c:v>-7.5211378277153562</c:v>
                      </c:pt>
                      <c:pt idx="70" formatCode="General">
                        <c:v>-7.5392352059925098</c:v>
                      </c:pt>
                      <c:pt idx="71" formatCode="General">
                        <c:v>-7.5573325842696626</c:v>
                      </c:pt>
                      <c:pt idx="72" formatCode="General">
                        <c:v>-7.5754299625468162</c:v>
                      </c:pt>
                      <c:pt idx="73" formatCode="General">
                        <c:v>-7.5935273408239699</c:v>
                      </c:pt>
                      <c:pt idx="74" formatCode="General">
                        <c:v>-7.6116247191011235</c:v>
                      </c:pt>
                      <c:pt idx="75" formatCode="General">
                        <c:v>-7.6297220973782771</c:v>
                      </c:pt>
                      <c:pt idx="76" formatCode="General">
                        <c:v>-7.6478194756554307</c:v>
                      </c:pt>
                      <c:pt idx="77" formatCode="General">
                        <c:v>-7.6659168539325844</c:v>
                      </c:pt>
                      <c:pt idx="78" formatCode="General">
                        <c:v>-7.684014232209738</c:v>
                      </c:pt>
                      <c:pt idx="79" formatCode="General">
                        <c:v>-7.7021116104868916</c:v>
                      </c:pt>
                      <c:pt idx="80" formatCode="General">
                        <c:v>-7.7202089887640444</c:v>
                      </c:pt>
                      <c:pt idx="81" formatCode="General">
                        <c:v>-7.738306367041198</c:v>
                      </c:pt>
                      <c:pt idx="82" formatCode="General">
                        <c:v>-7.7564037453183516</c:v>
                      </c:pt>
                      <c:pt idx="83" formatCode="General">
                        <c:v>-7.7739234234234234</c:v>
                      </c:pt>
                      <c:pt idx="84" formatCode="General">
                        <c:v>-7.7909204204204201</c:v>
                      </c:pt>
                      <c:pt idx="85" formatCode="General">
                        <c:v>-7.8079174174174168</c:v>
                      </c:pt>
                      <c:pt idx="86" formatCode="General">
                        <c:v>-7.8249144144144145</c:v>
                      </c:pt>
                      <c:pt idx="87" formatCode="General">
                        <c:v>-64.814138613861388</c:v>
                      </c:pt>
                      <c:pt idx="88" formatCode="General">
                        <c:v>-65.022059405940595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A-6F8E-44D6-9842-8CC6ABD00D40}"/>
                  </c:ext>
                </c:extLst>
              </c15:ser>
            </c15:filteredScatterSeries>
            <c15:filteredScatterSeries>
              <c15:ser>
                <c:idx val="38"/>
                <c:order val="40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306</c:v>
                      </c:pt>
                      <c:pt idx="1">
                        <c:v>314</c:v>
                      </c:pt>
                      <c:pt idx="2">
                        <c:v>322</c:v>
                      </c:pt>
                      <c:pt idx="3">
                        <c:v>330</c:v>
                      </c:pt>
                      <c:pt idx="4">
                        <c:v>338</c:v>
                      </c:pt>
                      <c:pt idx="5">
                        <c:v>346</c:v>
                      </c:pt>
                      <c:pt idx="6">
                        <c:v>354</c:v>
                      </c:pt>
                      <c:pt idx="7">
                        <c:v>362</c:v>
                      </c:pt>
                      <c:pt idx="8">
                        <c:v>370</c:v>
                      </c:pt>
                      <c:pt idx="9">
                        <c:v>378</c:v>
                      </c:pt>
                      <c:pt idx="10">
                        <c:v>386</c:v>
                      </c:pt>
                      <c:pt idx="11">
                        <c:v>394</c:v>
                      </c:pt>
                      <c:pt idx="12">
                        <c:v>402</c:v>
                      </c:pt>
                      <c:pt idx="13">
                        <c:v>410</c:v>
                      </c:pt>
                      <c:pt idx="14">
                        <c:v>418</c:v>
                      </c:pt>
                      <c:pt idx="15">
                        <c:v>426</c:v>
                      </c:pt>
                      <c:pt idx="16">
                        <c:v>434</c:v>
                      </c:pt>
                      <c:pt idx="17">
                        <c:v>442</c:v>
                      </c:pt>
                      <c:pt idx="18">
                        <c:v>450</c:v>
                      </c:pt>
                      <c:pt idx="19">
                        <c:v>458</c:v>
                      </c:pt>
                      <c:pt idx="20">
                        <c:v>466</c:v>
                      </c:pt>
                      <c:pt idx="21">
                        <c:v>474</c:v>
                      </c:pt>
                      <c:pt idx="22">
                        <c:v>482</c:v>
                      </c:pt>
                      <c:pt idx="23">
                        <c:v>490</c:v>
                      </c:pt>
                      <c:pt idx="24">
                        <c:v>498</c:v>
                      </c:pt>
                      <c:pt idx="25">
                        <c:v>506</c:v>
                      </c:pt>
                      <c:pt idx="26">
                        <c:v>514</c:v>
                      </c:pt>
                      <c:pt idx="27">
                        <c:v>522</c:v>
                      </c:pt>
                      <c:pt idx="28">
                        <c:v>530</c:v>
                      </c:pt>
                      <c:pt idx="29">
                        <c:v>538</c:v>
                      </c:pt>
                      <c:pt idx="30">
                        <c:v>546</c:v>
                      </c:pt>
                      <c:pt idx="31">
                        <c:v>554</c:v>
                      </c:pt>
                      <c:pt idx="32">
                        <c:v>562</c:v>
                      </c:pt>
                      <c:pt idx="33">
                        <c:v>570</c:v>
                      </c:pt>
                      <c:pt idx="34">
                        <c:v>578</c:v>
                      </c:pt>
                      <c:pt idx="35">
                        <c:v>586</c:v>
                      </c:pt>
                      <c:pt idx="36">
                        <c:v>594</c:v>
                      </c:pt>
                      <c:pt idx="37">
                        <c:v>602</c:v>
                      </c:pt>
                      <c:pt idx="38">
                        <c:v>610</c:v>
                      </c:pt>
                      <c:pt idx="39">
                        <c:v>618</c:v>
                      </c:pt>
                      <c:pt idx="40">
                        <c:v>626</c:v>
                      </c:pt>
                      <c:pt idx="41">
                        <c:v>634</c:v>
                      </c:pt>
                      <c:pt idx="42">
                        <c:v>642</c:v>
                      </c:pt>
                      <c:pt idx="43">
                        <c:v>650</c:v>
                      </c:pt>
                      <c:pt idx="44">
                        <c:v>658</c:v>
                      </c:pt>
                      <c:pt idx="45">
                        <c:v>666</c:v>
                      </c:pt>
                      <c:pt idx="46">
                        <c:v>674</c:v>
                      </c:pt>
                      <c:pt idx="47">
                        <c:v>682</c:v>
                      </c:pt>
                      <c:pt idx="48">
                        <c:v>690</c:v>
                      </c:pt>
                      <c:pt idx="49">
                        <c:v>698</c:v>
                      </c:pt>
                      <c:pt idx="50">
                        <c:v>706</c:v>
                      </c:pt>
                      <c:pt idx="51">
                        <c:v>714</c:v>
                      </c:pt>
                      <c:pt idx="52">
                        <c:v>722</c:v>
                      </c:pt>
                      <c:pt idx="53">
                        <c:v>730</c:v>
                      </c:pt>
                      <c:pt idx="54">
                        <c:v>738</c:v>
                      </c:pt>
                      <c:pt idx="55">
                        <c:v>746</c:v>
                      </c:pt>
                      <c:pt idx="56">
                        <c:v>754</c:v>
                      </c:pt>
                      <c:pt idx="57">
                        <c:v>762</c:v>
                      </c:pt>
                      <c:pt idx="58">
                        <c:v>770</c:v>
                      </c:pt>
                      <c:pt idx="59">
                        <c:v>778</c:v>
                      </c:pt>
                      <c:pt idx="60">
                        <c:v>786</c:v>
                      </c:pt>
                      <c:pt idx="61">
                        <c:v>794</c:v>
                      </c:pt>
                      <c:pt idx="62">
                        <c:v>802</c:v>
                      </c:pt>
                      <c:pt idx="63">
                        <c:v>810</c:v>
                      </c:pt>
                      <c:pt idx="64">
                        <c:v>818</c:v>
                      </c:pt>
                      <c:pt idx="65">
                        <c:v>826</c:v>
                      </c:pt>
                      <c:pt idx="66">
                        <c:v>834</c:v>
                      </c:pt>
                      <c:pt idx="67">
                        <c:v>842</c:v>
                      </c:pt>
                      <c:pt idx="68">
                        <c:v>850</c:v>
                      </c:pt>
                      <c:pt idx="69">
                        <c:v>858</c:v>
                      </c:pt>
                      <c:pt idx="70">
                        <c:v>866</c:v>
                      </c:pt>
                      <c:pt idx="71">
                        <c:v>874</c:v>
                      </c:pt>
                      <c:pt idx="72">
                        <c:v>882</c:v>
                      </c:pt>
                      <c:pt idx="73">
                        <c:v>890</c:v>
                      </c:pt>
                      <c:pt idx="74">
                        <c:v>898</c:v>
                      </c:pt>
                      <c:pt idx="75">
                        <c:v>906</c:v>
                      </c:pt>
                      <c:pt idx="76">
                        <c:v>914</c:v>
                      </c:pt>
                      <c:pt idx="77">
                        <c:v>922</c:v>
                      </c:pt>
                      <c:pt idx="78">
                        <c:v>930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EVALUATION!$B$141:$CP$141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-59.157387387387388</c:v>
                      </c:pt>
                      <c:pt idx="1">
                        <c:v>-57.482912912912909</c:v>
                      </c:pt>
                      <c:pt idx="2">
                        <c:v>-55.808438438438436</c:v>
                      </c:pt>
                      <c:pt idx="3">
                        <c:v>-54.133963963963964</c:v>
                      </c:pt>
                      <c:pt idx="4" formatCode="General">
                        <c:v>-52.494700598802396</c:v>
                      </c:pt>
                      <c:pt idx="5" formatCode="General">
                        <c:v>-50.863562874251492</c:v>
                      </c:pt>
                      <c:pt idx="6" formatCode="General">
                        <c:v>-49.232425149700596</c:v>
                      </c:pt>
                      <c:pt idx="7" formatCode="General">
                        <c:v>-47.601287425149692</c:v>
                      </c:pt>
                      <c:pt idx="8" formatCode="General">
                        <c:v>-46.077035928143708</c:v>
                      </c:pt>
                      <c:pt idx="9" formatCode="General">
                        <c:v>-44.613562874251492</c:v>
                      </c:pt>
                      <c:pt idx="10" formatCode="General">
                        <c:v>-43.150089820359277</c:v>
                      </c:pt>
                      <c:pt idx="11" formatCode="General">
                        <c:v>-41.686616766467068</c:v>
                      </c:pt>
                      <c:pt idx="12" formatCode="General">
                        <c:v>-40.325059880239522</c:v>
                      </c:pt>
                      <c:pt idx="13" formatCode="General">
                        <c:v>-39.081946107784432</c:v>
                      </c:pt>
                      <c:pt idx="14" formatCode="General">
                        <c:v>-37.838832335329343</c:v>
                      </c:pt>
                      <c:pt idx="15" formatCode="General">
                        <c:v>-36.595718562874254</c:v>
                      </c:pt>
                      <c:pt idx="16" formatCode="General">
                        <c:v>-35.412514970059881</c:v>
                      </c:pt>
                      <c:pt idx="17" formatCode="General">
                        <c:v>-34.377784431137727</c:v>
                      </c:pt>
                      <c:pt idx="18" formatCode="General">
                        <c:v>-33.343053892215572</c:v>
                      </c:pt>
                      <c:pt idx="19" formatCode="General">
                        <c:v>-32.308323353293417</c:v>
                      </c:pt>
                      <c:pt idx="20" formatCode="General">
                        <c:v>-31.289491017964075</c:v>
                      </c:pt>
                      <c:pt idx="21" formatCode="General">
                        <c:v>-30.396077844311378</c:v>
                      </c:pt>
                      <c:pt idx="22" formatCode="General">
                        <c:v>-29.502664670658685</c:v>
                      </c:pt>
                      <c:pt idx="23" formatCode="General">
                        <c:v>-28.609251497005989</c:v>
                      </c:pt>
                      <c:pt idx="24" formatCode="General">
                        <c:v>-27.715838323353292</c:v>
                      </c:pt>
                      <c:pt idx="25" formatCode="General">
                        <c:v>-27.464054054054053</c:v>
                      </c:pt>
                      <c:pt idx="26" formatCode="General">
                        <c:v>-27.255045045045044</c:v>
                      </c:pt>
                      <c:pt idx="27" formatCode="General">
                        <c:v>-27.046036036036035</c:v>
                      </c:pt>
                      <c:pt idx="28" formatCode="General">
                        <c:v>-26.837027027027027</c:v>
                      </c:pt>
                      <c:pt idx="29" formatCode="General">
                        <c:v>-27.03502994011976</c:v>
                      </c:pt>
                      <c:pt idx="30" formatCode="General">
                        <c:v>-27.351197604790418</c:v>
                      </c:pt>
                      <c:pt idx="31" formatCode="General">
                        <c:v>-27.667365269461076</c:v>
                      </c:pt>
                      <c:pt idx="32" formatCode="General">
                        <c:v>-27.983532934131734</c:v>
                      </c:pt>
                      <c:pt idx="33" formatCode="General">
                        <c:v>-28.296826347305387</c:v>
                      </c:pt>
                      <c:pt idx="34" formatCode="General">
                        <c:v>-28.60820359281437</c:v>
                      </c:pt>
                      <c:pt idx="35" formatCode="General">
                        <c:v>-28.919580838323352</c:v>
                      </c:pt>
                      <c:pt idx="36" formatCode="General">
                        <c:v>-29.230958083832334</c:v>
                      </c:pt>
                      <c:pt idx="37" formatCode="General">
                        <c:v>-29.540299401197604</c:v>
                      </c:pt>
                      <c:pt idx="38" formatCode="General">
                        <c:v>-29.84688622754491</c:v>
                      </c:pt>
                      <c:pt idx="39" formatCode="General">
                        <c:v>-30.153473053892217</c:v>
                      </c:pt>
                      <c:pt idx="40" formatCode="General">
                        <c:v>-30.460059880239523</c:v>
                      </c:pt>
                      <c:pt idx="41" formatCode="General">
                        <c:v>-30.7648502994012</c:v>
                      </c:pt>
                      <c:pt idx="42" formatCode="General">
                        <c:v>-31.064251497005991</c:v>
                      </c:pt>
                      <c:pt idx="43" formatCode="General">
                        <c:v>-31.363652694610781</c:v>
                      </c:pt>
                      <c:pt idx="44" formatCode="General">
                        <c:v>-31.663053892215572</c:v>
                      </c:pt>
                      <c:pt idx="45" formatCode="General">
                        <c:v>-31.961916167664672</c:v>
                      </c:pt>
                      <c:pt idx="46" formatCode="General">
                        <c:v>-32.254131736526951</c:v>
                      </c:pt>
                      <c:pt idx="47" formatCode="General">
                        <c:v>-32.546347305389219</c:v>
                      </c:pt>
                      <c:pt idx="48" formatCode="General">
                        <c:v>-32.838562874251494</c:v>
                      </c:pt>
                      <c:pt idx="49" formatCode="General">
                        <c:v>-33.130778443113769</c:v>
                      </c:pt>
                      <c:pt idx="50" formatCode="General">
                        <c:v>-33.403235955056175</c:v>
                      </c:pt>
                      <c:pt idx="51" formatCode="General">
                        <c:v>-33.673498127340821</c:v>
                      </c:pt>
                      <c:pt idx="52" formatCode="General">
                        <c:v>-33.943760299625467</c:v>
                      </c:pt>
                      <c:pt idx="53" formatCode="General">
                        <c:v>-34.214022471910113</c:v>
                      </c:pt>
                      <c:pt idx="54" formatCode="General">
                        <c:v>-34.484284644194759</c:v>
                      </c:pt>
                      <c:pt idx="55" formatCode="General">
                        <c:v>-34.754546816479397</c:v>
                      </c:pt>
                      <c:pt idx="56" formatCode="General">
                        <c:v>-35.024808988764043</c:v>
                      </c:pt>
                      <c:pt idx="57" formatCode="General">
                        <c:v>-35.295071161048689</c:v>
                      </c:pt>
                      <c:pt idx="58" formatCode="General">
                        <c:v>-35.565333333333335</c:v>
                      </c:pt>
                      <c:pt idx="59" formatCode="General">
                        <c:v>-35.835595505617981</c:v>
                      </c:pt>
                      <c:pt idx="60" formatCode="General">
                        <c:v>-36.10585767790262</c:v>
                      </c:pt>
                      <c:pt idx="61" formatCode="General">
                        <c:v>-36.376119850187266</c:v>
                      </c:pt>
                      <c:pt idx="62" formatCode="General">
                        <c:v>-36.646382022471911</c:v>
                      </c:pt>
                      <c:pt idx="63" formatCode="General">
                        <c:v>-36.916644194756557</c:v>
                      </c:pt>
                      <c:pt idx="64" formatCode="General">
                        <c:v>-37.186906367041203</c:v>
                      </c:pt>
                      <c:pt idx="65" formatCode="General">
                        <c:v>-37.457168539325849</c:v>
                      </c:pt>
                      <c:pt idx="66" formatCode="General">
                        <c:v>-37.717880149812736</c:v>
                      </c:pt>
                      <c:pt idx="67" formatCode="General">
                        <c:v>-37.943198501872665</c:v>
                      </c:pt>
                      <c:pt idx="68" formatCode="General">
                        <c:v>-38.168516853932587</c:v>
                      </c:pt>
                      <c:pt idx="69" formatCode="General">
                        <c:v>-38.393835205992509</c:v>
                      </c:pt>
                      <c:pt idx="70" formatCode="General">
                        <c:v>-38.619153558052439</c:v>
                      </c:pt>
                      <c:pt idx="71" formatCode="General">
                        <c:v>-38.844471910112361</c:v>
                      </c:pt>
                      <c:pt idx="72" formatCode="General">
                        <c:v>-39.06979026217229</c:v>
                      </c:pt>
                      <c:pt idx="73" formatCode="General">
                        <c:v>-39.295108614232213</c:v>
                      </c:pt>
                      <c:pt idx="74" formatCode="General">
                        <c:v>-39.520426966292135</c:v>
                      </c:pt>
                      <c:pt idx="75" formatCode="General">
                        <c:v>-39.745745318352064</c:v>
                      </c:pt>
                      <c:pt idx="76" formatCode="General">
                        <c:v>-39.971063670411986</c:v>
                      </c:pt>
                      <c:pt idx="77" formatCode="General">
                        <c:v>-40.196382022471909</c:v>
                      </c:pt>
                      <c:pt idx="78" formatCode="General">
                        <c:v>-40.421700374531838</c:v>
                      </c:pt>
                      <c:pt idx="79" formatCode="General">
                        <c:v>-40.64701872659176</c:v>
                      </c:pt>
                      <c:pt idx="80" formatCode="General">
                        <c:v>-40.87233707865169</c:v>
                      </c:pt>
                      <c:pt idx="81" formatCode="General">
                        <c:v>-41.097655430711612</c:v>
                      </c:pt>
                      <c:pt idx="82" formatCode="General">
                        <c:v>-41.322973782771534</c:v>
                      </c:pt>
                      <c:pt idx="83" formatCode="General">
                        <c:v>-41.521441441441439</c:v>
                      </c:pt>
                      <c:pt idx="84" formatCode="General">
                        <c:v>-41.695615615615615</c:v>
                      </c:pt>
                      <c:pt idx="85" formatCode="General">
                        <c:v>-41.869789789789792</c:v>
                      </c:pt>
                      <c:pt idx="86" formatCode="General">
                        <c:v>-42.043963963963961</c:v>
                      </c:pt>
                      <c:pt idx="87" formatCode="General">
                        <c:v>-36.080475247524753</c:v>
                      </c:pt>
                      <c:pt idx="88" formatCode="General">
                        <c:v>-36.193346534653465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B-6F8E-44D6-9842-8CC6ABD00D40}"/>
                  </c:ext>
                </c:extLst>
              </c15:ser>
            </c15:filteredScatterSeries>
            <c15:filteredScatterSeries>
              <c15:ser>
                <c:idx val="40"/>
                <c:order val="41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306</c:v>
                      </c:pt>
                      <c:pt idx="1">
                        <c:v>314</c:v>
                      </c:pt>
                      <c:pt idx="2">
                        <c:v>322</c:v>
                      </c:pt>
                      <c:pt idx="3">
                        <c:v>330</c:v>
                      </c:pt>
                      <c:pt idx="4">
                        <c:v>338</c:v>
                      </c:pt>
                      <c:pt idx="5">
                        <c:v>346</c:v>
                      </c:pt>
                      <c:pt idx="6">
                        <c:v>354</c:v>
                      </c:pt>
                      <c:pt idx="7">
                        <c:v>362</c:v>
                      </c:pt>
                      <c:pt idx="8">
                        <c:v>370</c:v>
                      </c:pt>
                      <c:pt idx="9">
                        <c:v>378</c:v>
                      </c:pt>
                      <c:pt idx="10">
                        <c:v>386</c:v>
                      </c:pt>
                      <c:pt idx="11">
                        <c:v>394</c:v>
                      </c:pt>
                      <c:pt idx="12">
                        <c:v>402</c:v>
                      </c:pt>
                      <c:pt idx="13">
                        <c:v>410</c:v>
                      </c:pt>
                      <c:pt idx="14">
                        <c:v>418</c:v>
                      </c:pt>
                      <c:pt idx="15">
                        <c:v>426</c:v>
                      </c:pt>
                      <c:pt idx="16">
                        <c:v>434</c:v>
                      </c:pt>
                      <c:pt idx="17">
                        <c:v>442</c:v>
                      </c:pt>
                      <c:pt idx="18">
                        <c:v>450</c:v>
                      </c:pt>
                      <c:pt idx="19">
                        <c:v>458</c:v>
                      </c:pt>
                      <c:pt idx="20">
                        <c:v>466</c:v>
                      </c:pt>
                      <c:pt idx="21">
                        <c:v>474</c:v>
                      </c:pt>
                      <c:pt idx="22">
                        <c:v>482</c:v>
                      </c:pt>
                      <c:pt idx="23">
                        <c:v>490</c:v>
                      </c:pt>
                      <c:pt idx="24">
                        <c:v>498</c:v>
                      </c:pt>
                      <c:pt idx="25">
                        <c:v>506</c:v>
                      </c:pt>
                      <c:pt idx="26">
                        <c:v>514</c:v>
                      </c:pt>
                      <c:pt idx="27">
                        <c:v>522</c:v>
                      </c:pt>
                      <c:pt idx="28">
                        <c:v>530</c:v>
                      </c:pt>
                      <c:pt idx="29">
                        <c:v>538</c:v>
                      </c:pt>
                      <c:pt idx="30">
                        <c:v>546</c:v>
                      </c:pt>
                      <c:pt idx="31">
                        <c:v>554</c:v>
                      </c:pt>
                      <c:pt idx="32">
                        <c:v>562</c:v>
                      </c:pt>
                      <c:pt idx="33">
                        <c:v>570</c:v>
                      </c:pt>
                      <c:pt idx="34">
                        <c:v>578</c:v>
                      </c:pt>
                      <c:pt idx="35">
                        <c:v>586</c:v>
                      </c:pt>
                      <c:pt idx="36">
                        <c:v>594</c:v>
                      </c:pt>
                      <c:pt idx="37">
                        <c:v>602</c:v>
                      </c:pt>
                      <c:pt idx="38">
                        <c:v>610</c:v>
                      </c:pt>
                      <c:pt idx="39">
                        <c:v>618</c:v>
                      </c:pt>
                      <c:pt idx="40">
                        <c:v>626</c:v>
                      </c:pt>
                      <c:pt idx="41">
                        <c:v>634</c:v>
                      </c:pt>
                      <c:pt idx="42">
                        <c:v>642</c:v>
                      </c:pt>
                      <c:pt idx="43">
                        <c:v>650</c:v>
                      </c:pt>
                      <c:pt idx="44">
                        <c:v>658</c:v>
                      </c:pt>
                      <c:pt idx="45">
                        <c:v>666</c:v>
                      </c:pt>
                      <c:pt idx="46">
                        <c:v>674</c:v>
                      </c:pt>
                      <c:pt idx="47">
                        <c:v>682</c:v>
                      </c:pt>
                      <c:pt idx="48">
                        <c:v>690</c:v>
                      </c:pt>
                      <c:pt idx="49">
                        <c:v>698</c:v>
                      </c:pt>
                      <c:pt idx="50">
                        <c:v>706</c:v>
                      </c:pt>
                      <c:pt idx="51">
                        <c:v>714</c:v>
                      </c:pt>
                      <c:pt idx="52">
                        <c:v>722</c:v>
                      </c:pt>
                      <c:pt idx="53">
                        <c:v>730</c:v>
                      </c:pt>
                      <c:pt idx="54">
                        <c:v>738</c:v>
                      </c:pt>
                      <c:pt idx="55">
                        <c:v>746</c:v>
                      </c:pt>
                      <c:pt idx="56">
                        <c:v>754</c:v>
                      </c:pt>
                      <c:pt idx="57">
                        <c:v>762</c:v>
                      </c:pt>
                      <c:pt idx="58">
                        <c:v>770</c:v>
                      </c:pt>
                      <c:pt idx="59">
                        <c:v>778</c:v>
                      </c:pt>
                      <c:pt idx="60">
                        <c:v>786</c:v>
                      </c:pt>
                      <c:pt idx="61">
                        <c:v>794</c:v>
                      </c:pt>
                      <c:pt idx="62">
                        <c:v>802</c:v>
                      </c:pt>
                      <c:pt idx="63">
                        <c:v>810</c:v>
                      </c:pt>
                      <c:pt idx="64">
                        <c:v>818</c:v>
                      </c:pt>
                      <c:pt idx="65">
                        <c:v>826</c:v>
                      </c:pt>
                      <c:pt idx="66">
                        <c:v>834</c:v>
                      </c:pt>
                      <c:pt idx="67">
                        <c:v>842</c:v>
                      </c:pt>
                      <c:pt idx="68">
                        <c:v>850</c:v>
                      </c:pt>
                      <c:pt idx="69">
                        <c:v>858</c:v>
                      </c:pt>
                      <c:pt idx="70">
                        <c:v>866</c:v>
                      </c:pt>
                      <c:pt idx="71">
                        <c:v>874</c:v>
                      </c:pt>
                      <c:pt idx="72">
                        <c:v>882</c:v>
                      </c:pt>
                      <c:pt idx="73">
                        <c:v>890</c:v>
                      </c:pt>
                      <c:pt idx="74">
                        <c:v>898</c:v>
                      </c:pt>
                      <c:pt idx="75">
                        <c:v>906</c:v>
                      </c:pt>
                      <c:pt idx="76">
                        <c:v>914</c:v>
                      </c:pt>
                      <c:pt idx="77">
                        <c:v>922</c:v>
                      </c:pt>
                      <c:pt idx="78">
                        <c:v>930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EVALUATION!$B$142:$CP$142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-21.943243243243245</c:v>
                      </c:pt>
                      <c:pt idx="1">
                        <c:v>-21.741441441441442</c:v>
                      </c:pt>
                      <c:pt idx="2">
                        <c:v>-21.539639639639642</c:v>
                      </c:pt>
                      <c:pt idx="3">
                        <c:v>-21.337837837837839</c:v>
                      </c:pt>
                      <c:pt idx="4" formatCode="General">
                        <c:v>-21.317514970059882</c:v>
                      </c:pt>
                      <c:pt idx="5" formatCode="General">
                        <c:v>-21.339071856287426</c:v>
                      </c:pt>
                      <c:pt idx="6" formatCode="General">
                        <c:v>-21.360628742514972</c:v>
                      </c:pt>
                      <c:pt idx="7" formatCode="General">
                        <c:v>-21.382185628742516</c:v>
                      </c:pt>
                      <c:pt idx="8" formatCode="General">
                        <c:v>-21.452604790419162</c:v>
                      </c:pt>
                      <c:pt idx="9" formatCode="General">
                        <c:v>-21.550808383233534</c:v>
                      </c:pt>
                      <c:pt idx="10" formatCode="General">
                        <c:v>-21.649011976047905</c:v>
                      </c:pt>
                      <c:pt idx="11" formatCode="General">
                        <c:v>-21.747215568862277</c:v>
                      </c:pt>
                      <c:pt idx="12" formatCode="General">
                        <c:v>-21.843203592814373</c:v>
                      </c:pt>
                      <c:pt idx="13" formatCode="General">
                        <c:v>-21.936616766467068</c:v>
                      </c:pt>
                      <c:pt idx="14" formatCode="General">
                        <c:v>-22.030029940119761</c:v>
                      </c:pt>
                      <c:pt idx="15" formatCode="General">
                        <c:v>-22.123443113772456</c:v>
                      </c:pt>
                      <c:pt idx="16" formatCode="General">
                        <c:v>-22.209970059880241</c:v>
                      </c:pt>
                      <c:pt idx="17" formatCode="General">
                        <c:v>-22.279431137724551</c:v>
                      </c:pt>
                      <c:pt idx="18" formatCode="General">
                        <c:v>-22.348892215568863</c:v>
                      </c:pt>
                      <c:pt idx="19" formatCode="General">
                        <c:v>-22.418353293413173</c:v>
                      </c:pt>
                      <c:pt idx="20" formatCode="General">
                        <c:v>-22.488353293413173</c:v>
                      </c:pt>
                      <c:pt idx="21" formatCode="General">
                        <c:v>-22.562604790419162</c:v>
                      </c:pt>
                      <c:pt idx="22" formatCode="General">
                        <c:v>-22.63685628742515</c:v>
                      </c:pt>
                      <c:pt idx="23" formatCode="General">
                        <c:v>-22.711107784431139</c:v>
                      </c:pt>
                      <c:pt idx="24" formatCode="General">
                        <c:v>-22.785359281437124</c:v>
                      </c:pt>
                      <c:pt idx="25" formatCode="General">
                        <c:v>-22.846306306306307</c:v>
                      </c:pt>
                      <c:pt idx="26" formatCode="General">
                        <c:v>-22.906366366366367</c:v>
                      </c:pt>
                      <c:pt idx="27" formatCode="General">
                        <c:v>-22.966426426426427</c:v>
                      </c:pt>
                      <c:pt idx="28" formatCode="General">
                        <c:v>-23.026486486486487</c:v>
                      </c:pt>
                      <c:pt idx="29" formatCode="General">
                        <c:v>-23.130958083832336</c:v>
                      </c:pt>
                      <c:pt idx="30" formatCode="General">
                        <c:v>-23.248323353293415</c:v>
                      </c:pt>
                      <c:pt idx="31" formatCode="General">
                        <c:v>-23.36568862275449</c:v>
                      </c:pt>
                      <c:pt idx="32" formatCode="General">
                        <c:v>-23.483053892215569</c:v>
                      </c:pt>
                      <c:pt idx="33" formatCode="General">
                        <c:v>-23.60185628742515</c:v>
                      </c:pt>
                      <c:pt idx="34" formatCode="General">
                        <c:v>-23.721616766467065</c:v>
                      </c:pt>
                      <c:pt idx="35" formatCode="General">
                        <c:v>-23.841377245508983</c:v>
                      </c:pt>
                      <c:pt idx="36" formatCode="General">
                        <c:v>-23.961137724550898</c:v>
                      </c:pt>
                      <c:pt idx="37" formatCode="General">
                        <c:v>-24.078862275449104</c:v>
                      </c:pt>
                      <c:pt idx="38" formatCode="General">
                        <c:v>-24.193832335329343</c:v>
                      </c:pt>
                      <c:pt idx="39" formatCode="General">
                        <c:v>-24.308802395209582</c:v>
                      </c:pt>
                      <c:pt idx="40" formatCode="General">
                        <c:v>-24.423772455089821</c:v>
                      </c:pt>
                      <c:pt idx="41" formatCode="General">
                        <c:v>-24.53874251497006</c:v>
                      </c:pt>
                      <c:pt idx="42" formatCode="General">
                        <c:v>-24.653712574850299</c:v>
                      </c:pt>
                      <c:pt idx="43" formatCode="General">
                        <c:v>-24.768682634730538</c:v>
                      </c:pt>
                      <c:pt idx="44" formatCode="General">
                        <c:v>-24.883652694610777</c:v>
                      </c:pt>
                      <c:pt idx="45" formatCode="General">
                        <c:v>-24.998622754491016</c:v>
                      </c:pt>
                      <c:pt idx="46" formatCode="General">
                        <c:v>-25.113592814371255</c:v>
                      </c:pt>
                      <c:pt idx="47" formatCode="General">
                        <c:v>-25.228562874251494</c:v>
                      </c:pt>
                      <c:pt idx="48" formatCode="General">
                        <c:v>-25.343532934131737</c:v>
                      </c:pt>
                      <c:pt idx="49" formatCode="General">
                        <c:v>-25.458502994011976</c:v>
                      </c:pt>
                      <c:pt idx="50" formatCode="General">
                        <c:v>-25.567617977528091</c:v>
                      </c:pt>
                      <c:pt idx="51" formatCode="General">
                        <c:v>-25.676082397003746</c:v>
                      </c:pt>
                      <c:pt idx="52" formatCode="General">
                        <c:v>-25.784546816479402</c:v>
                      </c:pt>
                      <c:pt idx="53" formatCode="General">
                        <c:v>-25.893011235955058</c:v>
                      </c:pt>
                      <c:pt idx="54" formatCode="General">
                        <c:v>-26.001475655430713</c:v>
                      </c:pt>
                      <c:pt idx="55" formatCode="General">
                        <c:v>-26.109940074906369</c:v>
                      </c:pt>
                      <c:pt idx="56" formatCode="General">
                        <c:v>-26.218404494382021</c:v>
                      </c:pt>
                      <c:pt idx="57" formatCode="General">
                        <c:v>-26.326868913857677</c:v>
                      </c:pt>
                      <c:pt idx="58" formatCode="General">
                        <c:v>-26.435333333333332</c:v>
                      </c:pt>
                      <c:pt idx="59" formatCode="General">
                        <c:v>-26.543797752808988</c:v>
                      </c:pt>
                      <c:pt idx="60" formatCode="General">
                        <c:v>-26.652262172284644</c:v>
                      </c:pt>
                      <c:pt idx="61" formatCode="General">
                        <c:v>-26.760726591760299</c:v>
                      </c:pt>
                      <c:pt idx="62" formatCode="General">
                        <c:v>-26.869191011235955</c:v>
                      </c:pt>
                      <c:pt idx="63" formatCode="General">
                        <c:v>-26.977655430711611</c:v>
                      </c:pt>
                      <c:pt idx="64" formatCode="General">
                        <c:v>-27.086119850187266</c:v>
                      </c:pt>
                      <c:pt idx="65" formatCode="General">
                        <c:v>-27.194584269662922</c:v>
                      </c:pt>
                      <c:pt idx="66" formatCode="General">
                        <c:v>-27.301902621722849</c:v>
                      </c:pt>
                      <c:pt idx="67" formatCode="General">
                        <c:v>-27.404973782771538</c:v>
                      </c:pt>
                      <c:pt idx="68" formatCode="General">
                        <c:v>-27.508044943820227</c:v>
                      </c:pt>
                      <c:pt idx="69" formatCode="General">
                        <c:v>-27.611116104868916</c:v>
                      </c:pt>
                      <c:pt idx="70" formatCode="General">
                        <c:v>-27.714187265917605</c:v>
                      </c:pt>
                      <c:pt idx="71" formatCode="General">
                        <c:v>-27.817258426966294</c:v>
                      </c:pt>
                      <c:pt idx="72" formatCode="General">
                        <c:v>-27.920329588014983</c:v>
                      </c:pt>
                      <c:pt idx="73" formatCode="General">
                        <c:v>-28.023400749063672</c:v>
                      </c:pt>
                      <c:pt idx="74" formatCode="General">
                        <c:v>-28.126471910112361</c:v>
                      </c:pt>
                      <c:pt idx="75" formatCode="General">
                        <c:v>-28.22954307116105</c:v>
                      </c:pt>
                      <c:pt idx="76" formatCode="General">
                        <c:v>-28.332614232209739</c:v>
                      </c:pt>
                      <c:pt idx="77" formatCode="General">
                        <c:v>-28.435685393258428</c:v>
                      </c:pt>
                      <c:pt idx="78" formatCode="General">
                        <c:v>-28.538756554307117</c:v>
                      </c:pt>
                      <c:pt idx="79" formatCode="General">
                        <c:v>-28.641827715355806</c:v>
                      </c:pt>
                      <c:pt idx="80" formatCode="General">
                        <c:v>-28.744898876404495</c:v>
                      </c:pt>
                      <c:pt idx="81" formatCode="General">
                        <c:v>-28.847970037453184</c:v>
                      </c:pt>
                      <c:pt idx="82" formatCode="General">
                        <c:v>-28.951041198501873</c:v>
                      </c:pt>
                      <c:pt idx="83" formatCode="General">
                        <c:v>-29.051396396396395</c:v>
                      </c:pt>
                      <c:pt idx="84" formatCode="General">
                        <c:v>-29.149294294294293</c:v>
                      </c:pt>
                      <c:pt idx="85" formatCode="General">
                        <c:v>-29.247192192192191</c:v>
                      </c:pt>
                      <c:pt idx="86" formatCode="General">
                        <c:v>-29.345090090090089</c:v>
                      </c:pt>
                      <c:pt idx="87" formatCode="General">
                        <c:v>-102.44289108910891</c:v>
                      </c:pt>
                      <c:pt idx="88" formatCode="General">
                        <c:v>-102.77952475247524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C-6F8E-44D6-9842-8CC6ABD00D40}"/>
                  </c:ext>
                </c:extLst>
              </c15:ser>
            </c15:filteredScatterSeries>
            <c15:filteredScatterSeries>
              <c15:ser>
                <c:idx val="41"/>
                <c:order val="42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306</c:v>
                      </c:pt>
                      <c:pt idx="1">
                        <c:v>314</c:v>
                      </c:pt>
                      <c:pt idx="2">
                        <c:v>322</c:v>
                      </c:pt>
                      <c:pt idx="3">
                        <c:v>330</c:v>
                      </c:pt>
                      <c:pt idx="4">
                        <c:v>338</c:v>
                      </c:pt>
                      <c:pt idx="5">
                        <c:v>346</c:v>
                      </c:pt>
                      <c:pt idx="6">
                        <c:v>354</c:v>
                      </c:pt>
                      <c:pt idx="7">
                        <c:v>362</c:v>
                      </c:pt>
                      <c:pt idx="8">
                        <c:v>370</c:v>
                      </c:pt>
                      <c:pt idx="9">
                        <c:v>378</c:v>
                      </c:pt>
                      <c:pt idx="10">
                        <c:v>386</c:v>
                      </c:pt>
                      <c:pt idx="11">
                        <c:v>394</c:v>
                      </c:pt>
                      <c:pt idx="12">
                        <c:v>402</c:v>
                      </c:pt>
                      <c:pt idx="13">
                        <c:v>410</c:v>
                      </c:pt>
                      <c:pt idx="14">
                        <c:v>418</c:v>
                      </c:pt>
                      <c:pt idx="15">
                        <c:v>426</c:v>
                      </c:pt>
                      <c:pt idx="16">
                        <c:v>434</c:v>
                      </c:pt>
                      <c:pt idx="17">
                        <c:v>442</c:v>
                      </c:pt>
                      <c:pt idx="18">
                        <c:v>450</c:v>
                      </c:pt>
                      <c:pt idx="19">
                        <c:v>458</c:v>
                      </c:pt>
                      <c:pt idx="20">
                        <c:v>466</c:v>
                      </c:pt>
                      <c:pt idx="21">
                        <c:v>474</c:v>
                      </c:pt>
                      <c:pt idx="22">
                        <c:v>482</c:v>
                      </c:pt>
                      <c:pt idx="23">
                        <c:v>490</c:v>
                      </c:pt>
                      <c:pt idx="24">
                        <c:v>498</c:v>
                      </c:pt>
                      <c:pt idx="25">
                        <c:v>506</c:v>
                      </c:pt>
                      <c:pt idx="26">
                        <c:v>514</c:v>
                      </c:pt>
                      <c:pt idx="27">
                        <c:v>522</c:v>
                      </c:pt>
                      <c:pt idx="28">
                        <c:v>530</c:v>
                      </c:pt>
                      <c:pt idx="29">
                        <c:v>538</c:v>
                      </c:pt>
                      <c:pt idx="30">
                        <c:v>546</c:v>
                      </c:pt>
                      <c:pt idx="31">
                        <c:v>554</c:v>
                      </c:pt>
                      <c:pt idx="32">
                        <c:v>562</c:v>
                      </c:pt>
                      <c:pt idx="33">
                        <c:v>570</c:v>
                      </c:pt>
                      <c:pt idx="34">
                        <c:v>578</c:v>
                      </c:pt>
                      <c:pt idx="35">
                        <c:v>586</c:v>
                      </c:pt>
                      <c:pt idx="36">
                        <c:v>594</c:v>
                      </c:pt>
                      <c:pt idx="37">
                        <c:v>602</c:v>
                      </c:pt>
                      <c:pt idx="38">
                        <c:v>610</c:v>
                      </c:pt>
                      <c:pt idx="39">
                        <c:v>618</c:v>
                      </c:pt>
                      <c:pt idx="40">
                        <c:v>626</c:v>
                      </c:pt>
                      <c:pt idx="41">
                        <c:v>634</c:v>
                      </c:pt>
                      <c:pt idx="42">
                        <c:v>642</c:v>
                      </c:pt>
                      <c:pt idx="43">
                        <c:v>650</c:v>
                      </c:pt>
                      <c:pt idx="44">
                        <c:v>658</c:v>
                      </c:pt>
                      <c:pt idx="45">
                        <c:v>666</c:v>
                      </c:pt>
                      <c:pt idx="46">
                        <c:v>674</c:v>
                      </c:pt>
                      <c:pt idx="47">
                        <c:v>682</c:v>
                      </c:pt>
                      <c:pt idx="48">
                        <c:v>690</c:v>
                      </c:pt>
                      <c:pt idx="49">
                        <c:v>698</c:v>
                      </c:pt>
                      <c:pt idx="50">
                        <c:v>706</c:v>
                      </c:pt>
                      <c:pt idx="51">
                        <c:v>714</c:v>
                      </c:pt>
                      <c:pt idx="52">
                        <c:v>722</c:v>
                      </c:pt>
                      <c:pt idx="53">
                        <c:v>730</c:v>
                      </c:pt>
                      <c:pt idx="54">
                        <c:v>738</c:v>
                      </c:pt>
                      <c:pt idx="55">
                        <c:v>746</c:v>
                      </c:pt>
                      <c:pt idx="56">
                        <c:v>754</c:v>
                      </c:pt>
                      <c:pt idx="57">
                        <c:v>762</c:v>
                      </c:pt>
                      <c:pt idx="58">
                        <c:v>770</c:v>
                      </c:pt>
                      <c:pt idx="59">
                        <c:v>778</c:v>
                      </c:pt>
                      <c:pt idx="60">
                        <c:v>786</c:v>
                      </c:pt>
                      <c:pt idx="61">
                        <c:v>794</c:v>
                      </c:pt>
                      <c:pt idx="62">
                        <c:v>802</c:v>
                      </c:pt>
                      <c:pt idx="63">
                        <c:v>810</c:v>
                      </c:pt>
                      <c:pt idx="64">
                        <c:v>818</c:v>
                      </c:pt>
                      <c:pt idx="65">
                        <c:v>826</c:v>
                      </c:pt>
                      <c:pt idx="66">
                        <c:v>834</c:v>
                      </c:pt>
                      <c:pt idx="67">
                        <c:v>842</c:v>
                      </c:pt>
                      <c:pt idx="68">
                        <c:v>850</c:v>
                      </c:pt>
                      <c:pt idx="69">
                        <c:v>858</c:v>
                      </c:pt>
                      <c:pt idx="70">
                        <c:v>866</c:v>
                      </c:pt>
                      <c:pt idx="71">
                        <c:v>874</c:v>
                      </c:pt>
                      <c:pt idx="72">
                        <c:v>882</c:v>
                      </c:pt>
                      <c:pt idx="73">
                        <c:v>890</c:v>
                      </c:pt>
                      <c:pt idx="74">
                        <c:v>898</c:v>
                      </c:pt>
                      <c:pt idx="75">
                        <c:v>906</c:v>
                      </c:pt>
                      <c:pt idx="76">
                        <c:v>914</c:v>
                      </c:pt>
                      <c:pt idx="77">
                        <c:v>922</c:v>
                      </c:pt>
                      <c:pt idx="78">
                        <c:v>930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EVALUATION!$B$143:$CP$143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-21.943243243243245</c:v>
                      </c:pt>
                      <c:pt idx="1">
                        <c:v>-21.741441441441442</c:v>
                      </c:pt>
                      <c:pt idx="2">
                        <c:v>-21.539639639639642</c:v>
                      </c:pt>
                      <c:pt idx="3">
                        <c:v>-21.337837837837839</c:v>
                      </c:pt>
                      <c:pt idx="4" formatCode="General">
                        <c:v>-21.317514970059882</c:v>
                      </c:pt>
                      <c:pt idx="5" formatCode="General">
                        <c:v>-21.339071856287426</c:v>
                      </c:pt>
                      <c:pt idx="6" formatCode="General">
                        <c:v>-21.360628742514972</c:v>
                      </c:pt>
                      <c:pt idx="7" formatCode="General">
                        <c:v>-21.382185628742516</c:v>
                      </c:pt>
                      <c:pt idx="8" formatCode="General">
                        <c:v>-21.452604790419162</c:v>
                      </c:pt>
                      <c:pt idx="9" formatCode="General">
                        <c:v>-21.550808383233534</c:v>
                      </c:pt>
                      <c:pt idx="10" formatCode="General">
                        <c:v>-21.649011976047905</c:v>
                      </c:pt>
                      <c:pt idx="11" formatCode="General">
                        <c:v>-21.747215568862277</c:v>
                      </c:pt>
                      <c:pt idx="12" formatCode="General">
                        <c:v>-21.843203592814373</c:v>
                      </c:pt>
                      <c:pt idx="13" formatCode="General">
                        <c:v>-21.936616766467068</c:v>
                      </c:pt>
                      <c:pt idx="14" formatCode="General">
                        <c:v>-22.030029940119761</c:v>
                      </c:pt>
                      <c:pt idx="15" formatCode="General">
                        <c:v>-22.123443113772456</c:v>
                      </c:pt>
                      <c:pt idx="16" formatCode="General">
                        <c:v>-22.209970059880241</c:v>
                      </c:pt>
                      <c:pt idx="17" formatCode="General">
                        <c:v>-22.279431137724551</c:v>
                      </c:pt>
                      <c:pt idx="18" formatCode="General">
                        <c:v>-22.348892215568863</c:v>
                      </c:pt>
                      <c:pt idx="19" formatCode="General">
                        <c:v>-22.418353293413173</c:v>
                      </c:pt>
                      <c:pt idx="20" formatCode="General">
                        <c:v>-22.488353293413173</c:v>
                      </c:pt>
                      <c:pt idx="21" formatCode="General">
                        <c:v>-22.562604790419162</c:v>
                      </c:pt>
                      <c:pt idx="22" formatCode="General">
                        <c:v>-22.63685628742515</c:v>
                      </c:pt>
                      <c:pt idx="23" formatCode="General">
                        <c:v>-22.711107784431139</c:v>
                      </c:pt>
                      <c:pt idx="24" formatCode="General">
                        <c:v>-22.785359281437124</c:v>
                      </c:pt>
                      <c:pt idx="25" formatCode="General">
                        <c:v>-22.846306306306307</c:v>
                      </c:pt>
                      <c:pt idx="26" formatCode="General">
                        <c:v>-22.906366366366367</c:v>
                      </c:pt>
                      <c:pt idx="27" formatCode="General">
                        <c:v>-22.966426426426427</c:v>
                      </c:pt>
                      <c:pt idx="28" formatCode="General">
                        <c:v>-23.026486486486487</c:v>
                      </c:pt>
                      <c:pt idx="29" formatCode="General">
                        <c:v>-23.130958083832336</c:v>
                      </c:pt>
                      <c:pt idx="30" formatCode="General">
                        <c:v>-23.248323353293415</c:v>
                      </c:pt>
                      <c:pt idx="31" formatCode="General">
                        <c:v>-23.36568862275449</c:v>
                      </c:pt>
                      <c:pt idx="32" formatCode="General">
                        <c:v>-23.483053892215569</c:v>
                      </c:pt>
                      <c:pt idx="33" formatCode="General">
                        <c:v>-23.60185628742515</c:v>
                      </c:pt>
                      <c:pt idx="34" formatCode="General">
                        <c:v>-23.721616766467065</c:v>
                      </c:pt>
                      <c:pt idx="35" formatCode="General">
                        <c:v>-23.841377245508983</c:v>
                      </c:pt>
                      <c:pt idx="36" formatCode="General">
                        <c:v>-23.961137724550898</c:v>
                      </c:pt>
                      <c:pt idx="37" formatCode="General">
                        <c:v>-24.078862275449104</c:v>
                      </c:pt>
                      <c:pt idx="38" formatCode="General">
                        <c:v>-24.193832335329343</c:v>
                      </c:pt>
                      <c:pt idx="39" formatCode="General">
                        <c:v>-24.308802395209582</c:v>
                      </c:pt>
                      <c:pt idx="40" formatCode="General">
                        <c:v>-24.423772455089821</c:v>
                      </c:pt>
                      <c:pt idx="41" formatCode="General">
                        <c:v>-24.53874251497006</c:v>
                      </c:pt>
                      <c:pt idx="42" formatCode="General">
                        <c:v>-24.653712574850299</c:v>
                      </c:pt>
                      <c:pt idx="43" formatCode="General">
                        <c:v>-24.768682634730538</c:v>
                      </c:pt>
                      <c:pt idx="44" formatCode="General">
                        <c:v>-24.883652694610777</c:v>
                      </c:pt>
                      <c:pt idx="45" formatCode="General">
                        <c:v>-24.998622754491016</c:v>
                      </c:pt>
                      <c:pt idx="46" formatCode="General">
                        <c:v>-25.113592814371255</c:v>
                      </c:pt>
                      <c:pt idx="47" formatCode="General">
                        <c:v>-25.228562874251494</c:v>
                      </c:pt>
                      <c:pt idx="48" formatCode="General">
                        <c:v>-25.343532934131737</c:v>
                      </c:pt>
                      <c:pt idx="49" formatCode="General">
                        <c:v>-25.458502994011976</c:v>
                      </c:pt>
                      <c:pt idx="50" formatCode="General">
                        <c:v>-25.567617977528091</c:v>
                      </c:pt>
                      <c:pt idx="51" formatCode="General">
                        <c:v>-25.676082397003746</c:v>
                      </c:pt>
                      <c:pt idx="52" formatCode="General">
                        <c:v>-25.784546816479402</c:v>
                      </c:pt>
                      <c:pt idx="53" formatCode="General">
                        <c:v>-25.893011235955058</c:v>
                      </c:pt>
                      <c:pt idx="54" formatCode="General">
                        <c:v>-26.001475655430713</c:v>
                      </c:pt>
                      <c:pt idx="55" formatCode="General">
                        <c:v>-26.109940074906369</c:v>
                      </c:pt>
                      <c:pt idx="56" formatCode="General">
                        <c:v>-26.218404494382021</c:v>
                      </c:pt>
                      <c:pt idx="57" formatCode="General">
                        <c:v>-26.326868913857677</c:v>
                      </c:pt>
                      <c:pt idx="58" formatCode="General">
                        <c:v>-26.435333333333332</c:v>
                      </c:pt>
                      <c:pt idx="59" formatCode="General">
                        <c:v>-26.543797752808988</c:v>
                      </c:pt>
                      <c:pt idx="60" formatCode="General">
                        <c:v>-26.652262172284644</c:v>
                      </c:pt>
                      <c:pt idx="61" formatCode="General">
                        <c:v>-26.760726591760299</c:v>
                      </c:pt>
                      <c:pt idx="62" formatCode="General">
                        <c:v>-26.869191011235955</c:v>
                      </c:pt>
                      <c:pt idx="63" formatCode="General">
                        <c:v>-26.977655430711611</c:v>
                      </c:pt>
                      <c:pt idx="64" formatCode="General">
                        <c:v>-27.086119850187266</c:v>
                      </c:pt>
                      <c:pt idx="65" formatCode="General">
                        <c:v>-27.194584269662922</c:v>
                      </c:pt>
                      <c:pt idx="66" formatCode="General">
                        <c:v>-27.301902621722849</c:v>
                      </c:pt>
                      <c:pt idx="67" formatCode="General">
                        <c:v>-27.404973782771538</c:v>
                      </c:pt>
                      <c:pt idx="68" formatCode="General">
                        <c:v>-27.508044943820227</c:v>
                      </c:pt>
                      <c:pt idx="69" formatCode="General">
                        <c:v>-27.611116104868916</c:v>
                      </c:pt>
                      <c:pt idx="70" formatCode="General">
                        <c:v>-27.714187265917605</c:v>
                      </c:pt>
                      <c:pt idx="71" formatCode="General">
                        <c:v>-27.817258426966294</c:v>
                      </c:pt>
                      <c:pt idx="72" formatCode="General">
                        <c:v>-27.920329588014983</c:v>
                      </c:pt>
                      <c:pt idx="73" formatCode="General">
                        <c:v>-28.023400749063672</c:v>
                      </c:pt>
                      <c:pt idx="74" formatCode="General">
                        <c:v>-28.126471910112361</c:v>
                      </c:pt>
                      <c:pt idx="75" formatCode="General">
                        <c:v>-28.22954307116105</c:v>
                      </c:pt>
                      <c:pt idx="76" formatCode="General">
                        <c:v>-28.332614232209739</c:v>
                      </c:pt>
                      <c:pt idx="77" formatCode="General">
                        <c:v>-28.435685393258428</c:v>
                      </c:pt>
                      <c:pt idx="78" formatCode="General">
                        <c:v>-28.538756554307117</c:v>
                      </c:pt>
                      <c:pt idx="79" formatCode="General">
                        <c:v>-28.641827715355806</c:v>
                      </c:pt>
                      <c:pt idx="80" formatCode="General">
                        <c:v>-28.744898876404495</c:v>
                      </c:pt>
                      <c:pt idx="81" formatCode="General">
                        <c:v>-28.847970037453184</c:v>
                      </c:pt>
                      <c:pt idx="82" formatCode="General">
                        <c:v>-28.951041198501873</c:v>
                      </c:pt>
                      <c:pt idx="83" formatCode="General">
                        <c:v>-29.051396396396395</c:v>
                      </c:pt>
                      <c:pt idx="84" formatCode="General">
                        <c:v>-29.149294294294293</c:v>
                      </c:pt>
                      <c:pt idx="85" formatCode="General">
                        <c:v>-29.247192192192191</c:v>
                      </c:pt>
                      <c:pt idx="86" formatCode="General">
                        <c:v>-29.345090090090089</c:v>
                      </c:pt>
                      <c:pt idx="87" formatCode="General">
                        <c:v>-44.975564356435648</c:v>
                      </c:pt>
                      <c:pt idx="88" formatCode="General">
                        <c:v>-45.122099009900992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D-6F8E-44D6-9842-8CC6ABD00D40}"/>
                  </c:ext>
                </c:extLst>
              </c15:ser>
            </c15:filteredScatterSeries>
            <c15:filteredScatterSeries>
              <c15:ser>
                <c:idx val="42"/>
                <c:order val="43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306</c:v>
                      </c:pt>
                      <c:pt idx="1">
                        <c:v>314</c:v>
                      </c:pt>
                      <c:pt idx="2">
                        <c:v>322</c:v>
                      </c:pt>
                      <c:pt idx="3">
                        <c:v>330</c:v>
                      </c:pt>
                      <c:pt idx="4">
                        <c:v>338</c:v>
                      </c:pt>
                      <c:pt idx="5">
                        <c:v>346</c:v>
                      </c:pt>
                      <c:pt idx="6">
                        <c:v>354</c:v>
                      </c:pt>
                      <c:pt idx="7">
                        <c:v>362</c:v>
                      </c:pt>
                      <c:pt idx="8">
                        <c:v>370</c:v>
                      </c:pt>
                      <c:pt idx="9">
                        <c:v>378</c:v>
                      </c:pt>
                      <c:pt idx="10">
                        <c:v>386</c:v>
                      </c:pt>
                      <c:pt idx="11">
                        <c:v>394</c:v>
                      </c:pt>
                      <c:pt idx="12">
                        <c:v>402</c:v>
                      </c:pt>
                      <c:pt idx="13">
                        <c:v>410</c:v>
                      </c:pt>
                      <c:pt idx="14">
                        <c:v>418</c:v>
                      </c:pt>
                      <c:pt idx="15">
                        <c:v>426</c:v>
                      </c:pt>
                      <c:pt idx="16">
                        <c:v>434</c:v>
                      </c:pt>
                      <c:pt idx="17">
                        <c:v>442</c:v>
                      </c:pt>
                      <c:pt idx="18">
                        <c:v>450</c:v>
                      </c:pt>
                      <c:pt idx="19">
                        <c:v>458</c:v>
                      </c:pt>
                      <c:pt idx="20">
                        <c:v>466</c:v>
                      </c:pt>
                      <c:pt idx="21">
                        <c:v>474</c:v>
                      </c:pt>
                      <c:pt idx="22">
                        <c:v>482</c:v>
                      </c:pt>
                      <c:pt idx="23">
                        <c:v>490</c:v>
                      </c:pt>
                      <c:pt idx="24">
                        <c:v>498</c:v>
                      </c:pt>
                      <c:pt idx="25">
                        <c:v>506</c:v>
                      </c:pt>
                      <c:pt idx="26">
                        <c:v>514</c:v>
                      </c:pt>
                      <c:pt idx="27">
                        <c:v>522</c:v>
                      </c:pt>
                      <c:pt idx="28">
                        <c:v>530</c:v>
                      </c:pt>
                      <c:pt idx="29">
                        <c:v>538</c:v>
                      </c:pt>
                      <c:pt idx="30">
                        <c:v>546</c:v>
                      </c:pt>
                      <c:pt idx="31">
                        <c:v>554</c:v>
                      </c:pt>
                      <c:pt idx="32">
                        <c:v>562</c:v>
                      </c:pt>
                      <c:pt idx="33">
                        <c:v>570</c:v>
                      </c:pt>
                      <c:pt idx="34">
                        <c:v>578</c:v>
                      </c:pt>
                      <c:pt idx="35">
                        <c:v>586</c:v>
                      </c:pt>
                      <c:pt idx="36">
                        <c:v>594</c:v>
                      </c:pt>
                      <c:pt idx="37">
                        <c:v>602</c:v>
                      </c:pt>
                      <c:pt idx="38">
                        <c:v>610</c:v>
                      </c:pt>
                      <c:pt idx="39">
                        <c:v>618</c:v>
                      </c:pt>
                      <c:pt idx="40">
                        <c:v>626</c:v>
                      </c:pt>
                      <c:pt idx="41">
                        <c:v>634</c:v>
                      </c:pt>
                      <c:pt idx="42">
                        <c:v>642</c:v>
                      </c:pt>
                      <c:pt idx="43">
                        <c:v>650</c:v>
                      </c:pt>
                      <c:pt idx="44">
                        <c:v>658</c:v>
                      </c:pt>
                      <c:pt idx="45">
                        <c:v>666</c:v>
                      </c:pt>
                      <c:pt idx="46">
                        <c:v>674</c:v>
                      </c:pt>
                      <c:pt idx="47">
                        <c:v>682</c:v>
                      </c:pt>
                      <c:pt idx="48">
                        <c:v>690</c:v>
                      </c:pt>
                      <c:pt idx="49">
                        <c:v>698</c:v>
                      </c:pt>
                      <c:pt idx="50">
                        <c:v>706</c:v>
                      </c:pt>
                      <c:pt idx="51">
                        <c:v>714</c:v>
                      </c:pt>
                      <c:pt idx="52">
                        <c:v>722</c:v>
                      </c:pt>
                      <c:pt idx="53">
                        <c:v>730</c:v>
                      </c:pt>
                      <c:pt idx="54">
                        <c:v>738</c:v>
                      </c:pt>
                      <c:pt idx="55">
                        <c:v>746</c:v>
                      </c:pt>
                      <c:pt idx="56">
                        <c:v>754</c:v>
                      </c:pt>
                      <c:pt idx="57">
                        <c:v>762</c:v>
                      </c:pt>
                      <c:pt idx="58">
                        <c:v>770</c:v>
                      </c:pt>
                      <c:pt idx="59">
                        <c:v>778</c:v>
                      </c:pt>
                      <c:pt idx="60">
                        <c:v>786</c:v>
                      </c:pt>
                      <c:pt idx="61">
                        <c:v>794</c:v>
                      </c:pt>
                      <c:pt idx="62">
                        <c:v>802</c:v>
                      </c:pt>
                      <c:pt idx="63">
                        <c:v>810</c:v>
                      </c:pt>
                      <c:pt idx="64">
                        <c:v>818</c:v>
                      </c:pt>
                      <c:pt idx="65">
                        <c:v>826</c:v>
                      </c:pt>
                      <c:pt idx="66">
                        <c:v>834</c:v>
                      </c:pt>
                      <c:pt idx="67">
                        <c:v>842</c:v>
                      </c:pt>
                      <c:pt idx="68">
                        <c:v>850</c:v>
                      </c:pt>
                      <c:pt idx="69">
                        <c:v>858</c:v>
                      </c:pt>
                      <c:pt idx="70">
                        <c:v>866</c:v>
                      </c:pt>
                      <c:pt idx="71">
                        <c:v>874</c:v>
                      </c:pt>
                      <c:pt idx="72">
                        <c:v>882</c:v>
                      </c:pt>
                      <c:pt idx="73">
                        <c:v>890</c:v>
                      </c:pt>
                      <c:pt idx="74">
                        <c:v>898</c:v>
                      </c:pt>
                      <c:pt idx="75">
                        <c:v>906</c:v>
                      </c:pt>
                      <c:pt idx="76">
                        <c:v>914</c:v>
                      </c:pt>
                      <c:pt idx="77">
                        <c:v>922</c:v>
                      </c:pt>
                      <c:pt idx="78">
                        <c:v>930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EVALUATION!$B$144:$CP$144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-21.943243243243245</c:v>
                      </c:pt>
                      <c:pt idx="1">
                        <c:v>-21.741441441441442</c:v>
                      </c:pt>
                      <c:pt idx="2">
                        <c:v>-21.539639639639642</c:v>
                      </c:pt>
                      <c:pt idx="3">
                        <c:v>-21.337837837837839</c:v>
                      </c:pt>
                      <c:pt idx="4" formatCode="General">
                        <c:v>-21.317514970059882</c:v>
                      </c:pt>
                      <c:pt idx="5" formatCode="General">
                        <c:v>-21.339071856287426</c:v>
                      </c:pt>
                      <c:pt idx="6" formatCode="General">
                        <c:v>-21.360628742514972</c:v>
                      </c:pt>
                      <c:pt idx="7" formatCode="General">
                        <c:v>-21.382185628742516</c:v>
                      </c:pt>
                      <c:pt idx="8" formatCode="General">
                        <c:v>-21.452604790419162</c:v>
                      </c:pt>
                      <c:pt idx="9" formatCode="General">
                        <c:v>-21.550808383233534</c:v>
                      </c:pt>
                      <c:pt idx="10" formatCode="General">
                        <c:v>-21.649011976047905</c:v>
                      </c:pt>
                      <c:pt idx="11" formatCode="General">
                        <c:v>-21.747215568862277</c:v>
                      </c:pt>
                      <c:pt idx="12" formatCode="General">
                        <c:v>-21.843203592814373</c:v>
                      </c:pt>
                      <c:pt idx="13" formatCode="General">
                        <c:v>-21.936616766467068</c:v>
                      </c:pt>
                      <c:pt idx="14" formatCode="General">
                        <c:v>-22.030029940119761</c:v>
                      </c:pt>
                      <c:pt idx="15" formatCode="General">
                        <c:v>-22.123443113772456</c:v>
                      </c:pt>
                      <c:pt idx="16" formatCode="General">
                        <c:v>-22.209970059880241</c:v>
                      </c:pt>
                      <c:pt idx="17" formatCode="General">
                        <c:v>-22.279431137724551</c:v>
                      </c:pt>
                      <c:pt idx="18" formatCode="General">
                        <c:v>-22.348892215568863</c:v>
                      </c:pt>
                      <c:pt idx="19" formatCode="General">
                        <c:v>-22.418353293413173</c:v>
                      </c:pt>
                      <c:pt idx="20" formatCode="General">
                        <c:v>-22.488353293413173</c:v>
                      </c:pt>
                      <c:pt idx="21" formatCode="General">
                        <c:v>-22.562604790419162</c:v>
                      </c:pt>
                      <c:pt idx="22" formatCode="General">
                        <c:v>-22.63685628742515</c:v>
                      </c:pt>
                      <c:pt idx="23" formatCode="General">
                        <c:v>-22.711107784431139</c:v>
                      </c:pt>
                      <c:pt idx="24" formatCode="General">
                        <c:v>-22.785359281437124</c:v>
                      </c:pt>
                      <c:pt idx="25" formatCode="General">
                        <c:v>-22.846306306306307</c:v>
                      </c:pt>
                      <c:pt idx="26" formatCode="General">
                        <c:v>-22.906366366366367</c:v>
                      </c:pt>
                      <c:pt idx="27" formatCode="General">
                        <c:v>-22.966426426426427</c:v>
                      </c:pt>
                      <c:pt idx="28" formatCode="General">
                        <c:v>-23.026486486486487</c:v>
                      </c:pt>
                      <c:pt idx="29" formatCode="General">
                        <c:v>-23.130958083832336</c:v>
                      </c:pt>
                      <c:pt idx="30" formatCode="General">
                        <c:v>-23.248323353293415</c:v>
                      </c:pt>
                      <c:pt idx="31" formatCode="General">
                        <c:v>-23.36568862275449</c:v>
                      </c:pt>
                      <c:pt idx="32" formatCode="General">
                        <c:v>-23.483053892215569</c:v>
                      </c:pt>
                      <c:pt idx="33" formatCode="General">
                        <c:v>-23.60185628742515</c:v>
                      </c:pt>
                      <c:pt idx="34" formatCode="General">
                        <c:v>-23.721616766467065</c:v>
                      </c:pt>
                      <c:pt idx="35" formatCode="General">
                        <c:v>-23.841377245508983</c:v>
                      </c:pt>
                      <c:pt idx="36" formatCode="General">
                        <c:v>-23.961137724550898</c:v>
                      </c:pt>
                      <c:pt idx="37" formatCode="General">
                        <c:v>-24.078862275449104</c:v>
                      </c:pt>
                      <c:pt idx="38" formatCode="General">
                        <c:v>-24.193832335329343</c:v>
                      </c:pt>
                      <c:pt idx="39" formatCode="General">
                        <c:v>-24.308802395209582</c:v>
                      </c:pt>
                      <c:pt idx="40" formatCode="General">
                        <c:v>-24.423772455089821</c:v>
                      </c:pt>
                      <c:pt idx="41" formatCode="General">
                        <c:v>-24.53874251497006</c:v>
                      </c:pt>
                      <c:pt idx="42" formatCode="General">
                        <c:v>-24.653712574850299</c:v>
                      </c:pt>
                      <c:pt idx="43" formatCode="General">
                        <c:v>-24.768682634730538</c:v>
                      </c:pt>
                      <c:pt idx="44" formatCode="General">
                        <c:v>-24.883652694610777</c:v>
                      </c:pt>
                      <c:pt idx="45" formatCode="General">
                        <c:v>-24.998622754491016</c:v>
                      </c:pt>
                      <c:pt idx="46" formatCode="General">
                        <c:v>-25.113592814371255</c:v>
                      </c:pt>
                      <c:pt idx="47" formatCode="General">
                        <c:v>-25.228562874251494</c:v>
                      </c:pt>
                      <c:pt idx="48" formatCode="General">
                        <c:v>-25.343532934131737</c:v>
                      </c:pt>
                      <c:pt idx="49" formatCode="General">
                        <c:v>-25.458502994011976</c:v>
                      </c:pt>
                      <c:pt idx="50" formatCode="General">
                        <c:v>-25.567617977528091</c:v>
                      </c:pt>
                      <c:pt idx="51" formatCode="General">
                        <c:v>-25.676082397003746</c:v>
                      </c:pt>
                      <c:pt idx="52" formatCode="General">
                        <c:v>-25.784546816479402</c:v>
                      </c:pt>
                      <c:pt idx="53" formatCode="General">
                        <c:v>-25.893011235955058</c:v>
                      </c:pt>
                      <c:pt idx="54" formatCode="General">
                        <c:v>-26.001475655430713</c:v>
                      </c:pt>
                      <c:pt idx="55" formatCode="General">
                        <c:v>-26.109940074906369</c:v>
                      </c:pt>
                      <c:pt idx="56" formatCode="General">
                        <c:v>-26.218404494382021</c:v>
                      </c:pt>
                      <c:pt idx="57" formatCode="General">
                        <c:v>-26.326868913857677</c:v>
                      </c:pt>
                      <c:pt idx="58" formatCode="General">
                        <c:v>-26.435333333333332</c:v>
                      </c:pt>
                      <c:pt idx="59" formatCode="General">
                        <c:v>-26.543797752808988</c:v>
                      </c:pt>
                      <c:pt idx="60" formatCode="General">
                        <c:v>-26.652262172284644</c:v>
                      </c:pt>
                      <c:pt idx="61" formatCode="General">
                        <c:v>-26.760726591760299</c:v>
                      </c:pt>
                      <c:pt idx="62" formatCode="General">
                        <c:v>-26.869191011235955</c:v>
                      </c:pt>
                      <c:pt idx="63" formatCode="General">
                        <c:v>-26.977655430711611</c:v>
                      </c:pt>
                      <c:pt idx="64" formatCode="General">
                        <c:v>-27.086119850187266</c:v>
                      </c:pt>
                      <c:pt idx="65" formatCode="General">
                        <c:v>-27.194584269662922</c:v>
                      </c:pt>
                      <c:pt idx="66" formatCode="General">
                        <c:v>-27.301902621722849</c:v>
                      </c:pt>
                      <c:pt idx="67" formatCode="General">
                        <c:v>-27.404973782771538</c:v>
                      </c:pt>
                      <c:pt idx="68" formatCode="General">
                        <c:v>-27.508044943820227</c:v>
                      </c:pt>
                      <c:pt idx="69" formatCode="General">
                        <c:v>-27.611116104868916</c:v>
                      </c:pt>
                      <c:pt idx="70" formatCode="General">
                        <c:v>-27.714187265917605</c:v>
                      </c:pt>
                      <c:pt idx="71" formatCode="General">
                        <c:v>-27.817258426966294</c:v>
                      </c:pt>
                      <c:pt idx="72" formatCode="General">
                        <c:v>-27.920329588014983</c:v>
                      </c:pt>
                      <c:pt idx="73" formatCode="General">
                        <c:v>-28.023400749063672</c:v>
                      </c:pt>
                      <c:pt idx="74" formatCode="General">
                        <c:v>-28.126471910112361</c:v>
                      </c:pt>
                      <c:pt idx="75" formatCode="General">
                        <c:v>-28.22954307116105</c:v>
                      </c:pt>
                      <c:pt idx="76" formatCode="General">
                        <c:v>-28.332614232209739</c:v>
                      </c:pt>
                      <c:pt idx="77" formatCode="General">
                        <c:v>-28.435685393258428</c:v>
                      </c:pt>
                      <c:pt idx="78" formatCode="General">
                        <c:v>-28.538756554307117</c:v>
                      </c:pt>
                      <c:pt idx="79" formatCode="General">
                        <c:v>-28.641827715355806</c:v>
                      </c:pt>
                      <c:pt idx="80" formatCode="General">
                        <c:v>-28.744898876404495</c:v>
                      </c:pt>
                      <c:pt idx="81" formatCode="General">
                        <c:v>-28.847970037453184</c:v>
                      </c:pt>
                      <c:pt idx="82" formatCode="General">
                        <c:v>-28.951041198501873</c:v>
                      </c:pt>
                      <c:pt idx="83" formatCode="General">
                        <c:v>-29.051396396396395</c:v>
                      </c:pt>
                      <c:pt idx="84" formatCode="General">
                        <c:v>-29.149294294294293</c:v>
                      </c:pt>
                      <c:pt idx="85" formatCode="General">
                        <c:v>-29.247192192192191</c:v>
                      </c:pt>
                      <c:pt idx="86" formatCode="General">
                        <c:v>-29.345090090090089</c:v>
                      </c:pt>
                      <c:pt idx="87" formatCode="General">
                        <c:v>-7.3468118811881187</c:v>
                      </c:pt>
                      <c:pt idx="88" formatCode="General">
                        <c:v>-7.3646336633663365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E-6F8E-44D6-9842-8CC6ABD00D40}"/>
                  </c:ext>
                </c:extLst>
              </c15:ser>
            </c15:filteredScatterSeries>
            <c15:filteredScatterSeries>
              <c15:ser>
                <c:idx val="43"/>
                <c:order val="44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306</c:v>
                      </c:pt>
                      <c:pt idx="1">
                        <c:v>314</c:v>
                      </c:pt>
                      <c:pt idx="2">
                        <c:v>322</c:v>
                      </c:pt>
                      <c:pt idx="3">
                        <c:v>330</c:v>
                      </c:pt>
                      <c:pt idx="4">
                        <c:v>338</c:v>
                      </c:pt>
                      <c:pt idx="5">
                        <c:v>346</c:v>
                      </c:pt>
                      <c:pt idx="6">
                        <c:v>354</c:v>
                      </c:pt>
                      <c:pt idx="7">
                        <c:v>362</c:v>
                      </c:pt>
                      <c:pt idx="8">
                        <c:v>370</c:v>
                      </c:pt>
                      <c:pt idx="9">
                        <c:v>378</c:v>
                      </c:pt>
                      <c:pt idx="10">
                        <c:v>386</c:v>
                      </c:pt>
                      <c:pt idx="11">
                        <c:v>394</c:v>
                      </c:pt>
                      <c:pt idx="12">
                        <c:v>402</c:v>
                      </c:pt>
                      <c:pt idx="13">
                        <c:v>410</c:v>
                      </c:pt>
                      <c:pt idx="14">
                        <c:v>418</c:v>
                      </c:pt>
                      <c:pt idx="15">
                        <c:v>426</c:v>
                      </c:pt>
                      <c:pt idx="16">
                        <c:v>434</c:v>
                      </c:pt>
                      <c:pt idx="17">
                        <c:v>442</c:v>
                      </c:pt>
                      <c:pt idx="18">
                        <c:v>450</c:v>
                      </c:pt>
                      <c:pt idx="19">
                        <c:v>458</c:v>
                      </c:pt>
                      <c:pt idx="20">
                        <c:v>466</c:v>
                      </c:pt>
                      <c:pt idx="21">
                        <c:v>474</c:v>
                      </c:pt>
                      <c:pt idx="22">
                        <c:v>482</c:v>
                      </c:pt>
                      <c:pt idx="23">
                        <c:v>490</c:v>
                      </c:pt>
                      <c:pt idx="24">
                        <c:v>498</c:v>
                      </c:pt>
                      <c:pt idx="25">
                        <c:v>506</c:v>
                      </c:pt>
                      <c:pt idx="26">
                        <c:v>514</c:v>
                      </c:pt>
                      <c:pt idx="27">
                        <c:v>522</c:v>
                      </c:pt>
                      <c:pt idx="28">
                        <c:v>530</c:v>
                      </c:pt>
                      <c:pt idx="29">
                        <c:v>538</c:v>
                      </c:pt>
                      <c:pt idx="30">
                        <c:v>546</c:v>
                      </c:pt>
                      <c:pt idx="31">
                        <c:v>554</c:v>
                      </c:pt>
                      <c:pt idx="32">
                        <c:v>562</c:v>
                      </c:pt>
                      <c:pt idx="33">
                        <c:v>570</c:v>
                      </c:pt>
                      <c:pt idx="34">
                        <c:v>578</c:v>
                      </c:pt>
                      <c:pt idx="35">
                        <c:v>586</c:v>
                      </c:pt>
                      <c:pt idx="36">
                        <c:v>594</c:v>
                      </c:pt>
                      <c:pt idx="37">
                        <c:v>602</c:v>
                      </c:pt>
                      <c:pt idx="38">
                        <c:v>610</c:v>
                      </c:pt>
                      <c:pt idx="39">
                        <c:v>618</c:v>
                      </c:pt>
                      <c:pt idx="40">
                        <c:v>626</c:v>
                      </c:pt>
                      <c:pt idx="41">
                        <c:v>634</c:v>
                      </c:pt>
                      <c:pt idx="42">
                        <c:v>642</c:v>
                      </c:pt>
                      <c:pt idx="43">
                        <c:v>650</c:v>
                      </c:pt>
                      <c:pt idx="44">
                        <c:v>658</c:v>
                      </c:pt>
                      <c:pt idx="45">
                        <c:v>666</c:v>
                      </c:pt>
                      <c:pt idx="46">
                        <c:v>674</c:v>
                      </c:pt>
                      <c:pt idx="47">
                        <c:v>682</c:v>
                      </c:pt>
                      <c:pt idx="48">
                        <c:v>690</c:v>
                      </c:pt>
                      <c:pt idx="49">
                        <c:v>698</c:v>
                      </c:pt>
                      <c:pt idx="50">
                        <c:v>706</c:v>
                      </c:pt>
                      <c:pt idx="51">
                        <c:v>714</c:v>
                      </c:pt>
                      <c:pt idx="52">
                        <c:v>722</c:v>
                      </c:pt>
                      <c:pt idx="53">
                        <c:v>730</c:v>
                      </c:pt>
                      <c:pt idx="54">
                        <c:v>738</c:v>
                      </c:pt>
                      <c:pt idx="55">
                        <c:v>746</c:v>
                      </c:pt>
                      <c:pt idx="56">
                        <c:v>754</c:v>
                      </c:pt>
                      <c:pt idx="57">
                        <c:v>762</c:v>
                      </c:pt>
                      <c:pt idx="58">
                        <c:v>770</c:v>
                      </c:pt>
                      <c:pt idx="59">
                        <c:v>778</c:v>
                      </c:pt>
                      <c:pt idx="60">
                        <c:v>786</c:v>
                      </c:pt>
                      <c:pt idx="61">
                        <c:v>794</c:v>
                      </c:pt>
                      <c:pt idx="62">
                        <c:v>802</c:v>
                      </c:pt>
                      <c:pt idx="63">
                        <c:v>810</c:v>
                      </c:pt>
                      <c:pt idx="64">
                        <c:v>818</c:v>
                      </c:pt>
                      <c:pt idx="65">
                        <c:v>826</c:v>
                      </c:pt>
                      <c:pt idx="66">
                        <c:v>834</c:v>
                      </c:pt>
                      <c:pt idx="67">
                        <c:v>842</c:v>
                      </c:pt>
                      <c:pt idx="68">
                        <c:v>850</c:v>
                      </c:pt>
                      <c:pt idx="69">
                        <c:v>858</c:v>
                      </c:pt>
                      <c:pt idx="70">
                        <c:v>866</c:v>
                      </c:pt>
                      <c:pt idx="71">
                        <c:v>874</c:v>
                      </c:pt>
                      <c:pt idx="72">
                        <c:v>882</c:v>
                      </c:pt>
                      <c:pt idx="73">
                        <c:v>890</c:v>
                      </c:pt>
                      <c:pt idx="74">
                        <c:v>898</c:v>
                      </c:pt>
                      <c:pt idx="75">
                        <c:v>906</c:v>
                      </c:pt>
                      <c:pt idx="76">
                        <c:v>914</c:v>
                      </c:pt>
                      <c:pt idx="77">
                        <c:v>922</c:v>
                      </c:pt>
                      <c:pt idx="78">
                        <c:v>930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EVALUATION!$B$145:$CP$145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-21.943243243243245</c:v>
                      </c:pt>
                      <c:pt idx="1">
                        <c:v>-21.741441441441442</c:v>
                      </c:pt>
                      <c:pt idx="2">
                        <c:v>-21.539639639639642</c:v>
                      </c:pt>
                      <c:pt idx="3">
                        <c:v>-21.337837837837839</c:v>
                      </c:pt>
                      <c:pt idx="4" formatCode="General">
                        <c:v>-21.317514970059882</c:v>
                      </c:pt>
                      <c:pt idx="5" formatCode="General">
                        <c:v>-21.339071856287426</c:v>
                      </c:pt>
                      <c:pt idx="6" formatCode="General">
                        <c:v>-21.360628742514972</c:v>
                      </c:pt>
                      <c:pt idx="7" formatCode="General">
                        <c:v>-21.382185628742516</c:v>
                      </c:pt>
                      <c:pt idx="8" formatCode="General">
                        <c:v>-21.452604790419162</c:v>
                      </c:pt>
                      <c:pt idx="9" formatCode="General">
                        <c:v>-21.550808383233534</c:v>
                      </c:pt>
                      <c:pt idx="10" formatCode="General">
                        <c:v>-21.649011976047905</c:v>
                      </c:pt>
                      <c:pt idx="11" formatCode="General">
                        <c:v>-21.747215568862277</c:v>
                      </c:pt>
                      <c:pt idx="12" formatCode="General">
                        <c:v>-21.843203592814373</c:v>
                      </c:pt>
                      <c:pt idx="13" formatCode="General">
                        <c:v>-21.936616766467068</c:v>
                      </c:pt>
                      <c:pt idx="14" formatCode="General">
                        <c:v>-22.030029940119761</c:v>
                      </c:pt>
                      <c:pt idx="15" formatCode="General">
                        <c:v>-22.123443113772456</c:v>
                      </c:pt>
                      <c:pt idx="16" formatCode="General">
                        <c:v>-22.209970059880241</c:v>
                      </c:pt>
                      <c:pt idx="17" formatCode="General">
                        <c:v>-22.279431137724551</c:v>
                      </c:pt>
                      <c:pt idx="18" formatCode="General">
                        <c:v>-22.348892215568863</c:v>
                      </c:pt>
                      <c:pt idx="19" formatCode="General">
                        <c:v>-22.418353293413173</c:v>
                      </c:pt>
                      <c:pt idx="20" formatCode="General">
                        <c:v>-22.488353293413173</c:v>
                      </c:pt>
                      <c:pt idx="21" formatCode="General">
                        <c:v>-22.562604790419162</c:v>
                      </c:pt>
                      <c:pt idx="22" formatCode="General">
                        <c:v>-22.63685628742515</c:v>
                      </c:pt>
                      <c:pt idx="23" formatCode="General">
                        <c:v>-22.711107784431139</c:v>
                      </c:pt>
                      <c:pt idx="24" formatCode="General">
                        <c:v>-22.785359281437124</c:v>
                      </c:pt>
                      <c:pt idx="25" formatCode="General">
                        <c:v>-22.846306306306307</c:v>
                      </c:pt>
                      <c:pt idx="26" formatCode="General">
                        <c:v>-22.906366366366367</c:v>
                      </c:pt>
                      <c:pt idx="27" formatCode="General">
                        <c:v>-22.966426426426427</c:v>
                      </c:pt>
                      <c:pt idx="28" formatCode="General">
                        <c:v>-23.026486486486487</c:v>
                      </c:pt>
                      <c:pt idx="29" formatCode="General">
                        <c:v>-23.130958083832336</c:v>
                      </c:pt>
                      <c:pt idx="30" formatCode="General">
                        <c:v>-23.248323353293415</c:v>
                      </c:pt>
                      <c:pt idx="31" formatCode="General">
                        <c:v>-23.36568862275449</c:v>
                      </c:pt>
                      <c:pt idx="32" formatCode="General">
                        <c:v>-23.483053892215569</c:v>
                      </c:pt>
                      <c:pt idx="33" formatCode="General">
                        <c:v>-23.60185628742515</c:v>
                      </c:pt>
                      <c:pt idx="34" formatCode="General">
                        <c:v>-23.721616766467065</c:v>
                      </c:pt>
                      <c:pt idx="35" formatCode="General">
                        <c:v>-23.841377245508983</c:v>
                      </c:pt>
                      <c:pt idx="36" formatCode="General">
                        <c:v>-23.961137724550898</c:v>
                      </c:pt>
                      <c:pt idx="37" formatCode="General">
                        <c:v>-24.078862275449104</c:v>
                      </c:pt>
                      <c:pt idx="38" formatCode="General">
                        <c:v>-24.193832335329343</c:v>
                      </c:pt>
                      <c:pt idx="39" formatCode="General">
                        <c:v>-24.308802395209582</c:v>
                      </c:pt>
                      <c:pt idx="40" formatCode="General">
                        <c:v>-24.423772455089821</c:v>
                      </c:pt>
                      <c:pt idx="41" formatCode="General">
                        <c:v>-24.53874251497006</c:v>
                      </c:pt>
                      <c:pt idx="42" formatCode="General">
                        <c:v>-24.653712574850299</c:v>
                      </c:pt>
                      <c:pt idx="43" formatCode="General">
                        <c:v>-24.768682634730538</c:v>
                      </c:pt>
                      <c:pt idx="44" formatCode="General">
                        <c:v>-24.883652694610777</c:v>
                      </c:pt>
                      <c:pt idx="45" formatCode="General">
                        <c:v>-24.998622754491016</c:v>
                      </c:pt>
                      <c:pt idx="46" formatCode="General">
                        <c:v>-25.113592814371255</c:v>
                      </c:pt>
                      <c:pt idx="47" formatCode="General">
                        <c:v>-25.228562874251494</c:v>
                      </c:pt>
                      <c:pt idx="48" formatCode="General">
                        <c:v>-25.343532934131737</c:v>
                      </c:pt>
                      <c:pt idx="49" formatCode="General">
                        <c:v>-25.458502994011976</c:v>
                      </c:pt>
                      <c:pt idx="50" formatCode="General">
                        <c:v>-25.567617977528091</c:v>
                      </c:pt>
                      <c:pt idx="51" formatCode="General">
                        <c:v>-25.676082397003746</c:v>
                      </c:pt>
                      <c:pt idx="52" formatCode="General">
                        <c:v>-25.784546816479402</c:v>
                      </c:pt>
                      <c:pt idx="53" formatCode="General">
                        <c:v>-25.893011235955058</c:v>
                      </c:pt>
                      <c:pt idx="54" formatCode="General">
                        <c:v>-26.001475655430713</c:v>
                      </c:pt>
                      <c:pt idx="55" formatCode="General">
                        <c:v>-26.109940074906369</c:v>
                      </c:pt>
                      <c:pt idx="56" formatCode="General">
                        <c:v>-26.218404494382021</c:v>
                      </c:pt>
                      <c:pt idx="57" formatCode="General">
                        <c:v>-26.326868913857677</c:v>
                      </c:pt>
                      <c:pt idx="58" formatCode="General">
                        <c:v>-26.435333333333332</c:v>
                      </c:pt>
                      <c:pt idx="59" formatCode="General">
                        <c:v>-26.543797752808988</c:v>
                      </c:pt>
                      <c:pt idx="60" formatCode="General">
                        <c:v>-26.652262172284644</c:v>
                      </c:pt>
                      <c:pt idx="61" formatCode="General">
                        <c:v>-26.760726591760299</c:v>
                      </c:pt>
                      <c:pt idx="62" formatCode="General">
                        <c:v>-26.869191011235955</c:v>
                      </c:pt>
                      <c:pt idx="63" formatCode="General">
                        <c:v>-26.977655430711611</c:v>
                      </c:pt>
                      <c:pt idx="64" formatCode="General">
                        <c:v>-27.086119850187266</c:v>
                      </c:pt>
                      <c:pt idx="65" formatCode="General">
                        <c:v>-27.194584269662922</c:v>
                      </c:pt>
                      <c:pt idx="66" formatCode="General">
                        <c:v>-27.301902621722849</c:v>
                      </c:pt>
                      <c:pt idx="67" formatCode="General">
                        <c:v>-27.404973782771538</c:v>
                      </c:pt>
                      <c:pt idx="68" formatCode="General">
                        <c:v>-27.508044943820227</c:v>
                      </c:pt>
                      <c:pt idx="69" formatCode="General">
                        <c:v>-27.611116104868916</c:v>
                      </c:pt>
                      <c:pt idx="70" formatCode="General">
                        <c:v>-27.714187265917605</c:v>
                      </c:pt>
                      <c:pt idx="71" formatCode="General">
                        <c:v>-27.817258426966294</c:v>
                      </c:pt>
                      <c:pt idx="72" formatCode="General">
                        <c:v>-27.920329588014983</c:v>
                      </c:pt>
                      <c:pt idx="73" formatCode="General">
                        <c:v>-28.023400749063672</c:v>
                      </c:pt>
                      <c:pt idx="74" formatCode="General">
                        <c:v>-28.126471910112361</c:v>
                      </c:pt>
                      <c:pt idx="75" formatCode="General">
                        <c:v>-28.22954307116105</c:v>
                      </c:pt>
                      <c:pt idx="76" formatCode="General">
                        <c:v>-28.332614232209739</c:v>
                      </c:pt>
                      <c:pt idx="77" formatCode="General">
                        <c:v>-28.435685393258428</c:v>
                      </c:pt>
                      <c:pt idx="78" formatCode="General">
                        <c:v>-28.538756554307117</c:v>
                      </c:pt>
                      <c:pt idx="79" formatCode="General">
                        <c:v>-28.641827715355806</c:v>
                      </c:pt>
                      <c:pt idx="80" formatCode="General">
                        <c:v>-28.744898876404495</c:v>
                      </c:pt>
                      <c:pt idx="81" formatCode="General">
                        <c:v>-28.847970037453184</c:v>
                      </c:pt>
                      <c:pt idx="82" formatCode="General">
                        <c:v>-28.951041198501873</c:v>
                      </c:pt>
                      <c:pt idx="83" formatCode="General">
                        <c:v>-29.051396396396395</c:v>
                      </c:pt>
                      <c:pt idx="84" formatCode="General">
                        <c:v>-29.149294294294293</c:v>
                      </c:pt>
                      <c:pt idx="85" formatCode="General">
                        <c:v>-29.247192192192191</c:v>
                      </c:pt>
                      <c:pt idx="86" formatCode="General">
                        <c:v>-29.345090090090089</c:v>
                      </c:pt>
                      <c:pt idx="87" formatCode="General">
                        <c:v>-8.1209504950495059</c:v>
                      </c:pt>
                      <c:pt idx="88" formatCode="General">
                        <c:v>-8.1466930693069308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F-6F8E-44D6-9842-8CC6ABD00D40}"/>
                  </c:ext>
                </c:extLst>
              </c15:ser>
            </c15:filteredScatterSeries>
            <c15:filteredScatterSeries>
              <c15:ser>
                <c:idx val="44"/>
                <c:order val="45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306</c:v>
                      </c:pt>
                      <c:pt idx="1">
                        <c:v>314</c:v>
                      </c:pt>
                      <c:pt idx="2">
                        <c:v>322</c:v>
                      </c:pt>
                      <c:pt idx="3">
                        <c:v>330</c:v>
                      </c:pt>
                      <c:pt idx="4">
                        <c:v>338</c:v>
                      </c:pt>
                      <c:pt idx="5">
                        <c:v>346</c:v>
                      </c:pt>
                      <c:pt idx="6">
                        <c:v>354</c:v>
                      </c:pt>
                      <c:pt idx="7">
                        <c:v>362</c:v>
                      </c:pt>
                      <c:pt idx="8">
                        <c:v>370</c:v>
                      </c:pt>
                      <c:pt idx="9">
                        <c:v>378</c:v>
                      </c:pt>
                      <c:pt idx="10">
                        <c:v>386</c:v>
                      </c:pt>
                      <c:pt idx="11">
                        <c:v>394</c:v>
                      </c:pt>
                      <c:pt idx="12">
                        <c:v>402</c:v>
                      </c:pt>
                      <c:pt idx="13">
                        <c:v>410</c:v>
                      </c:pt>
                      <c:pt idx="14">
                        <c:v>418</c:v>
                      </c:pt>
                      <c:pt idx="15">
                        <c:v>426</c:v>
                      </c:pt>
                      <c:pt idx="16">
                        <c:v>434</c:v>
                      </c:pt>
                      <c:pt idx="17">
                        <c:v>442</c:v>
                      </c:pt>
                      <c:pt idx="18">
                        <c:v>450</c:v>
                      </c:pt>
                      <c:pt idx="19">
                        <c:v>458</c:v>
                      </c:pt>
                      <c:pt idx="20">
                        <c:v>466</c:v>
                      </c:pt>
                      <c:pt idx="21">
                        <c:v>474</c:v>
                      </c:pt>
                      <c:pt idx="22">
                        <c:v>482</c:v>
                      </c:pt>
                      <c:pt idx="23">
                        <c:v>490</c:v>
                      </c:pt>
                      <c:pt idx="24">
                        <c:v>498</c:v>
                      </c:pt>
                      <c:pt idx="25">
                        <c:v>506</c:v>
                      </c:pt>
                      <c:pt idx="26">
                        <c:v>514</c:v>
                      </c:pt>
                      <c:pt idx="27">
                        <c:v>522</c:v>
                      </c:pt>
                      <c:pt idx="28">
                        <c:v>530</c:v>
                      </c:pt>
                      <c:pt idx="29">
                        <c:v>538</c:v>
                      </c:pt>
                      <c:pt idx="30">
                        <c:v>546</c:v>
                      </c:pt>
                      <c:pt idx="31">
                        <c:v>554</c:v>
                      </c:pt>
                      <c:pt idx="32">
                        <c:v>562</c:v>
                      </c:pt>
                      <c:pt idx="33">
                        <c:v>570</c:v>
                      </c:pt>
                      <c:pt idx="34">
                        <c:v>578</c:v>
                      </c:pt>
                      <c:pt idx="35">
                        <c:v>586</c:v>
                      </c:pt>
                      <c:pt idx="36">
                        <c:v>594</c:v>
                      </c:pt>
                      <c:pt idx="37">
                        <c:v>602</c:v>
                      </c:pt>
                      <c:pt idx="38">
                        <c:v>610</c:v>
                      </c:pt>
                      <c:pt idx="39">
                        <c:v>618</c:v>
                      </c:pt>
                      <c:pt idx="40">
                        <c:v>626</c:v>
                      </c:pt>
                      <c:pt idx="41">
                        <c:v>634</c:v>
                      </c:pt>
                      <c:pt idx="42">
                        <c:v>642</c:v>
                      </c:pt>
                      <c:pt idx="43">
                        <c:v>650</c:v>
                      </c:pt>
                      <c:pt idx="44">
                        <c:v>658</c:v>
                      </c:pt>
                      <c:pt idx="45">
                        <c:v>666</c:v>
                      </c:pt>
                      <c:pt idx="46">
                        <c:v>674</c:v>
                      </c:pt>
                      <c:pt idx="47">
                        <c:v>682</c:v>
                      </c:pt>
                      <c:pt idx="48">
                        <c:v>690</c:v>
                      </c:pt>
                      <c:pt idx="49">
                        <c:v>698</c:v>
                      </c:pt>
                      <c:pt idx="50">
                        <c:v>706</c:v>
                      </c:pt>
                      <c:pt idx="51">
                        <c:v>714</c:v>
                      </c:pt>
                      <c:pt idx="52">
                        <c:v>722</c:v>
                      </c:pt>
                      <c:pt idx="53">
                        <c:v>730</c:v>
                      </c:pt>
                      <c:pt idx="54">
                        <c:v>738</c:v>
                      </c:pt>
                      <c:pt idx="55">
                        <c:v>746</c:v>
                      </c:pt>
                      <c:pt idx="56">
                        <c:v>754</c:v>
                      </c:pt>
                      <c:pt idx="57">
                        <c:v>762</c:v>
                      </c:pt>
                      <c:pt idx="58">
                        <c:v>770</c:v>
                      </c:pt>
                      <c:pt idx="59">
                        <c:v>778</c:v>
                      </c:pt>
                      <c:pt idx="60">
                        <c:v>786</c:v>
                      </c:pt>
                      <c:pt idx="61">
                        <c:v>794</c:v>
                      </c:pt>
                      <c:pt idx="62">
                        <c:v>802</c:v>
                      </c:pt>
                      <c:pt idx="63">
                        <c:v>810</c:v>
                      </c:pt>
                      <c:pt idx="64">
                        <c:v>818</c:v>
                      </c:pt>
                      <c:pt idx="65">
                        <c:v>826</c:v>
                      </c:pt>
                      <c:pt idx="66">
                        <c:v>834</c:v>
                      </c:pt>
                      <c:pt idx="67">
                        <c:v>842</c:v>
                      </c:pt>
                      <c:pt idx="68">
                        <c:v>850</c:v>
                      </c:pt>
                      <c:pt idx="69">
                        <c:v>858</c:v>
                      </c:pt>
                      <c:pt idx="70">
                        <c:v>866</c:v>
                      </c:pt>
                      <c:pt idx="71">
                        <c:v>874</c:v>
                      </c:pt>
                      <c:pt idx="72">
                        <c:v>882</c:v>
                      </c:pt>
                      <c:pt idx="73">
                        <c:v>890</c:v>
                      </c:pt>
                      <c:pt idx="74">
                        <c:v>898</c:v>
                      </c:pt>
                      <c:pt idx="75">
                        <c:v>906</c:v>
                      </c:pt>
                      <c:pt idx="76">
                        <c:v>914</c:v>
                      </c:pt>
                      <c:pt idx="77">
                        <c:v>922</c:v>
                      </c:pt>
                      <c:pt idx="78">
                        <c:v>930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EVALUATION!$B$146:$CP$146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-15.512792792792792</c:v>
                      </c:pt>
                      <c:pt idx="1">
                        <c:v>-15.013093093093092</c:v>
                      </c:pt>
                      <c:pt idx="2">
                        <c:v>-14.513393393393393</c:v>
                      </c:pt>
                      <c:pt idx="3">
                        <c:v>-14.013693693693693</c:v>
                      </c:pt>
                      <c:pt idx="4" formatCode="General">
                        <c:v>-13.456826347305389</c:v>
                      </c:pt>
                      <c:pt idx="5" formatCode="General">
                        <c:v>-12.886766467065867</c:v>
                      </c:pt>
                      <c:pt idx="6" formatCode="General">
                        <c:v>-12.316706586826346</c:v>
                      </c:pt>
                      <c:pt idx="7" formatCode="General">
                        <c:v>-11.746646706586823</c:v>
                      </c:pt>
                      <c:pt idx="8" formatCode="General">
                        <c:v>-11.204988023952094</c:v>
                      </c:pt>
                      <c:pt idx="9" formatCode="General">
                        <c:v>-10.679479041916167</c:v>
                      </c:pt>
                      <c:pt idx="10" formatCode="General">
                        <c:v>-10.153970059880239</c:v>
                      </c:pt>
                      <c:pt idx="11" formatCode="General">
                        <c:v>-9.628461077844312</c:v>
                      </c:pt>
                      <c:pt idx="12" formatCode="General">
                        <c:v>-9.1539101796407198</c:v>
                      </c:pt>
                      <c:pt idx="13" formatCode="General">
                        <c:v>-8.7385808383233528</c:v>
                      </c:pt>
                      <c:pt idx="14" formatCode="General">
                        <c:v>-8.3232514970059874</c:v>
                      </c:pt>
                      <c:pt idx="15" formatCode="General">
                        <c:v>-7.9079221556886221</c:v>
                      </c:pt>
                      <c:pt idx="16" formatCode="General">
                        <c:v>-7.5390748502994009</c:v>
                      </c:pt>
                      <c:pt idx="17" formatCode="General">
                        <c:v>-7.2854221556886225</c:v>
                      </c:pt>
                      <c:pt idx="18" formatCode="General">
                        <c:v>-7.031769461077845</c:v>
                      </c:pt>
                      <c:pt idx="19" formatCode="General">
                        <c:v>-6.7781167664670665</c:v>
                      </c:pt>
                      <c:pt idx="20" formatCode="General">
                        <c:v>-6.5428413173652693</c:v>
                      </c:pt>
                      <c:pt idx="21" formatCode="General">
                        <c:v>-6.4525419161676645</c:v>
                      </c:pt>
                      <c:pt idx="22" formatCode="General">
                        <c:v>-6.3622425149700597</c:v>
                      </c:pt>
                      <c:pt idx="23" formatCode="General">
                        <c:v>-6.2719431137724548</c:v>
                      </c:pt>
                      <c:pt idx="24" formatCode="General">
                        <c:v>-6.18164371257485</c:v>
                      </c:pt>
                      <c:pt idx="25" formatCode="General">
                        <c:v>-6.3239729729729737</c:v>
                      </c:pt>
                      <c:pt idx="26" formatCode="General">
                        <c:v>-6.4818108108108117</c:v>
                      </c:pt>
                      <c:pt idx="27" formatCode="General">
                        <c:v>-6.6396486486486497</c:v>
                      </c:pt>
                      <c:pt idx="28" formatCode="General">
                        <c:v>-6.7974864864864877</c:v>
                      </c:pt>
                      <c:pt idx="29" formatCode="General">
                        <c:v>-6.8348562874251497</c:v>
                      </c:pt>
                      <c:pt idx="30" formatCode="General">
                        <c:v>-6.8372514970059886</c:v>
                      </c:pt>
                      <c:pt idx="31" formatCode="General">
                        <c:v>-6.8396467065868265</c:v>
                      </c:pt>
                      <c:pt idx="32" formatCode="General">
                        <c:v>-6.8420419161676644</c:v>
                      </c:pt>
                      <c:pt idx="33" formatCode="General">
                        <c:v>-6.8517664670658682</c:v>
                      </c:pt>
                      <c:pt idx="34" formatCode="General">
                        <c:v>-6.866377245508982</c:v>
                      </c:pt>
                      <c:pt idx="35" formatCode="General">
                        <c:v>-6.8809880239520957</c:v>
                      </c:pt>
                      <c:pt idx="36" formatCode="General">
                        <c:v>-6.8955988023952095</c:v>
                      </c:pt>
                      <c:pt idx="37" formatCode="General">
                        <c:v>-6.911838323353293</c:v>
                      </c:pt>
                      <c:pt idx="38" formatCode="General">
                        <c:v>-6.930281437125748</c:v>
                      </c:pt>
                      <c:pt idx="39" formatCode="General">
                        <c:v>-6.9487245508982038</c:v>
                      </c:pt>
                      <c:pt idx="40" formatCode="General">
                        <c:v>-6.9671676646706588</c:v>
                      </c:pt>
                      <c:pt idx="41" formatCode="General">
                        <c:v>-6.9858502994011973</c:v>
                      </c:pt>
                      <c:pt idx="42" formatCode="General">
                        <c:v>-7.0052514970059878</c:v>
                      </c:pt>
                      <c:pt idx="43" formatCode="General">
                        <c:v>-7.0246526946107783</c:v>
                      </c:pt>
                      <c:pt idx="44" formatCode="General">
                        <c:v>-7.0440538922155689</c:v>
                      </c:pt>
                      <c:pt idx="45" formatCode="General">
                        <c:v>-7.0634550898203594</c:v>
                      </c:pt>
                      <c:pt idx="46" formatCode="General">
                        <c:v>-7.0828562874251499</c:v>
                      </c:pt>
                      <c:pt idx="47" formatCode="General">
                        <c:v>-7.1022574850299405</c:v>
                      </c:pt>
                      <c:pt idx="48" formatCode="General">
                        <c:v>-7.1216586826347301</c:v>
                      </c:pt>
                      <c:pt idx="49" formatCode="General">
                        <c:v>-7.1410598802395207</c:v>
                      </c:pt>
                      <c:pt idx="50" formatCode="General">
                        <c:v>-7.1602584269662923</c:v>
                      </c:pt>
                      <c:pt idx="51" formatCode="General">
                        <c:v>-7.1794344569288393</c:v>
                      </c:pt>
                      <c:pt idx="52" formatCode="General">
                        <c:v>-7.1986104868913854</c:v>
                      </c:pt>
                      <c:pt idx="53" formatCode="General">
                        <c:v>-7.2177865168539324</c:v>
                      </c:pt>
                      <c:pt idx="54" formatCode="General">
                        <c:v>-7.2369625468164793</c:v>
                      </c:pt>
                      <c:pt idx="55" formatCode="General">
                        <c:v>-7.2561385767790263</c:v>
                      </c:pt>
                      <c:pt idx="56" formatCode="General">
                        <c:v>-7.2753146067415733</c:v>
                      </c:pt>
                      <c:pt idx="57" formatCode="General">
                        <c:v>-7.2944906367041202</c:v>
                      </c:pt>
                      <c:pt idx="58" formatCode="General">
                        <c:v>-7.3136666666666663</c:v>
                      </c:pt>
                      <c:pt idx="59" formatCode="General">
                        <c:v>-7.3328426966292133</c:v>
                      </c:pt>
                      <c:pt idx="60" formatCode="General">
                        <c:v>-7.3520187265917603</c:v>
                      </c:pt>
                      <c:pt idx="61" formatCode="General">
                        <c:v>-7.3711947565543072</c:v>
                      </c:pt>
                      <c:pt idx="62" formatCode="General">
                        <c:v>-7.3903707865168542</c:v>
                      </c:pt>
                      <c:pt idx="63" formatCode="General">
                        <c:v>-7.4095468164794012</c:v>
                      </c:pt>
                      <c:pt idx="64" formatCode="General">
                        <c:v>-7.4287228464419481</c:v>
                      </c:pt>
                      <c:pt idx="65" formatCode="General">
                        <c:v>-7.4478988764044942</c:v>
                      </c:pt>
                      <c:pt idx="66" formatCode="General">
                        <c:v>-7.4668456928838953</c:v>
                      </c:pt>
                      <c:pt idx="67" formatCode="General">
                        <c:v>-7.484943071161049</c:v>
                      </c:pt>
                      <c:pt idx="68" formatCode="General">
                        <c:v>-7.5030404494382026</c:v>
                      </c:pt>
                      <c:pt idx="69" formatCode="General">
                        <c:v>-7.5211378277153562</c:v>
                      </c:pt>
                      <c:pt idx="70" formatCode="General">
                        <c:v>-7.5392352059925098</c:v>
                      </c:pt>
                      <c:pt idx="71" formatCode="General">
                        <c:v>-7.5573325842696626</c:v>
                      </c:pt>
                      <c:pt idx="72" formatCode="General">
                        <c:v>-7.5754299625468162</c:v>
                      </c:pt>
                      <c:pt idx="73" formatCode="General">
                        <c:v>-7.5935273408239699</c:v>
                      </c:pt>
                      <c:pt idx="74" formatCode="General">
                        <c:v>-7.6116247191011235</c:v>
                      </c:pt>
                      <c:pt idx="75" formatCode="General">
                        <c:v>-7.6297220973782771</c:v>
                      </c:pt>
                      <c:pt idx="76" formatCode="General">
                        <c:v>-7.6478194756554307</c:v>
                      </c:pt>
                      <c:pt idx="77" formatCode="General">
                        <c:v>-7.6659168539325844</c:v>
                      </c:pt>
                      <c:pt idx="78" formatCode="General">
                        <c:v>-7.684014232209738</c:v>
                      </c:pt>
                      <c:pt idx="79" formatCode="General">
                        <c:v>-7.7021116104868916</c:v>
                      </c:pt>
                      <c:pt idx="80" formatCode="General">
                        <c:v>-7.7202089887640444</c:v>
                      </c:pt>
                      <c:pt idx="81" formatCode="General">
                        <c:v>-7.738306367041198</c:v>
                      </c:pt>
                      <c:pt idx="82" formatCode="General">
                        <c:v>-7.7564037453183516</c:v>
                      </c:pt>
                      <c:pt idx="83" formatCode="General">
                        <c:v>-7.7739234234234234</c:v>
                      </c:pt>
                      <c:pt idx="84" formatCode="General">
                        <c:v>-7.7909204204204201</c:v>
                      </c:pt>
                      <c:pt idx="85" formatCode="General">
                        <c:v>-7.8079174174174168</c:v>
                      </c:pt>
                      <c:pt idx="86" formatCode="General">
                        <c:v>-7.8249144144144145</c:v>
                      </c:pt>
                      <c:pt idx="87" formatCode="General">
                        <c:v>-28.733663366336632</c:v>
                      </c:pt>
                      <c:pt idx="88" formatCode="General">
                        <c:v>-28.828712871287127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0-6F8E-44D6-9842-8CC6ABD00D40}"/>
                  </c:ext>
                </c:extLst>
              </c15:ser>
            </c15:filteredScatterSeries>
            <c15:filteredScatterSeries>
              <c15:ser>
                <c:idx val="45"/>
                <c:order val="46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306</c:v>
                      </c:pt>
                      <c:pt idx="1">
                        <c:v>314</c:v>
                      </c:pt>
                      <c:pt idx="2">
                        <c:v>322</c:v>
                      </c:pt>
                      <c:pt idx="3">
                        <c:v>330</c:v>
                      </c:pt>
                      <c:pt idx="4">
                        <c:v>338</c:v>
                      </c:pt>
                      <c:pt idx="5">
                        <c:v>346</c:v>
                      </c:pt>
                      <c:pt idx="6">
                        <c:v>354</c:v>
                      </c:pt>
                      <c:pt idx="7">
                        <c:v>362</c:v>
                      </c:pt>
                      <c:pt idx="8">
                        <c:v>370</c:v>
                      </c:pt>
                      <c:pt idx="9">
                        <c:v>378</c:v>
                      </c:pt>
                      <c:pt idx="10">
                        <c:v>386</c:v>
                      </c:pt>
                      <c:pt idx="11">
                        <c:v>394</c:v>
                      </c:pt>
                      <c:pt idx="12">
                        <c:v>402</c:v>
                      </c:pt>
                      <c:pt idx="13">
                        <c:v>410</c:v>
                      </c:pt>
                      <c:pt idx="14">
                        <c:v>418</c:v>
                      </c:pt>
                      <c:pt idx="15">
                        <c:v>426</c:v>
                      </c:pt>
                      <c:pt idx="16">
                        <c:v>434</c:v>
                      </c:pt>
                      <c:pt idx="17">
                        <c:v>442</c:v>
                      </c:pt>
                      <c:pt idx="18">
                        <c:v>450</c:v>
                      </c:pt>
                      <c:pt idx="19">
                        <c:v>458</c:v>
                      </c:pt>
                      <c:pt idx="20">
                        <c:v>466</c:v>
                      </c:pt>
                      <c:pt idx="21">
                        <c:v>474</c:v>
                      </c:pt>
                      <c:pt idx="22">
                        <c:v>482</c:v>
                      </c:pt>
                      <c:pt idx="23">
                        <c:v>490</c:v>
                      </c:pt>
                      <c:pt idx="24">
                        <c:v>498</c:v>
                      </c:pt>
                      <c:pt idx="25">
                        <c:v>506</c:v>
                      </c:pt>
                      <c:pt idx="26">
                        <c:v>514</c:v>
                      </c:pt>
                      <c:pt idx="27">
                        <c:v>522</c:v>
                      </c:pt>
                      <c:pt idx="28">
                        <c:v>530</c:v>
                      </c:pt>
                      <c:pt idx="29">
                        <c:v>538</c:v>
                      </c:pt>
                      <c:pt idx="30">
                        <c:v>546</c:v>
                      </c:pt>
                      <c:pt idx="31">
                        <c:v>554</c:v>
                      </c:pt>
                      <c:pt idx="32">
                        <c:v>562</c:v>
                      </c:pt>
                      <c:pt idx="33">
                        <c:v>570</c:v>
                      </c:pt>
                      <c:pt idx="34">
                        <c:v>578</c:v>
                      </c:pt>
                      <c:pt idx="35">
                        <c:v>586</c:v>
                      </c:pt>
                      <c:pt idx="36">
                        <c:v>594</c:v>
                      </c:pt>
                      <c:pt idx="37">
                        <c:v>602</c:v>
                      </c:pt>
                      <c:pt idx="38">
                        <c:v>610</c:v>
                      </c:pt>
                      <c:pt idx="39">
                        <c:v>618</c:v>
                      </c:pt>
                      <c:pt idx="40">
                        <c:v>626</c:v>
                      </c:pt>
                      <c:pt idx="41">
                        <c:v>634</c:v>
                      </c:pt>
                      <c:pt idx="42">
                        <c:v>642</c:v>
                      </c:pt>
                      <c:pt idx="43">
                        <c:v>650</c:v>
                      </c:pt>
                      <c:pt idx="44">
                        <c:v>658</c:v>
                      </c:pt>
                      <c:pt idx="45">
                        <c:v>666</c:v>
                      </c:pt>
                      <c:pt idx="46">
                        <c:v>674</c:v>
                      </c:pt>
                      <c:pt idx="47">
                        <c:v>682</c:v>
                      </c:pt>
                      <c:pt idx="48">
                        <c:v>690</c:v>
                      </c:pt>
                      <c:pt idx="49">
                        <c:v>698</c:v>
                      </c:pt>
                      <c:pt idx="50">
                        <c:v>706</c:v>
                      </c:pt>
                      <c:pt idx="51">
                        <c:v>714</c:v>
                      </c:pt>
                      <c:pt idx="52">
                        <c:v>722</c:v>
                      </c:pt>
                      <c:pt idx="53">
                        <c:v>730</c:v>
                      </c:pt>
                      <c:pt idx="54">
                        <c:v>738</c:v>
                      </c:pt>
                      <c:pt idx="55">
                        <c:v>746</c:v>
                      </c:pt>
                      <c:pt idx="56">
                        <c:v>754</c:v>
                      </c:pt>
                      <c:pt idx="57">
                        <c:v>762</c:v>
                      </c:pt>
                      <c:pt idx="58">
                        <c:v>770</c:v>
                      </c:pt>
                      <c:pt idx="59">
                        <c:v>778</c:v>
                      </c:pt>
                      <c:pt idx="60">
                        <c:v>786</c:v>
                      </c:pt>
                      <c:pt idx="61">
                        <c:v>794</c:v>
                      </c:pt>
                      <c:pt idx="62">
                        <c:v>802</c:v>
                      </c:pt>
                      <c:pt idx="63">
                        <c:v>810</c:v>
                      </c:pt>
                      <c:pt idx="64">
                        <c:v>818</c:v>
                      </c:pt>
                      <c:pt idx="65">
                        <c:v>826</c:v>
                      </c:pt>
                      <c:pt idx="66">
                        <c:v>834</c:v>
                      </c:pt>
                      <c:pt idx="67">
                        <c:v>842</c:v>
                      </c:pt>
                      <c:pt idx="68">
                        <c:v>850</c:v>
                      </c:pt>
                      <c:pt idx="69">
                        <c:v>858</c:v>
                      </c:pt>
                      <c:pt idx="70">
                        <c:v>866</c:v>
                      </c:pt>
                      <c:pt idx="71">
                        <c:v>874</c:v>
                      </c:pt>
                      <c:pt idx="72">
                        <c:v>882</c:v>
                      </c:pt>
                      <c:pt idx="73">
                        <c:v>890</c:v>
                      </c:pt>
                      <c:pt idx="74">
                        <c:v>898</c:v>
                      </c:pt>
                      <c:pt idx="75">
                        <c:v>906</c:v>
                      </c:pt>
                      <c:pt idx="76">
                        <c:v>914</c:v>
                      </c:pt>
                      <c:pt idx="77">
                        <c:v>922</c:v>
                      </c:pt>
                      <c:pt idx="78">
                        <c:v>930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EVALUATION!$B$147:$CP$147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-18.877657657657657</c:v>
                      </c:pt>
                      <c:pt idx="1">
                        <c:v>-18.875255255255254</c:v>
                      </c:pt>
                      <c:pt idx="2">
                        <c:v>-18.872852852852855</c:v>
                      </c:pt>
                      <c:pt idx="3">
                        <c:v>-18.870450450450452</c:v>
                      </c:pt>
                      <c:pt idx="4" formatCode="General">
                        <c:v>-18.875838323353292</c:v>
                      </c:pt>
                      <c:pt idx="5" formatCode="General">
                        <c:v>-18.883023952095808</c:v>
                      </c:pt>
                      <c:pt idx="6" formatCode="General">
                        <c:v>-18.890209580838324</c:v>
                      </c:pt>
                      <c:pt idx="7" formatCode="General">
                        <c:v>-18.897395209580836</c:v>
                      </c:pt>
                      <c:pt idx="8" formatCode="General">
                        <c:v>-18.906107784431136</c:v>
                      </c:pt>
                      <c:pt idx="9" formatCode="General">
                        <c:v>-18.915688622754491</c:v>
                      </c:pt>
                      <c:pt idx="10" formatCode="General">
                        <c:v>-18.925269461077846</c:v>
                      </c:pt>
                      <c:pt idx="11" formatCode="General">
                        <c:v>-18.934850299401198</c:v>
                      </c:pt>
                      <c:pt idx="12" formatCode="General">
                        <c:v>-18.945538922155688</c:v>
                      </c:pt>
                      <c:pt idx="13" formatCode="General">
                        <c:v>-18.957514970059879</c:v>
                      </c:pt>
                      <c:pt idx="14" formatCode="General">
                        <c:v>-18.969491017964071</c:v>
                      </c:pt>
                      <c:pt idx="15" formatCode="General">
                        <c:v>-18.981467065868262</c:v>
                      </c:pt>
                      <c:pt idx="16" formatCode="General">
                        <c:v>-18.993443113772454</c:v>
                      </c:pt>
                      <c:pt idx="17" formatCode="General">
                        <c:v>-19.005419161676645</c:v>
                      </c:pt>
                      <c:pt idx="18" formatCode="General">
                        <c:v>-19.017395209580837</c:v>
                      </c:pt>
                      <c:pt idx="19" formatCode="General">
                        <c:v>-19.029371257485028</c:v>
                      </c:pt>
                      <c:pt idx="20" formatCode="General">
                        <c:v>-19.040808383233532</c:v>
                      </c:pt>
                      <c:pt idx="21" formatCode="General">
                        <c:v>-19.047994011976048</c:v>
                      </c:pt>
                      <c:pt idx="22" formatCode="General">
                        <c:v>-19.055179640718563</c:v>
                      </c:pt>
                      <c:pt idx="23" formatCode="General">
                        <c:v>-19.062365269461079</c:v>
                      </c:pt>
                      <c:pt idx="24" formatCode="General">
                        <c:v>-19.069550898203595</c:v>
                      </c:pt>
                      <c:pt idx="25" formatCode="General">
                        <c:v>-19.045225225225227</c:v>
                      </c:pt>
                      <c:pt idx="26" formatCode="General">
                        <c:v>-19.018798798798798</c:v>
                      </c:pt>
                      <c:pt idx="27" formatCode="General">
                        <c:v>-18.992372372372373</c:v>
                      </c:pt>
                      <c:pt idx="28" formatCode="General">
                        <c:v>-18.965945945945947</c:v>
                      </c:pt>
                      <c:pt idx="29" formatCode="General">
                        <c:v>-18.972994011976049</c:v>
                      </c:pt>
                      <c:pt idx="30" formatCode="General">
                        <c:v>-18.989760479041916</c:v>
                      </c:pt>
                      <c:pt idx="31" formatCode="General">
                        <c:v>-19.006526946107787</c:v>
                      </c:pt>
                      <c:pt idx="32" formatCode="General">
                        <c:v>-19.023293413173654</c:v>
                      </c:pt>
                      <c:pt idx="33" formatCode="General">
                        <c:v>-19.040059880239522</c:v>
                      </c:pt>
                      <c:pt idx="34" formatCode="General">
                        <c:v>-19.056826347305389</c:v>
                      </c:pt>
                      <c:pt idx="35" formatCode="General">
                        <c:v>-19.07359281437126</c:v>
                      </c:pt>
                      <c:pt idx="36" formatCode="General">
                        <c:v>-19.090359281437127</c:v>
                      </c:pt>
                      <c:pt idx="37" formatCode="General">
                        <c:v>-19.107125748502995</c:v>
                      </c:pt>
                      <c:pt idx="38" formatCode="General">
                        <c:v>-19.123892215568866</c:v>
                      </c:pt>
                      <c:pt idx="39" formatCode="General">
                        <c:v>-19.140658682634733</c:v>
                      </c:pt>
                      <c:pt idx="40" formatCode="General">
                        <c:v>-19.1574251497006</c:v>
                      </c:pt>
                      <c:pt idx="41" formatCode="General">
                        <c:v>-19.174191616766468</c:v>
                      </c:pt>
                      <c:pt idx="42" formatCode="General">
                        <c:v>-19.190958083832335</c:v>
                      </c:pt>
                      <c:pt idx="43" formatCode="General">
                        <c:v>-19.207724550898202</c:v>
                      </c:pt>
                      <c:pt idx="44" formatCode="General">
                        <c:v>-19.22449101796407</c:v>
                      </c:pt>
                      <c:pt idx="45" formatCode="General">
                        <c:v>-19.241257485029937</c:v>
                      </c:pt>
                      <c:pt idx="46" formatCode="General">
                        <c:v>-19.258023952095808</c:v>
                      </c:pt>
                      <c:pt idx="47" formatCode="General">
                        <c:v>-19.274790419161675</c:v>
                      </c:pt>
                      <c:pt idx="48" formatCode="General">
                        <c:v>-19.291556886227543</c:v>
                      </c:pt>
                      <c:pt idx="49" formatCode="General">
                        <c:v>-19.30832335329341</c:v>
                      </c:pt>
                      <c:pt idx="50" formatCode="General">
                        <c:v>-19.324022471910112</c:v>
                      </c:pt>
                      <c:pt idx="51" formatCode="General">
                        <c:v>-19.33960299625468</c:v>
                      </c:pt>
                      <c:pt idx="52" formatCode="General">
                        <c:v>-19.355183520599251</c:v>
                      </c:pt>
                      <c:pt idx="53" formatCode="General">
                        <c:v>-19.370764044943819</c:v>
                      </c:pt>
                      <c:pt idx="54" formatCode="General">
                        <c:v>-19.38634456928839</c:v>
                      </c:pt>
                      <c:pt idx="55" formatCode="General">
                        <c:v>-19.401925093632958</c:v>
                      </c:pt>
                      <c:pt idx="56" formatCode="General">
                        <c:v>-19.417505617977529</c:v>
                      </c:pt>
                      <c:pt idx="57" formatCode="General">
                        <c:v>-19.433086142322097</c:v>
                      </c:pt>
                      <c:pt idx="58" formatCode="General">
                        <c:v>-19.448666666666668</c:v>
                      </c:pt>
                      <c:pt idx="59" formatCode="General">
                        <c:v>-19.464247191011236</c:v>
                      </c:pt>
                      <c:pt idx="60" formatCode="General">
                        <c:v>-19.479827715355807</c:v>
                      </c:pt>
                      <c:pt idx="61" formatCode="General">
                        <c:v>-19.495408239700375</c:v>
                      </c:pt>
                      <c:pt idx="62" formatCode="General">
                        <c:v>-19.510988764044942</c:v>
                      </c:pt>
                      <c:pt idx="63" formatCode="General">
                        <c:v>-19.526569288389513</c:v>
                      </c:pt>
                      <c:pt idx="64" formatCode="General">
                        <c:v>-19.542149812734081</c:v>
                      </c:pt>
                      <c:pt idx="65" formatCode="General">
                        <c:v>-19.557730337078652</c:v>
                      </c:pt>
                      <c:pt idx="66" formatCode="General">
                        <c:v>-19.573183520599251</c:v>
                      </c:pt>
                      <c:pt idx="67" formatCode="General">
                        <c:v>-19.58816479400749</c:v>
                      </c:pt>
                      <c:pt idx="68" formatCode="General">
                        <c:v>-19.603146067415732</c:v>
                      </c:pt>
                      <c:pt idx="69" formatCode="General">
                        <c:v>-19.618127340823971</c:v>
                      </c:pt>
                      <c:pt idx="70" formatCode="General">
                        <c:v>-19.63310861423221</c:v>
                      </c:pt>
                      <c:pt idx="71" formatCode="General">
                        <c:v>-19.648089887640449</c:v>
                      </c:pt>
                      <c:pt idx="72" formatCode="General">
                        <c:v>-19.663071161048691</c:v>
                      </c:pt>
                      <c:pt idx="73" formatCode="General">
                        <c:v>-19.67805243445693</c:v>
                      </c:pt>
                      <c:pt idx="74" formatCode="General">
                        <c:v>-19.693033707865169</c:v>
                      </c:pt>
                      <c:pt idx="75" formatCode="General">
                        <c:v>-19.708014981273408</c:v>
                      </c:pt>
                      <c:pt idx="76" formatCode="General">
                        <c:v>-19.722996254681647</c:v>
                      </c:pt>
                      <c:pt idx="77" formatCode="General">
                        <c:v>-19.737977528089889</c:v>
                      </c:pt>
                      <c:pt idx="78" formatCode="General">
                        <c:v>-19.752958801498128</c:v>
                      </c:pt>
                      <c:pt idx="79" formatCode="General">
                        <c:v>-19.767940074906367</c:v>
                      </c:pt>
                      <c:pt idx="80" formatCode="General">
                        <c:v>-19.782921348314606</c:v>
                      </c:pt>
                      <c:pt idx="81" formatCode="General">
                        <c:v>-19.797902621722848</c:v>
                      </c:pt>
                      <c:pt idx="82" formatCode="General">
                        <c:v>-19.812883895131087</c:v>
                      </c:pt>
                      <c:pt idx="83" formatCode="General">
                        <c:v>-19.827252252252254</c:v>
                      </c:pt>
                      <c:pt idx="84" formatCode="General">
                        <c:v>-19.841066066066066</c:v>
                      </c:pt>
                      <c:pt idx="85" formatCode="General">
                        <c:v>-19.854879879879881</c:v>
                      </c:pt>
                      <c:pt idx="86" formatCode="General">
                        <c:v>-19.868693693693693</c:v>
                      </c:pt>
                      <c:pt idx="87" formatCode="General">
                        <c:v>-28.733663366336632</c:v>
                      </c:pt>
                      <c:pt idx="88" formatCode="General">
                        <c:v>-28.828712871287127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1-6F8E-44D6-9842-8CC6ABD00D40}"/>
                  </c:ext>
                </c:extLst>
              </c15:ser>
            </c15:filteredScatterSeries>
            <c15:filteredScatterSeries>
              <c15:ser>
                <c:idx val="46"/>
                <c:order val="47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306</c:v>
                      </c:pt>
                      <c:pt idx="1">
                        <c:v>314</c:v>
                      </c:pt>
                      <c:pt idx="2">
                        <c:v>322</c:v>
                      </c:pt>
                      <c:pt idx="3">
                        <c:v>330</c:v>
                      </c:pt>
                      <c:pt idx="4">
                        <c:v>338</c:v>
                      </c:pt>
                      <c:pt idx="5">
                        <c:v>346</c:v>
                      </c:pt>
                      <c:pt idx="6">
                        <c:v>354</c:v>
                      </c:pt>
                      <c:pt idx="7">
                        <c:v>362</c:v>
                      </c:pt>
                      <c:pt idx="8">
                        <c:v>370</c:v>
                      </c:pt>
                      <c:pt idx="9">
                        <c:v>378</c:v>
                      </c:pt>
                      <c:pt idx="10">
                        <c:v>386</c:v>
                      </c:pt>
                      <c:pt idx="11">
                        <c:v>394</c:v>
                      </c:pt>
                      <c:pt idx="12">
                        <c:v>402</c:v>
                      </c:pt>
                      <c:pt idx="13">
                        <c:v>410</c:v>
                      </c:pt>
                      <c:pt idx="14">
                        <c:v>418</c:v>
                      </c:pt>
                      <c:pt idx="15">
                        <c:v>426</c:v>
                      </c:pt>
                      <c:pt idx="16">
                        <c:v>434</c:v>
                      </c:pt>
                      <c:pt idx="17">
                        <c:v>442</c:v>
                      </c:pt>
                      <c:pt idx="18">
                        <c:v>450</c:v>
                      </c:pt>
                      <c:pt idx="19">
                        <c:v>458</c:v>
                      </c:pt>
                      <c:pt idx="20">
                        <c:v>466</c:v>
                      </c:pt>
                      <c:pt idx="21">
                        <c:v>474</c:v>
                      </c:pt>
                      <c:pt idx="22">
                        <c:v>482</c:v>
                      </c:pt>
                      <c:pt idx="23">
                        <c:v>490</c:v>
                      </c:pt>
                      <c:pt idx="24">
                        <c:v>498</c:v>
                      </c:pt>
                      <c:pt idx="25">
                        <c:v>506</c:v>
                      </c:pt>
                      <c:pt idx="26">
                        <c:v>514</c:v>
                      </c:pt>
                      <c:pt idx="27">
                        <c:v>522</c:v>
                      </c:pt>
                      <c:pt idx="28">
                        <c:v>530</c:v>
                      </c:pt>
                      <c:pt idx="29">
                        <c:v>538</c:v>
                      </c:pt>
                      <c:pt idx="30">
                        <c:v>546</c:v>
                      </c:pt>
                      <c:pt idx="31">
                        <c:v>554</c:v>
                      </c:pt>
                      <c:pt idx="32">
                        <c:v>562</c:v>
                      </c:pt>
                      <c:pt idx="33">
                        <c:v>570</c:v>
                      </c:pt>
                      <c:pt idx="34">
                        <c:v>578</c:v>
                      </c:pt>
                      <c:pt idx="35">
                        <c:v>586</c:v>
                      </c:pt>
                      <c:pt idx="36">
                        <c:v>594</c:v>
                      </c:pt>
                      <c:pt idx="37">
                        <c:v>602</c:v>
                      </c:pt>
                      <c:pt idx="38">
                        <c:v>610</c:v>
                      </c:pt>
                      <c:pt idx="39">
                        <c:v>618</c:v>
                      </c:pt>
                      <c:pt idx="40">
                        <c:v>626</c:v>
                      </c:pt>
                      <c:pt idx="41">
                        <c:v>634</c:v>
                      </c:pt>
                      <c:pt idx="42">
                        <c:v>642</c:v>
                      </c:pt>
                      <c:pt idx="43">
                        <c:v>650</c:v>
                      </c:pt>
                      <c:pt idx="44">
                        <c:v>658</c:v>
                      </c:pt>
                      <c:pt idx="45">
                        <c:v>666</c:v>
                      </c:pt>
                      <c:pt idx="46">
                        <c:v>674</c:v>
                      </c:pt>
                      <c:pt idx="47">
                        <c:v>682</c:v>
                      </c:pt>
                      <c:pt idx="48">
                        <c:v>690</c:v>
                      </c:pt>
                      <c:pt idx="49">
                        <c:v>698</c:v>
                      </c:pt>
                      <c:pt idx="50">
                        <c:v>706</c:v>
                      </c:pt>
                      <c:pt idx="51">
                        <c:v>714</c:v>
                      </c:pt>
                      <c:pt idx="52">
                        <c:v>722</c:v>
                      </c:pt>
                      <c:pt idx="53">
                        <c:v>730</c:v>
                      </c:pt>
                      <c:pt idx="54">
                        <c:v>738</c:v>
                      </c:pt>
                      <c:pt idx="55">
                        <c:v>746</c:v>
                      </c:pt>
                      <c:pt idx="56">
                        <c:v>754</c:v>
                      </c:pt>
                      <c:pt idx="57">
                        <c:v>762</c:v>
                      </c:pt>
                      <c:pt idx="58">
                        <c:v>770</c:v>
                      </c:pt>
                      <c:pt idx="59">
                        <c:v>778</c:v>
                      </c:pt>
                      <c:pt idx="60">
                        <c:v>786</c:v>
                      </c:pt>
                      <c:pt idx="61">
                        <c:v>794</c:v>
                      </c:pt>
                      <c:pt idx="62">
                        <c:v>802</c:v>
                      </c:pt>
                      <c:pt idx="63">
                        <c:v>810</c:v>
                      </c:pt>
                      <c:pt idx="64">
                        <c:v>818</c:v>
                      </c:pt>
                      <c:pt idx="65">
                        <c:v>826</c:v>
                      </c:pt>
                      <c:pt idx="66">
                        <c:v>834</c:v>
                      </c:pt>
                      <c:pt idx="67">
                        <c:v>842</c:v>
                      </c:pt>
                      <c:pt idx="68">
                        <c:v>850</c:v>
                      </c:pt>
                      <c:pt idx="69">
                        <c:v>858</c:v>
                      </c:pt>
                      <c:pt idx="70">
                        <c:v>866</c:v>
                      </c:pt>
                      <c:pt idx="71">
                        <c:v>874</c:v>
                      </c:pt>
                      <c:pt idx="72">
                        <c:v>882</c:v>
                      </c:pt>
                      <c:pt idx="73">
                        <c:v>890</c:v>
                      </c:pt>
                      <c:pt idx="74">
                        <c:v>898</c:v>
                      </c:pt>
                      <c:pt idx="75">
                        <c:v>906</c:v>
                      </c:pt>
                      <c:pt idx="76">
                        <c:v>914</c:v>
                      </c:pt>
                      <c:pt idx="77">
                        <c:v>922</c:v>
                      </c:pt>
                      <c:pt idx="78">
                        <c:v>930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EVALUATION!$B$148:$CP$148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-59.157387387387388</c:v>
                      </c:pt>
                      <c:pt idx="1">
                        <c:v>-57.482912912912909</c:v>
                      </c:pt>
                      <c:pt idx="2">
                        <c:v>-55.808438438438436</c:v>
                      </c:pt>
                      <c:pt idx="3">
                        <c:v>-54.133963963963964</c:v>
                      </c:pt>
                      <c:pt idx="4" formatCode="General">
                        <c:v>-52.494700598802396</c:v>
                      </c:pt>
                      <c:pt idx="5" formatCode="General">
                        <c:v>-50.863562874251492</c:v>
                      </c:pt>
                      <c:pt idx="6" formatCode="General">
                        <c:v>-49.232425149700596</c:v>
                      </c:pt>
                      <c:pt idx="7" formatCode="General">
                        <c:v>-47.601287425149692</c:v>
                      </c:pt>
                      <c:pt idx="8" formatCode="General">
                        <c:v>-46.077035928143708</c:v>
                      </c:pt>
                      <c:pt idx="9" formatCode="General">
                        <c:v>-44.613562874251492</c:v>
                      </c:pt>
                      <c:pt idx="10" formatCode="General">
                        <c:v>-43.150089820359277</c:v>
                      </c:pt>
                      <c:pt idx="11" formatCode="General">
                        <c:v>-41.686616766467068</c:v>
                      </c:pt>
                      <c:pt idx="12" formatCode="General">
                        <c:v>-40.325059880239522</c:v>
                      </c:pt>
                      <c:pt idx="13" formatCode="General">
                        <c:v>-39.081946107784432</c:v>
                      </c:pt>
                      <c:pt idx="14" formatCode="General">
                        <c:v>-37.838832335329343</c:v>
                      </c:pt>
                      <c:pt idx="15" formatCode="General">
                        <c:v>-36.595718562874254</c:v>
                      </c:pt>
                      <c:pt idx="16" formatCode="General">
                        <c:v>-35.412514970059881</c:v>
                      </c:pt>
                      <c:pt idx="17" formatCode="General">
                        <c:v>-34.377784431137727</c:v>
                      </c:pt>
                      <c:pt idx="18" formatCode="General">
                        <c:v>-33.343053892215572</c:v>
                      </c:pt>
                      <c:pt idx="19" formatCode="General">
                        <c:v>-32.308323353293417</c:v>
                      </c:pt>
                      <c:pt idx="20" formatCode="General">
                        <c:v>-31.289491017964075</c:v>
                      </c:pt>
                      <c:pt idx="21" formatCode="General">
                        <c:v>-30.396077844311378</c:v>
                      </c:pt>
                      <c:pt idx="22" formatCode="General">
                        <c:v>-29.502664670658685</c:v>
                      </c:pt>
                      <c:pt idx="23" formatCode="General">
                        <c:v>-28.609251497005989</c:v>
                      </c:pt>
                      <c:pt idx="24" formatCode="General">
                        <c:v>-27.715838323353292</c:v>
                      </c:pt>
                      <c:pt idx="25" formatCode="General">
                        <c:v>-27.464054054054053</c:v>
                      </c:pt>
                      <c:pt idx="26" formatCode="General">
                        <c:v>-27.255045045045044</c:v>
                      </c:pt>
                      <c:pt idx="27" formatCode="General">
                        <c:v>-27.046036036036035</c:v>
                      </c:pt>
                      <c:pt idx="28" formatCode="General">
                        <c:v>-26.837027027027027</c:v>
                      </c:pt>
                      <c:pt idx="29" formatCode="General">
                        <c:v>-27.03502994011976</c:v>
                      </c:pt>
                      <c:pt idx="30" formatCode="General">
                        <c:v>-27.351197604790418</c:v>
                      </c:pt>
                      <c:pt idx="31" formatCode="General">
                        <c:v>-27.667365269461076</c:v>
                      </c:pt>
                      <c:pt idx="32" formatCode="General">
                        <c:v>-27.983532934131734</c:v>
                      </c:pt>
                      <c:pt idx="33" formatCode="General">
                        <c:v>-28.296826347305387</c:v>
                      </c:pt>
                      <c:pt idx="34" formatCode="General">
                        <c:v>-28.60820359281437</c:v>
                      </c:pt>
                      <c:pt idx="35" formatCode="General">
                        <c:v>-28.919580838323352</c:v>
                      </c:pt>
                      <c:pt idx="36" formatCode="General">
                        <c:v>-29.230958083832334</c:v>
                      </c:pt>
                      <c:pt idx="37" formatCode="General">
                        <c:v>-29.540299401197604</c:v>
                      </c:pt>
                      <c:pt idx="38" formatCode="General">
                        <c:v>-29.84688622754491</c:v>
                      </c:pt>
                      <c:pt idx="39" formatCode="General">
                        <c:v>-30.153473053892217</c:v>
                      </c:pt>
                      <c:pt idx="40" formatCode="General">
                        <c:v>-30.460059880239523</c:v>
                      </c:pt>
                      <c:pt idx="41" formatCode="General">
                        <c:v>-30.7648502994012</c:v>
                      </c:pt>
                      <c:pt idx="42" formatCode="General">
                        <c:v>-31.064251497005991</c:v>
                      </c:pt>
                      <c:pt idx="43" formatCode="General">
                        <c:v>-31.363652694610781</c:v>
                      </c:pt>
                      <c:pt idx="44" formatCode="General">
                        <c:v>-31.663053892215572</c:v>
                      </c:pt>
                      <c:pt idx="45" formatCode="General">
                        <c:v>-31.961916167664672</c:v>
                      </c:pt>
                      <c:pt idx="46" formatCode="General">
                        <c:v>-32.254131736526951</c:v>
                      </c:pt>
                      <c:pt idx="47" formatCode="General">
                        <c:v>-32.546347305389219</c:v>
                      </c:pt>
                      <c:pt idx="48" formatCode="General">
                        <c:v>-32.838562874251494</c:v>
                      </c:pt>
                      <c:pt idx="49" formatCode="General">
                        <c:v>-33.130778443113769</c:v>
                      </c:pt>
                      <c:pt idx="50" formatCode="General">
                        <c:v>-33.403235955056175</c:v>
                      </c:pt>
                      <c:pt idx="51" formatCode="General">
                        <c:v>-33.673498127340821</c:v>
                      </c:pt>
                      <c:pt idx="52" formatCode="General">
                        <c:v>-33.943760299625467</c:v>
                      </c:pt>
                      <c:pt idx="53" formatCode="General">
                        <c:v>-34.214022471910113</c:v>
                      </c:pt>
                      <c:pt idx="54" formatCode="General">
                        <c:v>-34.484284644194759</c:v>
                      </c:pt>
                      <c:pt idx="55" formatCode="General">
                        <c:v>-34.754546816479397</c:v>
                      </c:pt>
                      <c:pt idx="56" formatCode="General">
                        <c:v>-35.024808988764043</c:v>
                      </c:pt>
                      <c:pt idx="57" formatCode="General">
                        <c:v>-35.295071161048689</c:v>
                      </c:pt>
                      <c:pt idx="58" formatCode="General">
                        <c:v>-35.565333333333335</c:v>
                      </c:pt>
                      <c:pt idx="59" formatCode="General">
                        <c:v>-35.835595505617981</c:v>
                      </c:pt>
                      <c:pt idx="60" formatCode="General">
                        <c:v>-36.10585767790262</c:v>
                      </c:pt>
                      <c:pt idx="61" formatCode="General">
                        <c:v>-36.376119850187266</c:v>
                      </c:pt>
                      <c:pt idx="62" formatCode="General">
                        <c:v>-36.646382022471911</c:v>
                      </c:pt>
                      <c:pt idx="63" formatCode="General">
                        <c:v>-36.916644194756557</c:v>
                      </c:pt>
                      <c:pt idx="64" formatCode="General">
                        <c:v>-37.186906367041203</c:v>
                      </c:pt>
                      <c:pt idx="65" formatCode="General">
                        <c:v>-37.457168539325849</c:v>
                      </c:pt>
                      <c:pt idx="66" formatCode="General">
                        <c:v>-37.717880149812736</c:v>
                      </c:pt>
                      <c:pt idx="67" formatCode="General">
                        <c:v>-37.943198501872665</c:v>
                      </c:pt>
                      <c:pt idx="68" formatCode="General">
                        <c:v>-38.168516853932587</c:v>
                      </c:pt>
                      <c:pt idx="69" formatCode="General">
                        <c:v>-38.393835205992509</c:v>
                      </c:pt>
                      <c:pt idx="70" formatCode="General">
                        <c:v>-38.619153558052439</c:v>
                      </c:pt>
                      <c:pt idx="71" formatCode="General">
                        <c:v>-38.844471910112361</c:v>
                      </c:pt>
                      <c:pt idx="72" formatCode="General">
                        <c:v>-39.06979026217229</c:v>
                      </c:pt>
                      <c:pt idx="73" formatCode="General">
                        <c:v>-39.295108614232213</c:v>
                      </c:pt>
                      <c:pt idx="74" formatCode="General">
                        <c:v>-39.520426966292135</c:v>
                      </c:pt>
                      <c:pt idx="75" formatCode="General">
                        <c:v>-39.745745318352064</c:v>
                      </c:pt>
                      <c:pt idx="76" formatCode="General">
                        <c:v>-39.971063670411986</c:v>
                      </c:pt>
                      <c:pt idx="77" formatCode="General">
                        <c:v>-40.196382022471909</c:v>
                      </c:pt>
                      <c:pt idx="78" formatCode="General">
                        <c:v>-40.421700374531838</c:v>
                      </c:pt>
                      <c:pt idx="79" formatCode="General">
                        <c:v>-40.64701872659176</c:v>
                      </c:pt>
                      <c:pt idx="80" formatCode="General">
                        <c:v>-40.87233707865169</c:v>
                      </c:pt>
                      <c:pt idx="81" formatCode="General">
                        <c:v>-41.097655430711612</c:v>
                      </c:pt>
                      <c:pt idx="82" formatCode="General">
                        <c:v>-41.322973782771534</c:v>
                      </c:pt>
                      <c:pt idx="83" formatCode="General">
                        <c:v>-41.521441441441439</c:v>
                      </c:pt>
                      <c:pt idx="84" formatCode="General">
                        <c:v>-41.695615615615615</c:v>
                      </c:pt>
                      <c:pt idx="85" formatCode="General">
                        <c:v>-41.869789789789792</c:v>
                      </c:pt>
                      <c:pt idx="86" formatCode="General">
                        <c:v>-42.043963963963961</c:v>
                      </c:pt>
                      <c:pt idx="87" formatCode="General">
                        <c:v>-28.733663366336632</c:v>
                      </c:pt>
                      <c:pt idx="88" formatCode="General">
                        <c:v>-28.828712871287127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2-6F8E-44D6-9842-8CC6ABD00D40}"/>
                  </c:ext>
                </c:extLst>
              </c15:ser>
            </c15:filteredScatterSeries>
            <c15:filteredScatterSeries>
              <c15:ser>
                <c:idx val="47"/>
                <c:order val="48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306</c:v>
                      </c:pt>
                      <c:pt idx="1">
                        <c:v>314</c:v>
                      </c:pt>
                      <c:pt idx="2">
                        <c:v>322</c:v>
                      </c:pt>
                      <c:pt idx="3">
                        <c:v>330</c:v>
                      </c:pt>
                      <c:pt idx="4">
                        <c:v>338</c:v>
                      </c:pt>
                      <c:pt idx="5">
                        <c:v>346</c:v>
                      </c:pt>
                      <c:pt idx="6">
                        <c:v>354</c:v>
                      </c:pt>
                      <c:pt idx="7">
                        <c:v>362</c:v>
                      </c:pt>
                      <c:pt idx="8">
                        <c:v>370</c:v>
                      </c:pt>
                      <c:pt idx="9">
                        <c:v>378</c:v>
                      </c:pt>
                      <c:pt idx="10">
                        <c:v>386</c:v>
                      </c:pt>
                      <c:pt idx="11">
                        <c:v>394</c:v>
                      </c:pt>
                      <c:pt idx="12">
                        <c:v>402</c:v>
                      </c:pt>
                      <c:pt idx="13">
                        <c:v>410</c:v>
                      </c:pt>
                      <c:pt idx="14">
                        <c:v>418</c:v>
                      </c:pt>
                      <c:pt idx="15">
                        <c:v>426</c:v>
                      </c:pt>
                      <c:pt idx="16">
                        <c:v>434</c:v>
                      </c:pt>
                      <c:pt idx="17">
                        <c:v>442</c:v>
                      </c:pt>
                      <c:pt idx="18">
                        <c:v>450</c:v>
                      </c:pt>
                      <c:pt idx="19">
                        <c:v>458</c:v>
                      </c:pt>
                      <c:pt idx="20">
                        <c:v>466</c:v>
                      </c:pt>
                      <c:pt idx="21">
                        <c:v>474</c:v>
                      </c:pt>
                      <c:pt idx="22">
                        <c:v>482</c:v>
                      </c:pt>
                      <c:pt idx="23">
                        <c:v>490</c:v>
                      </c:pt>
                      <c:pt idx="24">
                        <c:v>498</c:v>
                      </c:pt>
                      <c:pt idx="25">
                        <c:v>506</c:v>
                      </c:pt>
                      <c:pt idx="26">
                        <c:v>514</c:v>
                      </c:pt>
                      <c:pt idx="27">
                        <c:v>522</c:v>
                      </c:pt>
                      <c:pt idx="28">
                        <c:v>530</c:v>
                      </c:pt>
                      <c:pt idx="29">
                        <c:v>538</c:v>
                      </c:pt>
                      <c:pt idx="30">
                        <c:v>546</c:v>
                      </c:pt>
                      <c:pt idx="31">
                        <c:v>554</c:v>
                      </c:pt>
                      <c:pt idx="32">
                        <c:v>562</c:v>
                      </c:pt>
                      <c:pt idx="33">
                        <c:v>570</c:v>
                      </c:pt>
                      <c:pt idx="34">
                        <c:v>578</c:v>
                      </c:pt>
                      <c:pt idx="35">
                        <c:v>586</c:v>
                      </c:pt>
                      <c:pt idx="36">
                        <c:v>594</c:v>
                      </c:pt>
                      <c:pt idx="37">
                        <c:v>602</c:v>
                      </c:pt>
                      <c:pt idx="38">
                        <c:v>610</c:v>
                      </c:pt>
                      <c:pt idx="39">
                        <c:v>618</c:v>
                      </c:pt>
                      <c:pt idx="40">
                        <c:v>626</c:v>
                      </c:pt>
                      <c:pt idx="41">
                        <c:v>634</c:v>
                      </c:pt>
                      <c:pt idx="42">
                        <c:v>642</c:v>
                      </c:pt>
                      <c:pt idx="43">
                        <c:v>650</c:v>
                      </c:pt>
                      <c:pt idx="44">
                        <c:v>658</c:v>
                      </c:pt>
                      <c:pt idx="45">
                        <c:v>666</c:v>
                      </c:pt>
                      <c:pt idx="46">
                        <c:v>674</c:v>
                      </c:pt>
                      <c:pt idx="47">
                        <c:v>682</c:v>
                      </c:pt>
                      <c:pt idx="48">
                        <c:v>690</c:v>
                      </c:pt>
                      <c:pt idx="49">
                        <c:v>698</c:v>
                      </c:pt>
                      <c:pt idx="50">
                        <c:v>706</c:v>
                      </c:pt>
                      <c:pt idx="51">
                        <c:v>714</c:v>
                      </c:pt>
                      <c:pt idx="52">
                        <c:v>722</c:v>
                      </c:pt>
                      <c:pt idx="53">
                        <c:v>730</c:v>
                      </c:pt>
                      <c:pt idx="54">
                        <c:v>738</c:v>
                      </c:pt>
                      <c:pt idx="55">
                        <c:v>746</c:v>
                      </c:pt>
                      <c:pt idx="56">
                        <c:v>754</c:v>
                      </c:pt>
                      <c:pt idx="57">
                        <c:v>762</c:v>
                      </c:pt>
                      <c:pt idx="58">
                        <c:v>770</c:v>
                      </c:pt>
                      <c:pt idx="59">
                        <c:v>778</c:v>
                      </c:pt>
                      <c:pt idx="60">
                        <c:v>786</c:v>
                      </c:pt>
                      <c:pt idx="61">
                        <c:v>794</c:v>
                      </c:pt>
                      <c:pt idx="62">
                        <c:v>802</c:v>
                      </c:pt>
                      <c:pt idx="63">
                        <c:v>810</c:v>
                      </c:pt>
                      <c:pt idx="64">
                        <c:v>818</c:v>
                      </c:pt>
                      <c:pt idx="65">
                        <c:v>826</c:v>
                      </c:pt>
                      <c:pt idx="66">
                        <c:v>834</c:v>
                      </c:pt>
                      <c:pt idx="67">
                        <c:v>842</c:v>
                      </c:pt>
                      <c:pt idx="68">
                        <c:v>850</c:v>
                      </c:pt>
                      <c:pt idx="69">
                        <c:v>858</c:v>
                      </c:pt>
                      <c:pt idx="70">
                        <c:v>866</c:v>
                      </c:pt>
                      <c:pt idx="71">
                        <c:v>874</c:v>
                      </c:pt>
                      <c:pt idx="72">
                        <c:v>882</c:v>
                      </c:pt>
                      <c:pt idx="73">
                        <c:v>890</c:v>
                      </c:pt>
                      <c:pt idx="74">
                        <c:v>898</c:v>
                      </c:pt>
                      <c:pt idx="75">
                        <c:v>906</c:v>
                      </c:pt>
                      <c:pt idx="76">
                        <c:v>914</c:v>
                      </c:pt>
                      <c:pt idx="77">
                        <c:v>922</c:v>
                      </c:pt>
                      <c:pt idx="78">
                        <c:v>930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EVALUATION!$B$149:$CP$149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-15.512792792792792</c:v>
                      </c:pt>
                      <c:pt idx="1">
                        <c:v>-15.013093093093092</c:v>
                      </c:pt>
                      <c:pt idx="2">
                        <c:v>-14.513393393393393</c:v>
                      </c:pt>
                      <c:pt idx="3">
                        <c:v>-14.013693693693693</c:v>
                      </c:pt>
                      <c:pt idx="4" formatCode="General">
                        <c:v>-13.456826347305389</c:v>
                      </c:pt>
                      <c:pt idx="5" formatCode="General">
                        <c:v>-12.886766467065867</c:v>
                      </c:pt>
                      <c:pt idx="6" formatCode="General">
                        <c:v>-12.316706586826346</c:v>
                      </c:pt>
                      <c:pt idx="7" formatCode="General">
                        <c:v>-11.746646706586823</c:v>
                      </c:pt>
                      <c:pt idx="8" formatCode="General">
                        <c:v>-11.204988023952094</c:v>
                      </c:pt>
                      <c:pt idx="9" formatCode="General">
                        <c:v>-10.679479041916167</c:v>
                      </c:pt>
                      <c:pt idx="10" formatCode="General">
                        <c:v>-10.153970059880239</c:v>
                      </c:pt>
                      <c:pt idx="11" formatCode="General">
                        <c:v>-9.628461077844312</c:v>
                      </c:pt>
                      <c:pt idx="12" formatCode="General">
                        <c:v>-9.1539101796407198</c:v>
                      </c:pt>
                      <c:pt idx="13" formatCode="General">
                        <c:v>-8.7385808383233528</c:v>
                      </c:pt>
                      <c:pt idx="14" formatCode="General">
                        <c:v>-8.3232514970059874</c:v>
                      </c:pt>
                      <c:pt idx="15" formatCode="General">
                        <c:v>-7.9079221556886221</c:v>
                      </c:pt>
                      <c:pt idx="16" formatCode="General">
                        <c:v>-7.5390748502994009</c:v>
                      </c:pt>
                      <c:pt idx="17" formatCode="General">
                        <c:v>-7.2854221556886225</c:v>
                      </c:pt>
                      <c:pt idx="18" formatCode="General">
                        <c:v>-7.031769461077845</c:v>
                      </c:pt>
                      <c:pt idx="19" formatCode="General">
                        <c:v>-6.7781167664670665</c:v>
                      </c:pt>
                      <c:pt idx="20" formatCode="General">
                        <c:v>-6.5428413173652693</c:v>
                      </c:pt>
                      <c:pt idx="21" formatCode="General">
                        <c:v>-6.4525419161676645</c:v>
                      </c:pt>
                      <c:pt idx="22" formatCode="General">
                        <c:v>-6.3622425149700597</c:v>
                      </c:pt>
                      <c:pt idx="23" formatCode="General">
                        <c:v>-6.2719431137724548</c:v>
                      </c:pt>
                      <c:pt idx="24" formatCode="General">
                        <c:v>-6.18164371257485</c:v>
                      </c:pt>
                      <c:pt idx="25" formatCode="General">
                        <c:v>-6.3239729729729737</c:v>
                      </c:pt>
                      <c:pt idx="26" formatCode="General">
                        <c:v>-6.4818108108108117</c:v>
                      </c:pt>
                      <c:pt idx="27" formatCode="General">
                        <c:v>-6.6396486486486497</c:v>
                      </c:pt>
                      <c:pt idx="28" formatCode="General">
                        <c:v>-6.7974864864864877</c:v>
                      </c:pt>
                      <c:pt idx="29" formatCode="General">
                        <c:v>-6.8348562874251497</c:v>
                      </c:pt>
                      <c:pt idx="30" formatCode="General">
                        <c:v>-6.8372514970059886</c:v>
                      </c:pt>
                      <c:pt idx="31" formatCode="General">
                        <c:v>-6.8396467065868265</c:v>
                      </c:pt>
                      <c:pt idx="32" formatCode="General">
                        <c:v>-6.8420419161676644</c:v>
                      </c:pt>
                      <c:pt idx="33" formatCode="General">
                        <c:v>-6.8517664670658682</c:v>
                      </c:pt>
                      <c:pt idx="34" formatCode="General">
                        <c:v>-6.866377245508982</c:v>
                      </c:pt>
                      <c:pt idx="35" formatCode="General">
                        <c:v>-6.8809880239520957</c:v>
                      </c:pt>
                      <c:pt idx="36" formatCode="General">
                        <c:v>-6.8955988023952095</c:v>
                      </c:pt>
                      <c:pt idx="37" formatCode="General">
                        <c:v>-6.911838323353293</c:v>
                      </c:pt>
                      <c:pt idx="38" formatCode="General">
                        <c:v>-6.930281437125748</c:v>
                      </c:pt>
                      <c:pt idx="39" formatCode="General">
                        <c:v>-6.9487245508982038</c:v>
                      </c:pt>
                      <c:pt idx="40" formatCode="General">
                        <c:v>-6.9671676646706588</c:v>
                      </c:pt>
                      <c:pt idx="41" formatCode="General">
                        <c:v>-6.9858502994011973</c:v>
                      </c:pt>
                      <c:pt idx="42" formatCode="General">
                        <c:v>-7.0052514970059878</c:v>
                      </c:pt>
                      <c:pt idx="43" formatCode="General">
                        <c:v>-7.0246526946107783</c:v>
                      </c:pt>
                      <c:pt idx="44" formatCode="General">
                        <c:v>-7.0440538922155689</c:v>
                      </c:pt>
                      <c:pt idx="45" formatCode="General">
                        <c:v>-7.0634550898203594</c:v>
                      </c:pt>
                      <c:pt idx="46" formatCode="General">
                        <c:v>-7.0828562874251499</c:v>
                      </c:pt>
                      <c:pt idx="47" formatCode="General">
                        <c:v>-7.1022574850299405</c:v>
                      </c:pt>
                      <c:pt idx="48" formatCode="General">
                        <c:v>-7.1216586826347301</c:v>
                      </c:pt>
                      <c:pt idx="49" formatCode="General">
                        <c:v>-7.1410598802395207</c:v>
                      </c:pt>
                      <c:pt idx="50" formatCode="General">
                        <c:v>-7.1602584269662923</c:v>
                      </c:pt>
                      <c:pt idx="51" formatCode="General">
                        <c:v>-7.1794344569288393</c:v>
                      </c:pt>
                      <c:pt idx="52" formatCode="General">
                        <c:v>-7.1986104868913854</c:v>
                      </c:pt>
                      <c:pt idx="53" formatCode="General">
                        <c:v>-7.2177865168539324</c:v>
                      </c:pt>
                      <c:pt idx="54" formatCode="General">
                        <c:v>-7.2369625468164793</c:v>
                      </c:pt>
                      <c:pt idx="55" formatCode="General">
                        <c:v>-7.2561385767790263</c:v>
                      </c:pt>
                      <c:pt idx="56" formatCode="General">
                        <c:v>-7.2753146067415733</c:v>
                      </c:pt>
                      <c:pt idx="57" formatCode="General">
                        <c:v>-7.2944906367041202</c:v>
                      </c:pt>
                      <c:pt idx="58" formatCode="General">
                        <c:v>-7.3136666666666663</c:v>
                      </c:pt>
                      <c:pt idx="59" formatCode="General">
                        <c:v>-7.3328426966292133</c:v>
                      </c:pt>
                      <c:pt idx="60" formatCode="General">
                        <c:v>-7.3520187265917603</c:v>
                      </c:pt>
                      <c:pt idx="61" formatCode="General">
                        <c:v>-7.3711947565543072</c:v>
                      </c:pt>
                      <c:pt idx="62" formatCode="General">
                        <c:v>-7.3903707865168542</c:v>
                      </c:pt>
                      <c:pt idx="63" formatCode="General">
                        <c:v>-7.4095468164794012</c:v>
                      </c:pt>
                      <c:pt idx="64" formatCode="General">
                        <c:v>-7.4287228464419481</c:v>
                      </c:pt>
                      <c:pt idx="65" formatCode="General">
                        <c:v>-7.4478988764044942</c:v>
                      </c:pt>
                      <c:pt idx="66" formatCode="General">
                        <c:v>-7.4668456928838953</c:v>
                      </c:pt>
                      <c:pt idx="67" formatCode="General">
                        <c:v>-7.484943071161049</c:v>
                      </c:pt>
                      <c:pt idx="68" formatCode="General">
                        <c:v>-7.5030404494382026</c:v>
                      </c:pt>
                      <c:pt idx="69" formatCode="General">
                        <c:v>-7.5211378277153562</c:v>
                      </c:pt>
                      <c:pt idx="70" formatCode="General">
                        <c:v>-7.5392352059925098</c:v>
                      </c:pt>
                      <c:pt idx="71" formatCode="General">
                        <c:v>-7.5573325842696626</c:v>
                      </c:pt>
                      <c:pt idx="72" formatCode="General">
                        <c:v>-7.5754299625468162</c:v>
                      </c:pt>
                      <c:pt idx="73" formatCode="General">
                        <c:v>-7.5935273408239699</c:v>
                      </c:pt>
                      <c:pt idx="74" formatCode="General">
                        <c:v>-7.6116247191011235</c:v>
                      </c:pt>
                      <c:pt idx="75" formatCode="General">
                        <c:v>-7.6297220973782771</c:v>
                      </c:pt>
                      <c:pt idx="76" formatCode="General">
                        <c:v>-7.6478194756554307</c:v>
                      </c:pt>
                      <c:pt idx="77" formatCode="General">
                        <c:v>-7.6659168539325844</c:v>
                      </c:pt>
                      <c:pt idx="78" formatCode="General">
                        <c:v>-7.684014232209738</c:v>
                      </c:pt>
                      <c:pt idx="79" formatCode="General">
                        <c:v>-7.7021116104868916</c:v>
                      </c:pt>
                      <c:pt idx="80" formatCode="General">
                        <c:v>-7.7202089887640444</c:v>
                      </c:pt>
                      <c:pt idx="81" formatCode="General">
                        <c:v>-7.738306367041198</c:v>
                      </c:pt>
                      <c:pt idx="82" formatCode="General">
                        <c:v>-7.7564037453183516</c:v>
                      </c:pt>
                      <c:pt idx="83" formatCode="General">
                        <c:v>-7.7739234234234234</c:v>
                      </c:pt>
                      <c:pt idx="84" formatCode="General">
                        <c:v>-7.7909204204204201</c:v>
                      </c:pt>
                      <c:pt idx="85" formatCode="General">
                        <c:v>-7.8079174174174168</c:v>
                      </c:pt>
                      <c:pt idx="86" formatCode="General">
                        <c:v>-7.8249144144144145</c:v>
                      </c:pt>
                      <c:pt idx="87" formatCode="General">
                        <c:v>-28.733663366336632</c:v>
                      </c:pt>
                      <c:pt idx="88" formatCode="General">
                        <c:v>-28.828712871287127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3-6F8E-44D6-9842-8CC6ABD00D40}"/>
                  </c:ext>
                </c:extLst>
              </c15:ser>
            </c15:filteredScatterSeries>
            <c15:filteredScatterSeries>
              <c15:ser>
                <c:idx val="48"/>
                <c:order val="49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306</c:v>
                      </c:pt>
                      <c:pt idx="1">
                        <c:v>314</c:v>
                      </c:pt>
                      <c:pt idx="2">
                        <c:v>322</c:v>
                      </c:pt>
                      <c:pt idx="3">
                        <c:v>330</c:v>
                      </c:pt>
                      <c:pt idx="4">
                        <c:v>338</c:v>
                      </c:pt>
                      <c:pt idx="5">
                        <c:v>346</c:v>
                      </c:pt>
                      <c:pt idx="6">
                        <c:v>354</c:v>
                      </c:pt>
                      <c:pt idx="7">
                        <c:v>362</c:v>
                      </c:pt>
                      <c:pt idx="8">
                        <c:v>370</c:v>
                      </c:pt>
                      <c:pt idx="9">
                        <c:v>378</c:v>
                      </c:pt>
                      <c:pt idx="10">
                        <c:v>386</c:v>
                      </c:pt>
                      <c:pt idx="11">
                        <c:v>394</c:v>
                      </c:pt>
                      <c:pt idx="12">
                        <c:v>402</c:v>
                      </c:pt>
                      <c:pt idx="13">
                        <c:v>410</c:v>
                      </c:pt>
                      <c:pt idx="14">
                        <c:v>418</c:v>
                      </c:pt>
                      <c:pt idx="15">
                        <c:v>426</c:v>
                      </c:pt>
                      <c:pt idx="16">
                        <c:v>434</c:v>
                      </c:pt>
                      <c:pt idx="17">
                        <c:v>442</c:v>
                      </c:pt>
                      <c:pt idx="18">
                        <c:v>450</c:v>
                      </c:pt>
                      <c:pt idx="19">
                        <c:v>458</c:v>
                      </c:pt>
                      <c:pt idx="20">
                        <c:v>466</c:v>
                      </c:pt>
                      <c:pt idx="21">
                        <c:v>474</c:v>
                      </c:pt>
                      <c:pt idx="22">
                        <c:v>482</c:v>
                      </c:pt>
                      <c:pt idx="23">
                        <c:v>490</c:v>
                      </c:pt>
                      <c:pt idx="24">
                        <c:v>498</c:v>
                      </c:pt>
                      <c:pt idx="25">
                        <c:v>506</c:v>
                      </c:pt>
                      <c:pt idx="26">
                        <c:v>514</c:v>
                      </c:pt>
                      <c:pt idx="27">
                        <c:v>522</c:v>
                      </c:pt>
                      <c:pt idx="28">
                        <c:v>530</c:v>
                      </c:pt>
                      <c:pt idx="29">
                        <c:v>538</c:v>
                      </c:pt>
                      <c:pt idx="30">
                        <c:v>546</c:v>
                      </c:pt>
                      <c:pt idx="31">
                        <c:v>554</c:v>
                      </c:pt>
                      <c:pt idx="32">
                        <c:v>562</c:v>
                      </c:pt>
                      <c:pt idx="33">
                        <c:v>570</c:v>
                      </c:pt>
                      <c:pt idx="34">
                        <c:v>578</c:v>
                      </c:pt>
                      <c:pt idx="35">
                        <c:v>586</c:v>
                      </c:pt>
                      <c:pt idx="36">
                        <c:v>594</c:v>
                      </c:pt>
                      <c:pt idx="37">
                        <c:v>602</c:v>
                      </c:pt>
                      <c:pt idx="38">
                        <c:v>610</c:v>
                      </c:pt>
                      <c:pt idx="39">
                        <c:v>618</c:v>
                      </c:pt>
                      <c:pt idx="40">
                        <c:v>626</c:v>
                      </c:pt>
                      <c:pt idx="41">
                        <c:v>634</c:v>
                      </c:pt>
                      <c:pt idx="42">
                        <c:v>642</c:v>
                      </c:pt>
                      <c:pt idx="43">
                        <c:v>650</c:v>
                      </c:pt>
                      <c:pt idx="44">
                        <c:v>658</c:v>
                      </c:pt>
                      <c:pt idx="45">
                        <c:v>666</c:v>
                      </c:pt>
                      <c:pt idx="46">
                        <c:v>674</c:v>
                      </c:pt>
                      <c:pt idx="47">
                        <c:v>682</c:v>
                      </c:pt>
                      <c:pt idx="48">
                        <c:v>690</c:v>
                      </c:pt>
                      <c:pt idx="49">
                        <c:v>698</c:v>
                      </c:pt>
                      <c:pt idx="50">
                        <c:v>706</c:v>
                      </c:pt>
                      <c:pt idx="51">
                        <c:v>714</c:v>
                      </c:pt>
                      <c:pt idx="52">
                        <c:v>722</c:v>
                      </c:pt>
                      <c:pt idx="53">
                        <c:v>730</c:v>
                      </c:pt>
                      <c:pt idx="54">
                        <c:v>738</c:v>
                      </c:pt>
                      <c:pt idx="55">
                        <c:v>746</c:v>
                      </c:pt>
                      <c:pt idx="56">
                        <c:v>754</c:v>
                      </c:pt>
                      <c:pt idx="57">
                        <c:v>762</c:v>
                      </c:pt>
                      <c:pt idx="58">
                        <c:v>770</c:v>
                      </c:pt>
                      <c:pt idx="59">
                        <c:v>778</c:v>
                      </c:pt>
                      <c:pt idx="60">
                        <c:v>786</c:v>
                      </c:pt>
                      <c:pt idx="61">
                        <c:v>794</c:v>
                      </c:pt>
                      <c:pt idx="62">
                        <c:v>802</c:v>
                      </c:pt>
                      <c:pt idx="63">
                        <c:v>810</c:v>
                      </c:pt>
                      <c:pt idx="64">
                        <c:v>818</c:v>
                      </c:pt>
                      <c:pt idx="65">
                        <c:v>826</c:v>
                      </c:pt>
                      <c:pt idx="66">
                        <c:v>834</c:v>
                      </c:pt>
                      <c:pt idx="67">
                        <c:v>842</c:v>
                      </c:pt>
                      <c:pt idx="68">
                        <c:v>850</c:v>
                      </c:pt>
                      <c:pt idx="69">
                        <c:v>858</c:v>
                      </c:pt>
                      <c:pt idx="70">
                        <c:v>866</c:v>
                      </c:pt>
                      <c:pt idx="71">
                        <c:v>874</c:v>
                      </c:pt>
                      <c:pt idx="72">
                        <c:v>882</c:v>
                      </c:pt>
                      <c:pt idx="73">
                        <c:v>890</c:v>
                      </c:pt>
                      <c:pt idx="74">
                        <c:v>898</c:v>
                      </c:pt>
                      <c:pt idx="75">
                        <c:v>906</c:v>
                      </c:pt>
                      <c:pt idx="76">
                        <c:v>914</c:v>
                      </c:pt>
                      <c:pt idx="77">
                        <c:v>922</c:v>
                      </c:pt>
                      <c:pt idx="78">
                        <c:v>930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EVALUATION!$B$150:$CP$150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-21.943243243243245</c:v>
                      </c:pt>
                      <c:pt idx="1">
                        <c:v>-21.741441441441442</c:v>
                      </c:pt>
                      <c:pt idx="2">
                        <c:v>-21.539639639639642</c:v>
                      </c:pt>
                      <c:pt idx="3">
                        <c:v>-21.337837837837839</c:v>
                      </c:pt>
                      <c:pt idx="4" formatCode="General">
                        <c:v>-21.317514970059882</c:v>
                      </c:pt>
                      <c:pt idx="5" formatCode="General">
                        <c:v>-21.339071856287426</c:v>
                      </c:pt>
                      <c:pt idx="6" formatCode="General">
                        <c:v>-21.360628742514972</c:v>
                      </c:pt>
                      <c:pt idx="7" formatCode="General">
                        <c:v>-21.382185628742516</c:v>
                      </c:pt>
                      <c:pt idx="8" formatCode="General">
                        <c:v>-21.452604790419162</c:v>
                      </c:pt>
                      <c:pt idx="9" formatCode="General">
                        <c:v>-21.550808383233534</c:v>
                      </c:pt>
                      <c:pt idx="10" formatCode="General">
                        <c:v>-21.649011976047905</c:v>
                      </c:pt>
                      <c:pt idx="11" formatCode="General">
                        <c:v>-21.747215568862277</c:v>
                      </c:pt>
                      <c:pt idx="12" formatCode="General">
                        <c:v>-21.843203592814373</c:v>
                      </c:pt>
                      <c:pt idx="13" formatCode="General">
                        <c:v>-21.936616766467068</c:v>
                      </c:pt>
                      <c:pt idx="14" formatCode="General">
                        <c:v>-22.030029940119761</c:v>
                      </c:pt>
                      <c:pt idx="15" formatCode="General">
                        <c:v>-22.123443113772456</c:v>
                      </c:pt>
                      <c:pt idx="16" formatCode="General">
                        <c:v>-22.209970059880241</c:v>
                      </c:pt>
                      <c:pt idx="17" formatCode="General">
                        <c:v>-22.279431137724551</c:v>
                      </c:pt>
                      <c:pt idx="18" formatCode="General">
                        <c:v>-22.348892215568863</c:v>
                      </c:pt>
                      <c:pt idx="19" formatCode="General">
                        <c:v>-22.418353293413173</c:v>
                      </c:pt>
                      <c:pt idx="20" formatCode="General">
                        <c:v>-22.488353293413173</c:v>
                      </c:pt>
                      <c:pt idx="21" formatCode="General">
                        <c:v>-22.562604790419162</c:v>
                      </c:pt>
                      <c:pt idx="22" formatCode="General">
                        <c:v>-22.63685628742515</c:v>
                      </c:pt>
                      <c:pt idx="23" formatCode="General">
                        <c:v>-22.711107784431139</c:v>
                      </c:pt>
                      <c:pt idx="24" formatCode="General">
                        <c:v>-22.785359281437124</c:v>
                      </c:pt>
                      <c:pt idx="25" formatCode="General">
                        <c:v>-22.846306306306307</c:v>
                      </c:pt>
                      <c:pt idx="26" formatCode="General">
                        <c:v>-22.906366366366367</c:v>
                      </c:pt>
                      <c:pt idx="27" formatCode="General">
                        <c:v>-22.966426426426427</c:v>
                      </c:pt>
                      <c:pt idx="28" formatCode="General">
                        <c:v>-23.026486486486487</c:v>
                      </c:pt>
                      <c:pt idx="29" formatCode="General">
                        <c:v>-23.130958083832336</c:v>
                      </c:pt>
                      <c:pt idx="30" formatCode="General">
                        <c:v>-23.248323353293415</c:v>
                      </c:pt>
                      <c:pt idx="31" formatCode="General">
                        <c:v>-23.36568862275449</c:v>
                      </c:pt>
                      <c:pt idx="32" formatCode="General">
                        <c:v>-23.483053892215569</c:v>
                      </c:pt>
                      <c:pt idx="33" formatCode="General">
                        <c:v>-23.60185628742515</c:v>
                      </c:pt>
                      <c:pt idx="34" formatCode="General">
                        <c:v>-23.721616766467065</c:v>
                      </c:pt>
                      <c:pt idx="35" formatCode="General">
                        <c:v>-23.841377245508983</c:v>
                      </c:pt>
                      <c:pt idx="36" formatCode="General">
                        <c:v>-23.961137724550898</c:v>
                      </c:pt>
                      <c:pt idx="37" formatCode="General">
                        <c:v>-24.078862275449104</c:v>
                      </c:pt>
                      <c:pt idx="38" formatCode="General">
                        <c:v>-24.193832335329343</c:v>
                      </c:pt>
                      <c:pt idx="39" formatCode="General">
                        <c:v>-24.308802395209582</c:v>
                      </c:pt>
                      <c:pt idx="40" formatCode="General">
                        <c:v>-24.423772455089821</c:v>
                      </c:pt>
                      <c:pt idx="41" formatCode="General">
                        <c:v>-24.53874251497006</c:v>
                      </c:pt>
                      <c:pt idx="42" formatCode="General">
                        <c:v>-24.653712574850299</c:v>
                      </c:pt>
                      <c:pt idx="43" formatCode="General">
                        <c:v>-24.768682634730538</c:v>
                      </c:pt>
                      <c:pt idx="44" formatCode="General">
                        <c:v>-24.883652694610777</c:v>
                      </c:pt>
                      <c:pt idx="45" formatCode="General">
                        <c:v>-24.998622754491016</c:v>
                      </c:pt>
                      <c:pt idx="46" formatCode="General">
                        <c:v>-25.113592814371255</c:v>
                      </c:pt>
                      <c:pt idx="47" formatCode="General">
                        <c:v>-25.228562874251494</c:v>
                      </c:pt>
                      <c:pt idx="48" formatCode="General">
                        <c:v>-25.343532934131737</c:v>
                      </c:pt>
                      <c:pt idx="49" formatCode="General">
                        <c:v>-25.458502994011976</c:v>
                      </c:pt>
                      <c:pt idx="50" formatCode="General">
                        <c:v>-25.567617977528091</c:v>
                      </c:pt>
                      <c:pt idx="51" formatCode="General">
                        <c:v>-25.676082397003746</c:v>
                      </c:pt>
                      <c:pt idx="52" formatCode="General">
                        <c:v>-25.784546816479402</c:v>
                      </c:pt>
                      <c:pt idx="53" formatCode="General">
                        <c:v>-25.893011235955058</c:v>
                      </c:pt>
                      <c:pt idx="54" formatCode="General">
                        <c:v>-26.001475655430713</c:v>
                      </c:pt>
                      <c:pt idx="55" formatCode="General">
                        <c:v>-26.109940074906369</c:v>
                      </c:pt>
                      <c:pt idx="56" formatCode="General">
                        <c:v>-26.218404494382021</c:v>
                      </c:pt>
                      <c:pt idx="57" formatCode="General">
                        <c:v>-26.326868913857677</c:v>
                      </c:pt>
                      <c:pt idx="58" formatCode="General">
                        <c:v>-26.435333333333332</c:v>
                      </c:pt>
                      <c:pt idx="59" formatCode="General">
                        <c:v>-26.543797752808988</c:v>
                      </c:pt>
                      <c:pt idx="60" formatCode="General">
                        <c:v>-26.652262172284644</c:v>
                      </c:pt>
                      <c:pt idx="61" formatCode="General">
                        <c:v>-26.760726591760299</c:v>
                      </c:pt>
                      <c:pt idx="62" formatCode="General">
                        <c:v>-26.869191011235955</c:v>
                      </c:pt>
                      <c:pt idx="63" formatCode="General">
                        <c:v>-26.977655430711611</c:v>
                      </c:pt>
                      <c:pt idx="64" formatCode="General">
                        <c:v>-27.086119850187266</c:v>
                      </c:pt>
                      <c:pt idx="65" formatCode="General">
                        <c:v>-27.194584269662922</c:v>
                      </c:pt>
                      <c:pt idx="66" formatCode="General">
                        <c:v>-27.301902621722849</c:v>
                      </c:pt>
                      <c:pt idx="67" formatCode="General">
                        <c:v>-27.404973782771538</c:v>
                      </c:pt>
                      <c:pt idx="68" formatCode="General">
                        <c:v>-27.508044943820227</c:v>
                      </c:pt>
                      <c:pt idx="69" formatCode="General">
                        <c:v>-27.611116104868916</c:v>
                      </c:pt>
                      <c:pt idx="70" formatCode="General">
                        <c:v>-27.714187265917605</c:v>
                      </c:pt>
                      <c:pt idx="71" formatCode="General">
                        <c:v>-27.817258426966294</c:v>
                      </c:pt>
                      <c:pt idx="72" formatCode="General">
                        <c:v>-27.920329588014983</c:v>
                      </c:pt>
                      <c:pt idx="73" formatCode="General">
                        <c:v>-28.023400749063672</c:v>
                      </c:pt>
                      <c:pt idx="74" formatCode="General">
                        <c:v>-28.126471910112361</c:v>
                      </c:pt>
                      <c:pt idx="75" formatCode="General">
                        <c:v>-28.22954307116105</c:v>
                      </c:pt>
                      <c:pt idx="76" formatCode="General">
                        <c:v>-28.332614232209739</c:v>
                      </c:pt>
                      <c:pt idx="77" formatCode="General">
                        <c:v>-28.435685393258428</c:v>
                      </c:pt>
                      <c:pt idx="78" formatCode="General">
                        <c:v>-28.538756554307117</c:v>
                      </c:pt>
                      <c:pt idx="79" formatCode="General">
                        <c:v>-28.641827715355806</c:v>
                      </c:pt>
                      <c:pt idx="80" formatCode="General">
                        <c:v>-28.744898876404495</c:v>
                      </c:pt>
                      <c:pt idx="81" formatCode="General">
                        <c:v>-28.847970037453184</c:v>
                      </c:pt>
                      <c:pt idx="82" formatCode="General">
                        <c:v>-28.951041198501873</c:v>
                      </c:pt>
                      <c:pt idx="83" formatCode="General">
                        <c:v>-29.051396396396395</c:v>
                      </c:pt>
                      <c:pt idx="84" formatCode="General">
                        <c:v>-29.149294294294293</c:v>
                      </c:pt>
                      <c:pt idx="85" formatCode="General">
                        <c:v>-29.247192192192191</c:v>
                      </c:pt>
                      <c:pt idx="86" formatCode="General">
                        <c:v>-29.345090090090089</c:v>
                      </c:pt>
                      <c:pt idx="87" formatCode="General">
                        <c:v>-7.3468118811881187</c:v>
                      </c:pt>
                      <c:pt idx="88" formatCode="General">
                        <c:v>-7.3646336633663365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4-6F8E-44D6-9842-8CC6ABD00D40}"/>
                  </c:ext>
                </c:extLst>
              </c15:ser>
            </c15:filteredScatterSeries>
            <c15:filteredScatterSeries>
              <c15:ser>
                <c:idx val="49"/>
                <c:order val="50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306</c:v>
                      </c:pt>
                      <c:pt idx="1">
                        <c:v>314</c:v>
                      </c:pt>
                      <c:pt idx="2">
                        <c:v>322</c:v>
                      </c:pt>
                      <c:pt idx="3">
                        <c:v>330</c:v>
                      </c:pt>
                      <c:pt idx="4">
                        <c:v>338</c:v>
                      </c:pt>
                      <c:pt idx="5">
                        <c:v>346</c:v>
                      </c:pt>
                      <c:pt idx="6">
                        <c:v>354</c:v>
                      </c:pt>
                      <c:pt idx="7">
                        <c:v>362</c:v>
                      </c:pt>
                      <c:pt idx="8">
                        <c:v>370</c:v>
                      </c:pt>
                      <c:pt idx="9">
                        <c:v>378</c:v>
                      </c:pt>
                      <c:pt idx="10">
                        <c:v>386</c:v>
                      </c:pt>
                      <c:pt idx="11">
                        <c:v>394</c:v>
                      </c:pt>
                      <c:pt idx="12">
                        <c:v>402</c:v>
                      </c:pt>
                      <c:pt idx="13">
                        <c:v>410</c:v>
                      </c:pt>
                      <c:pt idx="14">
                        <c:v>418</c:v>
                      </c:pt>
                      <c:pt idx="15">
                        <c:v>426</c:v>
                      </c:pt>
                      <c:pt idx="16">
                        <c:v>434</c:v>
                      </c:pt>
                      <c:pt idx="17">
                        <c:v>442</c:v>
                      </c:pt>
                      <c:pt idx="18">
                        <c:v>450</c:v>
                      </c:pt>
                      <c:pt idx="19">
                        <c:v>458</c:v>
                      </c:pt>
                      <c:pt idx="20">
                        <c:v>466</c:v>
                      </c:pt>
                      <c:pt idx="21">
                        <c:v>474</c:v>
                      </c:pt>
                      <c:pt idx="22">
                        <c:v>482</c:v>
                      </c:pt>
                      <c:pt idx="23">
                        <c:v>490</c:v>
                      </c:pt>
                      <c:pt idx="24">
                        <c:v>498</c:v>
                      </c:pt>
                      <c:pt idx="25">
                        <c:v>506</c:v>
                      </c:pt>
                      <c:pt idx="26">
                        <c:v>514</c:v>
                      </c:pt>
                      <c:pt idx="27">
                        <c:v>522</c:v>
                      </c:pt>
                      <c:pt idx="28">
                        <c:v>530</c:v>
                      </c:pt>
                      <c:pt idx="29">
                        <c:v>538</c:v>
                      </c:pt>
                      <c:pt idx="30">
                        <c:v>546</c:v>
                      </c:pt>
                      <c:pt idx="31">
                        <c:v>554</c:v>
                      </c:pt>
                      <c:pt idx="32">
                        <c:v>562</c:v>
                      </c:pt>
                      <c:pt idx="33">
                        <c:v>570</c:v>
                      </c:pt>
                      <c:pt idx="34">
                        <c:v>578</c:v>
                      </c:pt>
                      <c:pt idx="35">
                        <c:v>586</c:v>
                      </c:pt>
                      <c:pt idx="36">
                        <c:v>594</c:v>
                      </c:pt>
                      <c:pt idx="37">
                        <c:v>602</c:v>
                      </c:pt>
                      <c:pt idx="38">
                        <c:v>610</c:v>
                      </c:pt>
                      <c:pt idx="39">
                        <c:v>618</c:v>
                      </c:pt>
                      <c:pt idx="40">
                        <c:v>626</c:v>
                      </c:pt>
                      <c:pt idx="41">
                        <c:v>634</c:v>
                      </c:pt>
                      <c:pt idx="42">
                        <c:v>642</c:v>
                      </c:pt>
                      <c:pt idx="43">
                        <c:v>650</c:v>
                      </c:pt>
                      <c:pt idx="44">
                        <c:v>658</c:v>
                      </c:pt>
                      <c:pt idx="45">
                        <c:v>666</c:v>
                      </c:pt>
                      <c:pt idx="46">
                        <c:v>674</c:v>
                      </c:pt>
                      <c:pt idx="47">
                        <c:v>682</c:v>
                      </c:pt>
                      <c:pt idx="48">
                        <c:v>690</c:v>
                      </c:pt>
                      <c:pt idx="49">
                        <c:v>698</c:v>
                      </c:pt>
                      <c:pt idx="50">
                        <c:v>706</c:v>
                      </c:pt>
                      <c:pt idx="51">
                        <c:v>714</c:v>
                      </c:pt>
                      <c:pt idx="52">
                        <c:v>722</c:v>
                      </c:pt>
                      <c:pt idx="53">
                        <c:v>730</c:v>
                      </c:pt>
                      <c:pt idx="54">
                        <c:v>738</c:v>
                      </c:pt>
                      <c:pt idx="55">
                        <c:v>746</c:v>
                      </c:pt>
                      <c:pt idx="56">
                        <c:v>754</c:v>
                      </c:pt>
                      <c:pt idx="57">
                        <c:v>762</c:v>
                      </c:pt>
                      <c:pt idx="58">
                        <c:v>770</c:v>
                      </c:pt>
                      <c:pt idx="59">
                        <c:v>778</c:v>
                      </c:pt>
                      <c:pt idx="60">
                        <c:v>786</c:v>
                      </c:pt>
                      <c:pt idx="61">
                        <c:v>794</c:v>
                      </c:pt>
                      <c:pt idx="62">
                        <c:v>802</c:v>
                      </c:pt>
                      <c:pt idx="63">
                        <c:v>810</c:v>
                      </c:pt>
                      <c:pt idx="64">
                        <c:v>818</c:v>
                      </c:pt>
                      <c:pt idx="65">
                        <c:v>826</c:v>
                      </c:pt>
                      <c:pt idx="66">
                        <c:v>834</c:v>
                      </c:pt>
                      <c:pt idx="67">
                        <c:v>842</c:v>
                      </c:pt>
                      <c:pt idx="68">
                        <c:v>850</c:v>
                      </c:pt>
                      <c:pt idx="69">
                        <c:v>858</c:v>
                      </c:pt>
                      <c:pt idx="70">
                        <c:v>866</c:v>
                      </c:pt>
                      <c:pt idx="71">
                        <c:v>874</c:v>
                      </c:pt>
                      <c:pt idx="72">
                        <c:v>882</c:v>
                      </c:pt>
                      <c:pt idx="73">
                        <c:v>890</c:v>
                      </c:pt>
                      <c:pt idx="74">
                        <c:v>898</c:v>
                      </c:pt>
                      <c:pt idx="75">
                        <c:v>906</c:v>
                      </c:pt>
                      <c:pt idx="76">
                        <c:v>914</c:v>
                      </c:pt>
                      <c:pt idx="77">
                        <c:v>922</c:v>
                      </c:pt>
                      <c:pt idx="78">
                        <c:v>930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EVALUATION!$B$151:$CP$151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5-6F8E-44D6-9842-8CC6ABD00D40}"/>
                  </c:ext>
                </c:extLst>
              </c15:ser>
            </c15:filteredScatterSeries>
            <c15:filteredScatterSeries>
              <c15:ser>
                <c:idx val="50"/>
                <c:order val="51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306</c:v>
                      </c:pt>
                      <c:pt idx="1">
                        <c:v>314</c:v>
                      </c:pt>
                      <c:pt idx="2">
                        <c:v>322</c:v>
                      </c:pt>
                      <c:pt idx="3">
                        <c:v>330</c:v>
                      </c:pt>
                      <c:pt idx="4">
                        <c:v>338</c:v>
                      </c:pt>
                      <c:pt idx="5">
                        <c:v>346</c:v>
                      </c:pt>
                      <c:pt idx="6">
                        <c:v>354</c:v>
                      </c:pt>
                      <c:pt idx="7">
                        <c:v>362</c:v>
                      </c:pt>
                      <c:pt idx="8">
                        <c:v>370</c:v>
                      </c:pt>
                      <c:pt idx="9">
                        <c:v>378</c:v>
                      </c:pt>
                      <c:pt idx="10">
                        <c:v>386</c:v>
                      </c:pt>
                      <c:pt idx="11">
                        <c:v>394</c:v>
                      </c:pt>
                      <c:pt idx="12">
                        <c:v>402</c:v>
                      </c:pt>
                      <c:pt idx="13">
                        <c:v>410</c:v>
                      </c:pt>
                      <c:pt idx="14">
                        <c:v>418</c:v>
                      </c:pt>
                      <c:pt idx="15">
                        <c:v>426</c:v>
                      </c:pt>
                      <c:pt idx="16">
                        <c:v>434</c:v>
                      </c:pt>
                      <c:pt idx="17">
                        <c:v>442</c:v>
                      </c:pt>
                      <c:pt idx="18">
                        <c:v>450</c:v>
                      </c:pt>
                      <c:pt idx="19">
                        <c:v>458</c:v>
                      </c:pt>
                      <c:pt idx="20">
                        <c:v>466</c:v>
                      </c:pt>
                      <c:pt idx="21">
                        <c:v>474</c:v>
                      </c:pt>
                      <c:pt idx="22">
                        <c:v>482</c:v>
                      </c:pt>
                      <c:pt idx="23">
                        <c:v>490</c:v>
                      </c:pt>
                      <c:pt idx="24">
                        <c:v>498</c:v>
                      </c:pt>
                      <c:pt idx="25">
                        <c:v>506</c:v>
                      </c:pt>
                      <c:pt idx="26">
                        <c:v>514</c:v>
                      </c:pt>
                      <c:pt idx="27">
                        <c:v>522</c:v>
                      </c:pt>
                      <c:pt idx="28">
                        <c:v>530</c:v>
                      </c:pt>
                      <c:pt idx="29">
                        <c:v>538</c:v>
                      </c:pt>
                      <c:pt idx="30">
                        <c:v>546</c:v>
                      </c:pt>
                      <c:pt idx="31">
                        <c:v>554</c:v>
                      </c:pt>
                      <c:pt idx="32">
                        <c:v>562</c:v>
                      </c:pt>
                      <c:pt idx="33">
                        <c:v>570</c:v>
                      </c:pt>
                      <c:pt idx="34">
                        <c:v>578</c:v>
                      </c:pt>
                      <c:pt idx="35">
                        <c:v>586</c:v>
                      </c:pt>
                      <c:pt idx="36">
                        <c:v>594</c:v>
                      </c:pt>
                      <c:pt idx="37">
                        <c:v>602</c:v>
                      </c:pt>
                      <c:pt idx="38">
                        <c:v>610</c:v>
                      </c:pt>
                      <c:pt idx="39">
                        <c:v>618</c:v>
                      </c:pt>
                      <c:pt idx="40">
                        <c:v>626</c:v>
                      </c:pt>
                      <c:pt idx="41">
                        <c:v>634</c:v>
                      </c:pt>
                      <c:pt idx="42">
                        <c:v>642</c:v>
                      </c:pt>
                      <c:pt idx="43">
                        <c:v>650</c:v>
                      </c:pt>
                      <c:pt idx="44">
                        <c:v>658</c:v>
                      </c:pt>
                      <c:pt idx="45">
                        <c:v>666</c:v>
                      </c:pt>
                      <c:pt idx="46">
                        <c:v>674</c:v>
                      </c:pt>
                      <c:pt idx="47">
                        <c:v>682</c:v>
                      </c:pt>
                      <c:pt idx="48">
                        <c:v>690</c:v>
                      </c:pt>
                      <c:pt idx="49">
                        <c:v>698</c:v>
                      </c:pt>
                      <c:pt idx="50">
                        <c:v>706</c:v>
                      </c:pt>
                      <c:pt idx="51">
                        <c:v>714</c:v>
                      </c:pt>
                      <c:pt idx="52">
                        <c:v>722</c:v>
                      </c:pt>
                      <c:pt idx="53">
                        <c:v>730</c:v>
                      </c:pt>
                      <c:pt idx="54">
                        <c:v>738</c:v>
                      </c:pt>
                      <c:pt idx="55">
                        <c:v>746</c:v>
                      </c:pt>
                      <c:pt idx="56">
                        <c:v>754</c:v>
                      </c:pt>
                      <c:pt idx="57">
                        <c:v>762</c:v>
                      </c:pt>
                      <c:pt idx="58">
                        <c:v>770</c:v>
                      </c:pt>
                      <c:pt idx="59">
                        <c:v>778</c:v>
                      </c:pt>
                      <c:pt idx="60">
                        <c:v>786</c:v>
                      </c:pt>
                      <c:pt idx="61">
                        <c:v>794</c:v>
                      </c:pt>
                      <c:pt idx="62">
                        <c:v>802</c:v>
                      </c:pt>
                      <c:pt idx="63">
                        <c:v>810</c:v>
                      </c:pt>
                      <c:pt idx="64">
                        <c:v>818</c:v>
                      </c:pt>
                      <c:pt idx="65">
                        <c:v>826</c:v>
                      </c:pt>
                      <c:pt idx="66">
                        <c:v>834</c:v>
                      </c:pt>
                      <c:pt idx="67">
                        <c:v>842</c:v>
                      </c:pt>
                      <c:pt idx="68">
                        <c:v>850</c:v>
                      </c:pt>
                      <c:pt idx="69">
                        <c:v>858</c:v>
                      </c:pt>
                      <c:pt idx="70">
                        <c:v>866</c:v>
                      </c:pt>
                      <c:pt idx="71">
                        <c:v>874</c:v>
                      </c:pt>
                      <c:pt idx="72">
                        <c:v>882</c:v>
                      </c:pt>
                      <c:pt idx="73">
                        <c:v>890</c:v>
                      </c:pt>
                      <c:pt idx="74">
                        <c:v>898</c:v>
                      </c:pt>
                      <c:pt idx="75">
                        <c:v>906</c:v>
                      </c:pt>
                      <c:pt idx="76">
                        <c:v>914</c:v>
                      </c:pt>
                      <c:pt idx="77">
                        <c:v>922</c:v>
                      </c:pt>
                      <c:pt idx="78">
                        <c:v>930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EVALUATION!$B$152:$CP$152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6-6F8E-44D6-9842-8CC6ABD00D40}"/>
                  </c:ext>
                </c:extLst>
              </c15:ser>
            </c15:filteredScatterSeries>
            <c15:filteredScatterSeries>
              <c15:ser>
                <c:idx val="51"/>
                <c:order val="52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306</c:v>
                      </c:pt>
                      <c:pt idx="1">
                        <c:v>314</c:v>
                      </c:pt>
                      <c:pt idx="2">
                        <c:v>322</c:v>
                      </c:pt>
                      <c:pt idx="3">
                        <c:v>330</c:v>
                      </c:pt>
                      <c:pt idx="4">
                        <c:v>338</c:v>
                      </c:pt>
                      <c:pt idx="5">
                        <c:v>346</c:v>
                      </c:pt>
                      <c:pt idx="6">
                        <c:v>354</c:v>
                      </c:pt>
                      <c:pt idx="7">
                        <c:v>362</c:v>
                      </c:pt>
                      <c:pt idx="8">
                        <c:v>370</c:v>
                      </c:pt>
                      <c:pt idx="9">
                        <c:v>378</c:v>
                      </c:pt>
                      <c:pt idx="10">
                        <c:v>386</c:v>
                      </c:pt>
                      <c:pt idx="11">
                        <c:v>394</c:v>
                      </c:pt>
                      <c:pt idx="12">
                        <c:v>402</c:v>
                      </c:pt>
                      <c:pt idx="13">
                        <c:v>410</c:v>
                      </c:pt>
                      <c:pt idx="14">
                        <c:v>418</c:v>
                      </c:pt>
                      <c:pt idx="15">
                        <c:v>426</c:v>
                      </c:pt>
                      <c:pt idx="16">
                        <c:v>434</c:v>
                      </c:pt>
                      <c:pt idx="17">
                        <c:v>442</c:v>
                      </c:pt>
                      <c:pt idx="18">
                        <c:v>450</c:v>
                      </c:pt>
                      <c:pt idx="19">
                        <c:v>458</c:v>
                      </c:pt>
                      <c:pt idx="20">
                        <c:v>466</c:v>
                      </c:pt>
                      <c:pt idx="21">
                        <c:v>474</c:v>
                      </c:pt>
                      <c:pt idx="22">
                        <c:v>482</c:v>
                      </c:pt>
                      <c:pt idx="23">
                        <c:v>490</c:v>
                      </c:pt>
                      <c:pt idx="24">
                        <c:v>498</c:v>
                      </c:pt>
                      <c:pt idx="25">
                        <c:v>506</c:v>
                      </c:pt>
                      <c:pt idx="26">
                        <c:v>514</c:v>
                      </c:pt>
                      <c:pt idx="27">
                        <c:v>522</c:v>
                      </c:pt>
                      <c:pt idx="28">
                        <c:v>530</c:v>
                      </c:pt>
                      <c:pt idx="29">
                        <c:v>538</c:v>
                      </c:pt>
                      <c:pt idx="30">
                        <c:v>546</c:v>
                      </c:pt>
                      <c:pt idx="31">
                        <c:v>554</c:v>
                      </c:pt>
                      <c:pt idx="32">
                        <c:v>562</c:v>
                      </c:pt>
                      <c:pt idx="33">
                        <c:v>570</c:v>
                      </c:pt>
                      <c:pt idx="34">
                        <c:v>578</c:v>
                      </c:pt>
                      <c:pt idx="35">
                        <c:v>586</c:v>
                      </c:pt>
                      <c:pt idx="36">
                        <c:v>594</c:v>
                      </c:pt>
                      <c:pt idx="37">
                        <c:v>602</c:v>
                      </c:pt>
                      <c:pt idx="38">
                        <c:v>610</c:v>
                      </c:pt>
                      <c:pt idx="39">
                        <c:v>618</c:v>
                      </c:pt>
                      <c:pt idx="40">
                        <c:v>626</c:v>
                      </c:pt>
                      <c:pt idx="41">
                        <c:v>634</c:v>
                      </c:pt>
                      <c:pt idx="42">
                        <c:v>642</c:v>
                      </c:pt>
                      <c:pt idx="43">
                        <c:v>650</c:v>
                      </c:pt>
                      <c:pt idx="44">
                        <c:v>658</c:v>
                      </c:pt>
                      <c:pt idx="45">
                        <c:v>666</c:v>
                      </c:pt>
                      <c:pt idx="46">
                        <c:v>674</c:v>
                      </c:pt>
                      <c:pt idx="47">
                        <c:v>682</c:v>
                      </c:pt>
                      <c:pt idx="48">
                        <c:v>690</c:v>
                      </c:pt>
                      <c:pt idx="49">
                        <c:v>698</c:v>
                      </c:pt>
                      <c:pt idx="50">
                        <c:v>706</c:v>
                      </c:pt>
                      <c:pt idx="51">
                        <c:v>714</c:v>
                      </c:pt>
                      <c:pt idx="52">
                        <c:v>722</c:v>
                      </c:pt>
                      <c:pt idx="53">
                        <c:v>730</c:v>
                      </c:pt>
                      <c:pt idx="54">
                        <c:v>738</c:v>
                      </c:pt>
                      <c:pt idx="55">
                        <c:v>746</c:v>
                      </c:pt>
                      <c:pt idx="56">
                        <c:v>754</c:v>
                      </c:pt>
                      <c:pt idx="57">
                        <c:v>762</c:v>
                      </c:pt>
                      <c:pt idx="58">
                        <c:v>770</c:v>
                      </c:pt>
                      <c:pt idx="59">
                        <c:v>778</c:v>
                      </c:pt>
                      <c:pt idx="60">
                        <c:v>786</c:v>
                      </c:pt>
                      <c:pt idx="61">
                        <c:v>794</c:v>
                      </c:pt>
                      <c:pt idx="62">
                        <c:v>802</c:v>
                      </c:pt>
                      <c:pt idx="63">
                        <c:v>810</c:v>
                      </c:pt>
                      <c:pt idx="64">
                        <c:v>818</c:v>
                      </c:pt>
                      <c:pt idx="65">
                        <c:v>826</c:v>
                      </c:pt>
                      <c:pt idx="66">
                        <c:v>834</c:v>
                      </c:pt>
                      <c:pt idx="67">
                        <c:v>842</c:v>
                      </c:pt>
                      <c:pt idx="68">
                        <c:v>850</c:v>
                      </c:pt>
                      <c:pt idx="69">
                        <c:v>858</c:v>
                      </c:pt>
                      <c:pt idx="70">
                        <c:v>866</c:v>
                      </c:pt>
                      <c:pt idx="71">
                        <c:v>874</c:v>
                      </c:pt>
                      <c:pt idx="72">
                        <c:v>882</c:v>
                      </c:pt>
                      <c:pt idx="73">
                        <c:v>890</c:v>
                      </c:pt>
                      <c:pt idx="74">
                        <c:v>898</c:v>
                      </c:pt>
                      <c:pt idx="75">
                        <c:v>906</c:v>
                      </c:pt>
                      <c:pt idx="76">
                        <c:v>914</c:v>
                      </c:pt>
                      <c:pt idx="77">
                        <c:v>922</c:v>
                      </c:pt>
                      <c:pt idx="78">
                        <c:v>930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EVALUATION!$B$153:$CP$153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7-6F8E-44D6-9842-8CC6ABD00D40}"/>
                  </c:ext>
                </c:extLst>
              </c15:ser>
            </c15:filteredScatterSeries>
            <c15:filteredScatterSeries>
              <c15:ser>
                <c:idx val="52"/>
                <c:order val="53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306</c:v>
                      </c:pt>
                      <c:pt idx="1">
                        <c:v>314</c:v>
                      </c:pt>
                      <c:pt idx="2">
                        <c:v>322</c:v>
                      </c:pt>
                      <c:pt idx="3">
                        <c:v>330</c:v>
                      </c:pt>
                      <c:pt idx="4">
                        <c:v>338</c:v>
                      </c:pt>
                      <c:pt idx="5">
                        <c:v>346</c:v>
                      </c:pt>
                      <c:pt idx="6">
                        <c:v>354</c:v>
                      </c:pt>
                      <c:pt idx="7">
                        <c:v>362</c:v>
                      </c:pt>
                      <c:pt idx="8">
                        <c:v>370</c:v>
                      </c:pt>
                      <c:pt idx="9">
                        <c:v>378</c:v>
                      </c:pt>
                      <c:pt idx="10">
                        <c:v>386</c:v>
                      </c:pt>
                      <c:pt idx="11">
                        <c:v>394</c:v>
                      </c:pt>
                      <c:pt idx="12">
                        <c:v>402</c:v>
                      </c:pt>
                      <c:pt idx="13">
                        <c:v>410</c:v>
                      </c:pt>
                      <c:pt idx="14">
                        <c:v>418</c:v>
                      </c:pt>
                      <c:pt idx="15">
                        <c:v>426</c:v>
                      </c:pt>
                      <c:pt idx="16">
                        <c:v>434</c:v>
                      </c:pt>
                      <c:pt idx="17">
                        <c:v>442</c:v>
                      </c:pt>
                      <c:pt idx="18">
                        <c:v>450</c:v>
                      </c:pt>
                      <c:pt idx="19">
                        <c:v>458</c:v>
                      </c:pt>
                      <c:pt idx="20">
                        <c:v>466</c:v>
                      </c:pt>
                      <c:pt idx="21">
                        <c:v>474</c:v>
                      </c:pt>
                      <c:pt idx="22">
                        <c:v>482</c:v>
                      </c:pt>
                      <c:pt idx="23">
                        <c:v>490</c:v>
                      </c:pt>
                      <c:pt idx="24">
                        <c:v>498</c:v>
                      </c:pt>
                      <c:pt idx="25">
                        <c:v>506</c:v>
                      </c:pt>
                      <c:pt idx="26">
                        <c:v>514</c:v>
                      </c:pt>
                      <c:pt idx="27">
                        <c:v>522</c:v>
                      </c:pt>
                      <c:pt idx="28">
                        <c:v>530</c:v>
                      </c:pt>
                      <c:pt idx="29">
                        <c:v>538</c:v>
                      </c:pt>
                      <c:pt idx="30">
                        <c:v>546</c:v>
                      </c:pt>
                      <c:pt idx="31">
                        <c:v>554</c:v>
                      </c:pt>
                      <c:pt idx="32">
                        <c:v>562</c:v>
                      </c:pt>
                      <c:pt idx="33">
                        <c:v>570</c:v>
                      </c:pt>
                      <c:pt idx="34">
                        <c:v>578</c:v>
                      </c:pt>
                      <c:pt idx="35">
                        <c:v>586</c:v>
                      </c:pt>
                      <c:pt idx="36">
                        <c:v>594</c:v>
                      </c:pt>
                      <c:pt idx="37">
                        <c:v>602</c:v>
                      </c:pt>
                      <c:pt idx="38">
                        <c:v>610</c:v>
                      </c:pt>
                      <c:pt idx="39">
                        <c:v>618</c:v>
                      </c:pt>
                      <c:pt idx="40">
                        <c:v>626</c:v>
                      </c:pt>
                      <c:pt idx="41">
                        <c:v>634</c:v>
                      </c:pt>
                      <c:pt idx="42">
                        <c:v>642</c:v>
                      </c:pt>
                      <c:pt idx="43">
                        <c:v>650</c:v>
                      </c:pt>
                      <c:pt idx="44">
                        <c:v>658</c:v>
                      </c:pt>
                      <c:pt idx="45">
                        <c:v>666</c:v>
                      </c:pt>
                      <c:pt idx="46">
                        <c:v>674</c:v>
                      </c:pt>
                      <c:pt idx="47">
                        <c:v>682</c:v>
                      </c:pt>
                      <c:pt idx="48">
                        <c:v>690</c:v>
                      </c:pt>
                      <c:pt idx="49">
                        <c:v>698</c:v>
                      </c:pt>
                      <c:pt idx="50">
                        <c:v>706</c:v>
                      </c:pt>
                      <c:pt idx="51">
                        <c:v>714</c:v>
                      </c:pt>
                      <c:pt idx="52">
                        <c:v>722</c:v>
                      </c:pt>
                      <c:pt idx="53">
                        <c:v>730</c:v>
                      </c:pt>
                      <c:pt idx="54">
                        <c:v>738</c:v>
                      </c:pt>
                      <c:pt idx="55">
                        <c:v>746</c:v>
                      </c:pt>
                      <c:pt idx="56">
                        <c:v>754</c:v>
                      </c:pt>
                      <c:pt idx="57">
                        <c:v>762</c:v>
                      </c:pt>
                      <c:pt idx="58">
                        <c:v>770</c:v>
                      </c:pt>
                      <c:pt idx="59">
                        <c:v>778</c:v>
                      </c:pt>
                      <c:pt idx="60">
                        <c:v>786</c:v>
                      </c:pt>
                      <c:pt idx="61">
                        <c:v>794</c:v>
                      </c:pt>
                      <c:pt idx="62">
                        <c:v>802</c:v>
                      </c:pt>
                      <c:pt idx="63">
                        <c:v>810</c:v>
                      </c:pt>
                      <c:pt idx="64">
                        <c:v>818</c:v>
                      </c:pt>
                      <c:pt idx="65">
                        <c:v>826</c:v>
                      </c:pt>
                      <c:pt idx="66">
                        <c:v>834</c:v>
                      </c:pt>
                      <c:pt idx="67">
                        <c:v>842</c:v>
                      </c:pt>
                      <c:pt idx="68">
                        <c:v>850</c:v>
                      </c:pt>
                      <c:pt idx="69">
                        <c:v>858</c:v>
                      </c:pt>
                      <c:pt idx="70">
                        <c:v>866</c:v>
                      </c:pt>
                      <c:pt idx="71">
                        <c:v>874</c:v>
                      </c:pt>
                      <c:pt idx="72">
                        <c:v>882</c:v>
                      </c:pt>
                      <c:pt idx="73">
                        <c:v>890</c:v>
                      </c:pt>
                      <c:pt idx="74">
                        <c:v>898</c:v>
                      </c:pt>
                      <c:pt idx="75">
                        <c:v>906</c:v>
                      </c:pt>
                      <c:pt idx="76">
                        <c:v>914</c:v>
                      </c:pt>
                      <c:pt idx="77">
                        <c:v>922</c:v>
                      </c:pt>
                      <c:pt idx="78">
                        <c:v>930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EVALUATION!$B$154:$CP$154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8-6F8E-44D6-9842-8CC6ABD00D40}"/>
                  </c:ext>
                </c:extLst>
              </c15:ser>
            </c15:filteredScatterSeries>
          </c:ext>
        </c:extLst>
      </c:scatterChart>
      <c:valAx>
        <c:axId val="938785983"/>
        <c:scaling>
          <c:orientation val="minMax"/>
          <c:max val="1000"/>
          <c:min val="3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38775583"/>
        <c:crosses val="autoZero"/>
        <c:crossBetween val="midCat"/>
        <c:majorUnit val="100"/>
      </c:valAx>
      <c:valAx>
        <c:axId val="938775583"/>
        <c:scaling>
          <c:orientation val="minMax"/>
          <c:max val="-11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38785983"/>
        <c:crosses val="autoZero"/>
        <c:crossBetween val="midCat"/>
      </c:valAx>
    </c:plotArea>
    <c:plotVisOnly val="0"/>
    <c:dispBlanksAs val="gap"/>
    <c:showDLblsOverMax val="0"/>
    <c:extLst/>
  </c:chart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1" i="1" u="none" strike="noStrike" kern="1200" spc="0" baseline="0">
                <a:solidFill>
                  <a:schemeClr val="accent6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000" b="1" i="1">
                <a:solidFill>
                  <a:schemeClr val="accent6">
                    <a:lumMod val="50000"/>
                  </a:schemeClr>
                </a:solidFill>
              </a:rPr>
              <a:t>Ga2Se</a:t>
            </a:r>
          </a:p>
        </c:rich>
      </c:tx>
      <c:layout>
        <c:manualLayout>
          <c:xMode val="edge"/>
          <c:yMode val="edge"/>
          <c:x val="0.45923209945810856"/>
          <c:y val="0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3565836995543892"/>
          <c:y val="0.10656915812117258"/>
          <c:w val="0.79872285919300678"/>
          <c:h val="0.79349420735008158"/>
        </c:manualLayout>
      </c:layout>
      <c:scatterChart>
        <c:scatterStyle val="smoothMarker"/>
        <c:varyColors val="0"/>
        <c:ser>
          <c:idx val="53"/>
          <c:order val="54"/>
          <c:tx>
            <c:v>temp</c:v>
          </c:tx>
          <c:spPr>
            <a:ln>
              <a:solidFill>
                <a:schemeClr val="tx1"/>
              </a:solidFill>
            </a:ln>
          </c:spPr>
          <c:marker>
            <c:symbol val="none"/>
          </c:marker>
          <c:xVal>
            <c:numRef>
              <c:f>EVALUATION!$A$98:$A$99</c:f>
              <c:numCache>
                <c:formatCode>General</c:formatCode>
                <c:ptCount val="2"/>
                <c:pt idx="0">
                  <c:v>700</c:v>
                </c:pt>
                <c:pt idx="1">
                  <c:v>700</c:v>
                </c:pt>
              </c:numCache>
            </c:numRef>
          </c:xVal>
          <c:yVal>
            <c:numRef>
              <c:f>EVALUATION!$B$98:$B$99</c:f>
              <c:numCache>
                <c:formatCode>0</c:formatCode>
                <c:ptCount val="2"/>
                <c:pt idx="0">
                  <c:v>-184.14450450450451</c:v>
                </c:pt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7FC-4A9D-A437-1D0023828B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38785983"/>
        <c:axId val="938775583"/>
        <c:extLst>
          <c:ext xmlns:c15="http://schemas.microsoft.com/office/drawing/2012/chart" uri="{02D57815-91ED-43cb-92C2-25804820EDAC}">
            <c15:filteredScatterSeries>
              <c15:ser>
                <c:idx val="0"/>
                <c:order val="0"/>
                <c:spPr>
                  <a:ln w="19050" cap="rnd">
                    <a:solidFill>
                      <a:srgbClr val="FF0000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306</c:v>
                      </c:pt>
                      <c:pt idx="1">
                        <c:v>314</c:v>
                      </c:pt>
                      <c:pt idx="2">
                        <c:v>322</c:v>
                      </c:pt>
                      <c:pt idx="3">
                        <c:v>330</c:v>
                      </c:pt>
                      <c:pt idx="4">
                        <c:v>338</c:v>
                      </c:pt>
                      <c:pt idx="5">
                        <c:v>346</c:v>
                      </c:pt>
                      <c:pt idx="6">
                        <c:v>354</c:v>
                      </c:pt>
                      <c:pt idx="7">
                        <c:v>362</c:v>
                      </c:pt>
                      <c:pt idx="8">
                        <c:v>370</c:v>
                      </c:pt>
                      <c:pt idx="9">
                        <c:v>378</c:v>
                      </c:pt>
                      <c:pt idx="10">
                        <c:v>386</c:v>
                      </c:pt>
                      <c:pt idx="11">
                        <c:v>394</c:v>
                      </c:pt>
                      <c:pt idx="12">
                        <c:v>402</c:v>
                      </c:pt>
                      <c:pt idx="13">
                        <c:v>410</c:v>
                      </c:pt>
                      <c:pt idx="14">
                        <c:v>418</c:v>
                      </c:pt>
                      <c:pt idx="15">
                        <c:v>426</c:v>
                      </c:pt>
                      <c:pt idx="16">
                        <c:v>434</c:v>
                      </c:pt>
                      <c:pt idx="17">
                        <c:v>442</c:v>
                      </c:pt>
                      <c:pt idx="18">
                        <c:v>450</c:v>
                      </c:pt>
                      <c:pt idx="19">
                        <c:v>458</c:v>
                      </c:pt>
                      <c:pt idx="20">
                        <c:v>466</c:v>
                      </c:pt>
                      <c:pt idx="21">
                        <c:v>474</c:v>
                      </c:pt>
                      <c:pt idx="22">
                        <c:v>482</c:v>
                      </c:pt>
                      <c:pt idx="23">
                        <c:v>490</c:v>
                      </c:pt>
                      <c:pt idx="24">
                        <c:v>498</c:v>
                      </c:pt>
                      <c:pt idx="25">
                        <c:v>506</c:v>
                      </c:pt>
                      <c:pt idx="26">
                        <c:v>514</c:v>
                      </c:pt>
                      <c:pt idx="27">
                        <c:v>522</c:v>
                      </c:pt>
                      <c:pt idx="28">
                        <c:v>530</c:v>
                      </c:pt>
                      <c:pt idx="29">
                        <c:v>538</c:v>
                      </c:pt>
                      <c:pt idx="30">
                        <c:v>546</c:v>
                      </c:pt>
                      <c:pt idx="31">
                        <c:v>554</c:v>
                      </c:pt>
                      <c:pt idx="32">
                        <c:v>562</c:v>
                      </c:pt>
                      <c:pt idx="33">
                        <c:v>570</c:v>
                      </c:pt>
                      <c:pt idx="34">
                        <c:v>578</c:v>
                      </c:pt>
                      <c:pt idx="35">
                        <c:v>586</c:v>
                      </c:pt>
                      <c:pt idx="36">
                        <c:v>594</c:v>
                      </c:pt>
                      <c:pt idx="37">
                        <c:v>602</c:v>
                      </c:pt>
                      <c:pt idx="38">
                        <c:v>610</c:v>
                      </c:pt>
                      <c:pt idx="39">
                        <c:v>618</c:v>
                      </c:pt>
                      <c:pt idx="40">
                        <c:v>626</c:v>
                      </c:pt>
                      <c:pt idx="41">
                        <c:v>634</c:v>
                      </c:pt>
                      <c:pt idx="42">
                        <c:v>642</c:v>
                      </c:pt>
                      <c:pt idx="43">
                        <c:v>650</c:v>
                      </c:pt>
                      <c:pt idx="44">
                        <c:v>658</c:v>
                      </c:pt>
                      <c:pt idx="45">
                        <c:v>666</c:v>
                      </c:pt>
                      <c:pt idx="46">
                        <c:v>674</c:v>
                      </c:pt>
                      <c:pt idx="47">
                        <c:v>682</c:v>
                      </c:pt>
                      <c:pt idx="48">
                        <c:v>690</c:v>
                      </c:pt>
                      <c:pt idx="49">
                        <c:v>698</c:v>
                      </c:pt>
                      <c:pt idx="50">
                        <c:v>706</c:v>
                      </c:pt>
                      <c:pt idx="51">
                        <c:v>714</c:v>
                      </c:pt>
                      <c:pt idx="52">
                        <c:v>722</c:v>
                      </c:pt>
                      <c:pt idx="53">
                        <c:v>730</c:v>
                      </c:pt>
                      <c:pt idx="54">
                        <c:v>738</c:v>
                      </c:pt>
                      <c:pt idx="55">
                        <c:v>746</c:v>
                      </c:pt>
                      <c:pt idx="56">
                        <c:v>754</c:v>
                      </c:pt>
                      <c:pt idx="57">
                        <c:v>762</c:v>
                      </c:pt>
                      <c:pt idx="58">
                        <c:v>770</c:v>
                      </c:pt>
                      <c:pt idx="59">
                        <c:v>778</c:v>
                      </c:pt>
                      <c:pt idx="60">
                        <c:v>786</c:v>
                      </c:pt>
                      <c:pt idx="61">
                        <c:v>794</c:v>
                      </c:pt>
                      <c:pt idx="62">
                        <c:v>802</c:v>
                      </c:pt>
                      <c:pt idx="63">
                        <c:v>810</c:v>
                      </c:pt>
                      <c:pt idx="64">
                        <c:v>818</c:v>
                      </c:pt>
                      <c:pt idx="65">
                        <c:v>826</c:v>
                      </c:pt>
                      <c:pt idx="66">
                        <c:v>834</c:v>
                      </c:pt>
                      <c:pt idx="67">
                        <c:v>842</c:v>
                      </c:pt>
                      <c:pt idx="68">
                        <c:v>850</c:v>
                      </c:pt>
                      <c:pt idx="69">
                        <c:v>858</c:v>
                      </c:pt>
                      <c:pt idx="70">
                        <c:v>866</c:v>
                      </c:pt>
                      <c:pt idx="71">
                        <c:v>874</c:v>
                      </c:pt>
                      <c:pt idx="72">
                        <c:v>882</c:v>
                      </c:pt>
                      <c:pt idx="73">
                        <c:v>890</c:v>
                      </c:pt>
                      <c:pt idx="74">
                        <c:v>898</c:v>
                      </c:pt>
                      <c:pt idx="75">
                        <c:v>906</c:v>
                      </c:pt>
                      <c:pt idx="76">
                        <c:v>914</c:v>
                      </c:pt>
                      <c:pt idx="77">
                        <c:v>922</c:v>
                      </c:pt>
                      <c:pt idx="78">
                        <c:v>930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EVALUATION!$B$101:$CP$101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-15.118108108108107</c:v>
                      </c:pt>
                      <c:pt idx="1">
                        <c:v>-14.88027027027027</c:v>
                      </c:pt>
                      <c:pt idx="2">
                        <c:v>-14.642432432432432</c:v>
                      </c:pt>
                      <c:pt idx="3">
                        <c:v>-14.404594594594593</c:v>
                      </c:pt>
                      <c:pt idx="4" formatCode="General">
                        <c:v>-13.959101796407184</c:v>
                      </c:pt>
                      <c:pt idx="5" formatCode="General">
                        <c:v>-13.46568862275449</c:v>
                      </c:pt>
                      <c:pt idx="6" formatCode="General">
                        <c:v>-12.972275449101796</c:v>
                      </c:pt>
                      <c:pt idx="7" formatCode="General">
                        <c:v>-12.478862275449101</c:v>
                      </c:pt>
                      <c:pt idx="8" formatCode="General">
                        <c:v>-11.950329341317365</c:v>
                      </c:pt>
                      <c:pt idx="9" formatCode="General">
                        <c:v>-11.40182634730539</c:v>
                      </c:pt>
                      <c:pt idx="10" formatCode="General">
                        <c:v>-10.853323353293414</c:v>
                      </c:pt>
                      <c:pt idx="11" formatCode="General">
                        <c:v>-10.304820359281438</c:v>
                      </c:pt>
                      <c:pt idx="12" formatCode="General">
                        <c:v>-9.7896616766467073</c:v>
                      </c:pt>
                      <c:pt idx="13" formatCode="General">
                        <c:v>-9.3132544910179647</c:v>
                      </c:pt>
                      <c:pt idx="14" formatCode="General">
                        <c:v>-8.836847305389222</c:v>
                      </c:pt>
                      <c:pt idx="15" formatCode="General">
                        <c:v>-8.3604401197604794</c:v>
                      </c:pt>
                      <c:pt idx="16" formatCode="General">
                        <c:v>-7.9011107784431145</c:v>
                      </c:pt>
                      <c:pt idx="17" formatCode="General">
                        <c:v>-7.4841047904191624</c:v>
                      </c:pt>
                      <c:pt idx="18" formatCode="General">
                        <c:v>-7.0670988023952104</c:v>
                      </c:pt>
                      <c:pt idx="19" formatCode="General">
                        <c:v>-6.6500928143712592</c:v>
                      </c:pt>
                      <c:pt idx="20" formatCode="General">
                        <c:v>-6.2383952095808395</c:v>
                      </c:pt>
                      <c:pt idx="21" formatCode="General">
                        <c:v>-5.8685748502994022</c:v>
                      </c:pt>
                      <c:pt idx="22" formatCode="General">
                        <c:v>-5.4987544910179649</c:v>
                      </c:pt>
                      <c:pt idx="23" formatCode="General">
                        <c:v>-5.1289341317365267</c:v>
                      </c:pt>
                      <c:pt idx="24" formatCode="General">
                        <c:v>-4.7591137724550894</c:v>
                      </c:pt>
                      <c:pt idx="25" formatCode="General">
                        <c:v>-4.6019909909909904</c:v>
                      </c:pt>
                      <c:pt idx="26" formatCode="General">
                        <c:v>-4.4590480480480474</c:v>
                      </c:pt>
                      <c:pt idx="27" formatCode="General">
                        <c:v>-4.3161051051051045</c:v>
                      </c:pt>
                      <c:pt idx="28" formatCode="General">
                        <c:v>-4.1731621621621615</c:v>
                      </c:pt>
                      <c:pt idx="29" formatCode="General">
                        <c:v>-4.1562215568862273</c:v>
                      </c:pt>
                      <c:pt idx="30" formatCode="General">
                        <c:v>-4.1758622754491022</c:v>
                      </c:pt>
                      <c:pt idx="31" formatCode="General">
                        <c:v>-4.1955029940119761</c:v>
                      </c:pt>
                      <c:pt idx="32" formatCode="General">
                        <c:v>-4.2151437125748501</c:v>
                      </c:pt>
                      <c:pt idx="33" formatCode="General">
                        <c:v>-4.2348562874251492</c:v>
                      </c:pt>
                      <c:pt idx="34" formatCode="General">
                        <c:v>-4.2546167664670653</c:v>
                      </c:pt>
                      <c:pt idx="35" formatCode="General">
                        <c:v>-4.2743772455089815</c:v>
                      </c:pt>
                      <c:pt idx="36" formatCode="General">
                        <c:v>-4.2941377245508976</c:v>
                      </c:pt>
                      <c:pt idx="37" formatCode="General">
                        <c:v>-4.3138982035928146</c:v>
                      </c:pt>
                      <c:pt idx="38" formatCode="General">
                        <c:v>-4.3336586826347308</c:v>
                      </c:pt>
                      <c:pt idx="39" formatCode="General">
                        <c:v>-4.3534191616766469</c:v>
                      </c:pt>
                      <c:pt idx="40" formatCode="General">
                        <c:v>-4.373179640718563</c:v>
                      </c:pt>
                      <c:pt idx="41" formatCode="General">
                        <c:v>-4.3929401197604792</c:v>
                      </c:pt>
                      <c:pt idx="42" formatCode="General">
                        <c:v>-4.4127005988023953</c:v>
                      </c:pt>
                      <c:pt idx="43" formatCode="General">
                        <c:v>-4.4324610778443114</c:v>
                      </c:pt>
                      <c:pt idx="44" formatCode="General">
                        <c:v>-4.4522215568862276</c:v>
                      </c:pt>
                      <c:pt idx="45" formatCode="General">
                        <c:v>-4.4719820359281437</c:v>
                      </c:pt>
                      <c:pt idx="46" formatCode="General">
                        <c:v>-4.4917425149700598</c:v>
                      </c:pt>
                      <c:pt idx="47" formatCode="General">
                        <c:v>-4.511502994011976</c:v>
                      </c:pt>
                      <c:pt idx="48" formatCode="General">
                        <c:v>-4.5312634730538921</c:v>
                      </c:pt>
                      <c:pt idx="49" formatCode="General">
                        <c:v>-4.5510239520958082</c:v>
                      </c:pt>
                      <c:pt idx="50" formatCode="General">
                        <c:v>-4.5702584269662925</c:v>
                      </c:pt>
                      <c:pt idx="51" formatCode="General">
                        <c:v>-4.5894344569288394</c:v>
                      </c:pt>
                      <c:pt idx="52" formatCode="General">
                        <c:v>-4.6086104868913855</c:v>
                      </c:pt>
                      <c:pt idx="53" formatCode="General">
                        <c:v>-4.6277865168539325</c:v>
                      </c:pt>
                      <c:pt idx="54" formatCode="General">
                        <c:v>-4.6469625468164795</c:v>
                      </c:pt>
                      <c:pt idx="55" formatCode="General">
                        <c:v>-4.6661385767790264</c:v>
                      </c:pt>
                      <c:pt idx="56" formatCode="General">
                        <c:v>-4.6853146067415734</c:v>
                      </c:pt>
                      <c:pt idx="57" formatCode="General">
                        <c:v>-4.7044906367041204</c:v>
                      </c:pt>
                      <c:pt idx="58" formatCode="General">
                        <c:v>-4.7236666666666665</c:v>
                      </c:pt>
                      <c:pt idx="59" formatCode="General">
                        <c:v>-4.7428426966292134</c:v>
                      </c:pt>
                      <c:pt idx="60" formatCode="General">
                        <c:v>-4.7620187265917604</c:v>
                      </c:pt>
                      <c:pt idx="61" formatCode="General">
                        <c:v>-4.7811947565543074</c:v>
                      </c:pt>
                      <c:pt idx="62" formatCode="General">
                        <c:v>-4.8003707865168543</c:v>
                      </c:pt>
                      <c:pt idx="63" formatCode="General">
                        <c:v>-4.8195468164794013</c:v>
                      </c:pt>
                      <c:pt idx="64" formatCode="General">
                        <c:v>-4.8387228464419483</c:v>
                      </c:pt>
                      <c:pt idx="65" formatCode="General">
                        <c:v>-4.8578988764044944</c:v>
                      </c:pt>
                      <c:pt idx="66" formatCode="General">
                        <c:v>-4.8768456928838955</c:v>
                      </c:pt>
                      <c:pt idx="67" formatCode="General">
                        <c:v>-4.8949430711610491</c:v>
                      </c:pt>
                      <c:pt idx="68" formatCode="General">
                        <c:v>-4.9130404494382027</c:v>
                      </c:pt>
                      <c:pt idx="69" formatCode="General">
                        <c:v>-4.9311378277153564</c:v>
                      </c:pt>
                      <c:pt idx="70" formatCode="General">
                        <c:v>-4.94923520599251</c:v>
                      </c:pt>
                      <c:pt idx="71" formatCode="General">
                        <c:v>-4.9673325842696627</c:v>
                      </c:pt>
                      <c:pt idx="72" formatCode="General">
                        <c:v>-4.9854299625468164</c:v>
                      </c:pt>
                      <c:pt idx="73" formatCode="General">
                        <c:v>-5.00352734082397</c:v>
                      </c:pt>
                      <c:pt idx="74" formatCode="General">
                        <c:v>-5.0216247191011236</c:v>
                      </c:pt>
                      <c:pt idx="75" formatCode="General">
                        <c:v>-5.0397220973782773</c:v>
                      </c:pt>
                      <c:pt idx="76" formatCode="General">
                        <c:v>-5.0578194756554309</c:v>
                      </c:pt>
                      <c:pt idx="77" formatCode="General">
                        <c:v>-5.0759168539325845</c:v>
                      </c:pt>
                      <c:pt idx="78" formatCode="General">
                        <c:v>-5.0940142322097381</c:v>
                      </c:pt>
                      <c:pt idx="79" formatCode="General">
                        <c:v>-5.1121116104868918</c:v>
                      </c:pt>
                      <c:pt idx="80" formatCode="General">
                        <c:v>-5.1302089887640445</c:v>
                      </c:pt>
                      <c:pt idx="81" formatCode="General">
                        <c:v>-5.1483063670411982</c:v>
                      </c:pt>
                      <c:pt idx="82" formatCode="General">
                        <c:v>-5.1664037453183518</c:v>
                      </c:pt>
                      <c:pt idx="83" formatCode="General">
                        <c:v>-5.1840538922155686</c:v>
                      </c:pt>
                      <c:pt idx="84" formatCode="General">
                        <c:v>-5.2012994011976046</c:v>
                      </c:pt>
                      <c:pt idx="85" formatCode="General">
                        <c:v>-5.2185449101796406</c:v>
                      </c:pt>
                      <c:pt idx="86" formatCode="General">
                        <c:v>-5.2357904191616766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1-27FC-4A9D-A437-1D0023828BE9}"/>
                  </c:ext>
                </c:extLst>
              </c15:ser>
            </c15:filteredScatterSeries>
            <c15:filteredScatterSeries>
              <c15:ser>
                <c:idx val="39"/>
                <c:order val="1"/>
                <c:spPr>
                  <a:ln w="19050" cap="rnd">
                    <a:solidFill>
                      <a:srgbClr val="FF0000"/>
                    </a:solidFill>
                    <a:prstDash val="sysDash"/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306</c:v>
                      </c:pt>
                      <c:pt idx="1">
                        <c:v>314</c:v>
                      </c:pt>
                      <c:pt idx="2">
                        <c:v>322</c:v>
                      </c:pt>
                      <c:pt idx="3">
                        <c:v>330</c:v>
                      </c:pt>
                      <c:pt idx="4">
                        <c:v>338</c:v>
                      </c:pt>
                      <c:pt idx="5">
                        <c:v>346</c:v>
                      </c:pt>
                      <c:pt idx="6">
                        <c:v>354</c:v>
                      </c:pt>
                      <c:pt idx="7">
                        <c:v>362</c:v>
                      </c:pt>
                      <c:pt idx="8">
                        <c:v>370</c:v>
                      </c:pt>
                      <c:pt idx="9">
                        <c:v>378</c:v>
                      </c:pt>
                      <c:pt idx="10">
                        <c:v>386</c:v>
                      </c:pt>
                      <c:pt idx="11">
                        <c:v>394</c:v>
                      </c:pt>
                      <c:pt idx="12">
                        <c:v>402</c:v>
                      </c:pt>
                      <c:pt idx="13">
                        <c:v>410</c:v>
                      </c:pt>
                      <c:pt idx="14">
                        <c:v>418</c:v>
                      </c:pt>
                      <c:pt idx="15">
                        <c:v>426</c:v>
                      </c:pt>
                      <c:pt idx="16">
                        <c:v>434</c:v>
                      </c:pt>
                      <c:pt idx="17">
                        <c:v>442</c:v>
                      </c:pt>
                      <c:pt idx="18">
                        <c:v>450</c:v>
                      </c:pt>
                      <c:pt idx="19">
                        <c:v>458</c:v>
                      </c:pt>
                      <c:pt idx="20">
                        <c:v>466</c:v>
                      </c:pt>
                      <c:pt idx="21">
                        <c:v>474</c:v>
                      </c:pt>
                      <c:pt idx="22">
                        <c:v>482</c:v>
                      </c:pt>
                      <c:pt idx="23">
                        <c:v>490</c:v>
                      </c:pt>
                      <c:pt idx="24">
                        <c:v>498</c:v>
                      </c:pt>
                      <c:pt idx="25">
                        <c:v>506</c:v>
                      </c:pt>
                      <c:pt idx="26">
                        <c:v>514</c:v>
                      </c:pt>
                      <c:pt idx="27">
                        <c:v>522</c:v>
                      </c:pt>
                      <c:pt idx="28">
                        <c:v>530</c:v>
                      </c:pt>
                      <c:pt idx="29">
                        <c:v>538</c:v>
                      </c:pt>
                      <c:pt idx="30">
                        <c:v>546</c:v>
                      </c:pt>
                      <c:pt idx="31">
                        <c:v>554</c:v>
                      </c:pt>
                      <c:pt idx="32">
                        <c:v>562</c:v>
                      </c:pt>
                      <c:pt idx="33">
                        <c:v>570</c:v>
                      </c:pt>
                      <c:pt idx="34">
                        <c:v>578</c:v>
                      </c:pt>
                      <c:pt idx="35">
                        <c:v>586</c:v>
                      </c:pt>
                      <c:pt idx="36">
                        <c:v>594</c:v>
                      </c:pt>
                      <c:pt idx="37">
                        <c:v>602</c:v>
                      </c:pt>
                      <c:pt idx="38">
                        <c:v>610</c:v>
                      </c:pt>
                      <c:pt idx="39">
                        <c:v>618</c:v>
                      </c:pt>
                      <c:pt idx="40">
                        <c:v>626</c:v>
                      </c:pt>
                      <c:pt idx="41">
                        <c:v>634</c:v>
                      </c:pt>
                      <c:pt idx="42">
                        <c:v>642</c:v>
                      </c:pt>
                      <c:pt idx="43">
                        <c:v>650</c:v>
                      </c:pt>
                      <c:pt idx="44">
                        <c:v>658</c:v>
                      </c:pt>
                      <c:pt idx="45">
                        <c:v>666</c:v>
                      </c:pt>
                      <c:pt idx="46">
                        <c:v>674</c:v>
                      </c:pt>
                      <c:pt idx="47">
                        <c:v>682</c:v>
                      </c:pt>
                      <c:pt idx="48">
                        <c:v>690</c:v>
                      </c:pt>
                      <c:pt idx="49">
                        <c:v>698</c:v>
                      </c:pt>
                      <c:pt idx="50">
                        <c:v>706</c:v>
                      </c:pt>
                      <c:pt idx="51">
                        <c:v>714</c:v>
                      </c:pt>
                      <c:pt idx="52">
                        <c:v>722</c:v>
                      </c:pt>
                      <c:pt idx="53">
                        <c:v>730</c:v>
                      </c:pt>
                      <c:pt idx="54">
                        <c:v>738</c:v>
                      </c:pt>
                      <c:pt idx="55">
                        <c:v>746</c:v>
                      </c:pt>
                      <c:pt idx="56">
                        <c:v>754</c:v>
                      </c:pt>
                      <c:pt idx="57">
                        <c:v>762</c:v>
                      </c:pt>
                      <c:pt idx="58">
                        <c:v>770</c:v>
                      </c:pt>
                      <c:pt idx="59">
                        <c:v>778</c:v>
                      </c:pt>
                      <c:pt idx="60">
                        <c:v>786</c:v>
                      </c:pt>
                      <c:pt idx="61">
                        <c:v>794</c:v>
                      </c:pt>
                      <c:pt idx="62">
                        <c:v>802</c:v>
                      </c:pt>
                      <c:pt idx="63">
                        <c:v>810</c:v>
                      </c:pt>
                      <c:pt idx="64">
                        <c:v>818</c:v>
                      </c:pt>
                      <c:pt idx="65">
                        <c:v>826</c:v>
                      </c:pt>
                      <c:pt idx="66">
                        <c:v>834</c:v>
                      </c:pt>
                      <c:pt idx="67">
                        <c:v>842</c:v>
                      </c:pt>
                      <c:pt idx="68">
                        <c:v>850</c:v>
                      </c:pt>
                      <c:pt idx="69">
                        <c:v>858</c:v>
                      </c:pt>
                      <c:pt idx="70">
                        <c:v>866</c:v>
                      </c:pt>
                      <c:pt idx="71">
                        <c:v>874</c:v>
                      </c:pt>
                      <c:pt idx="72">
                        <c:v>882</c:v>
                      </c:pt>
                      <c:pt idx="73">
                        <c:v>890</c:v>
                      </c:pt>
                      <c:pt idx="74">
                        <c:v>898</c:v>
                      </c:pt>
                      <c:pt idx="75">
                        <c:v>906</c:v>
                      </c:pt>
                      <c:pt idx="76">
                        <c:v>914</c:v>
                      </c:pt>
                      <c:pt idx="77">
                        <c:v>922</c:v>
                      </c:pt>
                      <c:pt idx="78">
                        <c:v>930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EVALUATION!$B$102:$CP$102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-15.118108108108107</c:v>
                      </c:pt>
                      <c:pt idx="1">
                        <c:v>-14.88027027027027</c:v>
                      </c:pt>
                      <c:pt idx="2">
                        <c:v>-14.642432432432432</c:v>
                      </c:pt>
                      <c:pt idx="3">
                        <c:v>-14.404594594594593</c:v>
                      </c:pt>
                      <c:pt idx="4" formatCode="General">
                        <c:v>-13.959101796407184</c:v>
                      </c:pt>
                      <c:pt idx="5" formatCode="General">
                        <c:v>-13.46568862275449</c:v>
                      </c:pt>
                      <c:pt idx="6" formatCode="General">
                        <c:v>-12.972275449101796</c:v>
                      </c:pt>
                      <c:pt idx="7" formatCode="General">
                        <c:v>-12.478862275449101</c:v>
                      </c:pt>
                      <c:pt idx="8" formatCode="General">
                        <c:v>-11.950329341317365</c:v>
                      </c:pt>
                      <c:pt idx="9" formatCode="General">
                        <c:v>-11.40182634730539</c:v>
                      </c:pt>
                      <c:pt idx="10" formatCode="General">
                        <c:v>-10.853323353293414</c:v>
                      </c:pt>
                      <c:pt idx="11" formatCode="General">
                        <c:v>-10.304820359281438</c:v>
                      </c:pt>
                      <c:pt idx="12" formatCode="General">
                        <c:v>-9.7896616766467073</c:v>
                      </c:pt>
                      <c:pt idx="13" formatCode="General">
                        <c:v>-9.3132544910179647</c:v>
                      </c:pt>
                      <c:pt idx="14" formatCode="General">
                        <c:v>-8.836847305389222</c:v>
                      </c:pt>
                      <c:pt idx="15" formatCode="General">
                        <c:v>-8.3604401197604794</c:v>
                      </c:pt>
                      <c:pt idx="16" formatCode="General">
                        <c:v>-7.9011107784431145</c:v>
                      </c:pt>
                      <c:pt idx="17" formatCode="General">
                        <c:v>-7.4841047904191624</c:v>
                      </c:pt>
                      <c:pt idx="18" formatCode="General">
                        <c:v>-7.0670988023952104</c:v>
                      </c:pt>
                      <c:pt idx="19" formatCode="General">
                        <c:v>-6.6500928143712592</c:v>
                      </c:pt>
                      <c:pt idx="20" formatCode="General">
                        <c:v>-6.2383952095808395</c:v>
                      </c:pt>
                      <c:pt idx="21" formatCode="General">
                        <c:v>-5.8685748502994022</c:v>
                      </c:pt>
                      <c:pt idx="22" formatCode="General">
                        <c:v>-5.4987544910179649</c:v>
                      </c:pt>
                      <c:pt idx="23" formatCode="General">
                        <c:v>-5.1289341317365267</c:v>
                      </c:pt>
                      <c:pt idx="24" formatCode="General">
                        <c:v>-4.7591137724550894</c:v>
                      </c:pt>
                      <c:pt idx="25" formatCode="General">
                        <c:v>-4.6019909909909904</c:v>
                      </c:pt>
                      <c:pt idx="26" formatCode="General">
                        <c:v>-4.4590480480480474</c:v>
                      </c:pt>
                      <c:pt idx="27" formatCode="General">
                        <c:v>-4.3161051051051045</c:v>
                      </c:pt>
                      <c:pt idx="28" formatCode="General">
                        <c:v>-4.1731621621621615</c:v>
                      </c:pt>
                      <c:pt idx="29" formatCode="General">
                        <c:v>-4.1562215568862273</c:v>
                      </c:pt>
                      <c:pt idx="30" formatCode="General">
                        <c:v>-4.1758622754491022</c:v>
                      </c:pt>
                      <c:pt idx="31" formatCode="General">
                        <c:v>-4.1955029940119761</c:v>
                      </c:pt>
                      <c:pt idx="32" formatCode="General">
                        <c:v>-4.2151437125748501</c:v>
                      </c:pt>
                      <c:pt idx="33" formatCode="General">
                        <c:v>-4.2348562874251492</c:v>
                      </c:pt>
                      <c:pt idx="34" formatCode="General">
                        <c:v>-4.2546167664670653</c:v>
                      </c:pt>
                      <c:pt idx="35" formatCode="General">
                        <c:v>-4.2743772455089815</c:v>
                      </c:pt>
                      <c:pt idx="36" formatCode="General">
                        <c:v>-4.2941377245508976</c:v>
                      </c:pt>
                      <c:pt idx="37" formatCode="General">
                        <c:v>-4.3138982035928146</c:v>
                      </c:pt>
                      <c:pt idx="38" formatCode="General">
                        <c:v>-4.3336586826347308</c:v>
                      </c:pt>
                      <c:pt idx="39" formatCode="General">
                        <c:v>-4.3534191616766469</c:v>
                      </c:pt>
                      <c:pt idx="40" formatCode="General">
                        <c:v>-4.373179640718563</c:v>
                      </c:pt>
                      <c:pt idx="41" formatCode="General">
                        <c:v>-4.3929401197604792</c:v>
                      </c:pt>
                      <c:pt idx="42" formatCode="General">
                        <c:v>-4.4127005988023953</c:v>
                      </c:pt>
                      <c:pt idx="43" formatCode="General">
                        <c:v>-4.4324610778443114</c:v>
                      </c:pt>
                      <c:pt idx="44" formatCode="General">
                        <c:v>-4.4522215568862276</c:v>
                      </c:pt>
                      <c:pt idx="45" formatCode="General">
                        <c:v>-4.4719820359281437</c:v>
                      </c:pt>
                      <c:pt idx="46" formatCode="General">
                        <c:v>-4.4917425149700598</c:v>
                      </c:pt>
                      <c:pt idx="47" formatCode="General">
                        <c:v>-4.511502994011976</c:v>
                      </c:pt>
                      <c:pt idx="48" formatCode="General">
                        <c:v>-4.5312634730538921</c:v>
                      </c:pt>
                      <c:pt idx="49" formatCode="General">
                        <c:v>-4.5510239520958082</c:v>
                      </c:pt>
                      <c:pt idx="50" formatCode="General">
                        <c:v>-4.5702584269662925</c:v>
                      </c:pt>
                      <c:pt idx="51" formatCode="General">
                        <c:v>-4.5894344569288394</c:v>
                      </c:pt>
                      <c:pt idx="52" formatCode="General">
                        <c:v>-4.6086104868913855</c:v>
                      </c:pt>
                      <c:pt idx="53" formatCode="General">
                        <c:v>-4.6277865168539325</c:v>
                      </c:pt>
                      <c:pt idx="54" formatCode="General">
                        <c:v>-4.6469625468164795</c:v>
                      </c:pt>
                      <c:pt idx="55" formatCode="General">
                        <c:v>-4.6661385767790264</c:v>
                      </c:pt>
                      <c:pt idx="56" formatCode="General">
                        <c:v>-4.6853146067415734</c:v>
                      </c:pt>
                      <c:pt idx="57" formatCode="General">
                        <c:v>-4.7044906367041204</c:v>
                      </c:pt>
                      <c:pt idx="58" formatCode="General">
                        <c:v>-4.7236666666666665</c:v>
                      </c:pt>
                      <c:pt idx="59" formatCode="General">
                        <c:v>-4.7428426966292134</c:v>
                      </c:pt>
                      <c:pt idx="60" formatCode="General">
                        <c:v>-4.7620187265917604</c:v>
                      </c:pt>
                      <c:pt idx="61" formatCode="General">
                        <c:v>-4.7811947565543074</c:v>
                      </c:pt>
                      <c:pt idx="62" formatCode="General">
                        <c:v>-4.8003707865168543</c:v>
                      </c:pt>
                      <c:pt idx="63" formatCode="General">
                        <c:v>-4.8195468164794013</c:v>
                      </c:pt>
                      <c:pt idx="64" formatCode="General">
                        <c:v>-4.8387228464419483</c:v>
                      </c:pt>
                      <c:pt idx="65" formatCode="General">
                        <c:v>-4.8578988764044944</c:v>
                      </c:pt>
                      <c:pt idx="66" formatCode="General">
                        <c:v>-4.8768456928838955</c:v>
                      </c:pt>
                      <c:pt idx="67" formatCode="General">
                        <c:v>-4.8949430711610491</c:v>
                      </c:pt>
                      <c:pt idx="68" formatCode="General">
                        <c:v>-4.9130404494382027</c:v>
                      </c:pt>
                      <c:pt idx="69" formatCode="General">
                        <c:v>-4.9311378277153564</c:v>
                      </c:pt>
                      <c:pt idx="70" formatCode="General">
                        <c:v>-4.94923520599251</c:v>
                      </c:pt>
                      <c:pt idx="71" formatCode="General">
                        <c:v>-4.9673325842696627</c:v>
                      </c:pt>
                      <c:pt idx="72" formatCode="General">
                        <c:v>-4.9854299625468164</c:v>
                      </c:pt>
                      <c:pt idx="73" formatCode="General">
                        <c:v>-5.00352734082397</c:v>
                      </c:pt>
                      <c:pt idx="74" formatCode="General">
                        <c:v>-5.0216247191011236</c:v>
                      </c:pt>
                      <c:pt idx="75" formatCode="General">
                        <c:v>-5.0397220973782773</c:v>
                      </c:pt>
                      <c:pt idx="76" formatCode="General">
                        <c:v>-5.0578194756554309</c:v>
                      </c:pt>
                      <c:pt idx="77" formatCode="General">
                        <c:v>-5.0759168539325845</c:v>
                      </c:pt>
                      <c:pt idx="78" formatCode="General">
                        <c:v>-5.0940142322097381</c:v>
                      </c:pt>
                      <c:pt idx="79" formatCode="General">
                        <c:v>-5.1121116104868918</c:v>
                      </c:pt>
                      <c:pt idx="80" formatCode="General">
                        <c:v>-5.1302089887640445</c:v>
                      </c:pt>
                      <c:pt idx="81" formatCode="General">
                        <c:v>-5.1483063670411982</c:v>
                      </c:pt>
                      <c:pt idx="82" formatCode="General">
                        <c:v>-5.1664037453183518</c:v>
                      </c:pt>
                      <c:pt idx="83" formatCode="General">
                        <c:v>-5.1840538922155686</c:v>
                      </c:pt>
                      <c:pt idx="84" formatCode="General">
                        <c:v>-5.2012994011976046</c:v>
                      </c:pt>
                      <c:pt idx="85" formatCode="General">
                        <c:v>-5.2185449101796406</c:v>
                      </c:pt>
                      <c:pt idx="86" formatCode="General">
                        <c:v>-5.2357904191616766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2-27FC-4A9D-A437-1D0023828BE9}"/>
                  </c:ext>
                </c:extLst>
              </c15:ser>
            </c15:filteredScatterSeries>
            <c15:filteredScatterSeries>
              <c15:ser>
                <c:idx val="54"/>
                <c:order val="2"/>
                <c:spPr>
                  <a:ln w="19050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none"/>
                </c:marker>
                <c:dPt>
                  <c:idx val="1"/>
                  <c:bubble3D val="0"/>
                  <c:spPr>
                    <a:ln w="19050" cap="rnd">
                      <a:solidFill>
                        <a:schemeClr val="tx1"/>
                      </a:solidFill>
                      <a:round/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04-27FC-4A9D-A437-1D0023828BE9}"/>
                    </c:ext>
                  </c:extLst>
                </c:dPt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306</c:v>
                      </c:pt>
                      <c:pt idx="1">
                        <c:v>314</c:v>
                      </c:pt>
                      <c:pt idx="2">
                        <c:v>322</c:v>
                      </c:pt>
                      <c:pt idx="3">
                        <c:v>330</c:v>
                      </c:pt>
                      <c:pt idx="4">
                        <c:v>338</c:v>
                      </c:pt>
                      <c:pt idx="5">
                        <c:v>346</c:v>
                      </c:pt>
                      <c:pt idx="6">
                        <c:v>354</c:v>
                      </c:pt>
                      <c:pt idx="7">
                        <c:v>362</c:v>
                      </c:pt>
                      <c:pt idx="8">
                        <c:v>370</c:v>
                      </c:pt>
                      <c:pt idx="9">
                        <c:v>378</c:v>
                      </c:pt>
                      <c:pt idx="10">
                        <c:v>386</c:v>
                      </c:pt>
                      <c:pt idx="11">
                        <c:v>394</c:v>
                      </c:pt>
                      <c:pt idx="12">
                        <c:v>402</c:v>
                      </c:pt>
                      <c:pt idx="13">
                        <c:v>410</c:v>
                      </c:pt>
                      <c:pt idx="14">
                        <c:v>418</c:v>
                      </c:pt>
                      <c:pt idx="15">
                        <c:v>426</c:v>
                      </c:pt>
                      <c:pt idx="16">
                        <c:v>434</c:v>
                      </c:pt>
                      <c:pt idx="17">
                        <c:v>442</c:v>
                      </c:pt>
                      <c:pt idx="18">
                        <c:v>450</c:v>
                      </c:pt>
                      <c:pt idx="19">
                        <c:v>458</c:v>
                      </c:pt>
                      <c:pt idx="20">
                        <c:v>466</c:v>
                      </c:pt>
                      <c:pt idx="21">
                        <c:v>474</c:v>
                      </c:pt>
                      <c:pt idx="22">
                        <c:v>482</c:v>
                      </c:pt>
                      <c:pt idx="23">
                        <c:v>490</c:v>
                      </c:pt>
                      <c:pt idx="24">
                        <c:v>498</c:v>
                      </c:pt>
                      <c:pt idx="25">
                        <c:v>506</c:v>
                      </c:pt>
                      <c:pt idx="26">
                        <c:v>514</c:v>
                      </c:pt>
                      <c:pt idx="27">
                        <c:v>522</c:v>
                      </c:pt>
                      <c:pt idx="28">
                        <c:v>530</c:v>
                      </c:pt>
                      <c:pt idx="29">
                        <c:v>538</c:v>
                      </c:pt>
                      <c:pt idx="30">
                        <c:v>546</c:v>
                      </c:pt>
                      <c:pt idx="31">
                        <c:v>554</c:v>
                      </c:pt>
                      <c:pt idx="32">
                        <c:v>562</c:v>
                      </c:pt>
                      <c:pt idx="33">
                        <c:v>570</c:v>
                      </c:pt>
                      <c:pt idx="34">
                        <c:v>578</c:v>
                      </c:pt>
                      <c:pt idx="35">
                        <c:v>586</c:v>
                      </c:pt>
                      <c:pt idx="36">
                        <c:v>594</c:v>
                      </c:pt>
                      <c:pt idx="37">
                        <c:v>602</c:v>
                      </c:pt>
                      <c:pt idx="38">
                        <c:v>610</c:v>
                      </c:pt>
                      <c:pt idx="39">
                        <c:v>618</c:v>
                      </c:pt>
                      <c:pt idx="40">
                        <c:v>626</c:v>
                      </c:pt>
                      <c:pt idx="41">
                        <c:v>634</c:v>
                      </c:pt>
                      <c:pt idx="42">
                        <c:v>642</c:v>
                      </c:pt>
                      <c:pt idx="43">
                        <c:v>650</c:v>
                      </c:pt>
                      <c:pt idx="44">
                        <c:v>658</c:v>
                      </c:pt>
                      <c:pt idx="45">
                        <c:v>666</c:v>
                      </c:pt>
                      <c:pt idx="46">
                        <c:v>674</c:v>
                      </c:pt>
                      <c:pt idx="47">
                        <c:v>682</c:v>
                      </c:pt>
                      <c:pt idx="48">
                        <c:v>690</c:v>
                      </c:pt>
                      <c:pt idx="49">
                        <c:v>698</c:v>
                      </c:pt>
                      <c:pt idx="50">
                        <c:v>706</c:v>
                      </c:pt>
                      <c:pt idx="51">
                        <c:v>714</c:v>
                      </c:pt>
                      <c:pt idx="52">
                        <c:v>722</c:v>
                      </c:pt>
                      <c:pt idx="53">
                        <c:v>730</c:v>
                      </c:pt>
                      <c:pt idx="54">
                        <c:v>738</c:v>
                      </c:pt>
                      <c:pt idx="55">
                        <c:v>746</c:v>
                      </c:pt>
                      <c:pt idx="56">
                        <c:v>754</c:v>
                      </c:pt>
                      <c:pt idx="57">
                        <c:v>762</c:v>
                      </c:pt>
                      <c:pt idx="58">
                        <c:v>770</c:v>
                      </c:pt>
                      <c:pt idx="59">
                        <c:v>778</c:v>
                      </c:pt>
                      <c:pt idx="60">
                        <c:v>786</c:v>
                      </c:pt>
                      <c:pt idx="61">
                        <c:v>794</c:v>
                      </c:pt>
                      <c:pt idx="62">
                        <c:v>802</c:v>
                      </c:pt>
                      <c:pt idx="63">
                        <c:v>810</c:v>
                      </c:pt>
                      <c:pt idx="64">
                        <c:v>818</c:v>
                      </c:pt>
                      <c:pt idx="65">
                        <c:v>826</c:v>
                      </c:pt>
                      <c:pt idx="66">
                        <c:v>834</c:v>
                      </c:pt>
                      <c:pt idx="67">
                        <c:v>842</c:v>
                      </c:pt>
                      <c:pt idx="68">
                        <c:v>850</c:v>
                      </c:pt>
                      <c:pt idx="69">
                        <c:v>858</c:v>
                      </c:pt>
                      <c:pt idx="70">
                        <c:v>866</c:v>
                      </c:pt>
                      <c:pt idx="71">
                        <c:v>874</c:v>
                      </c:pt>
                      <c:pt idx="72">
                        <c:v>882</c:v>
                      </c:pt>
                      <c:pt idx="73">
                        <c:v>890</c:v>
                      </c:pt>
                      <c:pt idx="74">
                        <c:v>898</c:v>
                      </c:pt>
                      <c:pt idx="75">
                        <c:v>906</c:v>
                      </c:pt>
                      <c:pt idx="76">
                        <c:v>914</c:v>
                      </c:pt>
                      <c:pt idx="77">
                        <c:v>922</c:v>
                      </c:pt>
                      <c:pt idx="78">
                        <c:v>930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EVALUATION!$B$103:$CP$103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-36.591171171171169</c:v>
                      </c:pt>
                      <c:pt idx="1">
                        <c:v>-35.925705705705703</c:v>
                      </c:pt>
                      <c:pt idx="2">
                        <c:v>-35.260240240240236</c:v>
                      </c:pt>
                      <c:pt idx="3">
                        <c:v>-34.594774774774777</c:v>
                      </c:pt>
                      <c:pt idx="4" formatCode="General">
                        <c:v>-34.041856287425148</c:v>
                      </c:pt>
                      <c:pt idx="5" formatCode="General">
                        <c:v>-33.514910179640715</c:v>
                      </c:pt>
                      <c:pt idx="6" formatCode="General">
                        <c:v>-32.987964071856283</c:v>
                      </c:pt>
                      <c:pt idx="7" formatCode="General">
                        <c:v>-32.46101796407185</c:v>
                      </c:pt>
                      <c:pt idx="8" formatCode="General">
                        <c:v>-31.996676646706582</c:v>
                      </c:pt>
                      <c:pt idx="9" formatCode="General">
                        <c:v>-31.567934131736521</c:v>
                      </c:pt>
                      <c:pt idx="10" formatCode="General">
                        <c:v>-31.139191616766464</c:v>
                      </c:pt>
                      <c:pt idx="11" formatCode="General">
                        <c:v>-30.710449101796403</c:v>
                      </c:pt>
                      <c:pt idx="12" formatCode="General">
                        <c:v>-30.316158682634729</c:v>
                      </c:pt>
                      <c:pt idx="13" formatCode="General">
                        <c:v>-29.961907185628743</c:v>
                      </c:pt>
                      <c:pt idx="14" formatCode="General">
                        <c:v>-29.607655688622753</c:v>
                      </c:pt>
                      <c:pt idx="15" formatCode="General">
                        <c:v>-29.253404191616767</c:v>
                      </c:pt>
                      <c:pt idx="16" formatCode="General">
                        <c:v>-28.916230538922157</c:v>
                      </c:pt>
                      <c:pt idx="17" formatCode="General">
                        <c:v>-28.62138023952096</c:v>
                      </c:pt>
                      <c:pt idx="18" formatCode="General">
                        <c:v>-28.326529940119762</c:v>
                      </c:pt>
                      <c:pt idx="19" formatCode="General">
                        <c:v>-28.031679640718565</c:v>
                      </c:pt>
                      <c:pt idx="20" formatCode="General">
                        <c:v>-27.742407185628743</c:v>
                      </c:pt>
                      <c:pt idx="21" formatCode="General">
                        <c:v>-27.4971377245509</c:v>
                      </c:pt>
                      <c:pt idx="22" formatCode="General">
                        <c:v>-27.251868263473057</c:v>
                      </c:pt>
                      <c:pt idx="23" formatCode="General">
                        <c:v>-27.00659880239521</c:v>
                      </c:pt>
                      <c:pt idx="24" formatCode="General">
                        <c:v>-26.761329341317367</c:v>
                      </c:pt>
                      <c:pt idx="25" formatCode="General">
                        <c:v>-26.724603603603605</c:v>
                      </c:pt>
                      <c:pt idx="26" formatCode="General">
                        <c:v>-26.701780780780783</c:v>
                      </c:pt>
                      <c:pt idx="27" formatCode="General">
                        <c:v>-26.678957957957962</c:v>
                      </c:pt>
                      <c:pt idx="28" formatCode="General">
                        <c:v>-26.656135135135138</c:v>
                      </c:pt>
                      <c:pt idx="29" formatCode="General">
                        <c:v>-26.760892215568866</c:v>
                      </c:pt>
                      <c:pt idx="30" formatCode="General">
                        <c:v>-26.902688622754493</c:v>
                      </c:pt>
                      <c:pt idx="31" formatCode="General">
                        <c:v>-27.04448502994012</c:v>
                      </c:pt>
                      <c:pt idx="32" formatCode="General">
                        <c:v>-27.186281437125746</c:v>
                      </c:pt>
                      <c:pt idx="33" formatCode="General">
                        <c:v>-27.324556886227544</c:v>
                      </c:pt>
                      <c:pt idx="34" formatCode="General">
                        <c:v>-27.460485029940116</c:v>
                      </c:pt>
                      <c:pt idx="35" formatCode="General">
                        <c:v>-27.596413173652692</c:v>
                      </c:pt>
                      <c:pt idx="36" formatCode="General">
                        <c:v>-27.732341317365268</c:v>
                      </c:pt>
                      <c:pt idx="37" formatCode="General">
                        <c:v>-27.868269461077844</c:v>
                      </c:pt>
                      <c:pt idx="38" formatCode="General">
                        <c:v>-28.00419760479042</c:v>
                      </c:pt>
                      <c:pt idx="39" formatCode="General">
                        <c:v>-28.140125748502992</c:v>
                      </c:pt>
                      <c:pt idx="40" formatCode="General">
                        <c:v>-28.276053892215568</c:v>
                      </c:pt>
                      <c:pt idx="41" formatCode="General">
                        <c:v>-28.411982035928144</c:v>
                      </c:pt>
                      <c:pt idx="42" formatCode="General">
                        <c:v>-28.54791017964072</c:v>
                      </c:pt>
                      <c:pt idx="43" formatCode="General">
                        <c:v>-28.683838323353296</c:v>
                      </c:pt>
                      <c:pt idx="44" formatCode="General">
                        <c:v>-28.819766467065868</c:v>
                      </c:pt>
                      <c:pt idx="45" formatCode="General">
                        <c:v>-28.955694610778444</c:v>
                      </c:pt>
                      <c:pt idx="46" formatCode="General">
                        <c:v>-29.09162275449102</c:v>
                      </c:pt>
                      <c:pt idx="47" formatCode="General">
                        <c:v>-29.227550898203596</c:v>
                      </c:pt>
                      <c:pt idx="48" formatCode="General">
                        <c:v>-29.363479041916172</c:v>
                      </c:pt>
                      <c:pt idx="49" formatCode="General">
                        <c:v>-29.499407185628744</c:v>
                      </c:pt>
                      <c:pt idx="50" formatCode="General">
                        <c:v>-29.627876404494383</c:v>
                      </c:pt>
                      <c:pt idx="51" formatCode="General">
                        <c:v>-29.755516853932587</c:v>
                      </c:pt>
                      <c:pt idx="52" formatCode="General">
                        <c:v>-29.88315730337079</c:v>
                      </c:pt>
                      <c:pt idx="53" formatCode="General">
                        <c:v>-30.01079775280899</c:v>
                      </c:pt>
                      <c:pt idx="54" formatCode="General">
                        <c:v>-30.138438202247194</c:v>
                      </c:pt>
                      <c:pt idx="55" formatCode="General">
                        <c:v>-30.266078651685394</c:v>
                      </c:pt>
                      <c:pt idx="56" formatCode="General">
                        <c:v>-30.393719101123597</c:v>
                      </c:pt>
                      <c:pt idx="57" formatCode="General">
                        <c:v>-30.521359550561801</c:v>
                      </c:pt>
                      <c:pt idx="58" formatCode="General">
                        <c:v>-30.649000000000001</c:v>
                      </c:pt>
                      <c:pt idx="59" formatCode="General">
                        <c:v>-30.776640449438204</c:v>
                      </c:pt>
                      <c:pt idx="60" formatCode="General">
                        <c:v>-30.904280898876408</c:v>
                      </c:pt>
                      <c:pt idx="61" formatCode="General">
                        <c:v>-31.031921348314608</c:v>
                      </c:pt>
                      <c:pt idx="62" formatCode="General">
                        <c:v>-31.159561797752811</c:v>
                      </c:pt>
                      <c:pt idx="63" formatCode="General">
                        <c:v>-31.287202247191011</c:v>
                      </c:pt>
                      <c:pt idx="64" formatCode="General">
                        <c:v>-31.414842696629215</c:v>
                      </c:pt>
                      <c:pt idx="65" formatCode="General">
                        <c:v>-31.542483146067418</c:v>
                      </c:pt>
                      <c:pt idx="66" formatCode="General">
                        <c:v>-31.668748314606741</c:v>
                      </c:pt>
                      <c:pt idx="67" formatCode="General">
                        <c:v>-31.789916853932585</c:v>
                      </c:pt>
                      <c:pt idx="68" formatCode="General">
                        <c:v>-31.911085393258428</c:v>
                      </c:pt>
                      <c:pt idx="69" formatCode="General">
                        <c:v>-32.032253932584268</c:v>
                      </c:pt>
                      <c:pt idx="70" formatCode="General">
                        <c:v>-32.153422471910112</c:v>
                      </c:pt>
                      <c:pt idx="71" formatCode="General">
                        <c:v>-32.274591011235955</c:v>
                      </c:pt>
                      <c:pt idx="72" formatCode="General">
                        <c:v>-32.395759550561799</c:v>
                      </c:pt>
                      <c:pt idx="73" formatCode="General">
                        <c:v>-32.516928089887642</c:v>
                      </c:pt>
                      <c:pt idx="74" formatCode="General">
                        <c:v>-32.638096629213486</c:v>
                      </c:pt>
                      <c:pt idx="75" formatCode="General">
                        <c:v>-32.759265168539329</c:v>
                      </c:pt>
                      <c:pt idx="76" formatCode="General">
                        <c:v>-32.880433707865166</c:v>
                      </c:pt>
                      <c:pt idx="77" formatCode="General">
                        <c:v>-33.001602247191009</c:v>
                      </c:pt>
                      <c:pt idx="78" formatCode="General">
                        <c:v>-33.122770786516853</c:v>
                      </c:pt>
                      <c:pt idx="79" formatCode="General">
                        <c:v>-33.243939325842696</c:v>
                      </c:pt>
                      <c:pt idx="80" formatCode="General">
                        <c:v>-33.36510786516854</c:v>
                      </c:pt>
                      <c:pt idx="81" formatCode="General">
                        <c:v>-33.486276404494383</c:v>
                      </c:pt>
                      <c:pt idx="82" formatCode="General">
                        <c:v>-33.607444943820227</c:v>
                      </c:pt>
                      <c:pt idx="83" formatCode="General">
                        <c:v>-33.725610778443112</c:v>
                      </c:pt>
                      <c:pt idx="84" formatCode="General">
                        <c:v>-33.84105988023952</c:v>
                      </c:pt>
                      <c:pt idx="85" formatCode="General">
                        <c:v>-33.956508982035928</c:v>
                      </c:pt>
                      <c:pt idx="86" formatCode="General">
                        <c:v>-34.071958083832335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5-27FC-4A9D-A437-1D0023828BE9}"/>
                  </c:ext>
                </c:extLst>
              </c15:ser>
            </c15:filteredScatterSeries>
            <c15:filteredScatterSeries>
              <c15:ser>
                <c:idx val="1"/>
                <c:order val="3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306</c:v>
                      </c:pt>
                      <c:pt idx="1">
                        <c:v>314</c:v>
                      </c:pt>
                      <c:pt idx="2">
                        <c:v>322</c:v>
                      </c:pt>
                      <c:pt idx="3">
                        <c:v>330</c:v>
                      </c:pt>
                      <c:pt idx="4">
                        <c:v>338</c:v>
                      </c:pt>
                      <c:pt idx="5">
                        <c:v>346</c:v>
                      </c:pt>
                      <c:pt idx="6">
                        <c:v>354</c:v>
                      </c:pt>
                      <c:pt idx="7">
                        <c:v>362</c:v>
                      </c:pt>
                      <c:pt idx="8">
                        <c:v>370</c:v>
                      </c:pt>
                      <c:pt idx="9">
                        <c:v>378</c:v>
                      </c:pt>
                      <c:pt idx="10">
                        <c:v>386</c:v>
                      </c:pt>
                      <c:pt idx="11">
                        <c:v>394</c:v>
                      </c:pt>
                      <c:pt idx="12">
                        <c:v>402</c:v>
                      </c:pt>
                      <c:pt idx="13">
                        <c:v>410</c:v>
                      </c:pt>
                      <c:pt idx="14">
                        <c:v>418</c:v>
                      </c:pt>
                      <c:pt idx="15">
                        <c:v>426</c:v>
                      </c:pt>
                      <c:pt idx="16">
                        <c:v>434</c:v>
                      </c:pt>
                      <c:pt idx="17">
                        <c:v>442</c:v>
                      </c:pt>
                      <c:pt idx="18">
                        <c:v>450</c:v>
                      </c:pt>
                      <c:pt idx="19">
                        <c:v>458</c:v>
                      </c:pt>
                      <c:pt idx="20">
                        <c:v>466</c:v>
                      </c:pt>
                      <c:pt idx="21">
                        <c:v>474</c:v>
                      </c:pt>
                      <c:pt idx="22">
                        <c:v>482</c:v>
                      </c:pt>
                      <c:pt idx="23">
                        <c:v>490</c:v>
                      </c:pt>
                      <c:pt idx="24">
                        <c:v>498</c:v>
                      </c:pt>
                      <c:pt idx="25">
                        <c:v>506</c:v>
                      </c:pt>
                      <c:pt idx="26">
                        <c:v>514</c:v>
                      </c:pt>
                      <c:pt idx="27">
                        <c:v>522</c:v>
                      </c:pt>
                      <c:pt idx="28">
                        <c:v>530</c:v>
                      </c:pt>
                      <c:pt idx="29">
                        <c:v>538</c:v>
                      </c:pt>
                      <c:pt idx="30">
                        <c:v>546</c:v>
                      </c:pt>
                      <c:pt idx="31">
                        <c:v>554</c:v>
                      </c:pt>
                      <c:pt idx="32">
                        <c:v>562</c:v>
                      </c:pt>
                      <c:pt idx="33">
                        <c:v>570</c:v>
                      </c:pt>
                      <c:pt idx="34">
                        <c:v>578</c:v>
                      </c:pt>
                      <c:pt idx="35">
                        <c:v>586</c:v>
                      </c:pt>
                      <c:pt idx="36">
                        <c:v>594</c:v>
                      </c:pt>
                      <c:pt idx="37">
                        <c:v>602</c:v>
                      </c:pt>
                      <c:pt idx="38">
                        <c:v>610</c:v>
                      </c:pt>
                      <c:pt idx="39">
                        <c:v>618</c:v>
                      </c:pt>
                      <c:pt idx="40">
                        <c:v>626</c:v>
                      </c:pt>
                      <c:pt idx="41">
                        <c:v>634</c:v>
                      </c:pt>
                      <c:pt idx="42">
                        <c:v>642</c:v>
                      </c:pt>
                      <c:pt idx="43">
                        <c:v>650</c:v>
                      </c:pt>
                      <c:pt idx="44">
                        <c:v>658</c:v>
                      </c:pt>
                      <c:pt idx="45">
                        <c:v>666</c:v>
                      </c:pt>
                      <c:pt idx="46">
                        <c:v>674</c:v>
                      </c:pt>
                      <c:pt idx="47">
                        <c:v>682</c:v>
                      </c:pt>
                      <c:pt idx="48">
                        <c:v>690</c:v>
                      </c:pt>
                      <c:pt idx="49">
                        <c:v>698</c:v>
                      </c:pt>
                      <c:pt idx="50">
                        <c:v>706</c:v>
                      </c:pt>
                      <c:pt idx="51">
                        <c:v>714</c:v>
                      </c:pt>
                      <c:pt idx="52">
                        <c:v>722</c:v>
                      </c:pt>
                      <c:pt idx="53">
                        <c:v>730</c:v>
                      </c:pt>
                      <c:pt idx="54">
                        <c:v>738</c:v>
                      </c:pt>
                      <c:pt idx="55">
                        <c:v>746</c:v>
                      </c:pt>
                      <c:pt idx="56">
                        <c:v>754</c:v>
                      </c:pt>
                      <c:pt idx="57">
                        <c:v>762</c:v>
                      </c:pt>
                      <c:pt idx="58">
                        <c:v>770</c:v>
                      </c:pt>
                      <c:pt idx="59">
                        <c:v>778</c:v>
                      </c:pt>
                      <c:pt idx="60">
                        <c:v>786</c:v>
                      </c:pt>
                      <c:pt idx="61">
                        <c:v>794</c:v>
                      </c:pt>
                      <c:pt idx="62">
                        <c:v>802</c:v>
                      </c:pt>
                      <c:pt idx="63">
                        <c:v>810</c:v>
                      </c:pt>
                      <c:pt idx="64">
                        <c:v>818</c:v>
                      </c:pt>
                      <c:pt idx="65">
                        <c:v>826</c:v>
                      </c:pt>
                      <c:pt idx="66">
                        <c:v>834</c:v>
                      </c:pt>
                      <c:pt idx="67">
                        <c:v>842</c:v>
                      </c:pt>
                      <c:pt idx="68">
                        <c:v>850</c:v>
                      </c:pt>
                      <c:pt idx="69">
                        <c:v>858</c:v>
                      </c:pt>
                      <c:pt idx="70">
                        <c:v>866</c:v>
                      </c:pt>
                      <c:pt idx="71">
                        <c:v>874</c:v>
                      </c:pt>
                      <c:pt idx="72">
                        <c:v>882</c:v>
                      </c:pt>
                      <c:pt idx="73">
                        <c:v>890</c:v>
                      </c:pt>
                      <c:pt idx="74">
                        <c:v>898</c:v>
                      </c:pt>
                      <c:pt idx="75">
                        <c:v>906</c:v>
                      </c:pt>
                      <c:pt idx="76">
                        <c:v>914</c:v>
                      </c:pt>
                      <c:pt idx="77">
                        <c:v>922</c:v>
                      </c:pt>
                      <c:pt idx="78">
                        <c:v>930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EVALUATION!$B$104:$CP$104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-59.678288288288286</c:v>
                      </c:pt>
                      <c:pt idx="1">
                        <c:v>-58.332942942942942</c:v>
                      </c:pt>
                      <c:pt idx="2">
                        <c:v>-56.987597597597599</c:v>
                      </c:pt>
                      <c:pt idx="3">
                        <c:v>-55.642252252252256</c:v>
                      </c:pt>
                      <c:pt idx="4" formatCode="General">
                        <c:v>-54.130868263473054</c:v>
                      </c:pt>
                      <c:pt idx="5" formatCode="General">
                        <c:v>-52.581167664670659</c:v>
                      </c:pt>
                      <c:pt idx="6" formatCode="General">
                        <c:v>-51.031467065868263</c:v>
                      </c:pt>
                      <c:pt idx="7" formatCode="General">
                        <c:v>-49.481766467065867</c:v>
                      </c:pt>
                      <c:pt idx="8" formatCode="General">
                        <c:v>-47.964131736526944</c:v>
                      </c:pt>
                      <c:pt idx="9" formatCode="General">
                        <c:v>-46.464730538922154</c:v>
                      </c:pt>
                      <c:pt idx="10" formatCode="General">
                        <c:v>-44.965329341317364</c:v>
                      </c:pt>
                      <c:pt idx="11" formatCode="General">
                        <c:v>-43.465928143712574</c:v>
                      </c:pt>
                      <c:pt idx="12" formatCode="General">
                        <c:v>-42.064011976047901</c:v>
                      </c:pt>
                      <c:pt idx="13" formatCode="General">
                        <c:v>-40.775389221556885</c:v>
                      </c:pt>
                      <c:pt idx="14" formatCode="General">
                        <c:v>-39.48676646706587</c:v>
                      </c:pt>
                      <c:pt idx="15" formatCode="General">
                        <c:v>-38.198143712574847</c:v>
                      </c:pt>
                      <c:pt idx="16" formatCode="General">
                        <c:v>-36.957724550898206</c:v>
                      </c:pt>
                      <c:pt idx="17" formatCode="General">
                        <c:v>-35.836766467065871</c:v>
                      </c:pt>
                      <c:pt idx="18" formatCode="General">
                        <c:v>-34.715808383233536</c:v>
                      </c:pt>
                      <c:pt idx="19" formatCode="General">
                        <c:v>-33.594850299401202</c:v>
                      </c:pt>
                      <c:pt idx="20" formatCode="General">
                        <c:v>-32.488982035928146</c:v>
                      </c:pt>
                      <c:pt idx="21" formatCode="General">
                        <c:v>-31.502155688622757</c:v>
                      </c:pt>
                      <c:pt idx="22" formatCode="General">
                        <c:v>-30.515329341317369</c:v>
                      </c:pt>
                      <c:pt idx="23" formatCode="General">
                        <c:v>-29.528502994011976</c:v>
                      </c:pt>
                      <c:pt idx="24" formatCode="General">
                        <c:v>-28.541676646706588</c:v>
                      </c:pt>
                      <c:pt idx="25" formatCode="General">
                        <c:v>-27.788558558558559</c:v>
                      </c:pt>
                      <c:pt idx="26" formatCode="General">
                        <c:v>-27.051021021021018</c:v>
                      </c:pt>
                      <c:pt idx="27" formatCode="General">
                        <c:v>-26.313483483483481</c:v>
                      </c:pt>
                      <c:pt idx="28" formatCode="General">
                        <c:v>-25.575945945945943</c:v>
                      </c:pt>
                      <c:pt idx="29" formatCode="General">
                        <c:v>-25.655029940119761</c:v>
                      </c:pt>
                      <c:pt idx="30" formatCode="General">
                        <c:v>-25.971197604790419</c:v>
                      </c:pt>
                      <c:pt idx="31" formatCode="General">
                        <c:v>-26.287365269461077</c:v>
                      </c:pt>
                      <c:pt idx="32" formatCode="General">
                        <c:v>-26.603532934131735</c:v>
                      </c:pt>
                      <c:pt idx="33" formatCode="General">
                        <c:v>-26.911437125748503</c:v>
                      </c:pt>
                      <c:pt idx="34" formatCode="General">
                        <c:v>-27.213832335329339</c:v>
                      </c:pt>
                      <c:pt idx="35" formatCode="General">
                        <c:v>-27.51622754491018</c:v>
                      </c:pt>
                      <c:pt idx="36" formatCode="General">
                        <c:v>-27.818622754491017</c:v>
                      </c:pt>
                      <c:pt idx="37" formatCode="General">
                        <c:v>-28.121017964071857</c:v>
                      </c:pt>
                      <c:pt idx="38" formatCode="General">
                        <c:v>-28.423413173652694</c:v>
                      </c:pt>
                      <c:pt idx="39" formatCode="General">
                        <c:v>-28.725808383233534</c:v>
                      </c:pt>
                      <c:pt idx="40" formatCode="General">
                        <c:v>-29.028203592814371</c:v>
                      </c:pt>
                      <c:pt idx="41" formatCode="General">
                        <c:v>-29.330598802395212</c:v>
                      </c:pt>
                      <c:pt idx="42" formatCode="General">
                        <c:v>-29.632994011976049</c:v>
                      </c:pt>
                      <c:pt idx="43" formatCode="General">
                        <c:v>-29.935389221556889</c:v>
                      </c:pt>
                      <c:pt idx="44" formatCode="General">
                        <c:v>-30.237784431137726</c:v>
                      </c:pt>
                      <c:pt idx="45" formatCode="General">
                        <c:v>-30.540179640718566</c:v>
                      </c:pt>
                      <c:pt idx="46" formatCode="General">
                        <c:v>-30.842574850299403</c:v>
                      </c:pt>
                      <c:pt idx="47" formatCode="General">
                        <c:v>-31.144970059880244</c:v>
                      </c:pt>
                      <c:pt idx="48" formatCode="General">
                        <c:v>-31.447365269461081</c:v>
                      </c:pt>
                      <c:pt idx="49" formatCode="General">
                        <c:v>-31.749760479041917</c:v>
                      </c:pt>
                      <c:pt idx="50" formatCode="General">
                        <c:v>-32.022696629213485</c:v>
                      </c:pt>
                      <c:pt idx="51" formatCode="General">
                        <c:v>-32.292359550561798</c:v>
                      </c:pt>
                      <c:pt idx="52" formatCode="General">
                        <c:v>-32.562022471910112</c:v>
                      </c:pt>
                      <c:pt idx="53" formatCode="General">
                        <c:v>-32.831685393258432</c:v>
                      </c:pt>
                      <c:pt idx="54" formatCode="General">
                        <c:v>-33.101348314606746</c:v>
                      </c:pt>
                      <c:pt idx="55" formatCode="General">
                        <c:v>-33.371011235955059</c:v>
                      </c:pt>
                      <c:pt idx="56" formatCode="General">
                        <c:v>-33.640674157303373</c:v>
                      </c:pt>
                      <c:pt idx="57" formatCode="General">
                        <c:v>-33.910337078651686</c:v>
                      </c:pt>
                      <c:pt idx="58" formatCode="General">
                        <c:v>-34.18</c:v>
                      </c:pt>
                      <c:pt idx="59" formatCode="General">
                        <c:v>-34.44966292134832</c:v>
                      </c:pt>
                      <c:pt idx="60" formatCode="General">
                        <c:v>-34.719325842696634</c:v>
                      </c:pt>
                      <c:pt idx="61" formatCode="General">
                        <c:v>-34.988988764044947</c:v>
                      </c:pt>
                      <c:pt idx="62" formatCode="General">
                        <c:v>-35.258651685393261</c:v>
                      </c:pt>
                      <c:pt idx="63" formatCode="General">
                        <c:v>-35.528314606741574</c:v>
                      </c:pt>
                      <c:pt idx="64" formatCode="General">
                        <c:v>-35.797977528089888</c:v>
                      </c:pt>
                      <c:pt idx="65" formatCode="General">
                        <c:v>-36.067640449438201</c:v>
                      </c:pt>
                      <c:pt idx="66" formatCode="General">
                        <c:v>-36.328007490636708</c:v>
                      </c:pt>
                      <c:pt idx="67" formatCode="General">
                        <c:v>-36.553925093632962</c:v>
                      </c:pt>
                      <c:pt idx="68" formatCode="General">
                        <c:v>-36.779842696629217</c:v>
                      </c:pt>
                      <c:pt idx="69" formatCode="General">
                        <c:v>-37.005760299625472</c:v>
                      </c:pt>
                      <c:pt idx="70" formatCode="General">
                        <c:v>-37.231677902621726</c:v>
                      </c:pt>
                      <c:pt idx="71" formatCode="General">
                        <c:v>-37.457595505617981</c:v>
                      </c:pt>
                      <c:pt idx="72" formatCode="General">
                        <c:v>-37.683513108614235</c:v>
                      </c:pt>
                      <c:pt idx="73" formatCode="General">
                        <c:v>-37.90943071161049</c:v>
                      </c:pt>
                      <c:pt idx="74" formatCode="General">
                        <c:v>-38.135348314606745</c:v>
                      </c:pt>
                      <c:pt idx="75" formatCode="General">
                        <c:v>-38.361265917602999</c:v>
                      </c:pt>
                      <c:pt idx="76" formatCode="General">
                        <c:v>-38.587183520599254</c:v>
                      </c:pt>
                      <c:pt idx="77" formatCode="General">
                        <c:v>-38.813101123595509</c:v>
                      </c:pt>
                      <c:pt idx="78" formatCode="General">
                        <c:v>-39.039018726591763</c:v>
                      </c:pt>
                      <c:pt idx="79" formatCode="General">
                        <c:v>-39.264936329588011</c:v>
                      </c:pt>
                      <c:pt idx="80" formatCode="General">
                        <c:v>-39.490853932584265</c:v>
                      </c:pt>
                      <c:pt idx="81" formatCode="General">
                        <c:v>-39.71677153558052</c:v>
                      </c:pt>
                      <c:pt idx="82" formatCode="General">
                        <c:v>-39.942689138576775</c:v>
                      </c:pt>
                      <c:pt idx="83" formatCode="General">
                        <c:v>-40.151856287425147</c:v>
                      </c:pt>
                      <c:pt idx="84" formatCode="General">
                        <c:v>-40.345868263473051</c:v>
                      </c:pt>
                      <c:pt idx="85" formatCode="General">
                        <c:v>-40.539880239520954</c:v>
                      </c:pt>
                      <c:pt idx="86" formatCode="General">
                        <c:v>-40.733892215568858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6-27FC-4A9D-A437-1D0023828BE9}"/>
                  </c:ext>
                </c:extLst>
              </c15:ser>
            </c15:filteredScatterSeries>
            <c15:filteredScatterSeries>
              <c15:ser>
                <c:idx val="2"/>
                <c:order val="4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306</c:v>
                      </c:pt>
                      <c:pt idx="1">
                        <c:v>314</c:v>
                      </c:pt>
                      <c:pt idx="2">
                        <c:v>322</c:v>
                      </c:pt>
                      <c:pt idx="3">
                        <c:v>330</c:v>
                      </c:pt>
                      <c:pt idx="4">
                        <c:v>338</c:v>
                      </c:pt>
                      <c:pt idx="5">
                        <c:v>346</c:v>
                      </c:pt>
                      <c:pt idx="6">
                        <c:v>354</c:v>
                      </c:pt>
                      <c:pt idx="7">
                        <c:v>362</c:v>
                      </c:pt>
                      <c:pt idx="8">
                        <c:v>370</c:v>
                      </c:pt>
                      <c:pt idx="9">
                        <c:v>378</c:v>
                      </c:pt>
                      <c:pt idx="10">
                        <c:v>386</c:v>
                      </c:pt>
                      <c:pt idx="11">
                        <c:v>394</c:v>
                      </c:pt>
                      <c:pt idx="12">
                        <c:v>402</c:v>
                      </c:pt>
                      <c:pt idx="13">
                        <c:v>410</c:v>
                      </c:pt>
                      <c:pt idx="14">
                        <c:v>418</c:v>
                      </c:pt>
                      <c:pt idx="15">
                        <c:v>426</c:v>
                      </c:pt>
                      <c:pt idx="16">
                        <c:v>434</c:v>
                      </c:pt>
                      <c:pt idx="17">
                        <c:v>442</c:v>
                      </c:pt>
                      <c:pt idx="18">
                        <c:v>450</c:v>
                      </c:pt>
                      <c:pt idx="19">
                        <c:v>458</c:v>
                      </c:pt>
                      <c:pt idx="20">
                        <c:v>466</c:v>
                      </c:pt>
                      <c:pt idx="21">
                        <c:v>474</c:v>
                      </c:pt>
                      <c:pt idx="22">
                        <c:v>482</c:v>
                      </c:pt>
                      <c:pt idx="23">
                        <c:v>490</c:v>
                      </c:pt>
                      <c:pt idx="24">
                        <c:v>498</c:v>
                      </c:pt>
                      <c:pt idx="25">
                        <c:v>506</c:v>
                      </c:pt>
                      <c:pt idx="26">
                        <c:v>514</c:v>
                      </c:pt>
                      <c:pt idx="27">
                        <c:v>522</c:v>
                      </c:pt>
                      <c:pt idx="28">
                        <c:v>530</c:v>
                      </c:pt>
                      <c:pt idx="29">
                        <c:v>538</c:v>
                      </c:pt>
                      <c:pt idx="30">
                        <c:v>546</c:v>
                      </c:pt>
                      <c:pt idx="31">
                        <c:v>554</c:v>
                      </c:pt>
                      <c:pt idx="32">
                        <c:v>562</c:v>
                      </c:pt>
                      <c:pt idx="33">
                        <c:v>570</c:v>
                      </c:pt>
                      <c:pt idx="34">
                        <c:v>578</c:v>
                      </c:pt>
                      <c:pt idx="35">
                        <c:v>586</c:v>
                      </c:pt>
                      <c:pt idx="36">
                        <c:v>594</c:v>
                      </c:pt>
                      <c:pt idx="37">
                        <c:v>602</c:v>
                      </c:pt>
                      <c:pt idx="38">
                        <c:v>610</c:v>
                      </c:pt>
                      <c:pt idx="39">
                        <c:v>618</c:v>
                      </c:pt>
                      <c:pt idx="40">
                        <c:v>626</c:v>
                      </c:pt>
                      <c:pt idx="41">
                        <c:v>634</c:v>
                      </c:pt>
                      <c:pt idx="42">
                        <c:v>642</c:v>
                      </c:pt>
                      <c:pt idx="43">
                        <c:v>650</c:v>
                      </c:pt>
                      <c:pt idx="44">
                        <c:v>658</c:v>
                      </c:pt>
                      <c:pt idx="45">
                        <c:v>666</c:v>
                      </c:pt>
                      <c:pt idx="46">
                        <c:v>674</c:v>
                      </c:pt>
                      <c:pt idx="47">
                        <c:v>682</c:v>
                      </c:pt>
                      <c:pt idx="48">
                        <c:v>690</c:v>
                      </c:pt>
                      <c:pt idx="49">
                        <c:v>698</c:v>
                      </c:pt>
                      <c:pt idx="50">
                        <c:v>706</c:v>
                      </c:pt>
                      <c:pt idx="51">
                        <c:v>714</c:v>
                      </c:pt>
                      <c:pt idx="52">
                        <c:v>722</c:v>
                      </c:pt>
                      <c:pt idx="53">
                        <c:v>730</c:v>
                      </c:pt>
                      <c:pt idx="54">
                        <c:v>738</c:v>
                      </c:pt>
                      <c:pt idx="55">
                        <c:v>746</c:v>
                      </c:pt>
                      <c:pt idx="56">
                        <c:v>754</c:v>
                      </c:pt>
                      <c:pt idx="57">
                        <c:v>762</c:v>
                      </c:pt>
                      <c:pt idx="58">
                        <c:v>770</c:v>
                      </c:pt>
                      <c:pt idx="59">
                        <c:v>778</c:v>
                      </c:pt>
                      <c:pt idx="60">
                        <c:v>786</c:v>
                      </c:pt>
                      <c:pt idx="61">
                        <c:v>794</c:v>
                      </c:pt>
                      <c:pt idx="62">
                        <c:v>802</c:v>
                      </c:pt>
                      <c:pt idx="63">
                        <c:v>810</c:v>
                      </c:pt>
                      <c:pt idx="64">
                        <c:v>818</c:v>
                      </c:pt>
                      <c:pt idx="65">
                        <c:v>826</c:v>
                      </c:pt>
                      <c:pt idx="66">
                        <c:v>834</c:v>
                      </c:pt>
                      <c:pt idx="67">
                        <c:v>842</c:v>
                      </c:pt>
                      <c:pt idx="68">
                        <c:v>850</c:v>
                      </c:pt>
                      <c:pt idx="69">
                        <c:v>858</c:v>
                      </c:pt>
                      <c:pt idx="70">
                        <c:v>866</c:v>
                      </c:pt>
                      <c:pt idx="71">
                        <c:v>874</c:v>
                      </c:pt>
                      <c:pt idx="72">
                        <c:v>882</c:v>
                      </c:pt>
                      <c:pt idx="73">
                        <c:v>890</c:v>
                      </c:pt>
                      <c:pt idx="74">
                        <c:v>898</c:v>
                      </c:pt>
                      <c:pt idx="75">
                        <c:v>906</c:v>
                      </c:pt>
                      <c:pt idx="76">
                        <c:v>914</c:v>
                      </c:pt>
                      <c:pt idx="77">
                        <c:v>922</c:v>
                      </c:pt>
                      <c:pt idx="78">
                        <c:v>930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EVALUATION!$B$105:$CP$105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-15.118108108108107</c:v>
                      </c:pt>
                      <c:pt idx="1">
                        <c:v>-14.88027027027027</c:v>
                      </c:pt>
                      <c:pt idx="2">
                        <c:v>-14.642432432432432</c:v>
                      </c:pt>
                      <c:pt idx="3">
                        <c:v>-14.404594594594593</c:v>
                      </c:pt>
                      <c:pt idx="4" formatCode="General">
                        <c:v>-13.959101796407184</c:v>
                      </c:pt>
                      <c:pt idx="5" formatCode="General">
                        <c:v>-13.46568862275449</c:v>
                      </c:pt>
                      <c:pt idx="6" formatCode="General">
                        <c:v>-12.972275449101796</c:v>
                      </c:pt>
                      <c:pt idx="7" formatCode="General">
                        <c:v>-12.478862275449101</c:v>
                      </c:pt>
                      <c:pt idx="8" formatCode="General">
                        <c:v>-11.950329341317365</c:v>
                      </c:pt>
                      <c:pt idx="9" formatCode="General">
                        <c:v>-11.40182634730539</c:v>
                      </c:pt>
                      <c:pt idx="10" formatCode="General">
                        <c:v>-10.853323353293414</c:v>
                      </c:pt>
                      <c:pt idx="11" formatCode="General">
                        <c:v>-10.304820359281438</c:v>
                      </c:pt>
                      <c:pt idx="12" formatCode="General">
                        <c:v>-9.7896616766467073</c:v>
                      </c:pt>
                      <c:pt idx="13" formatCode="General">
                        <c:v>-9.3132544910179647</c:v>
                      </c:pt>
                      <c:pt idx="14" formatCode="General">
                        <c:v>-8.836847305389222</c:v>
                      </c:pt>
                      <c:pt idx="15" formatCode="General">
                        <c:v>-8.3604401197604794</c:v>
                      </c:pt>
                      <c:pt idx="16" formatCode="General">
                        <c:v>-7.9011107784431145</c:v>
                      </c:pt>
                      <c:pt idx="17" formatCode="General">
                        <c:v>-7.4841047904191624</c:v>
                      </c:pt>
                      <c:pt idx="18" formatCode="General">
                        <c:v>-7.0670988023952104</c:v>
                      </c:pt>
                      <c:pt idx="19" formatCode="General">
                        <c:v>-6.6500928143712592</c:v>
                      </c:pt>
                      <c:pt idx="20" formatCode="General">
                        <c:v>-6.2383952095808395</c:v>
                      </c:pt>
                      <c:pt idx="21" formatCode="General">
                        <c:v>-5.8685748502994022</c:v>
                      </c:pt>
                      <c:pt idx="22" formatCode="General">
                        <c:v>-5.4987544910179649</c:v>
                      </c:pt>
                      <c:pt idx="23" formatCode="General">
                        <c:v>-5.1289341317365267</c:v>
                      </c:pt>
                      <c:pt idx="24" formatCode="General">
                        <c:v>-4.7591137724550894</c:v>
                      </c:pt>
                      <c:pt idx="25" formatCode="General">
                        <c:v>-4.6019909909909904</c:v>
                      </c:pt>
                      <c:pt idx="26" formatCode="General">
                        <c:v>-4.4590480480480474</c:v>
                      </c:pt>
                      <c:pt idx="27" formatCode="General">
                        <c:v>-4.3161051051051045</c:v>
                      </c:pt>
                      <c:pt idx="28" formatCode="General">
                        <c:v>-4.1731621621621615</c:v>
                      </c:pt>
                      <c:pt idx="29" formatCode="General">
                        <c:v>-4.1562215568862273</c:v>
                      </c:pt>
                      <c:pt idx="30" formatCode="General">
                        <c:v>-4.1758622754491022</c:v>
                      </c:pt>
                      <c:pt idx="31" formatCode="General">
                        <c:v>-4.1955029940119761</c:v>
                      </c:pt>
                      <c:pt idx="32" formatCode="General">
                        <c:v>-4.2151437125748501</c:v>
                      </c:pt>
                      <c:pt idx="33" formatCode="General">
                        <c:v>-4.2348562874251492</c:v>
                      </c:pt>
                      <c:pt idx="34" formatCode="General">
                        <c:v>-4.2546167664670653</c:v>
                      </c:pt>
                      <c:pt idx="35" formatCode="General">
                        <c:v>-4.2743772455089815</c:v>
                      </c:pt>
                      <c:pt idx="36" formatCode="General">
                        <c:v>-4.2941377245508976</c:v>
                      </c:pt>
                      <c:pt idx="37" formatCode="General">
                        <c:v>-4.3138982035928146</c:v>
                      </c:pt>
                      <c:pt idx="38" formatCode="General">
                        <c:v>-4.3336586826347308</c:v>
                      </c:pt>
                      <c:pt idx="39" formatCode="General">
                        <c:v>-4.3534191616766469</c:v>
                      </c:pt>
                      <c:pt idx="40" formatCode="General">
                        <c:v>-4.373179640718563</c:v>
                      </c:pt>
                      <c:pt idx="41" formatCode="General">
                        <c:v>-4.3929401197604792</c:v>
                      </c:pt>
                      <c:pt idx="42" formatCode="General">
                        <c:v>-4.4127005988023953</c:v>
                      </c:pt>
                      <c:pt idx="43" formatCode="General">
                        <c:v>-4.4324610778443114</c:v>
                      </c:pt>
                      <c:pt idx="44" formatCode="General">
                        <c:v>-4.4522215568862276</c:v>
                      </c:pt>
                      <c:pt idx="45" formatCode="General">
                        <c:v>-4.4719820359281437</c:v>
                      </c:pt>
                      <c:pt idx="46" formatCode="General">
                        <c:v>-4.4917425149700598</c:v>
                      </c:pt>
                      <c:pt idx="47" formatCode="General">
                        <c:v>-4.511502994011976</c:v>
                      </c:pt>
                      <c:pt idx="48" formatCode="General">
                        <c:v>-4.5312634730538921</c:v>
                      </c:pt>
                      <c:pt idx="49" formatCode="General">
                        <c:v>-4.5510239520958082</c:v>
                      </c:pt>
                      <c:pt idx="50" formatCode="General">
                        <c:v>-4.5702584269662925</c:v>
                      </c:pt>
                      <c:pt idx="51" formatCode="General">
                        <c:v>-4.5894344569288394</c:v>
                      </c:pt>
                      <c:pt idx="52" formatCode="General">
                        <c:v>-4.6086104868913855</c:v>
                      </c:pt>
                      <c:pt idx="53" formatCode="General">
                        <c:v>-4.6277865168539325</c:v>
                      </c:pt>
                      <c:pt idx="54" formatCode="General">
                        <c:v>-4.6469625468164795</c:v>
                      </c:pt>
                      <c:pt idx="55" formatCode="General">
                        <c:v>-4.6661385767790264</c:v>
                      </c:pt>
                      <c:pt idx="56" formatCode="General">
                        <c:v>-4.6853146067415734</c:v>
                      </c:pt>
                      <c:pt idx="57" formatCode="General">
                        <c:v>-4.7044906367041204</c:v>
                      </c:pt>
                      <c:pt idx="58" formatCode="General">
                        <c:v>-4.7236666666666665</c:v>
                      </c:pt>
                      <c:pt idx="59" formatCode="General">
                        <c:v>-4.7428426966292134</c:v>
                      </c:pt>
                      <c:pt idx="60" formatCode="General">
                        <c:v>-4.7620187265917604</c:v>
                      </c:pt>
                      <c:pt idx="61" formatCode="General">
                        <c:v>-4.7811947565543074</c:v>
                      </c:pt>
                      <c:pt idx="62" formatCode="General">
                        <c:v>-4.8003707865168543</c:v>
                      </c:pt>
                      <c:pt idx="63" formatCode="General">
                        <c:v>-4.8195468164794013</c:v>
                      </c:pt>
                      <c:pt idx="64" formatCode="General">
                        <c:v>-4.8387228464419483</c:v>
                      </c:pt>
                      <c:pt idx="65" formatCode="General">
                        <c:v>-4.8578988764044944</c:v>
                      </c:pt>
                      <c:pt idx="66" formatCode="General">
                        <c:v>-4.8768456928838955</c:v>
                      </c:pt>
                      <c:pt idx="67" formatCode="General">
                        <c:v>-4.8949430711610491</c:v>
                      </c:pt>
                      <c:pt idx="68" formatCode="General">
                        <c:v>-4.9130404494382027</c:v>
                      </c:pt>
                      <c:pt idx="69" formatCode="General">
                        <c:v>-4.9311378277153564</c:v>
                      </c:pt>
                      <c:pt idx="70" formatCode="General">
                        <c:v>-4.94923520599251</c:v>
                      </c:pt>
                      <c:pt idx="71" formatCode="General">
                        <c:v>-4.9673325842696627</c:v>
                      </c:pt>
                      <c:pt idx="72" formatCode="General">
                        <c:v>-4.9854299625468164</c:v>
                      </c:pt>
                      <c:pt idx="73" formatCode="General">
                        <c:v>-5.00352734082397</c:v>
                      </c:pt>
                      <c:pt idx="74" formatCode="General">
                        <c:v>-5.0216247191011236</c:v>
                      </c:pt>
                      <c:pt idx="75" formatCode="General">
                        <c:v>-5.0397220973782773</c:v>
                      </c:pt>
                      <c:pt idx="76" formatCode="General">
                        <c:v>-5.0578194756554309</c:v>
                      </c:pt>
                      <c:pt idx="77" formatCode="General">
                        <c:v>-5.0759168539325845</c:v>
                      </c:pt>
                      <c:pt idx="78" formatCode="General">
                        <c:v>-5.0940142322097381</c:v>
                      </c:pt>
                      <c:pt idx="79" formatCode="General">
                        <c:v>-5.1121116104868918</c:v>
                      </c:pt>
                      <c:pt idx="80" formatCode="General">
                        <c:v>-5.1302089887640445</c:v>
                      </c:pt>
                      <c:pt idx="81" formatCode="General">
                        <c:v>-5.1483063670411982</c:v>
                      </c:pt>
                      <c:pt idx="82" formatCode="General">
                        <c:v>-5.1664037453183518</c:v>
                      </c:pt>
                      <c:pt idx="83" formatCode="General">
                        <c:v>-5.1840538922155686</c:v>
                      </c:pt>
                      <c:pt idx="84" formatCode="General">
                        <c:v>-5.2012994011976046</c:v>
                      </c:pt>
                      <c:pt idx="85" formatCode="General">
                        <c:v>-5.2185449101796406</c:v>
                      </c:pt>
                      <c:pt idx="86" formatCode="General">
                        <c:v>-5.2357904191616766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27FC-4A9D-A437-1D0023828BE9}"/>
                  </c:ext>
                </c:extLst>
              </c15:ser>
            </c15:filteredScatterSeries>
            <c15:filteredScatterSeries>
              <c15:ser>
                <c:idx val="3"/>
                <c:order val="5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306</c:v>
                      </c:pt>
                      <c:pt idx="1">
                        <c:v>314</c:v>
                      </c:pt>
                      <c:pt idx="2">
                        <c:v>322</c:v>
                      </c:pt>
                      <c:pt idx="3">
                        <c:v>330</c:v>
                      </c:pt>
                      <c:pt idx="4">
                        <c:v>338</c:v>
                      </c:pt>
                      <c:pt idx="5">
                        <c:v>346</c:v>
                      </c:pt>
                      <c:pt idx="6">
                        <c:v>354</c:v>
                      </c:pt>
                      <c:pt idx="7">
                        <c:v>362</c:v>
                      </c:pt>
                      <c:pt idx="8">
                        <c:v>370</c:v>
                      </c:pt>
                      <c:pt idx="9">
                        <c:v>378</c:v>
                      </c:pt>
                      <c:pt idx="10">
                        <c:v>386</c:v>
                      </c:pt>
                      <c:pt idx="11">
                        <c:v>394</c:v>
                      </c:pt>
                      <c:pt idx="12">
                        <c:v>402</c:v>
                      </c:pt>
                      <c:pt idx="13">
                        <c:v>410</c:v>
                      </c:pt>
                      <c:pt idx="14">
                        <c:v>418</c:v>
                      </c:pt>
                      <c:pt idx="15">
                        <c:v>426</c:v>
                      </c:pt>
                      <c:pt idx="16">
                        <c:v>434</c:v>
                      </c:pt>
                      <c:pt idx="17">
                        <c:v>442</c:v>
                      </c:pt>
                      <c:pt idx="18">
                        <c:v>450</c:v>
                      </c:pt>
                      <c:pt idx="19">
                        <c:v>458</c:v>
                      </c:pt>
                      <c:pt idx="20">
                        <c:v>466</c:v>
                      </c:pt>
                      <c:pt idx="21">
                        <c:v>474</c:v>
                      </c:pt>
                      <c:pt idx="22">
                        <c:v>482</c:v>
                      </c:pt>
                      <c:pt idx="23">
                        <c:v>490</c:v>
                      </c:pt>
                      <c:pt idx="24">
                        <c:v>498</c:v>
                      </c:pt>
                      <c:pt idx="25">
                        <c:v>506</c:v>
                      </c:pt>
                      <c:pt idx="26">
                        <c:v>514</c:v>
                      </c:pt>
                      <c:pt idx="27">
                        <c:v>522</c:v>
                      </c:pt>
                      <c:pt idx="28">
                        <c:v>530</c:v>
                      </c:pt>
                      <c:pt idx="29">
                        <c:v>538</c:v>
                      </c:pt>
                      <c:pt idx="30">
                        <c:v>546</c:v>
                      </c:pt>
                      <c:pt idx="31">
                        <c:v>554</c:v>
                      </c:pt>
                      <c:pt idx="32">
                        <c:v>562</c:v>
                      </c:pt>
                      <c:pt idx="33">
                        <c:v>570</c:v>
                      </c:pt>
                      <c:pt idx="34">
                        <c:v>578</c:v>
                      </c:pt>
                      <c:pt idx="35">
                        <c:v>586</c:v>
                      </c:pt>
                      <c:pt idx="36">
                        <c:v>594</c:v>
                      </c:pt>
                      <c:pt idx="37">
                        <c:v>602</c:v>
                      </c:pt>
                      <c:pt idx="38">
                        <c:v>610</c:v>
                      </c:pt>
                      <c:pt idx="39">
                        <c:v>618</c:v>
                      </c:pt>
                      <c:pt idx="40">
                        <c:v>626</c:v>
                      </c:pt>
                      <c:pt idx="41">
                        <c:v>634</c:v>
                      </c:pt>
                      <c:pt idx="42">
                        <c:v>642</c:v>
                      </c:pt>
                      <c:pt idx="43">
                        <c:v>650</c:v>
                      </c:pt>
                      <c:pt idx="44">
                        <c:v>658</c:v>
                      </c:pt>
                      <c:pt idx="45">
                        <c:v>666</c:v>
                      </c:pt>
                      <c:pt idx="46">
                        <c:v>674</c:v>
                      </c:pt>
                      <c:pt idx="47">
                        <c:v>682</c:v>
                      </c:pt>
                      <c:pt idx="48">
                        <c:v>690</c:v>
                      </c:pt>
                      <c:pt idx="49">
                        <c:v>698</c:v>
                      </c:pt>
                      <c:pt idx="50">
                        <c:v>706</c:v>
                      </c:pt>
                      <c:pt idx="51">
                        <c:v>714</c:v>
                      </c:pt>
                      <c:pt idx="52">
                        <c:v>722</c:v>
                      </c:pt>
                      <c:pt idx="53">
                        <c:v>730</c:v>
                      </c:pt>
                      <c:pt idx="54">
                        <c:v>738</c:v>
                      </c:pt>
                      <c:pt idx="55">
                        <c:v>746</c:v>
                      </c:pt>
                      <c:pt idx="56">
                        <c:v>754</c:v>
                      </c:pt>
                      <c:pt idx="57">
                        <c:v>762</c:v>
                      </c:pt>
                      <c:pt idx="58">
                        <c:v>770</c:v>
                      </c:pt>
                      <c:pt idx="59">
                        <c:v>778</c:v>
                      </c:pt>
                      <c:pt idx="60">
                        <c:v>786</c:v>
                      </c:pt>
                      <c:pt idx="61">
                        <c:v>794</c:v>
                      </c:pt>
                      <c:pt idx="62">
                        <c:v>802</c:v>
                      </c:pt>
                      <c:pt idx="63">
                        <c:v>810</c:v>
                      </c:pt>
                      <c:pt idx="64">
                        <c:v>818</c:v>
                      </c:pt>
                      <c:pt idx="65">
                        <c:v>826</c:v>
                      </c:pt>
                      <c:pt idx="66">
                        <c:v>834</c:v>
                      </c:pt>
                      <c:pt idx="67">
                        <c:v>842</c:v>
                      </c:pt>
                      <c:pt idx="68">
                        <c:v>850</c:v>
                      </c:pt>
                      <c:pt idx="69">
                        <c:v>858</c:v>
                      </c:pt>
                      <c:pt idx="70">
                        <c:v>866</c:v>
                      </c:pt>
                      <c:pt idx="71">
                        <c:v>874</c:v>
                      </c:pt>
                      <c:pt idx="72">
                        <c:v>882</c:v>
                      </c:pt>
                      <c:pt idx="73">
                        <c:v>890</c:v>
                      </c:pt>
                      <c:pt idx="74">
                        <c:v>898</c:v>
                      </c:pt>
                      <c:pt idx="75">
                        <c:v>906</c:v>
                      </c:pt>
                      <c:pt idx="76">
                        <c:v>914</c:v>
                      </c:pt>
                      <c:pt idx="77">
                        <c:v>922</c:v>
                      </c:pt>
                      <c:pt idx="78">
                        <c:v>930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EVALUATION!$B$106:$CP$106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-21.473063063063062</c:v>
                      </c:pt>
                      <c:pt idx="1">
                        <c:v>-21.045435435435436</c:v>
                      </c:pt>
                      <c:pt idx="2">
                        <c:v>-20.617807807807807</c:v>
                      </c:pt>
                      <c:pt idx="3">
                        <c:v>-20.190180180180178</c:v>
                      </c:pt>
                      <c:pt idx="4" formatCode="General">
                        <c:v>-20.082754491017962</c:v>
                      </c:pt>
                      <c:pt idx="5" formatCode="General">
                        <c:v>-20.049221556886227</c:v>
                      </c:pt>
                      <c:pt idx="6" formatCode="General">
                        <c:v>-20.015688622754489</c:v>
                      </c:pt>
                      <c:pt idx="7" formatCode="General">
                        <c:v>-19.982155688622754</c:v>
                      </c:pt>
                      <c:pt idx="8" formatCode="General">
                        <c:v>-20.046347305389222</c:v>
                      </c:pt>
                      <c:pt idx="9" formatCode="General">
                        <c:v>-20.166107784431137</c:v>
                      </c:pt>
                      <c:pt idx="10" formatCode="General">
                        <c:v>-20.285868263473052</c:v>
                      </c:pt>
                      <c:pt idx="11" formatCode="General">
                        <c:v>-20.40562874251497</c:v>
                      </c:pt>
                      <c:pt idx="12" formatCode="General">
                        <c:v>-20.526497005988023</c:v>
                      </c:pt>
                      <c:pt idx="13" formatCode="General">
                        <c:v>-20.648652694610778</c:v>
                      </c:pt>
                      <c:pt idx="14" formatCode="General">
                        <c:v>-20.770808383233533</c:v>
                      </c:pt>
                      <c:pt idx="15" formatCode="General">
                        <c:v>-20.892964071856287</c:v>
                      </c:pt>
                      <c:pt idx="16" formatCode="General">
                        <c:v>-21.015119760479042</c:v>
                      </c:pt>
                      <c:pt idx="17" formatCode="General">
                        <c:v>-21.137275449101796</c:v>
                      </c:pt>
                      <c:pt idx="18" formatCode="General">
                        <c:v>-21.259431137724551</c:v>
                      </c:pt>
                      <c:pt idx="19" formatCode="General">
                        <c:v>-21.381586826347306</c:v>
                      </c:pt>
                      <c:pt idx="20" formatCode="General">
                        <c:v>-21.504011976047902</c:v>
                      </c:pt>
                      <c:pt idx="21" formatCode="General">
                        <c:v>-21.628562874251497</c:v>
                      </c:pt>
                      <c:pt idx="22" formatCode="General">
                        <c:v>-21.753113772455091</c:v>
                      </c:pt>
                      <c:pt idx="23" formatCode="General">
                        <c:v>-21.877664670658682</c:v>
                      </c:pt>
                      <c:pt idx="24" formatCode="General">
                        <c:v>-22.002215568862276</c:v>
                      </c:pt>
                      <c:pt idx="25" formatCode="General">
                        <c:v>-22.122612612612613</c:v>
                      </c:pt>
                      <c:pt idx="26" formatCode="General">
                        <c:v>-22.242732732732733</c:v>
                      </c:pt>
                      <c:pt idx="27" formatCode="General">
                        <c:v>-22.362852852852853</c:v>
                      </c:pt>
                      <c:pt idx="28" formatCode="General">
                        <c:v>-22.482972972972973</c:v>
                      </c:pt>
                      <c:pt idx="29" formatCode="General">
                        <c:v>-22.604670658682636</c:v>
                      </c:pt>
                      <c:pt idx="30" formatCode="General">
                        <c:v>-22.726826347305391</c:v>
                      </c:pt>
                      <c:pt idx="31" formatCode="General">
                        <c:v>-22.848982035928145</c:v>
                      </c:pt>
                      <c:pt idx="32" formatCode="General">
                        <c:v>-22.971137724550896</c:v>
                      </c:pt>
                      <c:pt idx="33" formatCode="General">
                        <c:v>-23.089700598802395</c:v>
                      </c:pt>
                      <c:pt idx="34" formatCode="General">
                        <c:v>-23.205868263473054</c:v>
                      </c:pt>
                      <c:pt idx="35" formatCode="General">
                        <c:v>-23.322035928143713</c:v>
                      </c:pt>
                      <c:pt idx="36" formatCode="General">
                        <c:v>-23.438203592814371</c:v>
                      </c:pt>
                      <c:pt idx="37" formatCode="General">
                        <c:v>-23.55437125748503</c:v>
                      </c:pt>
                      <c:pt idx="38" formatCode="General">
                        <c:v>-23.670538922155689</c:v>
                      </c:pt>
                      <c:pt idx="39" formatCode="General">
                        <c:v>-23.786706586826348</c:v>
                      </c:pt>
                      <c:pt idx="40" formatCode="General">
                        <c:v>-23.902874251497007</c:v>
                      </c:pt>
                      <c:pt idx="41" formatCode="General">
                        <c:v>-24.019041916167666</c:v>
                      </c:pt>
                      <c:pt idx="42" formatCode="General">
                        <c:v>-24.135209580838325</c:v>
                      </c:pt>
                      <c:pt idx="43" formatCode="General">
                        <c:v>-24.251377245508984</c:v>
                      </c:pt>
                      <c:pt idx="44" formatCode="General">
                        <c:v>-24.367544910179642</c:v>
                      </c:pt>
                      <c:pt idx="45" formatCode="General">
                        <c:v>-24.483712574850301</c:v>
                      </c:pt>
                      <c:pt idx="46" formatCode="General">
                        <c:v>-24.59988023952096</c:v>
                      </c:pt>
                      <c:pt idx="47" formatCode="General">
                        <c:v>-24.716047904191619</c:v>
                      </c:pt>
                      <c:pt idx="48" formatCode="General">
                        <c:v>-24.832215568862278</c:v>
                      </c:pt>
                      <c:pt idx="49" formatCode="General">
                        <c:v>-24.948383233532937</c:v>
                      </c:pt>
                      <c:pt idx="50" formatCode="General">
                        <c:v>-25.057617977528093</c:v>
                      </c:pt>
                      <c:pt idx="51" formatCode="General">
                        <c:v>-25.166082397003748</c:v>
                      </c:pt>
                      <c:pt idx="52" formatCode="General">
                        <c:v>-25.2745468164794</c:v>
                      </c:pt>
                      <c:pt idx="53" formatCode="General">
                        <c:v>-25.383011235955056</c:v>
                      </c:pt>
                      <c:pt idx="54" formatCode="General">
                        <c:v>-25.491475655430712</c:v>
                      </c:pt>
                      <c:pt idx="55" formatCode="General">
                        <c:v>-25.599940074906367</c:v>
                      </c:pt>
                      <c:pt idx="56" formatCode="General">
                        <c:v>-25.708404494382023</c:v>
                      </c:pt>
                      <c:pt idx="57" formatCode="General">
                        <c:v>-25.816868913857679</c:v>
                      </c:pt>
                      <c:pt idx="58" formatCode="General">
                        <c:v>-25.925333333333334</c:v>
                      </c:pt>
                      <c:pt idx="59" formatCode="General">
                        <c:v>-26.03379775280899</c:v>
                      </c:pt>
                      <c:pt idx="60" formatCode="General">
                        <c:v>-26.142262172284646</c:v>
                      </c:pt>
                      <c:pt idx="61" formatCode="General">
                        <c:v>-26.250726591760301</c:v>
                      </c:pt>
                      <c:pt idx="62" formatCode="General">
                        <c:v>-26.359191011235957</c:v>
                      </c:pt>
                      <c:pt idx="63" formatCode="General">
                        <c:v>-26.467655430711609</c:v>
                      </c:pt>
                      <c:pt idx="64" formatCode="General">
                        <c:v>-26.576119850187265</c:v>
                      </c:pt>
                      <c:pt idx="65" formatCode="General">
                        <c:v>-26.684584269662921</c:v>
                      </c:pt>
                      <c:pt idx="66" formatCode="General">
                        <c:v>-26.791902621722848</c:v>
                      </c:pt>
                      <c:pt idx="67" formatCode="General">
                        <c:v>-26.894973782771537</c:v>
                      </c:pt>
                      <c:pt idx="68" formatCode="General">
                        <c:v>-26.998044943820226</c:v>
                      </c:pt>
                      <c:pt idx="69" formatCode="General">
                        <c:v>-27.101116104868915</c:v>
                      </c:pt>
                      <c:pt idx="70" formatCode="General">
                        <c:v>-27.204187265917604</c:v>
                      </c:pt>
                      <c:pt idx="71" formatCode="General">
                        <c:v>-27.307258426966293</c:v>
                      </c:pt>
                      <c:pt idx="72" formatCode="General">
                        <c:v>-27.410329588014982</c:v>
                      </c:pt>
                      <c:pt idx="73" formatCode="General">
                        <c:v>-27.513400749063671</c:v>
                      </c:pt>
                      <c:pt idx="74" formatCode="General">
                        <c:v>-27.616471910112359</c:v>
                      </c:pt>
                      <c:pt idx="75" formatCode="General">
                        <c:v>-27.719543071161048</c:v>
                      </c:pt>
                      <c:pt idx="76" formatCode="General">
                        <c:v>-27.822614232209737</c:v>
                      </c:pt>
                      <c:pt idx="77" formatCode="General">
                        <c:v>-27.925685393258426</c:v>
                      </c:pt>
                      <c:pt idx="78" formatCode="General">
                        <c:v>-28.028756554307115</c:v>
                      </c:pt>
                      <c:pt idx="79" formatCode="General">
                        <c:v>-28.131827715355804</c:v>
                      </c:pt>
                      <c:pt idx="80" formatCode="General">
                        <c:v>-28.234898876404493</c:v>
                      </c:pt>
                      <c:pt idx="81" formatCode="General">
                        <c:v>-28.337970037453182</c:v>
                      </c:pt>
                      <c:pt idx="82" formatCode="General">
                        <c:v>-28.441041198501871</c:v>
                      </c:pt>
                      <c:pt idx="83" formatCode="General">
                        <c:v>-28.541556886227543</c:v>
                      </c:pt>
                      <c:pt idx="84" formatCode="General">
                        <c:v>-28.639760479041914</c:v>
                      </c:pt>
                      <c:pt idx="85" formatCode="General">
                        <c:v>-28.737964071856286</c:v>
                      </c:pt>
                      <c:pt idx="86" formatCode="General">
                        <c:v>-28.836167664670658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27FC-4A9D-A437-1D0023828BE9}"/>
                  </c:ext>
                </c:extLst>
              </c15:ser>
            </c15:filteredScatterSeries>
            <c15:filteredScatterSeries>
              <c15:ser>
                <c:idx val="4"/>
                <c:order val="6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306</c:v>
                      </c:pt>
                      <c:pt idx="1">
                        <c:v>314</c:v>
                      </c:pt>
                      <c:pt idx="2">
                        <c:v>322</c:v>
                      </c:pt>
                      <c:pt idx="3">
                        <c:v>330</c:v>
                      </c:pt>
                      <c:pt idx="4">
                        <c:v>338</c:v>
                      </c:pt>
                      <c:pt idx="5">
                        <c:v>346</c:v>
                      </c:pt>
                      <c:pt idx="6">
                        <c:v>354</c:v>
                      </c:pt>
                      <c:pt idx="7">
                        <c:v>362</c:v>
                      </c:pt>
                      <c:pt idx="8">
                        <c:v>370</c:v>
                      </c:pt>
                      <c:pt idx="9">
                        <c:v>378</c:v>
                      </c:pt>
                      <c:pt idx="10">
                        <c:v>386</c:v>
                      </c:pt>
                      <c:pt idx="11">
                        <c:v>394</c:v>
                      </c:pt>
                      <c:pt idx="12">
                        <c:v>402</c:v>
                      </c:pt>
                      <c:pt idx="13">
                        <c:v>410</c:v>
                      </c:pt>
                      <c:pt idx="14">
                        <c:v>418</c:v>
                      </c:pt>
                      <c:pt idx="15">
                        <c:v>426</c:v>
                      </c:pt>
                      <c:pt idx="16">
                        <c:v>434</c:v>
                      </c:pt>
                      <c:pt idx="17">
                        <c:v>442</c:v>
                      </c:pt>
                      <c:pt idx="18">
                        <c:v>450</c:v>
                      </c:pt>
                      <c:pt idx="19">
                        <c:v>458</c:v>
                      </c:pt>
                      <c:pt idx="20">
                        <c:v>466</c:v>
                      </c:pt>
                      <c:pt idx="21">
                        <c:v>474</c:v>
                      </c:pt>
                      <c:pt idx="22">
                        <c:v>482</c:v>
                      </c:pt>
                      <c:pt idx="23">
                        <c:v>490</c:v>
                      </c:pt>
                      <c:pt idx="24">
                        <c:v>498</c:v>
                      </c:pt>
                      <c:pt idx="25">
                        <c:v>506</c:v>
                      </c:pt>
                      <c:pt idx="26">
                        <c:v>514</c:v>
                      </c:pt>
                      <c:pt idx="27">
                        <c:v>522</c:v>
                      </c:pt>
                      <c:pt idx="28">
                        <c:v>530</c:v>
                      </c:pt>
                      <c:pt idx="29">
                        <c:v>538</c:v>
                      </c:pt>
                      <c:pt idx="30">
                        <c:v>546</c:v>
                      </c:pt>
                      <c:pt idx="31">
                        <c:v>554</c:v>
                      </c:pt>
                      <c:pt idx="32">
                        <c:v>562</c:v>
                      </c:pt>
                      <c:pt idx="33">
                        <c:v>570</c:v>
                      </c:pt>
                      <c:pt idx="34">
                        <c:v>578</c:v>
                      </c:pt>
                      <c:pt idx="35">
                        <c:v>586</c:v>
                      </c:pt>
                      <c:pt idx="36">
                        <c:v>594</c:v>
                      </c:pt>
                      <c:pt idx="37">
                        <c:v>602</c:v>
                      </c:pt>
                      <c:pt idx="38">
                        <c:v>610</c:v>
                      </c:pt>
                      <c:pt idx="39">
                        <c:v>618</c:v>
                      </c:pt>
                      <c:pt idx="40">
                        <c:v>626</c:v>
                      </c:pt>
                      <c:pt idx="41">
                        <c:v>634</c:v>
                      </c:pt>
                      <c:pt idx="42">
                        <c:v>642</c:v>
                      </c:pt>
                      <c:pt idx="43">
                        <c:v>650</c:v>
                      </c:pt>
                      <c:pt idx="44">
                        <c:v>658</c:v>
                      </c:pt>
                      <c:pt idx="45">
                        <c:v>666</c:v>
                      </c:pt>
                      <c:pt idx="46">
                        <c:v>674</c:v>
                      </c:pt>
                      <c:pt idx="47">
                        <c:v>682</c:v>
                      </c:pt>
                      <c:pt idx="48">
                        <c:v>690</c:v>
                      </c:pt>
                      <c:pt idx="49">
                        <c:v>698</c:v>
                      </c:pt>
                      <c:pt idx="50">
                        <c:v>706</c:v>
                      </c:pt>
                      <c:pt idx="51">
                        <c:v>714</c:v>
                      </c:pt>
                      <c:pt idx="52">
                        <c:v>722</c:v>
                      </c:pt>
                      <c:pt idx="53">
                        <c:v>730</c:v>
                      </c:pt>
                      <c:pt idx="54">
                        <c:v>738</c:v>
                      </c:pt>
                      <c:pt idx="55">
                        <c:v>746</c:v>
                      </c:pt>
                      <c:pt idx="56">
                        <c:v>754</c:v>
                      </c:pt>
                      <c:pt idx="57">
                        <c:v>762</c:v>
                      </c:pt>
                      <c:pt idx="58">
                        <c:v>770</c:v>
                      </c:pt>
                      <c:pt idx="59">
                        <c:v>778</c:v>
                      </c:pt>
                      <c:pt idx="60">
                        <c:v>786</c:v>
                      </c:pt>
                      <c:pt idx="61">
                        <c:v>794</c:v>
                      </c:pt>
                      <c:pt idx="62">
                        <c:v>802</c:v>
                      </c:pt>
                      <c:pt idx="63">
                        <c:v>810</c:v>
                      </c:pt>
                      <c:pt idx="64">
                        <c:v>818</c:v>
                      </c:pt>
                      <c:pt idx="65">
                        <c:v>826</c:v>
                      </c:pt>
                      <c:pt idx="66">
                        <c:v>834</c:v>
                      </c:pt>
                      <c:pt idx="67">
                        <c:v>842</c:v>
                      </c:pt>
                      <c:pt idx="68">
                        <c:v>850</c:v>
                      </c:pt>
                      <c:pt idx="69">
                        <c:v>858</c:v>
                      </c:pt>
                      <c:pt idx="70">
                        <c:v>866</c:v>
                      </c:pt>
                      <c:pt idx="71">
                        <c:v>874</c:v>
                      </c:pt>
                      <c:pt idx="72">
                        <c:v>882</c:v>
                      </c:pt>
                      <c:pt idx="73">
                        <c:v>890</c:v>
                      </c:pt>
                      <c:pt idx="74">
                        <c:v>898</c:v>
                      </c:pt>
                      <c:pt idx="75">
                        <c:v>906</c:v>
                      </c:pt>
                      <c:pt idx="76">
                        <c:v>914</c:v>
                      </c:pt>
                      <c:pt idx="77">
                        <c:v>922</c:v>
                      </c:pt>
                      <c:pt idx="78">
                        <c:v>930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EVALUATION!$B$107:$CP$107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-58.064234234234235</c:v>
                      </c:pt>
                      <c:pt idx="1">
                        <c:v>-56.971141141141139</c:v>
                      </c:pt>
                      <c:pt idx="2">
                        <c:v>-55.878048048048043</c:v>
                      </c:pt>
                      <c:pt idx="3">
                        <c:v>-54.784954954954955</c:v>
                      </c:pt>
                      <c:pt idx="4" formatCode="General">
                        <c:v>-54.124610778443113</c:v>
                      </c:pt>
                      <c:pt idx="5" formatCode="General">
                        <c:v>-53.564131736526946</c:v>
                      </c:pt>
                      <c:pt idx="6" formatCode="General">
                        <c:v>-53.003652694610771</c:v>
                      </c:pt>
                      <c:pt idx="7" formatCode="General">
                        <c:v>-52.443173652694604</c:v>
                      </c:pt>
                      <c:pt idx="8" formatCode="General">
                        <c:v>-52.043023952095801</c:v>
                      </c:pt>
                      <c:pt idx="9" formatCode="General">
                        <c:v>-51.734041916167662</c:v>
                      </c:pt>
                      <c:pt idx="10" formatCode="General">
                        <c:v>-51.425059880239516</c:v>
                      </c:pt>
                      <c:pt idx="11" formatCode="General">
                        <c:v>-51.11607784431137</c:v>
                      </c:pt>
                      <c:pt idx="12" formatCode="General">
                        <c:v>-50.842655688622749</c:v>
                      </c:pt>
                      <c:pt idx="13" formatCode="General">
                        <c:v>-50.610559880239521</c:v>
                      </c:pt>
                      <c:pt idx="14" formatCode="General">
                        <c:v>-50.378464071856285</c:v>
                      </c:pt>
                      <c:pt idx="15" formatCode="General">
                        <c:v>-50.146368263473057</c:v>
                      </c:pt>
                      <c:pt idx="16" formatCode="General">
                        <c:v>-49.931350299401196</c:v>
                      </c:pt>
                      <c:pt idx="17" formatCode="General">
                        <c:v>-49.758655688622753</c:v>
                      </c:pt>
                      <c:pt idx="18" formatCode="General">
                        <c:v>-49.58596107784431</c:v>
                      </c:pt>
                      <c:pt idx="19" formatCode="General">
                        <c:v>-49.413266467065867</c:v>
                      </c:pt>
                      <c:pt idx="20" formatCode="General">
                        <c:v>-49.246419161676648</c:v>
                      </c:pt>
                      <c:pt idx="21" formatCode="General">
                        <c:v>-49.125700598802396</c:v>
                      </c:pt>
                      <c:pt idx="22" formatCode="General">
                        <c:v>-49.004982035928144</c:v>
                      </c:pt>
                      <c:pt idx="23" formatCode="General">
                        <c:v>-48.884263473053892</c:v>
                      </c:pt>
                      <c:pt idx="24" formatCode="General">
                        <c:v>-48.76354491017964</c:v>
                      </c:pt>
                      <c:pt idx="25" formatCode="General">
                        <c:v>-48.847216216216218</c:v>
                      </c:pt>
                      <c:pt idx="26" formatCode="General">
                        <c:v>-48.944513513513513</c:v>
                      </c:pt>
                      <c:pt idx="27" formatCode="General">
                        <c:v>-49.041810810810816</c:v>
                      </c:pt>
                      <c:pt idx="28" formatCode="General">
                        <c:v>-49.139108108108111</c:v>
                      </c:pt>
                      <c:pt idx="29" formatCode="General">
                        <c:v>-49.365562874251502</c:v>
                      </c:pt>
                      <c:pt idx="30" formatCode="General">
                        <c:v>-49.62951497005988</c:v>
                      </c:pt>
                      <c:pt idx="31" formatCode="General">
                        <c:v>-49.893467065868265</c:v>
                      </c:pt>
                      <c:pt idx="32" formatCode="General">
                        <c:v>-50.157419161676643</c:v>
                      </c:pt>
                      <c:pt idx="33" formatCode="General">
                        <c:v>-50.414257485029935</c:v>
                      </c:pt>
                      <c:pt idx="34" formatCode="General">
                        <c:v>-50.666353293413174</c:v>
                      </c:pt>
                      <c:pt idx="35" formatCode="General">
                        <c:v>-50.918449101796405</c:v>
                      </c:pt>
                      <c:pt idx="36" formatCode="General">
                        <c:v>-51.170544910179636</c:v>
                      </c:pt>
                      <c:pt idx="37" formatCode="General">
                        <c:v>-51.422640718562874</c:v>
                      </c:pt>
                      <c:pt idx="38" formatCode="General">
                        <c:v>-51.674736526946106</c:v>
                      </c:pt>
                      <c:pt idx="39" formatCode="General">
                        <c:v>-51.926832335329337</c:v>
                      </c:pt>
                      <c:pt idx="40" formatCode="General">
                        <c:v>-52.178928143712575</c:v>
                      </c:pt>
                      <c:pt idx="41" formatCode="General">
                        <c:v>-52.431023952095806</c:v>
                      </c:pt>
                      <c:pt idx="42" formatCode="General">
                        <c:v>-52.683119760479038</c:v>
                      </c:pt>
                      <c:pt idx="43" formatCode="General">
                        <c:v>-52.935215568862276</c:v>
                      </c:pt>
                      <c:pt idx="44" formatCode="General">
                        <c:v>-53.187311377245507</c:v>
                      </c:pt>
                      <c:pt idx="45" formatCode="General">
                        <c:v>-53.439407185628738</c:v>
                      </c:pt>
                      <c:pt idx="46" formatCode="General">
                        <c:v>-53.691502994011977</c:v>
                      </c:pt>
                      <c:pt idx="47" formatCode="General">
                        <c:v>-53.943598802395208</c:v>
                      </c:pt>
                      <c:pt idx="48" formatCode="General">
                        <c:v>-54.195694610778446</c:v>
                      </c:pt>
                      <c:pt idx="49" formatCode="General">
                        <c:v>-54.447790419161677</c:v>
                      </c:pt>
                      <c:pt idx="50" formatCode="General">
                        <c:v>-54.685494382022469</c:v>
                      </c:pt>
                      <c:pt idx="51" formatCode="General">
                        <c:v>-54.921599250936332</c:v>
                      </c:pt>
                      <c:pt idx="52" formatCode="General">
                        <c:v>-55.157704119850187</c:v>
                      </c:pt>
                      <c:pt idx="53" formatCode="General">
                        <c:v>-55.393808988764043</c:v>
                      </c:pt>
                      <c:pt idx="54" formatCode="General">
                        <c:v>-55.629913857677906</c:v>
                      </c:pt>
                      <c:pt idx="55" formatCode="General">
                        <c:v>-55.866018726591761</c:v>
                      </c:pt>
                      <c:pt idx="56" formatCode="General">
                        <c:v>-56.102123595505617</c:v>
                      </c:pt>
                      <c:pt idx="57" formatCode="General">
                        <c:v>-56.338228464419473</c:v>
                      </c:pt>
                      <c:pt idx="58" formatCode="General">
                        <c:v>-56.574333333333335</c:v>
                      </c:pt>
                      <c:pt idx="59" formatCode="General">
                        <c:v>-56.810438202247191</c:v>
                      </c:pt>
                      <c:pt idx="60" formatCode="General">
                        <c:v>-57.046543071161047</c:v>
                      </c:pt>
                      <c:pt idx="61" formatCode="General">
                        <c:v>-57.282647940074902</c:v>
                      </c:pt>
                      <c:pt idx="62" formatCode="General">
                        <c:v>-57.518752808988765</c:v>
                      </c:pt>
                      <c:pt idx="63" formatCode="General">
                        <c:v>-57.754857677902621</c:v>
                      </c:pt>
                      <c:pt idx="64" formatCode="General">
                        <c:v>-57.990962546816476</c:v>
                      </c:pt>
                      <c:pt idx="65" formatCode="General">
                        <c:v>-58.227067415730332</c:v>
                      </c:pt>
                      <c:pt idx="66" formatCode="General">
                        <c:v>-58.460650936329586</c:v>
                      </c:pt>
                      <c:pt idx="67" formatCode="General">
                        <c:v>-58.684890636704118</c:v>
                      </c:pt>
                      <c:pt idx="68" formatCode="General">
                        <c:v>-58.909130337078651</c:v>
                      </c:pt>
                      <c:pt idx="69" formatCode="General">
                        <c:v>-59.133370037453183</c:v>
                      </c:pt>
                      <c:pt idx="70" formatCode="General">
                        <c:v>-59.357609737827715</c:v>
                      </c:pt>
                      <c:pt idx="71" formatCode="General">
                        <c:v>-59.581849438202241</c:v>
                      </c:pt>
                      <c:pt idx="72" formatCode="General">
                        <c:v>-59.806089138576773</c:v>
                      </c:pt>
                      <c:pt idx="73" formatCode="General">
                        <c:v>-60.030328838951306</c:v>
                      </c:pt>
                      <c:pt idx="74" formatCode="General">
                        <c:v>-60.254568539325838</c:v>
                      </c:pt>
                      <c:pt idx="75" formatCode="General">
                        <c:v>-60.478808239700371</c:v>
                      </c:pt>
                      <c:pt idx="76" formatCode="General">
                        <c:v>-60.703047940074903</c:v>
                      </c:pt>
                      <c:pt idx="77" formatCode="General">
                        <c:v>-60.927287640449435</c:v>
                      </c:pt>
                      <c:pt idx="78" formatCode="General">
                        <c:v>-61.151527340823968</c:v>
                      </c:pt>
                      <c:pt idx="79" formatCode="General">
                        <c:v>-61.3757670411985</c:v>
                      </c:pt>
                      <c:pt idx="80" formatCode="General">
                        <c:v>-61.600006741573026</c:v>
                      </c:pt>
                      <c:pt idx="81" formatCode="General">
                        <c:v>-61.824246441947558</c:v>
                      </c:pt>
                      <c:pt idx="82" formatCode="General">
                        <c:v>-62.048486142322091</c:v>
                      </c:pt>
                      <c:pt idx="83" formatCode="General">
                        <c:v>-62.267167664670652</c:v>
                      </c:pt>
                      <c:pt idx="84" formatCode="General">
                        <c:v>-62.480820359281431</c:v>
                      </c:pt>
                      <c:pt idx="85" formatCode="General">
                        <c:v>-62.69447305389221</c:v>
                      </c:pt>
                      <c:pt idx="86" formatCode="General">
                        <c:v>-62.908125748502989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27FC-4A9D-A437-1D0023828BE9}"/>
                  </c:ext>
                </c:extLst>
              </c15:ser>
            </c15:filteredScatterSeries>
            <c15:filteredScatterSeries>
              <c15:ser>
                <c:idx val="5"/>
                <c:order val="7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306</c:v>
                      </c:pt>
                      <c:pt idx="1">
                        <c:v>314</c:v>
                      </c:pt>
                      <c:pt idx="2">
                        <c:v>322</c:v>
                      </c:pt>
                      <c:pt idx="3">
                        <c:v>330</c:v>
                      </c:pt>
                      <c:pt idx="4">
                        <c:v>338</c:v>
                      </c:pt>
                      <c:pt idx="5">
                        <c:v>346</c:v>
                      </c:pt>
                      <c:pt idx="6">
                        <c:v>354</c:v>
                      </c:pt>
                      <c:pt idx="7">
                        <c:v>362</c:v>
                      </c:pt>
                      <c:pt idx="8">
                        <c:v>370</c:v>
                      </c:pt>
                      <c:pt idx="9">
                        <c:v>378</c:v>
                      </c:pt>
                      <c:pt idx="10">
                        <c:v>386</c:v>
                      </c:pt>
                      <c:pt idx="11">
                        <c:v>394</c:v>
                      </c:pt>
                      <c:pt idx="12">
                        <c:v>402</c:v>
                      </c:pt>
                      <c:pt idx="13">
                        <c:v>410</c:v>
                      </c:pt>
                      <c:pt idx="14">
                        <c:v>418</c:v>
                      </c:pt>
                      <c:pt idx="15">
                        <c:v>426</c:v>
                      </c:pt>
                      <c:pt idx="16">
                        <c:v>434</c:v>
                      </c:pt>
                      <c:pt idx="17">
                        <c:v>442</c:v>
                      </c:pt>
                      <c:pt idx="18">
                        <c:v>450</c:v>
                      </c:pt>
                      <c:pt idx="19">
                        <c:v>458</c:v>
                      </c:pt>
                      <c:pt idx="20">
                        <c:v>466</c:v>
                      </c:pt>
                      <c:pt idx="21">
                        <c:v>474</c:v>
                      </c:pt>
                      <c:pt idx="22">
                        <c:v>482</c:v>
                      </c:pt>
                      <c:pt idx="23">
                        <c:v>490</c:v>
                      </c:pt>
                      <c:pt idx="24">
                        <c:v>498</c:v>
                      </c:pt>
                      <c:pt idx="25">
                        <c:v>506</c:v>
                      </c:pt>
                      <c:pt idx="26">
                        <c:v>514</c:v>
                      </c:pt>
                      <c:pt idx="27">
                        <c:v>522</c:v>
                      </c:pt>
                      <c:pt idx="28">
                        <c:v>530</c:v>
                      </c:pt>
                      <c:pt idx="29">
                        <c:v>538</c:v>
                      </c:pt>
                      <c:pt idx="30">
                        <c:v>546</c:v>
                      </c:pt>
                      <c:pt idx="31">
                        <c:v>554</c:v>
                      </c:pt>
                      <c:pt idx="32">
                        <c:v>562</c:v>
                      </c:pt>
                      <c:pt idx="33">
                        <c:v>570</c:v>
                      </c:pt>
                      <c:pt idx="34">
                        <c:v>578</c:v>
                      </c:pt>
                      <c:pt idx="35">
                        <c:v>586</c:v>
                      </c:pt>
                      <c:pt idx="36">
                        <c:v>594</c:v>
                      </c:pt>
                      <c:pt idx="37">
                        <c:v>602</c:v>
                      </c:pt>
                      <c:pt idx="38">
                        <c:v>610</c:v>
                      </c:pt>
                      <c:pt idx="39">
                        <c:v>618</c:v>
                      </c:pt>
                      <c:pt idx="40">
                        <c:v>626</c:v>
                      </c:pt>
                      <c:pt idx="41">
                        <c:v>634</c:v>
                      </c:pt>
                      <c:pt idx="42">
                        <c:v>642</c:v>
                      </c:pt>
                      <c:pt idx="43">
                        <c:v>650</c:v>
                      </c:pt>
                      <c:pt idx="44">
                        <c:v>658</c:v>
                      </c:pt>
                      <c:pt idx="45">
                        <c:v>666</c:v>
                      </c:pt>
                      <c:pt idx="46">
                        <c:v>674</c:v>
                      </c:pt>
                      <c:pt idx="47">
                        <c:v>682</c:v>
                      </c:pt>
                      <c:pt idx="48">
                        <c:v>690</c:v>
                      </c:pt>
                      <c:pt idx="49">
                        <c:v>698</c:v>
                      </c:pt>
                      <c:pt idx="50">
                        <c:v>706</c:v>
                      </c:pt>
                      <c:pt idx="51">
                        <c:v>714</c:v>
                      </c:pt>
                      <c:pt idx="52">
                        <c:v>722</c:v>
                      </c:pt>
                      <c:pt idx="53">
                        <c:v>730</c:v>
                      </c:pt>
                      <c:pt idx="54">
                        <c:v>738</c:v>
                      </c:pt>
                      <c:pt idx="55">
                        <c:v>746</c:v>
                      </c:pt>
                      <c:pt idx="56">
                        <c:v>754</c:v>
                      </c:pt>
                      <c:pt idx="57">
                        <c:v>762</c:v>
                      </c:pt>
                      <c:pt idx="58">
                        <c:v>770</c:v>
                      </c:pt>
                      <c:pt idx="59">
                        <c:v>778</c:v>
                      </c:pt>
                      <c:pt idx="60">
                        <c:v>786</c:v>
                      </c:pt>
                      <c:pt idx="61">
                        <c:v>794</c:v>
                      </c:pt>
                      <c:pt idx="62">
                        <c:v>802</c:v>
                      </c:pt>
                      <c:pt idx="63">
                        <c:v>810</c:v>
                      </c:pt>
                      <c:pt idx="64">
                        <c:v>818</c:v>
                      </c:pt>
                      <c:pt idx="65">
                        <c:v>826</c:v>
                      </c:pt>
                      <c:pt idx="66">
                        <c:v>834</c:v>
                      </c:pt>
                      <c:pt idx="67">
                        <c:v>842</c:v>
                      </c:pt>
                      <c:pt idx="68">
                        <c:v>850</c:v>
                      </c:pt>
                      <c:pt idx="69">
                        <c:v>858</c:v>
                      </c:pt>
                      <c:pt idx="70">
                        <c:v>866</c:v>
                      </c:pt>
                      <c:pt idx="71">
                        <c:v>874</c:v>
                      </c:pt>
                      <c:pt idx="72">
                        <c:v>882</c:v>
                      </c:pt>
                      <c:pt idx="73">
                        <c:v>890</c:v>
                      </c:pt>
                      <c:pt idx="74">
                        <c:v>898</c:v>
                      </c:pt>
                      <c:pt idx="75">
                        <c:v>906</c:v>
                      </c:pt>
                      <c:pt idx="76">
                        <c:v>914</c:v>
                      </c:pt>
                      <c:pt idx="77">
                        <c:v>922</c:v>
                      </c:pt>
                      <c:pt idx="78">
                        <c:v>930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EVALUATION!$B$108:$CP$108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-183.77576576576575</c:v>
                      </c:pt>
                      <c:pt idx="1">
                        <c:v>-179.80219219219219</c:v>
                      </c:pt>
                      <c:pt idx="2">
                        <c:v>-175.82861861861863</c:v>
                      </c:pt>
                      <c:pt idx="3">
                        <c:v>-171.85504504504505</c:v>
                      </c:pt>
                      <c:pt idx="4" formatCode="General">
                        <c:v>-168.51000000000002</c:v>
                      </c:pt>
                      <c:pt idx="5" formatCode="General">
                        <c:v>-165.31</c:v>
                      </c:pt>
                      <c:pt idx="6" formatCode="General">
                        <c:v>-162.10999999999999</c:v>
                      </c:pt>
                      <c:pt idx="7" formatCode="General">
                        <c:v>-158.91</c:v>
                      </c:pt>
                      <c:pt idx="8" formatCode="General">
                        <c:v>-156.06730538922156</c:v>
                      </c:pt>
                      <c:pt idx="9" formatCode="General">
                        <c:v>-153.42778443113772</c:v>
                      </c:pt>
                      <c:pt idx="10" formatCode="General">
                        <c:v>-150.78826347305389</c:v>
                      </c:pt>
                      <c:pt idx="11" formatCode="General">
                        <c:v>-148.14874251497005</c:v>
                      </c:pt>
                      <c:pt idx="12" formatCode="General">
                        <c:v>-145.70751497005986</c:v>
                      </c:pt>
                      <c:pt idx="13" formatCode="General">
                        <c:v>-143.49673652694611</c:v>
                      </c:pt>
                      <c:pt idx="14" formatCode="General">
                        <c:v>-141.28595808383233</c:v>
                      </c:pt>
                      <c:pt idx="15" formatCode="General">
                        <c:v>-139.07517964071855</c:v>
                      </c:pt>
                      <c:pt idx="16" formatCode="General">
                        <c:v>-136.96080838323354</c:v>
                      </c:pt>
                      <c:pt idx="17" formatCode="General">
                        <c:v>-135.08535928143712</c:v>
                      </c:pt>
                      <c:pt idx="18" formatCode="General">
                        <c:v>-133.20991017964073</c:v>
                      </c:pt>
                      <c:pt idx="19" formatCode="General">
                        <c:v>-131.33446107784434</c:v>
                      </c:pt>
                      <c:pt idx="20" formatCode="General">
                        <c:v>-129.49</c:v>
                      </c:pt>
                      <c:pt idx="21" formatCode="General">
                        <c:v>-127.89000000000001</c:v>
                      </c:pt>
                      <c:pt idx="22" formatCode="General">
                        <c:v>-126.29000000000002</c:v>
                      </c:pt>
                      <c:pt idx="23" formatCode="General">
                        <c:v>-124.69000000000001</c:v>
                      </c:pt>
                      <c:pt idx="24" formatCode="General">
                        <c:v>-123.09</c:v>
                      </c:pt>
                      <c:pt idx="25" formatCode="General">
                        <c:v>-121.94495495495497</c:v>
                      </c:pt>
                      <c:pt idx="26" formatCode="General">
                        <c:v>-120.83024024024024</c:v>
                      </c:pt>
                      <c:pt idx="27" formatCode="General">
                        <c:v>-119.71552552552552</c:v>
                      </c:pt>
                      <c:pt idx="28" formatCode="General">
                        <c:v>-118.6008108108108</c:v>
                      </c:pt>
                      <c:pt idx="29" formatCode="General">
                        <c:v>-119.12407185628743</c:v>
                      </c:pt>
                      <c:pt idx="30" formatCode="General">
                        <c:v>-120.12287425149701</c:v>
                      </c:pt>
                      <c:pt idx="31" formatCode="General">
                        <c:v>-121.12167664670659</c:v>
                      </c:pt>
                      <c:pt idx="32" formatCode="General">
                        <c:v>-122.12047904191617</c:v>
                      </c:pt>
                      <c:pt idx="33" formatCode="General">
                        <c:v>-123.0919760479042</c:v>
                      </c:pt>
                      <c:pt idx="34" formatCode="General">
                        <c:v>-124.04526946107785</c:v>
                      </c:pt>
                      <c:pt idx="35" formatCode="General">
                        <c:v>-124.9985628742515</c:v>
                      </c:pt>
                      <c:pt idx="36" formatCode="General">
                        <c:v>-125.95185628742516</c:v>
                      </c:pt>
                      <c:pt idx="37" formatCode="General">
                        <c:v>-126.90514970059881</c:v>
                      </c:pt>
                      <c:pt idx="38" formatCode="General">
                        <c:v>-127.85844311377247</c:v>
                      </c:pt>
                      <c:pt idx="39" formatCode="General">
                        <c:v>-128.81173652694611</c:v>
                      </c:pt>
                      <c:pt idx="40" formatCode="General">
                        <c:v>-129.76502994011977</c:v>
                      </c:pt>
                      <c:pt idx="41" formatCode="General">
                        <c:v>-130.71832335329341</c:v>
                      </c:pt>
                      <c:pt idx="42" formatCode="General">
                        <c:v>-131.67161676646708</c:v>
                      </c:pt>
                      <c:pt idx="43" formatCode="General">
                        <c:v>-132.62491017964072</c:v>
                      </c:pt>
                      <c:pt idx="44" formatCode="General">
                        <c:v>-133.57820359281436</c:v>
                      </c:pt>
                      <c:pt idx="45" formatCode="General">
                        <c:v>-134.53149700598803</c:v>
                      </c:pt>
                      <c:pt idx="46" formatCode="General">
                        <c:v>-135.48479041916167</c:v>
                      </c:pt>
                      <c:pt idx="47" formatCode="General">
                        <c:v>-136.43808383233534</c:v>
                      </c:pt>
                      <c:pt idx="48" formatCode="General">
                        <c:v>-137.39137724550898</c:v>
                      </c:pt>
                      <c:pt idx="49" formatCode="General">
                        <c:v>-138.34467065868265</c:v>
                      </c:pt>
                      <c:pt idx="50" formatCode="General">
                        <c:v>-139.21824719101124</c:v>
                      </c:pt>
                      <c:pt idx="51" formatCode="General">
                        <c:v>-140.08296629213484</c:v>
                      </c:pt>
                      <c:pt idx="52" formatCode="General">
                        <c:v>-140.94768539325844</c:v>
                      </c:pt>
                      <c:pt idx="53" formatCode="General">
                        <c:v>-141.81240449438204</c:v>
                      </c:pt>
                      <c:pt idx="54" formatCode="General">
                        <c:v>-142.67712359550563</c:v>
                      </c:pt>
                      <c:pt idx="55" formatCode="General">
                        <c:v>-143.54184269662923</c:v>
                      </c:pt>
                      <c:pt idx="56" formatCode="General">
                        <c:v>-144.40656179775283</c:v>
                      </c:pt>
                      <c:pt idx="57" formatCode="General">
                        <c:v>-145.2712808988764</c:v>
                      </c:pt>
                      <c:pt idx="58" formatCode="General">
                        <c:v>-146.136</c:v>
                      </c:pt>
                      <c:pt idx="59" formatCode="General">
                        <c:v>-147.00071910112359</c:v>
                      </c:pt>
                      <c:pt idx="60" formatCode="General">
                        <c:v>-147.86543820224719</c:v>
                      </c:pt>
                      <c:pt idx="61" formatCode="General">
                        <c:v>-148.73015730337079</c:v>
                      </c:pt>
                      <c:pt idx="62" formatCode="General">
                        <c:v>-149.59487640449439</c:v>
                      </c:pt>
                      <c:pt idx="63" formatCode="General">
                        <c:v>-150.45959550561798</c:v>
                      </c:pt>
                      <c:pt idx="64" formatCode="General">
                        <c:v>-151.32431460674158</c:v>
                      </c:pt>
                      <c:pt idx="65" formatCode="General">
                        <c:v>-152.18903370786518</c:v>
                      </c:pt>
                      <c:pt idx="66" formatCode="General">
                        <c:v>-153.03172284644197</c:v>
                      </c:pt>
                      <c:pt idx="67" formatCode="General">
                        <c:v>-153.79277153558053</c:v>
                      </c:pt>
                      <c:pt idx="68" formatCode="General">
                        <c:v>-154.55382022471912</c:v>
                      </c:pt>
                      <c:pt idx="69" formatCode="General">
                        <c:v>-155.31486891385768</c:v>
                      </c:pt>
                      <c:pt idx="70" formatCode="General">
                        <c:v>-156.07591760299627</c:v>
                      </c:pt>
                      <c:pt idx="71" formatCode="General">
                        <c:v>-156.83696629213483</c:v>
                      </c:pt>
                      <c:pt idx="72" formatCode="General">
                        <c:v>-157.59801498127342</c:v>
                      </c:pt>
                      <c:pt idx="73" formatCode="General">
                        <c:v>-158.35906367041198</c:v>
                      </c:pt>
                      <c:pt idx="74" formatCode="General">
                        <c:v>-159.12011235955057</c:v>
                      </c:pt>
                      <c:pt idx="75" formatCode="General">
                        <c:v>-159.88116104868914</c:v>
                      </c:pt>
                      <c:pt idx="76" formatCode="General">
                        <c:v>-160.64220973782773</c:v>
                      </c:pt>
                      <c:pt idx="77" formatCode="General">
                        <c:v>-161.40325842696629</c:v>
                      </c:pt>
                      <c:pt idx="78" formatCode="General">
                        <c:v>-162.16430711610488</c:v>
                      </c:pt>
                      <c:pt idx="79" formatCode="General">
                        <c:v>-162.92535580524344</c:v>
                      </c:pt>
                      <c:pt idx="80" formatCode="General">
                        <c:v>-163.68640449438203</c:v>
                      </c:pt>
                      <c:pt idx="81" formatCode="General">
                        <c:v>-164.44745318352059</c:v>
                      </c:pt>
                      <c:pt idx="82" formatCode="General">
                        <c:v>-165.20850187265918</c:v>
                      </c:pt>
                      <c:pt idx="83" formatCode="General">
                        <c:v>-165.92838323353294</c:v>
                      </c:pt>
                      <c:pt idx="84" formatCode="General">
                        <c:v>-166.61101796407183</c:v>
                      </c:pt>
                      <c:pt idx="85" formatCode="General">
                        <c:v>-167.29365269461076</c:v>
                      </c:pt>
                      <c:pt idx="86" formatCode="General">
                        <c:v>-167.97628742514968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A-27FC-4A9D-A437-1D0023828BE9}"/>
                  </c:ext>
                </c:extLst>
              </c15:ser>
            </c15:filteredScatterSeries>
            <c15:filteredScatterSeries>
              <c15:ser>
                <c:idx val="6"/>
                <c:order val="8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306</c:v>
                      </c:pt>
                      <c:pt idx="1">
                        <c:v>314</c:v>
                      </c:pt>
                      <c:pt idx="2">
                        <c:v>322</c:v>
                      </c:pt>
                      <c:pt idx="3">
                        <c:v>330</c:v>
                      </c:pt>
                      <c:pt idx="4">
                        <c:v>338</c:v>
                      </c:pt>
                      <c:pt idx="5">
                        <c:v>346</c:v>
                      </c:pt>
                      <c:pt idx="6">
                        <c:v>354</c:v>
                      </c:pt>
                      <c:pt idx="7">
                        <c:v>362</c:v>
                      </c:pt>
                      <c:pt idx="8">
                        <c:v>370</c:v>
                      </c:pt>
                      <c:pt idx="9">
                        <c:v>378</c:v>
                      </c:pt>
                      <c:pt idx="10">
                        <c:v>386</c:v>
                      </c:pt>
                      <c:pt idx="11">
                        <c:v>394</c:v>
                      </c:pt>
                      <c:pt idx="12">
                        <c:v>402</c:v>
                      </c:pt>
                      <c:pt idx="13">
                        <c:v>410</c:v>
                      </c:pt>
                      <c:pt idx="14">
                        <c:v>418</c:v>
                      </c:pt>
                      <c:pt idx="15">
                        <c:v>426</c:v>
                      </c:pt>
                      <c:pt idx="16">
                        <c:v>434</c:v>
                      </c:pt>
                      <c:pt idx="17">
                        <c:v>442</c:v>
                      </c:pt>
                      <c:pt idx="18">
                        <c:v>450</c:v>
                      </c:pt>
                      <c:pt idx="19">
                        <c:v>458</c:v>
                      </c:pt>
                      <c:pt idx="20">
                        <c:v>466</c:v>
                      </c:pt>
                      <c:pt idx="21">
                        <c:v>474</c:v>
                      </c:pt>
                      <c:pt idx="22">
                        <c:v>482</c:v>
                      </c:pt>
                      <c:pt idx="23">
                        <c:v>490</c:v>
                      </c:pt>
                      <c:pt idx="24">
                        <c:v>498</c:v>
                      </c:pt>
                      <c:pt idx="25">
                        <c:v>506</c:v>
                      </c:pt>
                      <c:pt idx="26">
                        <c:v>514</c:v>
                      </c:pt>
                      <c:pt idx="27">
                        <c:v>522</c:v>
                      </c:pt>
                      <c:pt idx="28">
                        <c:v>530</c:v>
                      </c:pt>
                      <c:pt idx="29">
                        <c:v>538</c:v>
                      </c:pt>
                      <c:pt idx="30">
                        <c:v>546</c:v>
                      </c:pt>
                      <c:pt idx="31">
                        <c:v>554</c:v>
                      </c:pt>
                      <c:pt idx="32">
                        <c:v>562</c:v>
                      </c:pt>
                      <c:pt idx="33">
                        <c:v>570</c:v>
                      </c:pt>
                      <c:pt idx="34">
                        <c:v>578</c:v>
                      </c:pt>
                      <c:pt idx="35">
                        <c:v>586</c:v>
                      </c:pt>
                      <c:pt idx="36">
                        <c:v>594</c:v>
                      </c:pt>
                      <c:pt idx="37">
                        <c:v>602</c:v>
                      </c:pt>
                      <c:pt idx="38">
                        <c:v>610</c:v>
                      </c:pt>
                      <c:pt idx="39">
                        <c:v>618</c:v>
                      </c:pt>
                      <c:pt idx="40">
                        <c:v>626</c:v>
                      </c:pt>
                      <c:pt idx="41">
                        <c:v>634</c:v>
                      </c:pt>
                      <c:pt idx="42">
                        <c:v>642</c:v>
                      </c:pt>
                      <c:pt idx="43">
                        <c:v>650</c:v>
                      </c:pt>
                      <c:pt idx="44">
                        <c:v>658</c:v>
                      </c:pt>
                      <c:pt idx="45">
                        <c:v>666</c:v>
                      </c:pt>
                      <c:pt idx="46">
                        <c:v>674</c:v>
                      </c:pt>
                      <c:pt idx="47">
                        <c:v>682</c:v>
                      </c:pt>
                      <c:pt idx="48">
                        <c:v>690</c:v>
                      </c:pt>
                      <c:pt idx="49">
                        <c:v>698</c:v>
                      </c:pt>
                      <c:pt idx="50">
                        <c:v>706</c:v>
                      </c:pt>
                      <c:pt idx="51">
                        <c:v>714</c:v>
                      </c:pt>
                      <c:pt idx="52">
                        <c:v>722</c:v>
                      </c:pt>
                      <c:pt idx="53">
                        <c:v>730</c:v>
                      </c:pt>
                      <c:pt idx="54">
                        <c:v>738</c:v>
                      </c:pt>
                      <c:pt idx="55">
                        <c:v>746</c:v>
                      </c:pt>
                      <c:pt idx="56">
                        <c:v>754</c:v>
                      </c:pt>
                      <c:pt idx="57">
                        <c:v>762</c:v>
                      </c:pt>
                      <c:pt idx="58">
                        <c:v>770</c:v>
                      </c:pt>
                      <c:pt idx="59">
                        <c:v>778</c:v>
                      </c:pt>
                      <c:pt idx="60">
                        <c:v>786</c:v>
                      </c:pt>
                      <c:pt idx="61">
                        <c:v>794</c:v>
                      </c:pt>
                      <c:pt idx="62">
                        <c:v>802</c:v>
                      </c:pt>
                      <c:pt idx="63">
                        <c:v>810</c:v>
                      </c:pt>
                      <c:pt idx="64">
                        <c:v>818</c:v>
                      </c:pt>
                      <c:pt idx="65">
                        <c:v>826</c:v>
                      </c:pt>
                      <c:pt idx="66">
                        <c:v>834</c:v>
                      </c:pt>
                      <c:pt idx="67">
                        <c:v>842</c:v>
                      </c:pt>
                      <c:pt idx="68">
                        <c:v>850</c:v>
                      </c:pt>
                      <c:pt idx="69">
                        <c:v>858</c:v>
                      </c:pt>
                      <c:pt idx="70">
                        <c:v>866</c:v>
                      </c:pt>
                      <c:pt idx="71">
                        <c:v>874</c:v>
                      </c:pt>
                      <c:pt idx="72">
                        <c:v>882</c:v>
                      </c:pt>
                      <c:pt idx="73">
                        <c:v>890</c:v>
                      </c:pt>
                      <c:pt idx="74">
                        <c:v>898</c:v>
                      </c:pt>
                      <c:pt idx="75">
                        <c:v>906</c:v>
                      </c:pt>
                      <c:pt idx="76">
                        <c:v>914</c:v>
                      </c:pt>
                      <c:pt idx="77">
                        <c:v>922</c:v>
                      </c:pt>
                      <c:pt idx="78">
                        <c:v>930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EVALUATION!$B$109:$CP$109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-30.236216216216214</c:v>
                      </c:pt>
                      <c:pt idx="1">
                        <c:v>-29.760540540540539</c:v>
                      </c:pt>
                      <c:pt idx="2">
                        <c:v>-29.284864864864865</c:v>
                      </c:pt>
                      <c:pt idx="3">
                        <c:v>-28.809189189189187</c:v>
                      </c:pt>
                      <c:pt idx="4" formatCode="General">
                        <c:v>-27.918203592814368</c:v>
                      </c:pt>
                      <c:pt idx="5" formatCode="General">
                        <c:v>-26.93137724550898</c:v>
                      </c:pt>
                      <c:pt idx="6" formatCode="General">
                        <c:v>-25.944550898203591</c:v>
                      </c:pt>
                      <c:pt idx="7" formatCode="General">
                        <c:v>-24.957724550898202</c:v>
                      </c:pt>
                      <c:pt idx="8" formatCode="General">
                        <c:v>-23.900658682634731</c:v>
                      </c:pt>
                      <c:pt idx="9" formatCode="General">
                        <c:v>-22.803652694610779</c:v>
                      </c:pt>
                      <c:pt idx="10" formatCode="General">
                        <c:v>-21.706646706586827</c:v>
                      </c:pt>
                      <c:pt idx="11" formatCode="General">
                        <c:v>-20.609640718562876</c:v>
                      </c:pt>
                      <c:pt idx="12" formatCode="General">
                        <c:v>-19.579323353293415</c:v>
                      </c:pt>
                      <c:pt idx="13" formatCode="General">
                        <c:v>-18.626508982035929</c:v>
                      </c:pt>
                      <c:pt idx="14" formatCode="General">
                        <c:v>-17.673694610778444</c:v>
                      </c:pt>
                      <c:pt idx="15" formatCode="General">
                        <c:v>-16.720880239520959</c:v>
                      </c:pt>
                      <c:pt idx="16" formatCode="General">
                        <c:v>-15.802221556886229</c:v>
                      </c:pt>
                      <c:pt idx="17" formatCode="General">
                        <c:v>-14.968209580838325</c:v>
                      </c:pt>
                      <c:pt idx="18" formatCode="General">
                        <c:v>-14.134197604790421</c:v>
                      </c:pt>
                      <c:pt idx="19" formatCode="General">
                        <c:v>-13.300185628742518</c:v>
                      </c:pt>
                      <c:pt idx="20" formatCode="General">
                        <c:v>-12.476790419161679</c:v>
                      </c:pt>
                      <c:pt idx="21" formatCode="General">
                        <c:v>-11.737149700598804</c:v>
                      </c:pt>
                      <c:pt idx="22" formatCode="General">
                        <c:v>-10.99750898203593</c:v>
                      </c:pt>
                      <c:pt idx="23" formatCode="General">
                        <c:v>-10.257868263473053</c:v>
                      </c:pt>
                      <c:pt idx="24" formatCode="General">
                        <c:v>-9.5182275449101788</c:v>
                      </c:pt>
                      <c:pt idx="25" formatCode="General">
                        <c:v>-9.2039819819819808</c:v>
                      </c:pt>
                      <c:pt idx="26" formatCode="General">
                        <c:v>-8.9180960960960949</c:v>
                      </c:pt>
                      <c:pt idx="27" formatCode="General">
                        <c:v>-8.632210210210209</c:v>
                      </c:pt>
                      <c:pt idx="28" formatCode="General">
                        <c:v>-8.346324324324323</c:v>
                      </c:pt>
                      <c:pt idx="29" formatCode="General">
                        <c:v>-8.3124431137724546</c:v>
                      </c:pt>
                      <c:pt idx="30" formatCode="General">
                        <c:v>-8.3517245508982043</c:v>
                      </c:pt>
                      <c:pt idx="31" formatCode="General">
                        <c:v>-8.3910059880239523</c:v>
                      </c:pt>
                      <c:pt idx="32" formatCode="General">
                        <c:v>-8.4302874251497002</c:v>
                      </c:pt>
                      <c:pt idx="33" formatCode="General">
                        <c:v>-8.4697125748502984</c:v>
                      </c:pt>
                      <c:pt idx="34" formatCode="General">
                        <c:v>-8.5092335329341307</c:v>
                      </c:pt>
                      <c:pt idx="35" formatCode="General">
                        <c:v>-8.5487544910179629</c:v>
                      </c:pt>
                      <c:pt idx="36" formatCode="General">
                        <c:v>-8.5882754491017952</c:v>
                      </c:pt>
                      <c:pt idx="37" formatCode="General">
                        <c:v>-8.6277964071856292</c:v>
                      </c:pt>
                      <c:pt idx="38" formatCode="General">
                        <c:v>-8.6673173652694615</c:v>
                      </c:pt>
                      <c:pt idx="39" formatCode="General">
                        <c:v>-8.7068383233532938</c:v>
                      </c:pt>
                      <c:pt idx="40" formatCode="General">
                        <c:v>-8.746359281437126</c:v>
                      </c:pt>
                      <c:pt idx="41" formatCode="General">
                        <c:v>-8.7858802395209583</c:v>
                      </c:pt>
                      <c:pt idx="42" formatCode="General">
                        <c:v>-8.8254011976047906</c:v>
                      </c:pt>
                      <c:pt idx="43" formatCode="General">
                        <c:v>-8.8649221556886229</c:v>
                      </c:pt>
                      <c:pt idx="44" formatCode="General">
                        <c:v>-8.9044431137724551</c:v>
                      </c:pt>
                      <c:pt idx="45" formatCode="General">
                        <c:v>-8.9439640718562874</c:v>
                      </c:pt>
                      <c:pt idx="46" formatCode="General">
                        <c:v>-8.9834850299401197</c:v>
                      </c:pt>
                      <c:pt idx="47" formatCode="General">
                        <c:v>-9.0230059880239519</c:v>
                      </c:pt>
                      <c:pt idx="48" formatCode="General">
                        <c:v>-9.0625269461077842</c:v>
                      </c:pt>
                      <c:pt idx="49" formatCode="General">
                        <c:v>-9.1020479041916165</c:v>
                      </c:pt>
                      <c:pt idx="50" formatCode="General">
                        <c:v>-9.140516853932585</c:v>
                      </c:pt>
                      <c:pt idx="51" formatCode="General">
                        <c:v>-9.1788689138576789</c:v>
                      </c:pt>
                      <c:pt idx="52" formatCode="General">
                        <c:v>-9.2172209737827711</c:v>
                      </c:pt>
                      <c:pt idx="53" formatCode="General">
                        <c:v>-9.255573033707865</c:v>
                      </c:pt>
                      <c:pt idx="54" formatCode="General">
                        <c:v>-9.2939250936329589</c:v>
                      </c:pt>
                      <c:pt idx="55" formatCode="General">
                        <c:v>-9.3322771535580529</c:v>
                      </c:pt>
                      <c:pt idx="56" formatCode="General">
                        <c:v>-9.3706292134831468</c:v>
                      </c:pt>
                      <c:pt idx="57" formatCode="General">
                        <c:v>-9.4089812734082408</c:v>
                      </c:pt>
                      <c:pt idx="58" formatCode="General">
                        <c:v>-9.4473333333333329</c:v>
                      </c:pt>
                      <c:pt idx="59" formatCode="General">
                        <c:v>-9.4856853932584269</c:v>
                      </c:pt>
                      <c:pt idx="60" formatCode="General">
                        <c:v>-9.5240374531835208</c:v>
                      </c:pt>
                      <c:pt idx="61" formatCode="General">
                        <c:v>-9.5623895131086147</c:v>
                      </c:pt>
                      <c:pt idx="62" formatCode="General">
                        <c:v>-9.6007415730337087</c:v>
                      </c:pt>
                      <c:pt idx="63" formatCode="General">
                        <c:v>-9.6390936329588026</c:v>
                      </c:pt>
                      <c:pt idx="64" formatCode="General">
                        <c:v>-9.6774456928838966</c:v>
                      </c:pt>
                      <c:pt idx="65" formatCode="General">
                        <c:v>-9.7157977528089887</c:v>
                      </c:pt>
                      <c:pt idx="66" formatCode="General">
                        <c:v>-9.7536913857677909</c:v>
                      </c:pt>
                      <c:pt idx="67" formatCode="General">
                        <c:v>-9.7898861423220982</c:v>
                      </c:pt>
                      <c:pt idx="68" formatCode="General">
                        <c:v>-9.8260808988764055</c:v>
                      </c:pt>
                      <c:pt idx="69" formatCode="General">
                        <c:v>-9.8622756554307127</c:v>
                      </c:pt>
                      <c:pt idx="70" formatCode="General">
                        <c:v>-9.89847041198502</c:v>
                      </c:pt>
                      <c:pt idx="71" formatCode="General">
                        <c:v>-9.9346651685393255</c:v>
                      </c:pt>
                      <c:pt idx="72" formatCode="General">
                        <c:v>-9.9708599250936327</c:v>
                      </c:pt>
                      <c:pt idx="73" formatCode="General">
                        <c:v>-10.00705468164794</c:v>
                      </c:pt>
                      <c:pt idx="74" formatCode="General">
                        <c:v>-10.043249438202247</c:v>
                      </c:pt>
                      <c:pt idx="75" formatCode="General">
                        <c:v>-10.079444194756555</c:v>
                      </c:pt>
                      <c:pt idx="76" formatCode="General">
                        <c:v>-10.115638951310862</c:v>
                      </c:pt>
                      <c:pt idx="77" formatCode="General">
                        <c:v>-10.151833707865169</c:v>
                      </c:pt>
                      <c:pt idx="78" formatCode="General">
                        <c:v>-10.188028464419476</c:v>
                      </c:pt>
                      <c:pt idx="79" formatCode="General">
                        <c:v>-10.224223220973784</c:v>
                      </c:pt>
                      <c:pt idx="80" formatCode="General">
                        <c:v>-10.260417977528089</c:v>
                      </c:pt>
                      <c:pt idx="81" formatCode="General">
                        <c:v>-10.296612734082396</c:v>
                      </c:pt>
                      <c:pt idx="82" formatCode="General">
                        <c:v>-10.332807490636704</c:v>
                      </c:pt>
                      <c:pt idx="83" formatCode="General">
                        <c:v>-10.368107784431137</c:v>
                      </c:pt>
                      <c:pt idx="84" formatCode="General">
                        <c:v>-10.402598802395209</c:v>
                      </c:pt>
                      <c:pt idx="85" formatCode="General">
                        <c:v>-10.437089820359281</c:v>
                      </c:pt>
                      <c:pt idx="86" formatCode="General">
                        <c:v>-10.471580838323353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B-27FC-4A9D-A437-1D0023828BE9}"/>
                  </c:ext>
                </c:extLst>
              </c15:ser>
            </c15:filteredScatterSeries>
            <c15:filteredScatterSeries>
              <c15:ser>
                <c:idx val="7"/>
                <c:order val="9"/>
                <c:spPr>
                  <a:ln>
                    <a:solidFill>
                      <a:srgbClr val="FFC000"/>
                    </a:solidFill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306</c:v>
                      </c:pt>
                      <c:pt idx="1">
                        <c:v>314</c:v>
                      </c:pt>
                      <c:pt idx="2">
                        <c:v>322</c:v>
                      </c:pt>
                      <c:pt idx="3">
                        <c:v>330</c:v>
                      </c:pt>
                      <c:pt idx="4">
                        <c:v>338</c:v>
                      </c:pt>
                      <c:pt idx="5">
                        <c:v>346</c:v>
                      </c:pt>
                      <c:pt idx="6">
                        <c:v>354</c:v>
                      </c:pt>
                      <c:pt idx="7">
                        <c:v>362</c:v>
                      </c:pt>
                      <c:pt idx="8">
                        <c:v>370</c:v>
                      </c:pt>
                      <c:pt idx="9">
                        <c:v>378</c:v>
                      </c:pt>
                      <c:pt idx="10">
                        <c:v>386</c:v>
                      </c:pt>
                      <c:pt idx="11">
                        <c:v>394</c:v>
                      </c:pt>
                      <c:pt idx="12">
                        <c:v>402</c:v>
                      </c:pt>
                      <c:pt idx="13">
                        <c:v>410</c:v>
                      </c:pt>
                      <c:pt idx="14">
                        <c:v>418</c:v>
                      </c:pt>
                      <c:pt idx="15">
                        <c:v>426</c:v>
                      </c:pt>
                      <c:pt idx="16">
                        <c:v>434</c:v>
                      </c:pt>
                      <c:pt idx="17">
                        <c:v>442</c:v>
                      </c:pt>
                      <c:pt idx="18">
                        <c:v>450</c:v>
                      </c:pt>
                      <c:pt idx="19">
                        <c:v>458</c:v>
                      </c:pt>
                      <c:pt idx="20">
                        <c:v>466</c:v>
                      </c:pt>
                      <c:pt idx="21">
                        <c:v>474</c:v>
                      </c:pt>
                      <c:pt idx="22">
                        <c:v>482</c:v>
                      </c:pt>
                      <c:pt idx="23">
                        <c:v>490</c:v>
                      </c:pt>
                      <c:pt idx="24">
                        <c:v>498</c:v>
                      </c:pt>
                      <c:pt idx="25">
                        <c:v>506</c:v>
                      </c:pt>
                      <c:pt idx="26">
                        <c:v>514</c:v>
                      </c:pt>
                      <c:pt idx="27">
                        <c:v>522</c:v>
                      </c:pt>
                      <c:pt idx="28">
                        <c:v>530</c:v>
                      </c:pt>
                      <c:pt idx="29">
                        <c:v>538</c:v>
                      </c:pt>
                      <c:pt idx="30">
                        <c:v>546</c:v>
                      </c:pt>
                      <c:pt idx="31">
                        <c:v>554</c:v>
                      </c:pt>
                      <c:pt idx="32">
                        <c:v>562</c:v>
                      </c:pt>
                      <c:pt idx="33">
                        <c:v>570</c:v>
                      </c:pt>
                      <c:pt idx="34">
                        <c:v>578</c:v>
                      </c:pt>
                      <c:pt idx="35">
                        <c:v>586</c:v>
                      </c:pt>
                      <c:pt idx="36">
                        <c:v>594</c:v>
                      </c:pt>
                      <c:pt idx="37">
                        <c:v>602</c:v>
                      </c:pt>
                      <c:pt idx="38">
                        <c:v>610</c:v>
                      </c:pt>
                      <c:pt idx="39">
                        <c:v>618</c:v>
                      </c:pt>
                      <c:pt idx="40">
                        <c:v>626</c:v>
                      </c:pt>
                      <c:pt idx="41">
                        <c:v>634</c:v>
                      </c:pt>
                      <c:pt idx="42">
                        <c:v>642</c:v>
                      </c:pt>
                      <c:pt idx="43">
                        <c:v>650</c:v>
                      </c:pt>
                      <c:pt idx="44">
                        <c:v>658</c:v>
                      </c:pt>
                      <c:pt idx="45">
                        <c:v>666</c:v>
                      </c:pt>
                      <c:pt idx="46">
                        <c:v>674</c:v>
                      </c:pt>
                      <c:pt idx="47">
                        <c:v>682</c:v>
                      </c:pt>
                      <c:pt idx="48">
                        <c:v>690</c:v>
                      </c:pt>
                      <c:pt idx="49">
                        <c:v>698</c:v>
                      </c:pt>
                      <c:pt idx="50">
                        <c:v>706</c:v>
                      </c:pt>
                      <c:pt idx="51">
                        <c:v>714</c:v>
                      </c:pt>
                      <c:pt idx="52">
                        <c:v>722</c:v>
                      </c:pt>
                      <c:pt idx="53">
                        <c:v>730</c:v>
                      </c:pt>
                      <c:pt idx="54">
                        <c:v>738</c:v>
                      </c:pt>
                      <c:pt idx="55">
                        <c:v>746</c:v>
                      </c:pt>
                      <c:pt idx="56">
                        <c:v>754</c:v>
                      </c:pt>
                      <c:pt idx="57">
                        <c:v>762</c:v>
                      </c:pt>
                      <c:pt idx="58">
                        <c:v>770</c:v>
                      </c:pt>
                      <c:pt idx="59">
                        <c:v>778</c:v>
                      </c:pt>
                      <c:pt idx="60">
                        <c:v>786</c:v>
                      </c:pt>
                      <c:pt idx="61">
                        <c:v>794</c:v>
                      </c:pt>
                      <c:pt idx="62">
                        <c:v>802</c:v>
                      </c:pt>
                      <c:pt idx="63">
                        <c:v>810</c:v>
                      </c:pt>
                      <c:pt idx="64">
                        <c:v>818</c:v>
                      </c:pt>
                      <c:pt idx="65">
                        <c:v>826</c:v>
                      </c:pt>
                      <c:pt idx="66">
                        <c:v>834</c:v>
                      </c:pt>
                      <c:pt idx="67">
                        <c:v>842</c:v>
                      </c:pt>
                      <c:pt idx="68">
                        <c:v>850</c:v>
                      </c:pt>
                      <c:pt idx="69">
                        <c:v>858</c:v>
                      </c:pt>
                      <c:pt idx="70">
                        <c:v>866</c:v>
                      </c:pt>
                      <c:pt idx="71">
                        <c:v>874</c:v>
                      </c:pt>
                      <c:pt idx="72">
                        <c:v>882</c:v>
                      </c:pt>
                      <c:pt idx="73">
                        <c:v>890</c:v>
                      </c:pt>
                      <c:pt idx="74">
                        <c:v>898</c:v>
                      </c:pt>
                      <c:pt idx="75">
                        <c:v>906</c:v>
                      </c:pt>
                      <c:pt idx="76">
                        <c:v>914</c:v>
                      </c:pt>
                      <c:pt idx="77">
                        <c:v>922</c:v>
                      </c:pt>
                      <c:pt idx="78">
                        <c:v>930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EVALUATION!$B$110:$CP$110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-15.118108108108107</c:v>
                      </c:pt>
                      <c:pt idx="1">
                        <c:v>-14.88027027027027</c:v>
                      </c:pt>
                      <c:pt idx="2">
                        <c:v>-14.642432432432432</c:v>
                      </c:pt>
                      <c:pt idx="3">
                        <c:v>-14.404594594594593</c:v>
                      </c:pt>
                      <c:pt idx="4" formatCode="General">
                        <c:v>-13.959101796407184</c:v>
                      </c:pt>
                      <c:pt idx="5" formatCode="General">
                        <c:v>-13.46568862275449</c:v>
                      </c:pt>
                      <c:pt idx="6" formatCode="General">
                        <c:v>-12.972275449101796</c:v>
                      </c:pt>
                      <c:pt idx="7" formatCode="General">
                        <c:v>-12.478862275449101</c:v>
                      </c:pt>
                      <c:pt idx="8" formatCode="General">
                        <c:v>-11.950329341317365</c:v>
                      </c:pt>
                      <c:pt idx="9" formatCode="General">
                        <c:v>-11.40182634730539</c:v>
                      </c:pt>
                      <c:pt idx="10" formatCode="General">
                        <c:v>-10.853323353293414</c:v>
                      </c:pt>
                      <c:pt idx="11" formatCode="General">
                        <c:v>-10.304820359281438</c:v>
                      </c:pt>
                      <c:pt idx="12" formatCode="General">
                        <c:v>-9.7896616766467073</c:v>
                      </c:pt>
                      <c:pt idx="13" formatCode="General">
                        <c:v>-9.3132544910179647</c:v>
                      </c:pt>
                      <c:pt idx="14" formatCode="General">
                        <c:v>-8.836847305389222</c:v>
                      </c:pt>
                      <c:pt idx="15" formatCode="General">
                        <c:v>-8.3604401197604794</c:v>
                      </c:pt>
                      <c:pt idx="16" formatCode="General">
                        <c:v>-7.9011107784431145</c:v>
                      </c:pt>
                      <c:pt idx="17" formatCode="General">
                        <c:v>-7.4841047904191624</c:v>
                      </c:pt>
                      <c:pt idx="18" formatCode="General">
                        <c:v>-7.0670988023952104</c:v>
                      </c:pt>
                      <c:pt idx="19" formatCode="General">
                        <c:v>-6.6500928143712592</c:v>
                      </c:pt>
                      <c:pt idx="20" formatCode="General">
                        <c:v>-6.2383952095808395</c:v>
                      </c:pt>
                      <c:pt idx="21" formatCode="General">
                        <c:v>-5.8685748502994022</c:v>
                      </c:pt>
                      <c:pt idx="22" formatCode="General">
                        <c:v>-5.4987544910179649</c:v>
                      </c:pt>
                      <c:pt idx="23" formatCode="General">
                        <c:v>-5.1289341317365267</c:v>
                      </c:pt>
                      <c:pt idx="24" formatCode="General">
                        <c:v>-4.7591137724550894</c:v>
                      </c:pt>
                      <c:pt idx="25" formatCode="General">
                        <c:v>-4.6019909909909904</c:v>
                      </c:pt>
                      <c:pt idx="26" formatCode="General">
                        <c:v>-4.4590480480480474</c:v>
                      </c:pt>
                      <c:pt idx="27" formatCode="General">
                        <c:v>-4.3161051051051045</c:v>
                      </c:pt>
                      <c:pt idx="28" formatCode="General">
                        <c:v>-4.1731621621621615</c:v>
                      </c:pt>
                      <c:pt idx="29" formatCode="General">
                        <c:v>-4.1562215568862273</c:v>
                      </c:pt>
                      <c:pt idx="30" formatCode="General">
                        <c:v>-4.1758622754491022</c:v>
                      </c:pt>
                      <c:pt idx="31" formatCode="General">
                        <c:v>-4.1955029940119761</c:v>
                      </c:pt>
                      <c:pt idx="32" formatCode="General">
                        <c:v>-4.2151437125748501</c:v>
                      </c:pt>
                      <c:pt idx="33" formatCode="General">
                        <c:v>-4.2348562874251492</c:v>
                      </c:pt>
                      <c:pt idx="34" formatCode="General">
                        <c:v>-4.2546167664670653</c:v>
                      </c:pt>
                      <c:pt idx="35" formatCode="General">
                        <c:v>-4.2743772455089815</c:v>
                      </c:pt>
                      <c:pt idx="36" formatCode="General">
                        <c:v>-4.2941377245508976</c:v>
                      </c:pt>
                      <c:pt idx="37" formatCode="General">
                        <c:v>-4.3138982035928146</c:v>
                      </c:pt>
                      <c:pt idx="38" formatCode="General">
                        <c:v>-4.3336586826347308</c:v>
                      </c:pt>
                      <c:pt idx="39" formatCode="General">
                        <c:v>-4.3534191616766469</c:v>
                      </c:pt>
                      <c:pt idx="40" formatCode="General">
                        <c:v>-4.373179640718563</c:v>
                      </c:pt>
                      <c:pt idx="41" formatCode="General">
                        <c:v>-4.3929401197604792</c:v>
                      </c:pt>
                      <c:pt idx="42" formatCode="General">
                        <c:v>-4.4127005988023953</c:v>
                      </c:pt>
                      <c:pt idx="43" formatCode="General">
                        <c:v>-4.4324610778443114</c:v>
                      </c:pt>
                      <c:pt idx="44" formatCode="General">
                        <c:v>-4.4522215568862276</c:v>
                      </c:pt>
                      <c:pt idx="45" formatCode="General">
                        <c:v>-4.4719820359281437</c:v>
                      </c:pt>
                      <c:pt idx="46" formatCode="General">
                        <c:v>-4.4917425149700598</c:v>
                      </c:pt>
                      <c:pt idx="47" formatCode="General">
                        <c:v>-4.511502994011976</c:v>
                      </c:pt>
                      <c:pt idx="48" formatCode="General">
                        <c:v>-4.5312634730538921</c:v>
                      </c:pt>
                      <c:pt idx="49" formatCode="General">
                        <c:v>-4.5510239520958082</c:v>
                      </c:pt>
                      <c:pt idx="50" formatCode="General">
                        <c:v>-4.5702584269662925</c:v>
                      </c:pt>
                      <c:pt idx="51" formatCode="General">
                        <c:v>-4.5894344569288394</c:v>
                      </c:pt>
                      <c:pt idx="52" formatCode="General">
                        <c:v>-4.6086104868913855</c:v>
                      </c:pt>
                      <c:pt idx="53" formatCode="General">
                        <c:v>-4.6277865168539325</c:v>
                      </c:pt>
                      <c:pt idx="54" formatCode="General">
                        <c:v>-4.6469625468164795</c:v>
                      </c:pt>
                      <c:pt idx="55" formatCode="General">
                        <c:v>-4.6661385767790264</c:v>
                      </c:pt>
                      <c:pt idx="56" formatCode="General">
                        <c:v>-4.6853146067415734</c:v>
                      </c:pt>
                      <c:pt idx="57" formatCode="General">
                        <c:v>-4.7044906367041204</c:v>
                      </c:pt>
                      <c:pt idx="58" formatCode="General">
                        <c:v>-4.7236666666666665</c:v>
                      </c:pt>
                      <c:pt idx="59" formatCode="General">
                        <c:v>-4.7428426966292134</c:v>
                      </c:pt>
                      <c:pt idx="60" formatCode="General">
                        <c:v>-4.7620187265917604</c:v>
                      </c:pt>
                      <c:pt idx="61" formatCode="General">
                        <c:v>-4.7811947565543074</c:v>
                      </c:pt>
                      <c:pt idx="62" formatCode="General">
                        <c:v>-4.8003707865168543</c:v>
                      </c:pt>
                      <c:pt idx="63" formatCode="General">
                        <c:v>-4.8195468164794013</c:v>
                      </c:pt>
                      <c:pt idx="64" formatCode="General">
                        <c:v>-4.8387228464419483</c:v>
                      </c:pt>
                      <c:pt idx="65" formatCode="General">
                        <c:v>-4.8578988764044944</c:v>
                      </c:pt>
                      <c:pt idx="66" formatCode="General">
                        <c:v>-4.8768456928838955</c:v>
                      </c:pt>
                      <c:pt idx="67" formatCode="General">
                        <c:v>-4.8949430711610491</c:v>
                      </c:pt>
                      <c:pt idx="68" formatCode="General">
                        <c:v>-4.9130404494382027</c:v>
                      </c:pt>
                      <c:pt idx="69" formatCode="General">
                        <c:v>-4.9311378277153564</c:v>
                      </c:pt>
                      <c:pt idx="70" formatCode="General">
                        <c:v>-4.94923520599251</c:v>
                      </c:pt>
                      <c:pt idx="71" formatCode="General">
                        <c:v>-4.9673325842696627</c:v>
                      </c:pt>
                      <c:pt idx="72" formatCode="General">
                        <c:v>-4.9854299625468164</c:v>
                      </c:pt>
                      <c:pt idx="73" formatCode="General">
                        <c:v>-5.00352734082397</c:v>
                      </c:pt>
                      <c:pt idx="74" formatCode="General">
                        <c:v>-5.0216247191011236</c:v>
                      </c:pt>
                      <c:pt idx="75" formatCode="General">
                        <c:v>-5.0397220973782773</c:v>
                      </c:pt>
                      <c:pt idx="76" formatCode="General">
                        <c:v>-5.0578194756554309</c:v>
                      </c:pt>
                      <c:pt idx="77" formatCode="General">
                        <c:v>-5.0759168539325845</c:v>
                      </c:pt>
                      <c:pt idx="78" formatCode="General">
                        <c:v>-5.0940142322097381</c:v>
                      </c:pt>
                      <c:pt idx="79" formatCode="General">
                        <c:v>-5.1121116104868918</c:v>
                      </c:pt>
                      <c:pt idx="80" formatCode="General">
                        <c:v>-5.1302089887640445</c:v>
                      </c:pt>
                      <c:pt idx="81" formatCode="General">
                        <c:v>-5.1483063670411982</c:v>
                      </c:pt>
                      <c:pt idx="82" formatCode="General">
                        <c:v>-5.1664037453183518</c:v>
                      </c:pt>
                      <c:pt idx="83" formatCode="General">
                        <c:v>-5.1840538922155686</c:v>
                      </c:pt>
                      <c:pt idx="84" formatCode="General">
                        <c:v>-5.2012994011976046</c:v>
                      </c:pt>
                      <c:pt idx="85" formatCode="General">
                        <c:v>-5.2185449101796406</c:v>
                      </c:pt>
                      <c:pt idx="86" formatCode="General">
                        <c:v>-5.2357904191616766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C-27FC-4A9D-A437-1D0023828BE9}"/>
                  </c:ext>
                </c:extLst>
              </c15:ser>
            </c15:filteredScatterSeries>
            <c15:filteredScatterSeries>
              <c15:ser>
                <c:idx val="8"/>
                <c:order val="10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306</c:v>
                      </c:pt>
                      <c:pt idx="1">
                        <c:v>314</c:v>
                      </c:pt>
                      <c:pt idx="2">
                        <c:v>322</c:v>
                      </c:pt>
                      <c:pt idx="3">
                        <c:v>330</c:v>
                      </c:pt>
                      <c:pt idx="4">
                        <c:v>338</c:v>
                      </c:pt>
                      <c:pt idx="5">
                        <c:v>346</c:v>
                      </c:pt>
                      <c:pt idx="6">
                        <c:v>354</c:v>
                      </c:pt>
                      <c:pt idx="7">
                        <c:v>362</c:v>
                      </c:pt>
                      <c:pt idx="8">
                        <c:v>370</c:v>
                      </c:pt>
                      <c:pt idx="9">
                        <c:v>378</c:v>
                      </c:pt>
                      <c:pt idx="10">
                        <c:v>386</c:v>
                      </c:pt>
                      <c:pt idx="11">
                        <c:v>394</c:v>
                      </c:pt>
                      <c:pt idx="12">
                        <c:v>402</c:v>
                      </c:pt>
                      <c:pt idx="13">
                        <c:v>410</c:v>
                      </c:pt>
                      <c:pt idx="14">
                        <c:v>418</c:v>
                      </c:pt>
                      <c:pt idx="15">
                        <c:v>426</c:v>
                      </c:pt>
                      <c:pt idx="16">
                        <c:v>434</c:v>
                      </c:pt>
                      <c:pt idx="17">
                        <c:v>442</c:v>
                      </c:pt>
                      <c:pt idx="18">
                        <c:v>450</c:v>
                      </c:pt>
                      <c:pt idx="19">
                        <c:v>458</c:v>
                      </c:pt>
                      <c:pt idx="20">
                        <c:v>466</c:v>
                      </c:pt>
                      <c:pt idx="21">
                        <c:v>474</c:v>
                      </c:pt>
                      <c:pt idx="22">
                        <c:v>482</c:v>
                      </c:pt>
                      <c:pt idx="23">
                        <c:v>490</c:v>
                      </c:pt>
                      <c:pt idx="24">
                        <c:v>498</c:v>
                      </c:pt>
                      <c:pt idx="25">
                        <c:v>506</c:v>
                      </c:pt>
                      <c:pt idx="26">
                        <c:v>514</c:v>
                      </c:pt>
                      <c:pt idx="27">
                        <c:v>522</c:v>
                      </c:pt>
                      <c:pt idx="28">
                        <c:v>530</c:v>
                      </c:pt>
                      <c:pt idx="29">
                        <c:v>538</c:v>
                      </c:pt>
                      <c:pt idx="30">
                        <c:v>546</c:v>
                      </c:pt>
                      <c:pt idx="31">
                        <c:v>554</c:v>
                      </c:pt>
                      <c:pt idx="32">
                        <c:v>562</c:v>
                      </c:pt>
                      <c:pt idx="33">
                        <c:v>570</c:v>
                      </c:pt>
                      <c:pt idx="34">
                        <c:v>578</c:v>
                      </c:pt>
                      <c:pt idx="35">
                        <c:v>586</c:v>
                      </c:pt>
                      <c:pt idx="36">
                        <c:v>594</c:v>
                      </c:pt>
                      <c:pt idx="37">
                        <c:v>602</c:v>
                      </c:pt>
                      <c:pt idx="38">
                        <c:v>610</c:v>
                      </c:pt>
                      <c:pt idx="39">
                        <c:v>618</c:v>
                      </c:pt>
                      <c:pt idx="40">
                        <c:v>626</c:v>
                      </c:pt>
                      <c:pt idx="41">
                        <c:v>634</c:v>
                      </c:pt>
                      <c:pt idx="42">
                        <c:v>642</c:v>
                      </c:pt>
                      <c:pt idx="43">
                        <c:v>650</c:v>
                      </c:pt>
                      <c:pt idx="44">
                        <c:v>658</c:v>
                      </c:pt>
                      <c:pt idx="45">
                        <c:v>666</c:v>
                      </c:pt>
                      <c:pt idx="46">
                        <c:v>674</c:v>
                      </c:pt>
                      <c:pt idx="47">
                        <c:v>682</c:v>
                      </c:pt>
                      <c:pt idx="48">
                        <c:v>690</c:v>
                      </c:pt>
                      <c:pt idx="49">
                        <c:v>698</c:v>
                      </c:pt>
                      <c:pt idx="50">
                        <c:v>706</c:v>
                      </c:pt>
                      <c:pt idx="51">
                        <c:v>714</c:v>
                      </c:pt>
                      <c:pt idx="52">
                        <c:v>722</c:v>
                      </c:pt>
                      <c:pt idx="53">
                        <c:v>730</c:v>
                      </c:pt>
                      <c:pt idx="54">
                        <c:v>738</c:v>
                      </c:pt>
                      <c:pt idx="55">
                        <c:v>746</c:v>
                      </c:pt>
                      <c:pt idx="56">
                        <c:v>754</c:v>
                      </c:pt>
                      <c:pt idx="57">
                        <c:v>762</c:v>
                      </c:pt>
                      <c:pt idx="58">
                        <c:v>770</c:v>
                      </c:pt>
                      <c:pt idx="59">
                        <c:v>778</c:v>
                      </c:pt>
                      <c:pt idx="60">
                        <c:v>786</c:v>
                      </c:pt>
                      <c:pt idx="61">
                        <c:v>794</c:v>
                      </c:pt>
                      <c:pt idx="62">
                        <c:v>802</c:v>
                      </c:pt>
                      <c:pt idx="63">
                        <c:v>810</c:v>
                      </c:pt>
                      <c:pt idx="64">
                        <c:v>818</c:v>
                      </c:pt>
                      <c:pt idx="65">
                        <c:v>826</c:v>
                      </c:pt>
                      <c:pt idx="66">
                        <c:v>834</c:v>
                      </c:pt>
                      <c:pt idx="67">
                        <c:v>842</c:v>
                      </c:pt>
                      <c:pt idx="68">
                        <c:v>850</c:v>
                      </c:pt>
                      <c:pt idx="69">
                        <c:v>858</c:v>
                      </c:pt>
                      <c:pt idx="70">
                        <c:v>866</c:v>
                      </c:pt>
                      <c:pt idx="71">
                        <c:v>874</c:v>
                      </c:pt>
                      <c:pt idx="72">
                        <c:v>882</c:v>
                      </c:pt>
                      <c:pt idx="73">
                        <c:v>890</c:v>
                      </c:pt>
                      <c:pt idx="74">
                        <c:v>898</c:v>
                      </c:pt>
                      <c:pt idx="75">
                        <c:v>906</c:v>
                      </c:pt>
                      <c:pt idx="76">
                        <c:v>914</c:v>
                      </c:pt>
                      <c:pt idx="77">
                        <c:v>922</c:v>
                      </c:pt>
                      <c:pt idx="78">
                        <c:v>930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EVALUATION!$B$111:$CP$111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-19.022342342342341</c:v>
                      </c:pt>
                      <c:pt idx="1">
                        <c:v>-19.024744744744744</c:v>
                      </c:pt>
                      <c:pt idx="2">
                        <c:v>-19.027147147147147</c:v>
                      </c:pt>
                      <c:pt idx="3">
                        <c:v>-19.02954954954955</c:v>
                      </c:pt>
                      <c:pt idx="4" formatCode="General">
                        <c:v>-19.035838323353293</c:v>
                      </c:pt>
                      <c:pt idx="5" formatCode="General">
                        <c:v>-19.043023952095808</c:v>
                      </c:pt>
                      <c:pt idx="6" formatCode="General">
                        <c:v>-19.050209580838324</c:v>
                      </c:pt>
                      <c:pt idx="7" formatCode="General">
                        <c:v>-19.057395209580836</c:v>
                      </c:pt>
                      <c:pt idx="8" formatCode="General">
                        <c:v>-19.06763473053892</c:v>
                      </c:pt>
                      <c:pt idx="9" formatCode="General">
                        <c:v>-19.079610778443111</c:v>
                      </c:pt>
                      <c:pt idx="10" formatCode="General">
                        <c:v>-19.091586826347303</c:v>
                      </c:pt>
                      <c:pt idx="11" formatCode="General">
                        <c:v>-19.103562874251498</c:v>
                      </c:pt>
                      <c:pt idx="12" formatCode="General">
                        <c:v>-19.116646706586828</c:v>
                      </c:pt>
                      <c:pt idx="13" formatCode="General">
                        <c:v>-19.131017964071855</c:v>
                      </c:pt>
                      <c:pt idx="14" formatCode="General">
                        <c:v>-19.145389221556886</c:v>
                      </c:pt>
                      <c:pt idx="15" formatCode="General">
                        <c:v>-19.159760479041918</c:v>
                      </c:pt>
                      <c:pt idx="16" formatCode="General">
                        <c:v>-19.174131736526949</c:v>
                      </c:pt>
                      <c:pt idx="17" formatCode="General">
                        <c:v>-19.188502994011976</c:v>
                      </c:pt>
                      <c:pt idx="18" formatCode="General">
                        <c:v>-19.202874251497008</c:v>
                      </c:pt>
                      <c:pt idx="19" formatCode="General">
                        <c:v>-19.217245508982035</c:v>
                      </c:pt>
                      <c:pt idx="20" formatCode="General">
                        <c:v>-19.231886227544912</c:v>
                      </c:pt>
                      <c:pt idx="21" formatCode="General">
                        <c:v>-19.248652694610779</c:v>
                      </c:pt>
                      <c:pt idx="22" formatCode="General">
                        <c:v>-19.265419161676647</c:v>
                      </c:pt>
                      <c:pt idx="23" formatCode="General">
                        <c:v>-19.282185628742514</c:v>
                      </c:pt>
                      <c:pt idx="24" formatCode="General">
                        <c:v>-19.298952095808385</c:v>
                      </c:pt>
                      <c:pt idx="25" formatCode="General">
                        <c:v>-19.2481981981982</c:v>
                      </c:pt>
                      <c:pt idx="26" formatCode="General">
                        <c:v>-19.192942942942942</c:v>
                      </c:pt>
                      <c:pt idx="27" formatCode="General">
                        <c:v>-19.137687687687688</c:v>
                      </c:pt>
                      <c:pt idx="28" formatCode="General">
                        <c:v>-19.082432432432434</c:v>
                      </c:pt>
                      <c:pt idx="29" formatCode="General">
                        <c:v>-19.062574850299402</c:v>
                      </c:pt>
                      <c:pt idx="30" formatCode="General">
                        <c:v>-19.052994011976047</c:v>
                      </c:pt>
                      <c:pt idx="31" formatCode="General">
                        <c:v>-19.043413173652695</c:v>
                      </c:pt>
                      <c:pt idx="32" formatCode="General">
                        <c:v>-19.033832335329343</c:v>
                      </c:pt>
                      <c:pt idx="33" formatCode="General">
                        <c:v>-19.040059880239522</c:v>
                      </c:pt>
                      <c:pt idx="34" formatCode="General">
                        <c:v>-19.056826347305389</c:v>
                      </c:pt>
                      <c:pt idx="35" formatCode="General">
                        <c:v>-19.07359281437126</c:v>
                      </c:pt>
                      <c:pt idx="36" formatCode="General">
                        <c:v>-19.090359281437127</c:v>
                      </c:pt>
                      <c:pt idx="37" formatCode="General">
                        <c:v>-19.107125748502995</c:v>
                      </c:pt>
                      <c:pt idx="38" formatCode="General">
                        <c:v>-19.123892215568862</c:v>
                      </c:pt>
                      <c:pt idx="39" formatCode="General">
                        <c:v>-19.140658682634729</c:v>
                      </c:pt>
                      <c:pt idx="40" formatCode="General">
                        <c:v>-19.1574251497006</c:v>
                      </c:pt>
                      <c:pt idx="41" formatCode="General">
                        <c:v>-19.174191616766468</c:v>
                      </c:pt>
                      <c:pt idx="42" formatCode="General">
                        <c:v>-19.190958083832335</c:v>
                      </c:pt>
                      <c:pt idx="43" formatCode="General">
                        <c:v>-19.207724550898202</c:v>
                      </c:pt>
                      <c:pt idx="44" formatCode="General">
                        <c:v>-19.22449101796407</c:v>
                      </c:pt>
                      <c:pt idx="45" formatCode="General">
                        <c:v>-19.241257485029941</c:v>
                      </c:pt>
                      <c:pt idx="46" formatCode="General">
                        <c:v>-19.258023952095808</c:v>
                      </c:pt>
                      <c:pt idx="47" formatCode="General">
                        <c:v>-19.274790419161675</c:v>
                      </c:pt>
                      <c:pt idx="48" formatCode="General">
                        <c:v>-19.291556886227543</c:v>
                      </c:pt>
                      <c:pt idx="49" formatCode="General">
                        <c:v>-19.30832335329341</c:v>
                      </c:pt>
                      <c:pt idx="50" formatCode="General">
                        <c:v>-19.324022471910112</c:v>
                      </c:pt>
                      <c:pt idx="51" formatCode="General">
                        <c:v>-19.33960299625468</c:v>
                      </c:pt>
                      <c:pt idx="52" formatCode="General">
                        <c:v>-19.355183520599251</c:v>
                      </c:pt>
                      <c:pt idx="53" formatCode="General">
                        <c:v>-19.370764044943819</c:v>
                      </c:pt>
                      <c:pt idx="54" formatCode="General">
                        <c:v>-19.38634456928839</c:v>
                      </c:pt>
                      <c:pt idx="55" formatCode="General">
                        <c:v>-19.401925093632958</c:v>
                      </c:pt>
                      <c:pt idx="56" formatCode="General">
                        <c:v>-19.417505617977529</c:v>
                      </c:pt>
                      <c:pt idx="57" formatCode="General">
                        <c:v>-19.433086142322097</c:v>
                      </c:pt>
                      <c:pt idx="58" formatCode="General">
                        <c:v>-19.448666666666668</c:v>
                      </c:pt>
                      <c:pt idx="59" formatCode="General">
                        <c:v>-19.464247191011236</c:v>
                      </c:pt>
                      <c:pt idx="60" formatCode="General">
                        <c:v>-19.479827715355807</c:v>
                      </c:pt>
                      <c:pt idx="61" formatCode="General">
                        <c:v>-19.495408239700375</c:v>
                      </c:pt>
                      <c:pt idx="62" formatCode="General">
                        <c:v>-19.510988764044942</c:v>
                      </c:pt>
                      <c:pt idx="63" formatCode="General">
                        <c:v>-19.526569288389513</c:v>
                      </c:pt>
                      <c:pt idx="64" formatCode="General">
                        <c:v>-19.542149812734081</c:v>
                      </c:pt>
                      <c:pt idx="65" formatCode="General">
                        <c:v>-19.557730337078652</c:v>
                      </c:pt>
                      <c:pt idx="66" formatCode="General">
                        <c:v>-19.573183520599251</c:v>
                      </c:pt>
                      <c:pt idx="67" formatCode="General">
                        <c:v>-19.58816479400749</c:v>
                      </c:pt>
                      <c:pt idx="68" formatCode="General">
                        <c:v>-19.603146067415732</c:v>
                      </c:pt>
                      <c:pt idx="69" formatCode="General">
                        <c:v>-19.618127340823971</c:v>
                      </c:pt>
                      <c:pt idx="70" formatCode="General">
                        <c:v>-19.63310861423221</c:v>
                      </c:pt>
                      <c:pt idx="71" formatCode="General">
                        <c:v>-19.648089887640449</c:v>
                      </c:pt>
                      <c:pt idx="72" formatCode="General">
                        <c:v>-19.663071161048691</c:v>
                      </c:pt>
                      <c:pt idx="73" formatCode="General">
                        <c:v>-19.67805243445693</c:v>
                      </c:pt>
                      <c:pt idx="74" formatCode="General">
                        <c:v>-19.693033707865169</c:v>
                      </c:pt>
                      <c:pt idx="75" formatCode="General">
                        <c:v>-19.708014981273408</c:v>
                      </c:pt>
                      <c:pt idx="76" formatCode="General">
                        <c:v>-19.722996254681647</c:v>
                      </c:pt>
                      <c:pt idx="77" formatCode="General">
                        <c:v>-19.737977528089889</c:v>
                      </c:pt>
                      <c:pt idx="78" formatCode="General">
                        <c:v>-19.752958801498128</c:v>
                      </c:pt>
                      <c:pt idx="79" formatCode="General">
                        <c:v>-19.767940074906367</c:v>
                      </c:pt>
                      <c:pt idx="80" formatCode="General">
                        <c:v>-19.782921348314606</c:v>
                      </c:pt>
                      <c:pt idx="81" formatCode="General">
                        <c:v>-19.797902621722848</c:v>
                      </c:pt>
                      <c:pt idx="82" formatCode="General">
                        <c:v>-19.812883895131087</c:v>
                      </c:pt>
                      <c:pt idx="83" formatCode="General">
                        <c:v>-19.82754491017964</c:v>
                      </c:pt>
                      <c:pt idx="84" formatCode="General">
                        <c:v>-19.841916167664671</c:v>
                      </c:pt>
                      <c:pt idx="85" formatCode="General">
                        <c:v>-19.856287425149699</c:v>
                      </c:pt>
                      <c:pt idx="86" formatCode="General">
                        <c:v>-19.87065868263473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D-27FC-4A9D-A437-1D0023828BE9}"/>
                  </c:ext>
                </c:extLst>
              </c15:ser>
            </c15:filteredScatterSeries>
            <c15:filteredScatterSeries>
              <c15:ser>
                <c:idx val="9"/>
                <c:order val="11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306</c:v>
                      </c:pt>
                      <c:pt idx="1">
                        <c:v>314</c:v>
                      </c:pt>
                      <c:pt idx="2">
                        <c:v>322</c:v>
                      </c:pt>
                      <c:pt idx="3">
                        <c:v>330</c:v>
                      </c:pt>
                      <c:pt idx="4">
                        <c:v>338</c:v>
                      </c:pt>
                      <c:pt idx="5">
                        <c:v>346</c:v>
                      </c:pt>
                      <c:pt idx="6">
                        <c:v>354</c:v>
                      </c:pt>
                      <c:pt idx="7">
                        <c:v>362</c:v>
                      </c:pt>
                      <c:pt idx="8">
                        <c:v>370</c:v>
                      </c:pt>
                      <c:pt idx="9">
                        <c:v>378</c:v>
                      </c:pt>
                      <c:pt idx="10">
                        <c:v>386</c:v>
                      </c:pt>
                      <c:pt idx="11">
                        <c:v>394</c:v>
                      </c:pt>
                      <c:pt idx="12">
                        <c:v>402</c:v>
                      </c:pt>
                      <c:pt idx="13">
                        <c:v>410</c:v>
                      </c:pt>
                      <c:pt idx="14">
                        <c:v>418</c:v>
                      </c:pt>
                      <c:pt idx="15">
                        <c:v>426</c:v>
                      </c:pt>
                      <c:pt idx="16">
                        <c:v>434</c:v>
                      </c:pt>
                      <c:pt idx="17">
                        <c:v>442</c:v>
                      </c:pt>
                      <c:pt idx="18">
                        <c:v>450</c:v>
                      </c:pt>
                      <c:pt idx="19">
                        <c:v>458</c:v>
                      </c:pt>
                      <c:pt idx="20">
                        <c:v>466</c:v>
                      </c:pt>
                      <c:pt idx="21">
                        <c:v>474</c:v>
                      </c:pt>
                      <c:pt idx="22">
                        <c:v>482</c:v>
                      </c:pt>
                      <c:pt idx="23">
                        <c:v>490</c:v>
                      </c:pt>
                      <c:pt idx="24">
                        <c:v>498</c:v>
                      </c:pt>
                      <c:pt idx="25">
                        <c:v>506</c:v>
                      </c:pt>
                      <c:pt idx="26">
                        <c:v>514</c:v>
                      </c:pt>
                      <c:pt idx="27">
                        <c:v>522</c:v>
                      </c:pt>
                      <c:pt idx="28">
                        <c:v>530</c:v>
                      </c:pt>
                      <c:pt idx="29">
                        <c:v>538</c:v>
                      </c:pt>
                      <c:pt idx="30">
                        <c:v>546</c:v>
                      </c:pt>
                      <c:pt idx="31">
                        <c:v>554</c:v>
                      </c:pt>
                      <c:pt idx="32">
                        <c:v>562</c:v>
                      </c:pt>
                      <c:pt idx="33">
                        <c:v>570</c:v>
                      </c:pt>
                      <c:pt idx="34">
                        <c:v>578</c:v>
                      </c:pt>
                      <c:pt idx="35">
                        <c:v>586</c:v>
                      </c:pt>
                      <c:pt idx="36">
                        <c:v>594</c:v>
                      </c:pt>
                      <c:pt idx="37">
                        <c:v>602</c:v>
                      </c:pt>
                      <c:pt idx="38">
                        <c:v>610</c:v>
                      </c:pt>
                      <c:pt idx="39">
                        <c:v>618</c:v>
                      </c:pt>
                      <c:pt idx="40">
                        <c:v>626</c:v>
                      </c:pt>
                      <c:pt idx="41">
                        <c:v>634</c:v>
                      </c:pt>
                      <c:pt idx="42">
                        <c:v>642</c:v>
                      </c:pt>
                      <c:pt idx="43">
                        <c:v>650</c:v>
                      </c:pt>
                      <c:pt idx="44">
                        <c:v>658</c:v>
                      </c:pt>
                      <c:pt idx="45">
                        <c:v>666</c:v>
                      </c:pt>
                      <c:pt idx="46">
                        <c:v>674</c:v>
                      </c:pt>
                      <c:pt idx="47">
                        <c:v>682</c:v>
                      </c:pt>
                      <c:pt idx="48">
                        <c:v>690</c:v>
                      </c:pt>
                      <c:pt idx="49">
                        <c:v>698</c:v>
                      </c:pt>
                      <c:pt idx="50">
                        <c:v>706</c:v>
                      </c:pt>
                      <c:pt idx="51">
                        <c:v>714</c:v>
                      </c:pt>
                      <c:pt idx="52">
                        <c:v>722</c:v>
                      </c:pt>
                      <c:pt idx="53">
                        <c:v>730</c:v>
                      </c:pt>
                      <c:pt idx="54">
                        <c:v>738</c:v>
                      </c:pt>
                      <c:pt idx="55">
                        <c:v>746</c:v>
                      </c:pt>
                      <c:pt idx="56">
                        <c:v>754</c:v>
                      </c:pt>
                      <c:pt idx="57">
                        <c:v>762</c:v>
                      </c:pt>
                      <c:pt idx="58">
                        <c:v>770</c:v>
                      </c:pt>
                      <c:pt idx="59">
                        <c:v>778</c:v>
                      </c:pt>
                      <c:pt idx="60">
                        <c:v>786</c:v>
                      </c:pt>
                      <c:pt idx="61">
                        <c:v>794</c:v>
                      </c:pt>
                      <c:pt idx="62">
                        <c:v>802</c:v>
                      </c:pt>
                      <c:pt idx="63">
                        <c:v>810</c:v>
                      </c:pt>
                      <c:pt idx="64">
                        <c:v>818</c:v>
                      </c:pt>
                      <c:pt idx="65">
                        <c:v>826</c:v>
                      </c:pt>
                      <c:pt idx="66">
                        <c:v>834</c:v>
                      </c:pt>
                      <c:pt idx="67">
                        <c:v>842</c:v>
                      </c:pt>
                      <c:pt idx="68">
                        <c:v>850</c:v>
                      </c:pt>
                      <c:pt idx="69">
                        <c:v>858</c:v>
                      </c:pt>
                      <c:pt idx="70">
                        <c:v>866</c:v>
                      </c:pt>
                      <c:pt idx="71">
                        <c:v>874</c:v>
                      </c:pt>
                      <c:pt idx="72">
                        <c:v>882</c:v>
                      </c:pt>
                      <c:pt idx="73">
                        <c:v>890</c:v>
                      </c:pt>
                      <c:pt idx="74">
                        <c:v>898</c:v>
                      </c:pt>
                      <c:pt idx="75">
                        <c:v>906</c:v>
                      </c:pt>
                      <c:pt idx="76">
                        <c:v>914</c:v>
                      </c:pt>
                      <c:pt idx="77">
                        <c:v>922</c:v>
                      </c:pt>
                      <c:pt idx="78">
                        <c:v>930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EVALUATION!$B$112:$CP$112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-15.118108108108107</c:v>
                      </c:pt>
                      <c:pt idx="1">
                        <c:v>-14.88027027027027</c:v>
                      </c:pt>
                      <c:pt idx="2">
                        <c:v>-14.642432432432432</c:v>
                      </c:pt>
                      <c:pt idx="3">
                        <c:v>-14.404594594594593</c:v>
                      </c:pt>
                      <c:pt idx="4" formatCode="General">
                        <c:v>-13.959101796407184</c:v>
                      </c:pt>
                      <c:pt idx="5" formatCode="General">
                        <c:v>-13.46568862275449</c:v>
                      </c:pt>
                      <c:pt idx="6" formatCode="General">
                        <c:v>-12.972275449101796</c:v>
                      </c:pt>
                      <c:pt idx="7" formatCode="General">
                        <c:v>-12.478862275449101</c:v>
                      </c:pt>
                      <c:pt idx="8" formatCode="General">
                        <c:v>-11.950329341317365</c:v>
                      </c:pt>
                      <c:pt idx="9" formatCode="General">
                        <c:v>-11.40182634730539</c:v>
                      </c:pt>
                      <c:pt idx="10" formatCode="General">
                        <c:v>-10.853323353293414</c:v>
                      </c:pt>
                      <c:pt idx="11" formatCode="General">
                        <c:v>-10.304820359281438</c:v>
                      </c:pt>
                      <c:pt idx="12" formatCode="General">
                        <c:v>-9.7896616766467073</c:v>
                      </c:pt>
                      <c:pt idx="13" formatCode="General">
                        <c:v>-9.3132544910179647</c:v>
                      </c:pt>
                      <c:pt idx="14" formatCode="General">
                        <c:v>-8.836847305389222</c:v>
                      </c:pt>
                      <c:pt idx="15" formatCode="General">
                        <c:v>-8.3604401197604794</c:v>
                      </c:pt>
                      <c:pt idx="16" formatCode="General">
                        <c:v>-7.9011107784431145</c:v>
                      </c:pt>
                      <c:pt idx="17" formatCode="General">
                        <c:v>-7.4841047904191624</c:v>
                      </c:pt>
                      <c:pt idx="18" formatCode="General">
                        <c:v>-7.0670988023952104</c:v>
                      </c:pt>
                      <c:pt idx="19" formatCode="General">
                        <c:v>-6.6500928143712592</c:v>
                      </c:pt>
                      <c:pt idx="20" formatCode="General">
                        <c:v>-6.2383952095808395</c:v>
                      </c:pt>
                      <c:pt idx="21" formatCode="General">
                        <c:v>-5.8685748502994022</c:v>
                      </c:pt>
                      <c:pt idx="22" formatCode="General">
                        <c:v>-5.4987544910179649</c:v>
                      </c:pt>
                      <c:pt idx="23" formatCode="General">
                        <c:v>-5.1289341317365267</c:v>
                      </c:pt>
                      <c:pt idx="24" formatCode="General">
                        <c:v>-4.7591137724550894</c:v>
                      </c:pt>
                      <c:pt idx="25" formatCode="General">
                        <c:v>-4.6019909909909904</c:v>
                      </c:pt>
                      <c:pt idx="26" formatCode="General">
                        <c:v>-4.4590480480480474</c:v>
                      </c:pt>
                      <c:pt idx="27" formatCode="General">
                        <c:v>-4.3161051051051045</c:v>
                      </c:pt>
                      <c:pt idx="28" formatCode="General">
                        <c:v>-4.1731621621621615</c:v>
                      </c:pt>
                      <c:pt idx="29" formatCode="General">
                        <c:v>-4.1562215568862273</c:v>
                      </c:pt>
                      <c:pt idx="30" formatCode="General">
                        <c:v>-4.1758622754491022</c:v>
                      </c:pt>
                      <c:pt idx="31" formatCode="General">
                        <c:v>-4.1955029940119761</c:v>
                      </c:pt>
                      <c:pt idx="32" formatCode="General">
                        <c:v>-4.2151437125748501</c:v>
                      </c:pt>
                      <c:pt idx="33" formatCode="General">
                        <c:v>-4.2348562874251492</c:v>
                      </c:pt>
                      <c:pt idx="34" formatCode="General">
                        <c:v>-4.2546167664670653</c:v>
                      </c:pt>
                      <c:pt idx="35" formatCode="General">
                        <c:v>-4.2743772455089815</c:v>
                      </c:pt>
                      <c:pt idx="36" formatCode="General">
                        <c:v>-4.2941377245508976</c:v>
                      </c:pt>
                      <c:pt idx="37" formatCode="General">
                        <c:v>-4.3138982035928146</c:v>
                      </c:pt>
                      <c:pt idx="38" formatCode="General">
                        <c:v>-4.3336586826347308</c:v>
                      </c:pt>
                      <c:pt idx="39" formatCode="General">
                        <c:v>-4.3534191616766469</c:v>
                      </c:pt>
                      <c:pt idx="40" formatCode="General">
                        <c:v>-4.373179640718563</c:v>
                      </c:pt>
                      <c:pt idx="41" formatCode="General">
                        <c:v>-4.3929401197604792</c:v>
                      </c:pt>
                      <c:pt idx="42" formatCode="General">
                        <c:v>-4.4127005988023953</c:v>
                      </c:pt>
                      <c:pt idx="43" formatCode="General">
                        <c:v>-4.4324610778443114</c:v>
                      </c:pt>
                      <c:pt idx="44" formatCode="General">
                        <c:v>-4.4522215568862276</c:v>
                      </c:pt>
                      <c:pt idx="45" formatCode="General">
                        <c:v>-4.4719820359281437</c:v>
                      </c:pt>
                      <c:pt idx="46" formatCode="General">
                        <c:v>-4.4917425149700598</c:v>
                      </c:pt>
                      <c:pt idx="47" formatCode="General">
                        <c:v>-4.511502994011976</c:v>
                      </c:pt>
                      <c:pt idx="48" formatCode="General">
                        <c:v>-4.5312634730538921</c:v>
                      </c:pt>
                      <c:pt idx="49" formatCode="General">
                        <c:v>-4.5510239520958082</c:v>
                      </c:pt>
                      <c:pt idx="50" formatCode="General">
                        <c:v>-4.5702584269662925</c:v>
                      </c:pt>
                      <c:pt idx="51" formatCode="General">
                        <c:v>-4.5894344569288394</c:v>
                      </c:pt>
                      <c:pt idx="52" formatCode="General">
                        <c:v>-4.6086104868913855</c:v>
                      </c:pt>
                      <c:pt idx="53" formatCode="General">
                        <c:v>-4.6277865168539325</c:v>
                      </c:pt>
                      <c:pt idx="54" formatCode="General">
                        <c:v>-4.6469625468164795</c:v>
                      </c:pt>
                      <c:pt idx="55" formatCode="General">
                        <c:v>-4.6661385767790264</c:v>
                      </c:pt>
                      <c:pt idx="56" formatCode="General">
                        <c:v>-4.6853146067415734</c:v>
                      </c:pt>
                      <c:pt idx="57" formatCode="General">
                        <c:v>-4.7044906367041204</c:v>
                      </c:pt>
                      <c:pt idx="58" formatCode="General">
                        <c:v>-4.7236666666666665</c:v>
                      </c:pt>
                      <c:pt idx="59" formatCode="General">
                        <c:v>-4.7428426966292134</c:v>
                      </c:pt>
                      <c:pt idx="60" formatCode="General">
                        <c:v>-4.7620187265917604</c:v>
                      </c:pt>
                      <c:pt idx="61" formatCode="General">
                        <c:v>-4.7811947565543074</c:v>
                      </c:pt>
                      <c:pt idx="62" formatCode="General">
                        <c:v>-4.8003707865168543</c:v>
                      </c:pt>
                      <c:pt idx="63" formatCode="General">
                        <c:v>-4.8195468164794013</c:v>
                      </c:pt>
                      <c:pt idx="64" formatCode="General">
                        <c:v>-4.8387228464419483</c:v>
                      </c:pt>
                      <c:pt idx="65" formatCode="General">
                        <c:v>-4.8578988764044944</c:v>
                      </c:pt>
                      <c:pt idx="66" formatCode="General">
                        <c:v>-4.8768456928838955</c:v>
                      </c:pt>
                      <c:pt idx="67" formatCode="General">
                        <c:v>-4.8949430711610491</c:v>
                      </c:pt>
                      <c:pt idx="68" formatCode="General">
                        <c:v>-4.9130404494382027</c:v>
                      </c:pt>
                      <c:pt idx="69" formatCode="General">
                        <c:v>-4.9311378277153564</c:v>
                      </c:pt>
                      <c:pt idx="70" formatCode="General">
                        <c:v>-4.94923520599251</c:v>
                      </c:pt>
                      <c:pt idx="71" formatCode="General">
                        <c:v>-4.9673325842696627</c:v>
                      </c:pt>
                      <c:pt idx="72" formatCode="General">
                        <c:v>-4.9854299625468164</c:v>
                      </c:pt>
                      <c:pt idx="73" formatCode="General">
                        <c:v>-5.00352734082397</c:v>
                      </c:pt>
                      <c:pt idx="74" formatCode="General">
                        <c:v>-5.0216247191011236</c:v>
                      </c:pt>
                      <c:pt idx="75" formatCode="General">
                        <c:v>-5.0397220973782773</c:v>
                      </c:pt>
                      <c:pt idx="76" formatCode="General">
                        <c:v>-5.0578194756554309</c:v>
                      </c:pt>
                      <c:pt idx="77" formatCode="General">
                        <c:v>-5.0759168539325845</c:v>
                      </c:pt>
                      <c:pt idx="78" formatCode="General">
                        <c:v>-5.0940142322097381</c:v>
                      </c:pt>
                      <c:pt idx="79" formatCode="General">
                        <c:v>-5.1121116104868918</c:v>
                      </c:pt>
                      <c:pt idx="80" formatCode="General">
                        <c:v>-5.1302089887640445</c:v>
                      </c:pt>
                      <c:pt idx="81" formatCode="General">
                        <c:v>-5.1483063670411982</c:v>
                      </c:pt>
                      <c:pt idx="82" formatCode="General">
                        <c:v>-5.1664037453183518</c:v>
                      </c:pt>
                      <c:pt idx="83" formatCode="General">
                        <c:v>-5.1840538922155686</c:v>
                      </c:pt>
                      <c:pt idx="84" formatCode="General">
                        <c:v>-5.2012994011976046</c:v>
                      </c:pt>
                      <c:pt idx="85" formatCode="General">
                        <c:v>-5.2185449101796406</c:v>
                      </c:pt>
                      <c:pt idx="86" formatCode="General">
                        <c:v>-5.2357904191616766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E-27FC-4A9D-A437-1D0023828BE9}"/>
                  </c:ext>
                </c:extLst>
              </c15:ser>
            </c15:filteredScatterSeries>
            <c15:filteredScatterSeries>
              <c15:ser>
                <c:idx val="10"/>
                <c:order val="12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306</c:v>
                      </c:pt>
                      <c:pt idx="1">
                        <c:v>314</c:v>
                      </c:pt>
                      <c:pt idx="2">
                        <c:v>322</c:v>
                      </c:pt>
                      <c:pt idx="3">
                        <c:v>330</c:v>
                      </c:pt>
                      <c:pt idx="4">
                        <c:v>338</c:v>
                      </c:pt>
                      <c:pt idx="5">
                        <c:v>346</c:v>
                      </c:pt>
                      <c:pt idx="6">
                        <c:v>354</c:v>
                      </c:pt>
                      <c:pt idx="7">
                        <c:v>362</c:v>
                      </c:pt>
                      <c:pt idx="8">
                        <c:v>370</c:v>
                      </c:pt>
                      <c:pt idx="9">
                        <c:v>378</c:v>
                      </c:pt>
                      <c:pt idx="10">
                        <c:v>386</c:v>
                      </c:pt>
                      <c:pt idx="11">
                        <c:v>394</c:v>
                      </c:pt>
                      <c:pt idx="12">
                        <c:v>402</c:v>
                      </c:pt>
                      <c:pt idx="13">
                        <c:v>410</c:v>
                      </c:pt>
                      <c:pt idx="14">
                        <c:v>418</c:v>
                      </c:pt>
                      <c:pt idx="15">
                        <c:v>426</c:v>
                      </c:pt>
                      <c:pt idx="16">
                        <c:v>434</c:v>
                      </c:pt>
                      <c:pt idx="17">
                        <c:v>442</c:v>
                      </c:pt>
                      <c:pt idx="18">
                        <c:v>450</c:v>
                      </c:pt>
                      <c:pt idx="19">
                        <c:v>458</c:v>
                      </c:pt>
                      <c:pt idx="20">
                        <c:v>466</c:v>
                      </c:pt>
                      <c:pt idx="21">
                        <c:v>474</c:v>
                      </c:pt>
                      <c:pt idx="22">
                        <c:v>482</c:v>
                      </c:pt>
                      <c:pt idx="23">
                        <c:v>490</c:v>
                      </c:pt>
                      <c:pt idx="24">
                        <c:v>498</c:v>
                      </c:pt>
                      <c:pt idx="25">
                        <c:v>506</c:v>
                      </c:pt>
                      <c:pt idx="26">
                        <c:v>514</c:v>
                      </c:pt>
                      <c:pt idx="27">
                        <c:v>522</c:v>
                      </c:pt>
                      <c:pt idx="28">
                        <c:v>530</c:v>
                      </c:pt>
                      <c:pt idx="29">
                        <c:v>538</c:v>
                      </c:pt>
                      <c:pt idx="30">
                        <c:v>546</c:v>
                      </c:pt>
                      <c:pt idx="31">
                        <c:v>554</c:v>
                      </c:pt>
                      <c:pt idx="32">
                        <c:v>562</c:v>
                      </c:pt>
                      <c:pt idx="33">
                        <c:v>570</c:v>
                      </c:pt>
                      <c:pt idx="34">
                        <c:v>578</c:v>
                      </c:pt>
                      <c:pt idx="35">
                        <c:v>586</c:v>
                      </c:pt>
                      <c:pt idx="36">
                        <c:v>594</c:v>
                      </c:pt>
                      <c:pt idx="37">
                        <c:v>602</c:v>
                      </c:pt>
                      <c:pt idx="38">
                        <c:v>610</c:v>
                      </c:pt>
                      <c:pt idx="39">
                        <c:v>618</c:v>
                      </c:pt>
                      <c:pt idx="40">
                        <c:v>626</c:v>
                      </c:pt>
                      <c:pt idx="41">
                        <c:v>634</c:v>
                      </c:pt>
                      <c:pt idx="42">
                        <c:v>642</c:v>
                      </c:pt>
                      <c:pt idx="43">
                        <c:v>650</c:v>
                      </c:pt>
                      <c:pt idx="44">
                        <c:v>658</c:v>
                      </c:pt>
                      <c:pt idx="45">
                        <c:v>666</c:v>
                      </c:pt>
                      <c:pt idx="46">
                        <c:v>674</c:v>
                      </c:pt>
                      <c:pt idx="47">
                        <c:v>682</c:v>
                      </c:pt>
                      <c:pt idx="48">
                        <c:v>690</c:v>
                      </c:pt>
                      <c:pt idx="49">
                        <c:v>698</c:v>
                      </c:pt>
                      <c:pt idx="50">
                        <c:v>706</c:v>
                      </c:pt>
                      <c:pt idx="51">
                        <c:v>714</c:v>
                      </c:pt>
                      <c:pt idx="52">
                        <c:v>722</c:v>
                      </c:pt>
                      <c:pt idx="53">
                        <c:v>730</c:v>
                      </c:pt>
                      <c:pt idx="54">
                        <c:v>738</c:v>
                      </c:pt>
                      <c:pt idx="55">
                        <c:v>746</c:v>
                      </c:pt>
                      <c:pt idx="56">
                        <c:v>754</c:v>
                      </c:pt>
                      <c:pt idx="57">
                        <c:v>762</c:v>
                      </c:pt>
                      <c:pt idx="58">
                        <c:v>770</c:v>
                      </c:pt>
                      <c:pt idx="59">
                        <c:v>778</c:v>
                      </c:pt>
                      <c:pt idx="60">
                        <c:v>786</c:v>
                      </c:pt>
                      <c:pt idx="61">
                        <c:v>794</c:v>
                      </c:pt>
                      <c:pt idx="62">
                        <c:v>802</c:v>
                      </c:pt>
                      <c:pt idx="63">
                        <c:v>810</c:v>
                      </c:pt>
                      <c:pt idx="64">
                        <c:v>818</c:v>
                      </c:pt>
                      <c:pt idx="65">
                        <c:v>826</c:v>
                      </c:pt>
                      <c:pt idx="66">
                        <c:v>834</c:v>
                      </c:pt>
                      <c:pt idx="67">
                        <c:v>842</c:v>
                      </c:pt>
                      <c:pt idx="68">
                        <c:v>850</c:v>
                      </c:pt>
                      <c:pt idx="69">
                        <c:v>858</c:v>
                      </c:pt>
                      <c:pt idx="70">
                        <c:v>866</c:v>
                      </c:pt>
                      <c:pt idx="71">
                        <c:v>874</c:v>
                      </c:pt>
                      <c:pt idx="72">
                        <c:v>882</c:v>
                      </c:pt>
                      <c:pt idx="73">
                        <c:v>890</c:v>
                      </c:pt>
                      <c:pt idx="74">
                        <c:v>898</c:v>
                      </c:pt>
                      <c:pt idx="75">
                        <c:v>906</c:v>
                      </c:pt>
                      <c:pt idx="76">
                        <c:v>914</c:v>
                      </c:pt>
                      <c:pt idx="77">
                        <c:v>922</c:v>
                      </c:pt>
                      <c:pt idx="78">
                        <c:v>930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EVALUATION!$B$113:$CP$113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-19.022342342342341</c:v>
                      </c:pt>
                      <c:pt idx="1">
                        <c:v>-19.024744744744744</c:v>
                      </c:pt>
                      <c:pt idx="2">
                        <c:v>-19.027147147147147</c:v>
                      </c:pt>
                      <c:pt idx="3">
                        <c:v>-19.02954954954955</c:v>
                      </c:pt>
                      <c:pt idx="4" formatCode="General">
                        <c:v>-19.035838323353293</c:v>
                      </c:pt>
                      <c:pt idx="5" formatCode="General">
                        <c:v>-19.043023952095808</c:v>
                      </c:pt>
                      <c:pt idx="6" formatCode="General">
                        <c:v>-19.050209580838324</c:v>
                      </c:pt>
                      <c:pt idx="7" formatCode="General">
                        <c:v>-19.057395209580836</c:v>
                      </c:pt>
                      <c:pt idx="8" formatCode="General">
                        <c:v>-19.06763473053892</c:v>
                      </c:pt>
                      <c:pt idx="9" formatCode="General">
                        <c:v>-19.079610778443111</c:v>
                      </c:pt>
                      <c:pt idx="10" formatCode="General">
                        <c:v>-19.091586826347303</c:v>
                      </c:pt>
                      <c:pt idx="11" formatCode="General">
                        <c:v>-19.103562874251498</c:v>
                      </c:pt>
                      <c:pt idx="12" formatCode="General">
                        <c:v>-19.116646706586828</c:v>
                      </c:pt>
                      <c:pt idx="13" formatCode="General">
                        <c:v>-19.131017964071855</c:v>
                      </c:pt>
                      <c:pt idx="14" formatCode="General">
                        <c:v>-19.145389221556886</c:v>
                      </c:pt>
                      <c:pt idx="15" formatCode="General">
                        <c:v>-19.159760479041918</c:v>
                      </c:pt>
                      <c:pt idx="16" formatCode="General">
                        <c:v>-19.174131736526949</c:v>
                      </c:pt>
                      <c:pt idx="17" formatCode="General">
                        <c:v>-19.188502994011976</c:v>
                      </c:pt>
                      <c:pt idx="18" formatCode="General">
                        <c:v>-19.202874251497008</c:v>
                      </c:pt>
                      <c:pt idx="19" formatCode="General">
                        <c:v>-19.217245508982035</c:v>
                      </c:pt>
                      <c:pt idx="20" formatCode="General">
                        <c:v>-19.231886227544912</c:v>
                      </c:pt>
                      <c:pt idx="21" formatCode="General">
                        <c:v>-19.248652694610779</c:v>
                      </c:pt>
                      <c:pt idx="22" formatCode="General">
                        <c:v>-19.265419161676647</c:v>
                      </c:pt>
                      <c:pt idx="23" formatCode="General">
                        <c:v>-19.282185628742514</c:v>
                      </c:pt>
                      <c:pt idx="24" formatCode="General">
                        <c:v>-19.298952095808385</c:v>
                      </c:pt>
                      <c:pt idx="25" formatCode="General">
                        <c:v>-19.2481981981982</c:v>
                      </c:pt>
                      <c:pt idx="26" formatCode="General">
                        <c:v>-19.192942942942942</c:v>
                      </c:pt>
                      <c:pt idx="27" formatCode="General">
                        <c:v>-19.137687687687688</c:v>
                      </c:pt>
                      <c:pt idx="28" formatCode="General">
                        <c:v>-19.082432432432434</c:v>
                      </c:pt>
                      <c:pt idx="29" formatCode="General">
                        <c:v>-19.062574850299402</c:v>
                      </c:pt>
                      <c:pt idx="30" formatCode="General">
                        <c:v>-19.052994011976047</c:v>
                      </c:pt>
                      <c:pt idx="31" formatCode="General">
                        <c:v>-19.043413173652695</c:v>
                      </c:pt>
                      <c:pt idx="32" formatCode="General">
                        <c:v>-19.033832335329343</c:v>
                      </c:pt>
                      <c:pt idx="33" formatCode="General">
                        <c:v>-19.040059880239522</c:v>
                      </c:pt>
                      <c:pt idx="34" formatCode="General">
                        <c:v>-19.056826347305389</c:v>
                      </c:pt>
                      <c:pt idx="35" formatCode="General">
                        <c:v>-19.07359281437126</c:v>
                      </c:pt>
                      <c:pt idx="36" formatCode="General">
                        <c:v>-19.090359281437127</c:v>
                      </c:pt>
                      <c:pt idx="37" formatCode="General">
                        <c:v>-19.107125748502995</c:v>
                      </c:pt>
                      <c:pt idx="38" formatCode="General">
                        <c:v>-19.123892215568862</c:v>
                      </c:pt>
                      <c:pt idx="39" formatCode="General">
                        <c:v>-19.140658682634729</c:v>
                      </c:pt>
                      <c:pt idx="40" formatCode="General">
                        <c:v>-19.1574251497006</c:v>
                      </c:pt>
                      <c:pt idx="41" formatCode="General">
                        <c:v>-19.174191616766468</c:v>
                      </c:pt>
                      <c:pt idx="42" formatCode="General">
                        <c:v>-19.190958083832335</c:v>
                      </c:pt>
                      <c:pt idx="43" formatCode="General">
                        <c:v>-19.207724550898202</c:v>
                      </c:pt>
                      <c:pt idx="44" formatCode="General">
                        <c:v>-19.22449101796407</c:v>
                      </c:pt>
                      <c:pt idx="45" formatCode="General">
                        <c:v>-19.241257485029941</c:v>
                      </c:pt>
                      <c:pt idx="46" formatCode="General">
                        <c:v>-19.258023952095808</c:v>
                      </c:pt>
                      <c:pt idx="47" formatCode="General">
                        <c:v>-19.274790419161675</c:v>
                      </c:pt>
                      <c:pt idx="48" formatCode="General">
                        <c:v>-19.291556886227543</c:v>
                      </c:pt>
                      <c:pt idx="49" formatCode="General">
                        <c:v>-19.30832335329341</c:v>
                      </c:pt>
                      <c:pt idx="50" formatCode="General">
                        <c:v>-19.324022471910112</c:v>
                      </c:pt>
                      <c:pt idx="51" formatCode="General">
                        <c:v>-19.33960299625468</c:v>
                      </c:pt>
                      <c:pt idx="52" formatCode="General">
                        <c:v>-19.355183520599251</c:v>
                      </c:pt>
                      <c:pt idx="53" formatCode="General">
                        <c:v>-19.370764044943819</c:v>
                      </c:pt>
                      <c:pt idx="54" formatCode="General">
                        <c:v>-19.38634456928839</c:v>
                      </c:pt>
                      <c:pt idx="55" formatCode="General">
                        <c:v>-19.401925093632958</c:v>
                      </c:pt>
                      <c:pt idx="56" formatCode="General">
                        <c:v>-19.417505617977529</c:v>
                      </c:pt>
                      <c:pt idx="57" formatCode="General">
                        <c:v>-19.433086142322097</c:v>
                      </c:pt>
                      <c:pt idx="58" formatCode="General">
                        <c:v>-19.448666666666668</c:v>
                      </c:pt>
                      <c:pt idx="59" formatCode="General">
                        <c:v>-19.464247191011236</c:v>
                      </c:pt>
                      <c:pt idx="60" formatCode="General">
                        <c:v>-19.479827715355807</c:v>
                      </c:pt>
                      <c:pt idx="61" formatCode="General">
                        <c:v>-19.495408239700375</c:v>
                      </c:pt>
                      <c:pt idx="62" formatCode="General">
                        <c:v>-19.510988764044942</c:v>
                      </c:pt>
                      <c:pt idx="63" formatCode="General">
                        <c:v>-19.526569288389513</c:v>
                      </c:pt>
                      <c:pt idx="64" formatCode="General">
                        <c:v>-19.542149812734081</c:v>
                      </c:pt>
                      <c:pt idx="65" formatCode="General">
                        <c:v>-19.557730337078652</c:v>
                      </c:pt>
                      <c:pt idx="66" formatCode="General">
                        <c:v>-19.573183520599251</c:v>
                      </c:pt>
                      <c:pt idx="67" formatCode="General">
                        <c:v>-19.58816479400749</c:v>
                      </c:pt>
                      <c:pt idx="68" formatCode="General">
                        <c:v>-19.603146067415732</c:v>
                      </c:pt>
                      <c:pt idx="69" formatCode="General">
                        <c:v>-19.618127340823971</c:v>
                      </c:pt>
                      <c:pt idx="70" formatCode="General">
                        <c:v>-19.63310861423221</c:v>
                      </c:pt>
                      <c:pt idx="71" formatCode="General">
                        <c:v>-19.648089887640449</c:v>
                      </c:pt>
                      <c:pt idx="72" formatCode="General">
                        <c:v>-19.663071161048691</c:v>
                      </c:pt>
                      <c:pt idx="73" formatCode="General">
                        <c:v>-19.67805243445693</c:v>
                      </c:pt>
                      <c:pt idx="74" formatCode="General">
                        <c:v>-19.693033707865169</c:v>
                      </c:pt>
                      <c:pt idx="75" formatCode="General">
                        <c:v>-19.708014981273408</c:v>
                      </c:pt>
                      <c:pt idx="76" formatCode="General">
                        <c:v>-19.722996254681647</c:v>
                      </c:pt>
                      <c:pt idx="77" formatCode="General">
                        <c:v>-19.737977528089889</c:v>
                      </c:pt>
                      <c:pt idx="78" formatCode="General">
                        <c:v>-19.752958801498128</c:v>
                      </c:pt>
                      <c:pt idx="79" formatCode="General">
                        <c:v>-19.767940074906367</c:v>
                      </c:pt>
                      <c:pt idx="80" formatCode="General">
                        <c:v>-19.782921348314606</c:v>
                      </c:pt>
                      <c:pt idx="81" formatCode="General">
                        <c:v>-19.797902621722848</c:v>
                      </c:pt>
                      <c:pt idx="82" formatCode="General">
                        <c:v>-19.812883895131087</c:v>
                      </c:pt>
                      <c:pt idx="83" formatCode="General">
                        <c:v>-19.82754491017964</c:v>
                      </c:pt>
                      <c:pt idx="84" formatCode="General">
                        <c:v>-19.841916167664671</c:v>
                      </c:pt>
                      <c:pt idx="85" formatCode="General">
                        <c:v>-19.856287425149699</c:v>
                      </c:pt>
                      <c:pt idx="86" formatCode="General">
                        <c:v>-19.87065868263473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F-27FC-4A9D-A437-1D0023828BE9}"/>
                  </c:ext>
                </c:extLst>
              </c15:ser>
            </c15:filteredScatterSeries>
            <c15:filteredScatterSeries>
              <c15:ser>
                <c:idx val="11"/>
                <c:order val="13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306</c:v>
                      </c:pt>
                      <c:pt idx="1">
                        <c:v>314</c:v>
                      </c:pt>
                      <c:pt idx="2">
                        <c:v>322</c:v>
                      </c:pt>
                      <c:pt idx="3">
                        <c:v>330</c:v>
                      </c:pt>
                      <c:pt idx="4">
                        <c:v>338</c:v>
                      </c:pt>
                      <c:pt idx="5">
                        <c:v>346</c:v>
                      </c:pt>
                      <c:pt idx="6">
                        <c:v>354</c:v>
                      </c:pt>
                      <c:pt idx="7">
                        <c:v>362</c:v>
                      </c:pt>
                      <c:pt idx="8">
                        <c:v>370</c:v>
                      </c:pt>
                      <c:pt idx="9">
                        <c:v>378</c:v>
                      </c:pt>
                      <c:pt idx="10">
                        <c:v>386</c:v>
                      </c:pt>
                      <c:pt idx="11">
                        <c:v>394</c:v>
                      </c:pt>
                      <c:pt idx="12">
                        <c:v>402</c:v>
                      </c:pt>
                      <c:pt idx="13">
                        <c:v>410</c:v>
                      </c:pt>
                      <c:pt idx="14">
                        <c:v>418</c:v>
                      </c:pt>
                      <c:pt idx="15">
                        <c:v>426</c:v>
                      </c:pt>
                      <c:pt idx="16">
                        <c:v>434</c:v>
                      </c:pt>
                      <c:pt idx="17">
                        <c:v>442</c:v>
                      </c:pt>
                      <c:pt idx="18">
                        <c:v>450</c:v>
                      </c:pt>
                      <c:pt idx="19">
                        <c:v>458</c:v>
                      </c:pt>
                      <c:pt idx="20">
                        <c:v>466</c:v>
                      </c:pt>
                      <c:pt idx="21">
                        <c:v>474</c:v>
                      </c:pt>
                      <c:pt idx="22">
                        <c:v>482</c:v>
                      </c:pt>
                      <c:pt idx="23">
                        <c:v>490</c:v>
                      </c:pt>
                      <c:pt idx="24">
                        <c:v>498</c:v>
                      </c:pt>
                      <c:pt idx="25">
                        <c:v>506</c:v>
                      </c:pt>
                      <c:pt idx="26">
                        <c:v>514</c:v>
                      </c:pt>
                      <c:pt idx="27">
                        <c:v>522</c:v>
                      </c:pt>
                      <c:pt idx="28">
                        <c:v>530</c:v>
                      </c:pt>
                      <c:pt idx="29">
                        <c:v>538</c:v>
                      </c:pt>
                      <c:pt idx="30">
                        <c:v>546</c:v>
                      </c:pt>
                      <c:pt idx="31">
                        <c:v>554</c:v>
                      </c:pt>
                      <c:pt idx="32">
                        <c:v>562</c:v>
                      </c:pt>
                      <c:pt idx="33">
                        <c:v>570</c:v>
                      </c:pt>
                      <c:pt idx="34">
                        <c:v>578</c:v>
                      </c:pt>
                      <c:pt idx="35">
                        <c:v>586</c:v>
                      </c:pt>
                      <c:pt idx="36">
                        <c:v>594</c:v>
                      </c:pt>
                      <c:pt idx="37">
                        <c:v>602</c:v>
                      </c:pt>
                      <c:pt idx="38">
                        <c:v>610</c:v>
                      </c:pt>
                      <c:pt idx="39">
                        <c:v>618</c:v>
                      </c:pt>
                      <c:pt idx="40">
                        <c:v>626</c:v>
                      </c:pt>
                      <c:pt idx="41">
                        <c:v>634</c:v>
                      </c:pt>
                      <c:pt idx="42">
                        <c:v>642</c:v>
                      </c:pt>
                      <c:pt idx="43">
                        <c:v>650</c:v>
                      </c:pt>
                      <c:pt idx="44">
                        <c:v>658</c:v>
                      </c:pt>
                      <c:pt idx="45">
                        <c:v>666</c:v>
                      </c:pt>
                      <c:pt idx="46">
                        <c:v>674</c:v>
                      </c:pt>
                      <c:pt idx="47">
                        <c:v>682</c:v>
                      </c:pt>
                      <c:pt idx="48">
                        <c:v>690</c:v>
                      </c:pt>
                      <c:pt idx="49">
                        <c:v>698</c:v>
                      </c:pt>
                      <c:pt idx="50">
                        <c:v>706</c:v>
                      </c:pt>
                      <c:pt idx="51">
                        <c:v>714</c:v>
                      </c:pt>
                      <c:pt idx="52">
                        <c:v>722</c:v>
                      </c:pt>
                      <c:pt idx="53">
                        <c:v>730</c:v>
                      </c:pt>
                      <c:pt idx="54">
                        <c:v>738</c:v>
                      </c:pt>
                      <c:pt idx="55">
                        <c:v>746</c:v>
                      </c:pt>
                      <c:pt idx="56">
                        <c:v>754</c:v>
                      </c:pt>
                      <c:pt idx="57">
                        <c:v>762</c:v>
                      </c:pt>
                      <c:pt idx="58">
                        <c:v>770</c:v>
                      </c:pt>
                      <c:pt idx="59">
                        <c:v>778</c:v>
                      </c:pt>
                      <c:pt idx="60">
                        <c:v>786</c:v>
                      </c:pt>
                      <c:pt idx="61">
                        <c:v>794</c:v>
                      </c:pt>
                      <c:pt idx="62">
                        <c:v>802</c:v>
                      </c:pt>
                      <c:pt idx="63">
                        <c:v>810</c:v>
                      </c:pt>
                      <c:pt idx="64">
                        <c:v>818</c:v>
                      </c:pt>
                      <c:pt idx="65">
                        <c:v>826</c:v>
                      </c:pt>
                      <c:pt idx="66">
                        <c:v>834</c:v>
                      </c:pt>
                      <c:pt idx="67">
                        <c:v>842</c:v>
                      </c:pt>
                      <c:pt idx="68">
                        <c:v>850</c:v>
                      </c:pt>
                      <c:pt idx="69">
                        <c:v>858</c:v>
                      </c:pt>
                      <c:pt idx="70">
                        <c:v>866</c:v>
                      </c:pt>
                      <c:pt idx="71">
                        <c:v>874</c:v>
                      </c:pt>
                      <c:pt idx="72">
                        <c:v>882</c:v>
                      </c:pt>
                      <c:pt idx="73">
                        <c:v>890</c:v>
                      </c:pt>
                      <c:pt idx="74">
                        <c:v>898</c:v>
                      </c:pt>
                      <c:pt idx="75">
                        <c:v>906</c:v>
                      </c:pt>
                      <c:pt idx="76">
                        <c:v>914</c:v>
                      </c:pt>
                      <c:pt idx="77">
                        <c:v>922</c:v>
                      </c:pt>
                      <c:pt idx="78">
                        <c:v>930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EVALUATION!$B$114:$CP$114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-59.678288288288286</c:v>
                      </c:pt>
                      <c:pt idx="1">
                        <c:v>-58.332942942942942</c:v>
                      </c:pt>
                      <c:pt idx="2">
                        <c:v>-56.987597597597599</c:v>
                      </c:pt>
                      <c:pt idx="3">
                        <c:v>-55.642252252252256</c:v>
                      </c:pt>
                      <c:pt idx="4" formatCode="General">
                        <c:v>-54.130868263473054</c:v>
                      </c:pt>
                      <c:pt idx="5" formatCode="General">
                        <c:v>-52.581167664670659</c:v>
                      </c:pt>
                      <c:pt idx="6" formatCode="General">
                        <c:v>-51.031467065868263</c:v>
                      </c:pt>
                      <c:pt idx="7" formatCode="General">
                        <c:v>-49.481766467065867</c:v>
                      </c:pt>
                      <c:pt idx="8" formatCode="General">
                        <c:v>-47.964131736526944</c:v>
                      </c:pt>
                      <c:pt idx="9" formatCode="General">
                        <c:v>-46.464730538922154</c:v>
                      </c:pt>
                      <c:pt idx="10" formatCode="General">
                        <c:v>-44.965329341317364</c:v>
                      </c:pt>
                      <c:pt idx="11" formatCode="General">
                        <c:v>-43.465928143712574</c:v>
                      </c:pt>
                      <c:pt idx="12" formatCode="General">
                        <c:v>-42.064011976047901</c:v>
                      </c:pt>
                      <c:pt idx="13" formatCode="General">
                        <c:v>-40.775389221556885</c:v>
                      </c:pt>
                      <c:pt idx="14" formatCode="General">
                        <c:v>-39.48676646706587</c:v>
                      </c:pt>
                      <c:pt idx="15" formatCode="General">
                        <c:v>-38.198143712574847</c:v>
                      </c:pt>
                      <c:pt idx="16" formatCode="General">
                        <c:v>-36.957724550898206</c:v>
                      </c:pt>
                      <c:pt idx="17" formatCode="General">
                        <c:v>-35.836766467065871</c:v>
                      </c:pt>
                      <c:pt idx="18" formatCode="General">
                        <c:v>-34.715808383233536</c:v>
                      </c:pt>
                      <c:pt idx="19" formatCode="General">
                        <c:v>-33.594850299401202</c:v>
                      </c:pt>
                      <c:pt idx="20" formatCode="General">
                        <c:v>-32.488982035928146</c:v>
                      </c:pt>
                      <c:pt idx="21" formatCode="General">
                        <c:v>-31.502155688622757</c:v>
                      </c:pt>
                      <c:pt idx="22" formatCode="General">
                        <c:v>-30.515329341317369</c:v>
                      </c:pt>
                      <c:pt idx="23" formatCode="General">
                        <c:v>-29.528502994011976</c:v>
                      </c:pt>
                      <c:pt idx="24" formatCode="General">
                        <c:v>-28.541676646706588</c:v>
                      </c:pt>
                      <c:pt idx="25" formatCode="General">
                        <c:v>-27.788558558558559</c:v>
                      </c:pt>
                      <c:pt idx="26" formatCode="General">
                        <c:v>-27.051021021021018</c:v>
                      </c:pt>
                      <c:pt idx="27" formatCode="General">
                        <c:v>-26.313483483483481</c:v>
                      </c:pt>
                      <c:pt idx="28" formatCode="General">
                        <c:v>-25.575945945945943</c:v>
                      </c:pt>
                      <c:pt idx="29" formatCode="General">
                        <c:v>-25.655029940119761</c:v>
                      </c:pt>
                      <c:pt idx="30" formatCode="General">
                        <c:v>-25.971197604790419</c:v>
                      </c:pt>
                      <c:pt idx="31" formatCode="General">
                        <c:v>-26.287365269461077</c:v>
                      </c:pt>
                      <c:pt idx="32" formatCode="General">
                        <c:v>-26.603532934131735</c:v>
                      </c:pt>
                      <c:pt idx="33" formatCode="General">
                        <c:v>-26.911437125748503</c:v>
                      </c:pt>
                      <c:pt idx="34" formatCode="General">
                        <c:v>-27.213832335329339</c:v>
                      </c:pt>
                      <c:pt idx="35" formatCode="General">
                        <c:v>-27.51622754491018</c:v>
                      </c:pt>
                      <c:pt idx="36" formatCode="General">
                        <c:v>-27.818622754491017</c:v>
                      </c:pt>
                      <c:pt idx="37" formatCode="General">
                        <c:v>-28.121017964071857</c:v>
                      </c:pt>
                      <c:pt idx="38" formatCode="General">
                        <c:v>-28.423413173652694</c:v>
                      </c:pt>
                      <c:pt idx="39" formatCode="General">
                        <c:v>-28.725808383233534</c:v>
                      </c:pt>
                      <c:pt idx="40" formatCode="General">
                        <c:v>-29.028203592814371</c:v>
                      </c:pt>
                      <c:pt idx="41" formatCode="General">
                        <c:v>-29.330598802395212</c:v>
                      </c:pt>
                      <c:pt idx="42" formatCode="General">
                        <c:v>-29.632994011976049</c:v>
                      </c:pt>
                      <c:pt idx="43" formatCode="General">
                        <c:v>-29.935389221556889</c:v>
                      </c:pt>
                      <c:pt idx="44" formatCode="General">
                        <c:v>-30.237784431137726</c:v>
                      </c:pt>
                      <c:pt idx="45" formatCode="General">
                        <c:v>-30.540179640718566</c:v>
                      </c:pt>
                      <c:pt idx="46" formatCode="General">
                        <c:v>-30.842574850299403</c:v>
                      </c:pt>
                      <c:pt idx="47" formatCode="General">
                        <c:v>-31.144970059880244</c:v>
                      </c:pt>
                      <c:pt idx="48" formatCode="General">
                        <c:v>-31.447365269461081</c:v>
                      </c:pt>
                      <c:pt idx="49" formatCode="General">
                        <c:v>-31.749760479041917</c:v>
                      </c:pt>
                      <c:pt idx="50" formatCode="General">
                        <c:v>-32.022696629213485</c:v>
                      </c:pt>
                      <c:pt idx="51" formatCode="General">
                        <c:v>-32.292359550561798</c:v>
                      </c:pt>
                      <c:pt idx="52" formatCode="General">
                        <c:v>-32.562022471910112</c:v>
                      </c:pt>
                      <c:pt idx="53" formatCode="General">
                        <c:v>-32.831685393258432</c:v>
                      </c:pt>
                      <c:pt idx="54" formatCode="General">
                        <c:v>-33.101348314606746</c:v>
                      </c:pt>
                      <c:pt idx="55" formatCode="General">
                        <c:v>-33.371011235955059</c:v>
                      </c:pt>
                      <c:pt idx="56" formatCode="General">
                        <c:v>-33.640674157303373</c:v>
                      </c:pt>
                      <c:pt idx="57" formatCode="General">
                        <c:v>-33.910337078651686</c:v>
                      </c:pt>
                      <c:pt idx="58" formatCode="General">
                        <c:v>-34.18</c:v>
                      </c:pt>
                      <c:pt idx="59" formatCode="General">
                        <c:v>-34.44966292134832</c:v>
                      </c:pt>
                      <c:pt idx="60" formatCode="General">
                        <c:v>-34.719325842696634</c:v>
                      </c:pt>
                      <c:pt idx="61" formatCode="General">
                        <c:v>-34.988988764044947</c:v>
                      </c:pt>
                      <c:pt idx="62" formatCode="General">
                        <c:v>-35.258651685393261</c:v>
                      </c:pt>
                      <c:pt idx="63" formatCode="General">
                        <c:v>-35.528314606741574</c:v>
                      </c:pt>
                      <c:pt idx="64" formatCode="General">
                        <c:v>-35.797977528089888</c:v>
                      </c:pt>
                      <c:pt idx="65" formatCode="General">
                        <c:v>-36.067640449438201</c:v>
                      </c:pt>
                      <c:pt idx="66" formatCode="General">
                        <c:v>-36.328007490636708</c:v>
                      </c:pt>
                      <c:pt idx="67" formatCode="General">
                        <c:v>-36.553925093632962</c:v>
                      </c:pt>
                      <c:pt idx="68" formatCode="General">
                        <c:v>-36.779842696629217</c:v>
                      </c:pt>
                      <c:pt idx="69" formatCode="General">
                        <c:v>-37.005760299625472</c:v>
                      </c:pt>
                      <c:pt idx="70" formatCode="General">
                        <c:v>-37.231677902621726</c:v>
                      </c:pt>
                      <c:pt idx="71" formatCode="General">
                        <c:v>-37.457595505617981</c:v>
                      </c:pt>
                      <c:pt idx="72" formatCode="General">
                        <c:v>-37.683513108614235</c:v>
                      </c:pt>
                      <c:pt idx="73" formatCode="General">
                        <c:v>-37.90943071161049</c:v>
                      </c:pt>
                      <c:pt idx="74" formatCode="General">
                        <c:v>-38.135348314606745</c:v>
                      </c:pt>
                      <c:pt idx="75" formatCode="General">
                        <c:v>-38.361265917602999</c:v>
                      </c:pt>
                      <c:pt idx="76" formatCode="General">
                        <c:v>-38.587183520599254</c:v>
                      </c:pt>
                      <c:pt idx="77" formatCode="General">
                        <c:v>-38.813101123595509</c:v>
                      </c:pt>
                      <c:pt idx="78" formatCode="General">
                        <c:v>-39.039018726591763</c:v>
                      </c:pt>
                      <c:pt idx="79" formatCode="General">
                        <c:v>-39.264936329588011</c:v>
                      </c:pt>
                      <c:pt idx="80" formatCode="General">
                        <c:v>-39.490853932584265</c:v>
                      </c:pt>
                      <c:pt idx="81" formatCode="General">
                        <c:v>-39.71677153558052</c:v>
                      </c:pt>
                      <c:pt idx="82" formatCode="General">
                        <c:v>-39.942689138576775</c:v>
                      </c:pt>
                      <c:pt idx="83" formatCode="General">
                        <c:v>-40.151856287425147</c:v>
                      </c:pt>
                      <c:pt idx="84" formatCode="General">
                        <c:v>-40.345868263473051</c:v>
                      </c:pt>
                      <c:pt idx="85" formatCode="General">
                        <c:v>-40.539880239520954</c:v>
                      </c:pt>
                      <c:pt idx="86" formatCode="General">
                        <c:v>-40.733892215568858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0-27FC-4A9D-A437-1D0023828BE9}"/>
                  </c:ext>
                </c:extLst>
              </c15:ser>
            </c15:filteredScatterSeries>
            <c15:filteredScatterSeries>
              <c15:ser>
                <c:idx val="12"/>
                <c:order val="14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306</c:v>
                      </c:pt>
                      <c:pt idx="1">
                        <c:v>314</c:v>
                      </c:pt>
                      <c:pt idx="2">
                        <c:v>322</c:v>
                      </c:pt>
                      <c:pt idx="3">
                        <c:v>330</c:v>
                      </c:pt>
                      <c:pt idx="4">
                        <c:v>338</c:v>
                      </c:pt>
                      <c:pt idx="5">
                        <c:v>346</c:v>
                      </c:pt>
                      <c:pt idx="6">
                        <c:v>354</c:v>
                      </c:pt>
                      <c:pt idx="7">
                        <c:v>362</c:v>
                      </c:pt>
                      <c:pt idx="8">
                        <c:v>370</c:v>
                      </c:pt>
                      <c:pt idx="9">
                        <c:v>378</c:v>
                      </c:pt>
                      <c:pt idx="10">
                        <c:v>386</c:v>
                      </c:pt>
                      <c:pt idx="11">
                        <c:v>394</c:v>
                      </c:pt>
                      <c:pt idx="12">
                        <c:v>402</c:v>
                      </c:pt>
                      <c:pt idx="13">
                        <c:v>410</c:v>
                      </c:pt>
                      <c:pt idx="14">
                        <c:v>418</c:v>
                      </c:pt>
                      <c:pt idx="15">
                        <c:v>426</c:v>
                      </c:pt>
                      <c:pt idx="16">
                        <c:v>434</c:v>
                      </c:pt>
                      <c:pt idx="17">
                        <c:v>442</c:v>
                      </c:pt>
                      <c:pt idx="18">
                        <c:v>450</c:v>
                      </c:pt>
                      <c:pt idx="19">
                        <c:v>458</c:v>
                      </c:pt>
                      <c:pt idx="20">
                        <c:v>466</c:v>
                      </c:pt>
                      <c:pt idx="21">
                        <c:v>474</c:v>
                      </c:pt>
                      <c:pt idx="22">
                        <c:v>482</c:v>
                      </c:pt>
                      <c:pt idx="23">
                        <c:v>490</c:v>
                      </c:pt>
                      <c:pt idx="24">
                        <c:v>498</c:v>
                      </c:pt>
                      <c:pt idx="25">
                        <c:v>506</c:v>
                      </c:pt>
                      <c:pt idx="26">
                        <c:v>514</c:v>
                      </c:pt>
                      <c:pt idx="27">
                        <c:v>522</c:v>
                      </c:pt>
                      <c:pt idx="28">
                        <c:v>530</c:v>
                      </c:pt>
                      <c:pt idx="29">
                        <c:v>538</c:v>
                      </c:pt>
                      <c:pt idx="30">
                        <c:v>546</c:v>
                      </c:pt>
                      <c:pt idx="31">
                        <c:v>554</c:v>
                      </c:pt>
                      <c:pt idx="32">
                        <c:v>562</c:v>
                      </c:pt>
                      <c:pt idx="33">
                        <c:v>570</c:v>
                      </c:pt>
                      <c:pt idx="34">
                        <c:v>578</c:v>
                      </c:pt>
                      <c:pt idx="35">
                        <c:v>586</c:v>
                      </c:pt>
                      <c:pt idx="36">
                        <c:v>594</c:v>
                      </c:pt>
                      <c:pt idx="37">
                        <c:v>602</c:v>
                      </c:pt>
                      <c:pt idx="38">
                        <c:v>610</c:v>
                      </c:pt>
                      <c:pt idx="39">
                        <c:v>618</c:v>
                      </c:pt>
                      <c:pt idx="40">
                        <c:v>626</c:v>
                      </c:pt>
                      <c:pt idx="41">
                        <c:v>634</c:v>
                      </c:pt>
                      <c:pt idx="42">
                        <c:v>642</c:v>
                      </c:pt>
                      <c:pt idx="43">
                        <c:v>650</c:v>
                      </c:pt>
                      <c:pt idx="44">
                        <c:v>658</c:v>
                      </c:pt>
                      <c:pt idx="45">
                        <c:v>666</c:v>
                      </c:pt>
                      <c:pt idx="46">
                        <c:v>674</c:v>
                      </c:pt>
                      <c:pt idx="47">
                        <c:v>682</c:v>
                      </c:pt>
                      <c:pt idx="48">
                        <c:v>690</c:v>
                      </c:pt>
                      <c:pt idx="49">
                        <c:v>698</c:v>
                      </c:pt>
                      <c:pt idx="50">
                        <c:v>706</c:v>
                      </c:pt>
                      <c:pt idx="51">
                        <c:v>714</c:v>
                      </c:pt>
                      <c:pt idx="52">
                        <c:v>722</c:v>
                      </c:pt>
                      <c:pt idx="53">
                        <c:v>730</c:v>
                      </c:pt>
                      <c:pt idx="54">
                        <c:v>738</c:v>
                      </c:pt>
                      <c:pt idx="55">
                        <c:v>746</c:v>
                      </c:pt>
                      <c:pt idx="56">
                        <c:v>754</c:v>
                      </c:pt>
                      <c:pt idx="57">
                        <c:v>762</c:v>
                      </c:pt>
                      <c:pt idx="58">
                        <c:v>770</c:v>
                      </c:pt>
                      <c:pt idx="59">
                        <c:v>778</c:v>
                      </c:pt>
                      <c:pt idx="60">
                        <c:v>786</c:v>
                      </c:pt>
                      <c:pt idx="61">
                        <c:v>794</c:v>
                      </c:pt>
                      <c:pt idx="62">
                        <c:v>802</c:v>
                      </c:pt>
                      <c:pt idx="63">
                        <c:v>810</c:v>
                      </c:pt>
                      <c:pt idx="64">
                        <c:v>818</c:v>
                      </c:pt>
                      <c:pt idx="65">
                        <c:v>826</c:v>
                      </c:pt>
                      <c:pt idx="66">
                        <c:v>834</c:v>
                      </c:pt>
                      <c:pt idx="67">
                        <c:v>842</c:v>
                      </c:pt>
                      <c:pt idx="68">
                        <c:v>850</c:v>
                      </c:pt>
                      <c:pt idx="69">
                        <c:v>858</c:v>
                      </c:pt>
                      <c:pt idx="70">
                        <c:v>866</c:v>
                      </c:pt>
                      <c:pt idx="71">
                        <c:v>874</c:v>
                      </c:pt>
                      <c:pt idx="72">
                        <c:v>882</c:v>
                      </c:pt>
                      <c:pt idx="73">
                        <c:v>890</c:v>
                      </c:pt>
                      <c:pt idx="74">
                        <c:v>898</c:v>
                      </c:pt>
                      <c:pt idx="75">
                        <c:v>906</c:v>
                      </c:pt>
                      <c:pt idx="76">
                        <c:v>914</c:v>
                      </c:pt>
                      <c:pt idx="77">
                        <c:v>922</c:v>
                      </c:pt>
                      <c:pt idx="78">
                        <c:v>930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EVALUATION!$B$115:$CP$115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-15.118108108108107</c:v>
                      </c:pt>
                      <c:pt idx="1">
                        <c:v>-14.88027027027027</c:v>
                      </c:pt>
                      <c:pt idx="2">
                        <c:v>-14.642432432432432</c:v>
                      </c:pt>
                      <c:pt idx="3">
                        <c:v>-14.404594594594593</c:v>
                      </c:pt>
                      <c:pt idx="4" formatCode="General">
                        <c:v>-13.959101796407184</c:v>
                      </c:pt>
                      <c:pt idx="5" formatCode="General">
                        <c:v>-13.46568862275449</c:v>
                      </c:pt>
                      <c:pt idx="6" formatCode="General">
                        <c:v>-12.972275449101796</c:v>
                      </c:pt>
                      <c:pt idx="7" formatCode="General">
                        <c:v>-12.478862275449101</c:v>
                      </c:pt>
                      <c:pt idx="8" formatCode="General">
                        <c:v>-11.950329341317365</c:v>
                      </c:pt>
                      <c:pt idx="9" formatCode="General">
                        <c:v>-11.40182634730539</c:v>
                      </c:pt>
                      <c:pt idx="10" formatCode="General">
                        <c:v>-10.853323353293414</c:v>
                      </c:pt>
                      <c:pt idx="11" formatCode="General">
                        <c:v>-10.304820359281438</c:v>
                      </c:pt>
                      <c:pt idx="12" formatCode="General">
                        <c:v>-9.7896616766467073</c:v>
                      </c:pt>
                      <c:pt idx="13" formatCode="General">
                        <c:v>-9.3132544910179647</c:v>
                      </c:pt>
                      <c:pt idx="14" formatCode="General">
                        <c:v>-8.836847305389222</c:v>
                      </c:pt>
                      <c:pt idx="15" formatCode="General">
                        <c:v>-8.3604401197604794</c:v>
                      </c:pt>
                      <c:pt idx="16" formatCode="General">
                        <c:v>-7.9011107784431145</c:v>
                      </c:pt>
                      <c:pt idx="17" formatCode="General">
                        <c:v>-7.4841047904191624</c:v>
                      </c:pt>
                      <c:pt idx="18" formatCode="General">
                        <c:v>-7.0670988023952104</c:v>
                      </c:pt>
                      <c:pt idx="19" formatCode="General">
                        <c:v>-6.6500928143712592</c:v>
                      </c:pt>
                      <c:pt idx="20" formatCode="General">
                        <c:v>-6.2383952095808395</c:v>
                      </c:pt>
                      <c:pt idx="21" formatCode="General">
                        <c:v>-5.8685748502994022</c:v>
                      </c:pt>
                      <c:pt idx="22" formatCode="General">
                        <c:v>-5.4987544910179649</c:v>
                      </c:pt>
                      <c:pt idx="23" formatCode="General">
                        <c:v>-5.1289341317365267</c:v>
                      </c:pt>
                      <c:pt idx="24" formatCode="General">
                        <c:v>-4.7591137724550894</c:v>
                      </c:pt>
                      <c:pt idx="25" formatCode="General">
                        <c:v>-4.6019909909909904</c:v>
                      </c:pt>
                      <c:pt idx="26" formatCode="General">
                        <c:v>-4.4590480480480474</c:v>
                      </c:pt>
                      <c:pt idx="27" formatCode="General">
                        <c:v>-4.3161051051051045</c:v>
                      </c:pt>
                      <c:pt idx="28" formatCode="General">
                        <c:v>-4.1731621621621615</c:v>
                      </c:pt>
                      <c:pt idx="29" formatCode="General">
                        <c:v>-4.1562215568862273</c:v>
                      </c:pt>
                      <c:pt idx="30" formatCode="General">
                        <c:v>-4.1758622754491022</c:v>
                      </c:pt>
                      <c:pt idx="31" formatCode="General">
                        <c:v>-4.1955029940119761</c:v>
                      </c:pt>
                      <c:pt idx="32" formatCode="General">
                        <c:v>-4.2151437125748501</c:v>
                      </c:pt>
                      <c:pt idx="33" formatCode="General">
                        <c:v>-4.2348562874251492</c:v>
                      </c:pt>
                      <c:pt idx="34" formatCode="General">
                        <c:v>-4.2546167664670653</c:v>
                      </c:pt>
                      <c:pt idx="35" formatCode="General">
                        <c:v>-4.2743772455089815</c:v>
                      </c:pt>
                      <c:pt idx="36" formatCode="General">
                        <c:v>-4.2941377245508976</c:v>
                      </c:pt>
                      <c:pt idx="37" formatCode="General">
                        <c:v>-4.3138982035928146</c:v>
                      </c:pt>
                      <c:pt idx="38" formatCode="General">
                        <c:v>-4.3336586826347308</c:v>
                      </c:pt>
                      <c:pt idx="39" formatCode="General">
                        <c:v>-4.3534191616766469</c:v>
                      </c:pt>
                      <c:pt idx="40" formatCode="General">
                        <c:v>-4.373179640718563</c:v>
                      </c:pt>
                      <c:pt idx="41" formatCode="General">
                        <c:v>-4.3929401197604792</c:v>
                      </c:pt>
                      <c:pt idx="42" formatCode="General">
                        <c:v>-4.4127005988023953</c:v>
                      </c:pt>
                      <c:pt idx="43" formatCode="General">
                        <c:v>-4.4324610778443114</c:v>
                      </c:pt>
                      <c:pt idx="44" formatCode="General">
                        <c:v>-4.4522215568862276</c:v>
                      </c:pt>
                      <c:pt idx="45" formatCode="General">
                        <c:v>-4.4719820359281437</c:v>
                      </c:pt>
                      <c:pt idx="46" formatCode="General">
                        <c:v>-4.4917425149700598</c:v>
                      </c:pt>
                      <c:pt idx="47" formatCode="General">
                        <c:v>-4.511502994011976</c:v>
                      </c:pt>
                      <c:pt idx="48" formatCode="General">
                        <c:v>-4.5312634730538921</c:v>
                      </c:pt>
                      <c:pt idx="49" formatCode="General">
                        <c:v>-4.5510239520958082</c:v>
                      </c:pt>
                      <c:pt idx="50" formatCode="General">
                        <c:v>-4.5702584269662925</c:v>
                      </c:pt>
                      <c:pt idx="51" formatCode="General">
                        <c:v>-4.5894344569288394</c:v>
                      </c:pt>
                      <c:pt idx="52" formatCode="General">
                        <c:v>-4.6086104868913855</c:v>
                      </c:pt>
                      <c:pt idx="53" formatCode="General">
                        <c:v>-4.6277865168539325</c:v>
                      </c:pt>
                      <c:pt idx="54" formatCode="General">
                        <c:v>-4.6469625468164795</c:v>
                      </c:pt>
                      <c:pt idx="55" formatCode="General">
                        <c:v>-4.6661385767790264</c:v>
                      </c:pt>
                      <c:pt idx="56" formatCode="General">
                        <c:v>-4.6853146067415734</c:v>
                      </c:pt>
                      <c:pt idx="57" formatCode="General">
                        <c:v>-4.7044906367041204</c:v>
                      </c:pt>
                      <c:pt idx="58" formatCode="General">
                        <c:v>-4.7236666666666665</c:v>
                      </c:pt>
                      <c:pt idx="59" formatCode="General">
                        <c:v>-4.7428426966292134</c:v>
                      </c:pt>
                      <c:pt idx="60" formatCode="General">
                        <c:v>-4.7620187265917604</c:v>
                      </c:pt>
                      <c:pt idx="61" formatCode="General">
                        <c:v>-4.7811947565543074</c:v>
                      </c:pt>
                      <c:pt idx="62" formatCode="General">
                        <c:v>-4.8003707865168543</c:v>
                      </c:pt>
                      <c:pt idx="63" formatCode="General">
                        <c:v>-4.8195468164794013</c:v>
                      </c:pt>
                      <c:pt idx="64" formatCode="General">
                        <c:v>-4.8387228464419483</c:v>
                      </c:pt>
                      <c:pt idx="65" formatCode="General">
                        <c:v>-4.8578988764044944</c:v>
                      </c:pt>
                      <c:pt idx="66" formatCode="General">
                        <c:v>-4.8768456928838955</c:v>
                      </c:pt>
                      <c:pt idx="67" formatCode="General">
                        <c:v>-4.8949430711610491</c:v>
                      </c:pt>
                      <c:pt idx="68" formatCode="General">
                        <c:v>-4.9130404494382027</c:v>
                      </c:pt>
                      <c:pt idx="69" formatCode="General">
                        <c:v>-4.9311378277153564</c:v>
                      </c:pt>
                      <c:pt idx="70" formatCode="General">
                        <c:v>-4.94923520599251</c:v>
                      </c:pt>
                      <c:pt idx="71" formatCode="General">
                        <c:v>-4.9673325842696627</c:v>
                      </c:pt>
                      <c:pt idx="72" formatCode="General">
                        <c:v>-4.9854299625468164</c:v>
                      </c:pt>
                      <c:pt idx="73" formatCode="General">
                        <c:v>-5.00352734082397</c:v>
                      </c:pt>
                      <c:pt idx="74" formatCode="General">
                        <c:v>-5.0216247191011236</c:v>
                      </c:pt>
                      <c:pt idx="75" formatCode="General">
                        <c:v>-5.0397220973782773</c:v>
                      </c:pt>
                      <c:pt idx="76" formatCode="General">
                        <c:v>-5.0578194756554309</c:v>
                      </c:pt>
                      <c:pt idx="77" formatCode="General">
                        <c:v>-5.0759168539325845</c:v>
                      </c:pt>
                      <c:pt idx="78" formatCode="General">
                        <c:v>-5.0940142322097381</c:v>
                      </c:pt>
                      <c:pt idx="79" formatCode="General">
                        <c:v>-5.1121116104868918</c:v>
                      </c:pt>
                      <c:pt idx="80" formatCode="General">
                        <c:v>-5.1302089887640445</c:v>
                      </c:pt>
                      <c:pt idx="81" formatCode="General">
                        <c:v>-5.1483063670411982</c:v>
                      </c:pt>
                      <c:pt idx="82" formatCode="General">
                        <c:v>-5.1664037453183518</c:v>
                      </c:pt>
                      <c:pt idx="83" formatCode="General">
                        <c:v>-5.1840538922155686</c:v>
                      </c:pt>
                      <c:pt idx="84" formatCode="General">
                        <c:v>-5.2012994011976046</c:v>
                      </c:pt>
                      <c:pt idx="85" formatCode="General">
                        <c:v>-5.2185449101796406</c:v>
                      </c:pt>
                      <c:pt idx="86" formatCode="General">
                        <c:v>-5.2357904191616766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1-27FC-4A9D-A437-1D0023828BE9}"/>
                  </c:ext>
                </c:extLst>
              </c15:ser>
            </c15:filteredScatterSeries>
            <c15:filteredScatterSeries>
              <c15:ser>
                <c:idx val="13"/>
                <c:order val="15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306</c:v>
                      </c:pt>
                      <c:pt idx="1">
                        <c:v>314</c:v>
                      </c:pt>
                      <c:pt idx="2">
                        <c:v>322</c:v>
                      </c:pt>
                      <c:pt idx="3">
                        <c:v>330</c:v>
                      </c:pt>
                      <c:pt idx="4">
                        <c:v>338</c:v>
                      </c:pt>
                      <c:pt idx="5">
                        <c:v>346</c:v>
                      </c:pt>
                      <c:pt idx="6">
                        <c:v>354</c:v>
                      </c:pt>
                      <c:pt idx="7">
                        <c:v>362</c:v>
                      </c:pt>
                      <c:pt idx="8">
                        <c:v>370</c:v>
                      </c:pt>
                      <c:pt idx="9">
                        <c:v>378</c:v>
                      </c:pt>
                      <c:pt idx="10">
                        <c:v>386</c:v>
                      </c:pt>
                      <c:pt idx="11">
                        <c:v>394</c:v>
                      </c:pt>
                      <c:pt idx="12">
                        <c:v>402</c:v>
                      </c:pt>
                      <c:pt idx="13">
                        <c:v>410</c:v>
                      </c:pt>
                      <c:pt idx="14">
                        <c:v>418</c:v>
                      </c:pt>
                      <c:pt idx="15">
                        <c:v>426</c:v>
                      </c:pt>
                      <c:pt idx="16">
                        <c:v>434</c:v>
                      </c:pt>
                      <c:pt idx="17">
                        <c:v>442</c:v>
                      </c:pt>
                      <c:pt idx="18">
                        <c:v>450</c:v>
                      </c:pt>
                      <c:pt idx="19">
                        <c:v>458</c:v>
                      </c:pt>
                      <c:pt idx="20">
                        <c:v>466</c:v>
                      </c:pt>
                      <c:pt idx="21">
                        <c:v>474</c:v>
                      </c:pt>
                      <c:pt idx="22">
                        <c:v>482</c:v>
                      </c:pt>
                      <c:pt idx="23">
                        <c:v>490</c:v>
                      </c:pt>
                      <c:pt idx="24">
                        <c:v>498</c:v>
                      </c:pt>
                      <c:pt idx="25">
                        <c:v>506</c:v>
                      </c:pt>
                      <c:pt idx="26">
                        <c:v>514</c:v>
                      </c:pt>
                      <c:pt idx="27">
                        <c:v>522</c:v>
                      </c:pt>
                      <c:pt idx="28">
                        <c:v>530</c:v>
                      </c:pt>
                      <c:pt idx="29">
                        <c:v>538</c:v>
                      </c:pt>
                      <c:pt idx="30">
                        <c:v>546</c:v>
                      </c:pt>
                      <c:pt idx="31">
                        <c:v>554</c:v>
                      </c:pt>
                      <c:pt idx="32">
                        <c:v>562</c:v>
                      </c:pt>
                      <c:pt idx="33">
                        <c:v>570</c:v>
                      </c:pt>
                      <c:pt idx="34">
                        <c:v>578</c:v>
                      </c:pt>
                      <c:pt idx="35">
                        <c:v>586</c:v>
                      </c:pt>
                      <c:pt idx="36">
                        <c:v>594</c:v>
                      </c:pt>
                      <c:pt idx="37">
                        <c:v>602</c:v>
                      </c:pt>
                      <c:pt idx="38">
                        <c:v>610</c:v>
                      </c:pt>
                      <c:pt idx="39">
                        <c:v>618</c:v>
                      </c:pt>
                      <c:pt idx="40">
                        <c:v>626</c:v>
                      </c:pt>
                      <c:pt idx="41">
                        <c:v>634</c:v>
                      </c:pt>
                      <c:pt idx="42">
                        <c:v>642</c:v>
                      </c:pt>
                      <c:pt idx="43">
                        <c:v>650</c:v>
                      </c:pt>
                      <c:pt idx="44">
                        <c:v>658</c:v>
                      </c:pt>
                      <c:pt idx="45">
                        <c:v>666</c:v>
                      </c:pt>
                      <c:pt idx="46">
                        <c:v>674</c:v>
                      </c:pt>
                      <c:pt idx="47">
                        <c:v>682</c:v>
                      </c:pt>
                      <c:pt idx="48">
                        <c:v>690</c:v>
                      </c:pt>
                      <c:pt idx="49">
                        <c:v>698</c:v>
                      </c:pt>
                      <c:pt idx="50">
                        <c:v>706</c:v>
                      </c:pt>
                      <c:pt idx="51">
                        <c:v>714</c:v>
                      </c:pt>
                      <c:pt idx="52">
                        <c:v>722</c:v>
                      </c:pt>
                      <c:pt idx="53">
                        <c:v>730</c:v>
                      </c:pt>
                      <c:pt idx="54">
                        <c:v>738</c:v>
                      </c:pt>
                      <c:pt idx="55">
                        <c:v>746</c:v>
                      </c:pt>
                      <c:pt idx="56">
                        <c:v>754</c:v>
                      </c:pt>
                      <c:pt idx="57">
                        <c:v>762</c:v>
                      </c:pt>
                      <c:pt idx="58">
                        <c:v>770</c:v>
                      </c:pt>
                      <c:pt idx="59">
                        <c:v>778</c:v>
                      </c:pt>
                      <c:pt idx="60">
                        <c:v>786</c:v>
                      </c:pt>
                      <c:pt idx="61">
                        <c:v>794</c:v>
                      </c:pt>
                      <c:pt idx="62">
                        <c:v>802</c:v>
                      </c:pt>
                      <c:pt idx="63">
                        <c:v>810</c:v>
                      </c:pt>
                      <c:pt idx="64">
                        <c:v>818</c:v>
                      </c:pt>
                      <c:pt idx="65">
                        <c:v>826</c:v>
                      </c:pt>
                      <c:pt idx="66">
                        <c:v>834</c:v>
                      </c:pt>
                      <c:pt idx="67">
                        <c:v>842</c:v>
                      </c:pt>
                      <c:pt idx="68">
                        <c:v>850</c:v>
                      </c:pt>
                      <c:pt idx="69">
                        <c:v>858</c:v>
                      </c:pt>
                      <c:pt idx="70">
                        <c:v>866</c:v>
                      </c:pt>
                      <c:pt idx="71">
                        <c:v>874</c:v>
                      </c:pt>
                      <c:pt idx="72">
                        <c:v>882</c:v>
                      </c:pt>
                      <c:pt idx="73">
                        <c:v>890</c:v>
                      </c:pt>
                      <c:pt idx="74">
                        <c:v>898</c:v>
                      </c:pt>
                      <c:pt idx="75">
                        <c:v>906</c:v>
                      </c:pt>
                      <c:pt idx="76">
                        <c:v>914</c:v>
                      </c:pt>
                      <c:pt idx="77">
                        <c:v>922</c:v>
                      </c:pt>
                      <c:pt idx="78">
                        <c:v>930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EVALUATION!$B$116:$CP$116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-21.473063063063062</c:v>
                      </c:pt>
                      <c:pt idx="1">
                        <c:v>-21.045435435435436</c:v>
                      </c:pt>
                      <c:pt idx="2">
                        <c:v>-20.617807807807807</c:v>
                      </c:pt>
                      <c:pt idx="3">
                        <c:v>-20.190180180180178</c:v>
                      </c:pt>
                      <c:pt idx="4" formatCode="General">
                        <c:v>-20.082754491017962</c:v>
                      </c:pt>
                      <c:pt idx="5" formatCode="General">
                        <c:v>-20.049221556886227</c:v>
                      </c:pt>
                      <c:pt idx="6" formatCode="General">
                        <c:v>-20.015688622754489</c:v>
                      </c:pt>
                      <c:pt idx="7" formatCode="General">
                        <c:v>-19.982155688622754</c:v>
                      </c:pt>
                      <c:pt idx="8" formatCode="General">
                        <c:v>-20.046347305389222</c:v>
                      </c:pt>
                      <c:pt idx="9" formatCode="General">
                        <c:v>-20.166107784431137</c:v>
                      </c:pt>
                      <c:pt idx="10" formatCode="General">
                        <c:v>-20.285868263473052</c:v>
                      </c:pt>
                      <c:pt idx="11" formatCode="General">
                        <c:v>-20.40562874251497</c:v>
                      </c:pt>
                      <c:pt idx="12" formatCode="General">
                        <c:v>-20.526497005988023</c:v>
                      </c:pt>
                      <c:pt idx="13" formatCode="General">
                        <c:v>-20.648652694610778</c:v>
                      </c:pt>
                      <c:pt idx="14" formatCode="General">
                        <c:v>-20.770808383233533</c:v>
                      </c:pt>
                      <c:pt idx="15" formatCode="General">
                        <c:v>-20.892964071856287</c:v>
                      </c:pt>
                      <c:pt idx="16" formatCode="General">
                        <c:v>-21.015119760479042</c:v>
                      </c:pt>
                      <c:pt idx="17" formatCode="General">
                        <c:v>-21.137275449101796</c:v>
                      </c:pt>
                      <c:pt idx="18" formatCode="General">
                        <c:v>-21.259431137724551</c:v>
                      </c:pt>
                      <c:pt idx="19" formatCode="General">
                        <c:v>-21.381586826347306</c:v>
                      </c:pt>
                      <c:pt idx="20" formatCode="General">
                        <c:v>-21.504011976047902</c:v>
                      </c:pt>
                      <c:pt idx="21" formatCode="General">
                        <c:v>-21.628562874251497</c:v>
                      </c:pt>
                      <c:pt idx="22" formatCode="General">
                        <c:v>-21.753113772455091</c:v>
                      </c:pt>
                      <c:pt idx="23" formatCode="General">
                        <c:v>-21.877664670658682</c:v>
                      </c:pt>
                      <c:pt idx="24" formatCode="General">
                        <c:v>-22.002215568862276</c:v>
                      </c:pt>
                      <c:pt idx="25" formatCode="General">
                        <c:v>-22.122612612612613</c:v>
                      </c:pt>
                      <c:pt idx="26" formatCode="General">
                        <c:v>-22.242732732732733</c:v>
                      </c:pt>
                      <c:pt idx="27" formatCode="General">
                        <c:v>-22.362852852852853</c:v>
                      </c:pt>
                      <c:pt idx="28" formatCode="General">
                        <c:v>-22.482972972972973</c:v>
                      </c:pt>
                      <c:pt idx="29" formatCode="General">
                        <c:v>-22.604670658682636</c:v>
                      </c:pt>
                      <c:pt idx="30" formatCode="General">
                        <c:v>-22.726826347305391</c:v>
                      </c:pt>
                      <c:pt idx="31" formatCode="General">
                        <c:v>-22.848982035928145</c:v>
                      </c:pt>
                      <c:pt idx="32" formatCode="General">
                        <c:v>-22.971137724550896</c:v>
                      </c:pt>
                      <c:pt idx="33" formatCode="General">
                        <c:v>-23.089700598802395</c:v>
                      </c:pt>
                      <c:pt idx="34" formatCode="General">
                        <c:v>-23.205868263473054</c:v>
                      </c:pt>
                      <c:pt idx="35" formatCode="General">
                        <c:v>-23.322035928143713</c:v>
                      </c:pt>
                      <c:pt idx="36" formatCode="General">
                        <c:v>-23.438203592814371</c:v>
                      </c:pt>
                      <c:pt idx="37" formatCode="General">
                        <c:v>-23.55437125748503</c:v>
                      </c:pt>
                      <c:pt idx="38" formatCode="General">
                        <c:v>-23.670538922155689</c:v>
                      </c:pt>
                      <c:pt idx="39" formatCode="General">
                        <c:v>-23.786706586826348</c:v>
                      </c:pt>
                      <c:pt idx="40" formatCode="General">
                        <c:v>-23.902874251497007</c:v>
                      </c:pt>
                      <c:pt idx="41" formatCode="General">
                        <c:v>-24.019041916167666</c:v>
                      </c:pt>
                      <c:pt idx="42" formatCode="General">
                        <c:v>-24.135209580838325</c:v>
                      </c:pt>
                      <c:pt idx="43" formatCode="General">
                        <c:v>-24.251377245508984</c:v>
                      </c:pt>
                      <c:pt idx="44" formatCode="General">
                        <c:v>-24.367544910179642</c:v>
                      </c:pt>
                      <c:pt idx="45" formatCode="General">
                        <c:v>-24.483712574850301</c:v>
                      </c:pt>
                      <c:pt idx="46" formatCode="General">
                        <c:v>-24.59988023952096</c:v>
                      </c:pt>
                      <c:pt idx="47" formatCode="General">
                        <c:v>-24.716047904191619</c:v>
                      </c:pt>
                      <c:pt idx="48" formatCode="General">
                        <c:v>-24.832215568862278</c:v>
                      </c:pt>
                      <c:pt idx="49" formatCode="General">
                        <c:v>-24.948383233532937</c:v>
                      </c:pt>
                      <c:pt idx="50" formatCode="General">
                        <c:v>-25.057617977528093</c:v>
                      </c:pt>
                      <c:pt idx="51" formatCode="General">
                        <c:v>-25.166082397003748</c:v>
                      </c:pt>
                      <c:pt idx="52" formatCode="General">
                        <c:v>-25.2745468164794</c:v>
                      </c:pt>
                      <c:pt idx="53" formatCode="General">
                        <c:v>-25.383011235955056</c:v>
                      </c:pt>
                      <c:pt idx="54" formatCode="General">
                        <c:v>-25.491475655430712</c:v>
                      </c:pt>
                      <c:pt idx="55" formatCode="General">
                        <c:v>-25.599940074906367</c:v>
                      </c:pt>
                      <c:pt idx="56" formatCode="General">
                        <c:v>-25.708404494382023</c:v>
                      </c:pt>
                      <c:pt idx="57" formatCode="General">
                        <c:v>-25.816868913857679</c:v>
                      </c:pt>
                      <c:pt idx="58" formatCode="General">
                        <c:v>-25.925333333333334</c:v>
                      </c:pt>
                      <c:pt idx="59" formatCode="General">
                        <c:v>-26.03379775280899</c:v>
                      </c:pt>
                      <c:pt idx="60" formatCode="General">
                        <c:v>-26.142262172284646</c:v>
                      </c:pt>
                      <c:pt idx="61" formatCode="General">
                        <c:v>-26.250726591760301</c:v>
                      </c:pt>
                      <c:pt idx="62" formatCode="General">
                        <c:v>-26.359191011235957</c:v>
                      </c:pt>
                      <c:pt idx="63" formatCode="General">
                        <c:v>-26.467655430711609</c:v>
                      </c:pt>
                      <c:pt idx="64" formatCode="General">
                        <c:v>-26.576119850187265</c:v>
                      </c:pt>
                      <c:pt idx="65" formatCode="General">
                        <c:v>-26.684584269662921</c:v>
                      </c:pt>
                      <c:pt idx="66" formatCode="General">
                        <c:v>-26.791902621722848</c:v>
                      </c:pt>
                      <c:pt idx="67" formatCode="General">
                        <c:v>-26.894973782771537</c:v>
                      </c:pt>
                      <c:pt idx="68" formatCode="General">
                        <c:v>-26.998044943820226</c:v>
                      </c:pt>
                      <c:pt idx="69" formatCode="General">
                        <c:v>-27.101116104868915</c:v>
                      </c:pt>
                      <c:pt idx="70" formatCode="General">
                        <c:v>-27.204187265917604</c:v>
                      </c:pt>
                      <c:pt idx="71" formatCode="General">
                        <c:v>-27.307258426966293</c:v>
                      </c:pt>
                      <c:pt idx="72" formatCode="General">
                        <c:v>-27.410329588014982</c:v>
                      </c:pt>
                      <c:pt idx="73" formatCode="General">
                        <c:v>-27.513400749063671</c:v>
                      </c:pt>
                      <c:pt idx="74" formatCode="General">
                        <c:v>-27.616471910112359</c:v>
                      </c:pt>
                      <c:pt idx="75" formatCode="General">
                        <c:v>-27.719543071161048</c:v>
                      </c:pt>
                      <c:pt idx="76" formatCode="General">
                        <c:v>-27.822614232209737</c:v>
                      </c:pt>
                      <c:pt idx="77" formatCode="General">
                        <c:v>-27.925685393258426</c:v>
                      </c:pt>
                      <c:pt idx="78" formatCode="General">
                        <c:v>-28.028756554307115</c:v>
                      </c:pt>
                      <c:pt idx="79" formatCode="General">
                        <c:v>-28.131827715355804</c:v>
                      </c:pt>
                      <c:pt idx="80" formatCode="General">
                        <c:v>-28.234898876404493</c:v>
                      </c:pt>
                      <c:pt idx="81" formatCode="General">
                        <c:v>-28.337970037453182</c:v>
                      </c:pt>
                      <c:pt idx="82" formatCode="General">
                        <c:v>-28.441041198501871</c:v>
                      </c:pt>
                      <c:pt idx="83" formatCode="General">
                        <c:v>-28.541556886227543</c:v>
                      </c:pt>
                      <c:pt idx="84" formatCode="General">
                        <c:v>-28.639760479041914</c:v>
                      </c:pt>
                      <c:pt idx="85" formatCode="General">
                        <c:v>-28.737964071856286</c:v>
                      </c:pt>
                      <c:pt idx="86" formatCode="General">
                        <c:v>-28.836167664670658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2-27FC-4A9D-A437-1D0023828BE9}"/>
                  </c:ext>
                </c:extLst>
              </c15:ser>
            </c15:filteredScatterSeries>
            <c15:filteredScatterSeries>
              <c15:ser>
                <c:idx val="14"/>
                <c:order val="16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306</c:v>
                      </c:pt>
                      <c:pt idx="1">
                        <c:v>314</c:v>
                      </c:pt>
                      <c:pt idx="2">
                        <c:v>322</c:v>
                      </c:pt>
                      <c:pt idx="3">
                        <c:v>330</c:v>
                      </c:pt>
                      <c:pt idx="4">
                        <c:v>338</c:v>
                      </c:pt>
                      <c:pt idx="5">
                        <c:v>346</c:v>
                      </c:pt>
                      <c:pt idx="6">
                        <c:v>354</c:v>
                      </c:pt>
                      <c:pt idx="7">
                        <c:v>362</c:v>
                      </c:pt>
                      <c:pt idx="8">
                        <c:v>370</c:v>
                      </c:pt>
                      <c:pt idx="9">
                        <c:v>378</c:v>
                      </c:pt>
                      <c:pt idx="10">
                        <c:v>386</c:v>
                      </c:pt>
                      <c:pt idx="11">
                        <c:v>394</c:v>
                      </c:pt>
                      <c:pt idx="12">
                        <c:v>402</c:v>
                      </c:pt>
                      <c:pt idx="13">
                        <c:v>410</c:v>
                      </c:pt>
                      <c:pt idx="14">
                        <c:v>418</c:v>
                      </c:pt>
                      <c:pt idx="15">
                        <c:v>426</c:v>
                      </c:pt>
                      <c:pt idx="16">
                        <c:v>434</c:v>
                      </c:pt>
                      <c:pt idx="17">
                        <c:v>442</c:v>
                      </c:pt>
                      <c:pt idx="18">
                        <c:v>450</c:v>
                      </c:pt>
                      <c:pt idx="19">
                        <c:v>458</c:v>
                      </c:pt>
                      <c:pt idx="20">
                        <c:v>466</c:v>
                      </c:pt>
                      <c:pt idx="21">
                        <c:v>474</c:v>
                      </c:pt>
                      <c:pt idx="22">
                        <c:v>482</c:v>
                      </c:pt>
                      <c:pt idx="23">
                        <c:v>490</c:v>
                      </c:pt>
                      <c:pt idx="24">
                        <c:v>498</c:v>
                      </c:pt>
                      <c:pt idx="25">
                        <c:v>506</c:v>
                      </c:pt>
                      <c:pt idx="26">
                        <c:v>514</c:v>
                      </c:pt>
                      <c:pt idx="27">
                        <c:v>522</c:v>
                      </c:pt>
                      <c:pt idx="28">
                        <c:v>530</c:v>
                      </c:pt>
                      <c:pt idx="29">
                        <c:v>538</c:v>
                      </c:pt>
                      <c:pt idx="30">
                        <c:v>546</c:v>
                      </c:pt>
                      <c:pt idx="31">
                        <c:v>554</c:v>
                      </c:pt>
                      <c:pt idx="32">
                        <c:v>562</c:v>
                      </c:pt>
                      <c:pt idx="33">
                        <c:v>570</c:v>
                      </c:pt>
                      <c:pt idx="34">
                        <c:v>578</c:v>
                      </c:pt>
                      <c:pt idx="35">
                        <c:v>586</c:v>
                      </c:pt>
                      <c:pt idx="36">
                        <c:v>594</c:v>
                      </c:pt>
                      <c:pt idx="37">
                        <c:v>602</c:v>
                      </c:pt>
                      <c:pt idx="38">
                        <c:v>610</c:v>
                      </c:pt>
                      <c:pt idx="39">
                        <c:v>618</c:v>
                      </c:pt>
                      <c:pt idx="40">
                        <c:v>626</c:v>
                      </c:pt>
                      <c:pt idx="41">
                        <c:v>634</c:v>
                      </c:pt>
                      <c:pt idx="42">
                        <c:v>642</c:v>
                      </c:pt>
                      <c:pt idx="43">
                        <c:v>650</c:v>
                      </c:pt>
                      <c:pt idx="44">
                        <c:v>658</c:v>
                      </c:pt>
                      <c:pt idx="45">
                        <c:v>666</c:v>
                      </c:pt>
                      <c:pt idx="46">
                        <c:v>674</c:v>
                      </c:pt>
                      <c:pt idx="47">
                        <c:v>682</c:v>
                      </c:pt>
                      <c:pt idx="48">
                        <c:v>690</c:v>
                      </c:pt>
                      <c:pt idx="49">
                        <c:v>698</c:v>
                      </c:pt>
                      <c:pt idx="50">
                        <c:v>706</c:v>
                      </c:pt>
                      <c:pt idx="51">
                        <c:v>714</c:v>
                      </c:pt>
                      <c:pt idx="52">
                        <c:v>722</c:v>
                      </c:pt>
                      <c:pt idx="53">
                        <c:v>730</c:v>
                      </c:pt>
                      <c:pt idx="54">
                        <c:v>738</c:v>
                      </c:pt>
                      <c:pt idx="55">
                        <c:v>746</c:v>
                      </c:pt>
                      <c:pt idx="56">
                        <c:v>754</c:v>
                      </c:pt>
                      <c:pt idx="57">
                        <c:v>762</c:v>
                      </c:pt>
                      <c:pt idx="58">
                        <c:v>770</c:v>
                      </c:pt>
                      <c:pt idx="59">
                        <c:v>778</c:v>
                      </c:pt>
                      <c:pt idx="60">
                        <c:v>786</c:v>
                      </c:pt>
                      <c:pt idx="61">
                        <c:v>794</c:v>
                      </c:pt>
                      <c:pt idx="62">
                        <c:v>802</c:v>
                      </c:pt>
                      <c:pt idx="63">
                        <c:v>810</c:v>
                      </c:pt>
                      <c:pt idx="64">
                        <c:v>818</c:v>
                      </c:pt>
                      <c:pt idx="65">
                        <c:v>826</c:v>
                      </c:pt>
                      <c:pt idx="66">
                        <c:v>834</c:v>
                      </c:pt>
                      <c:pt idx="67">
                        <c:v>842</c:v>
                      </c:pt>
                      <c:pt idx="68">
                        <c:v>850</c:v>
                      </c:pt>
                      <c:pt idx="69">
                        <c:v>858</c:v>
                      </c:pt>
                      <c:pt idx="70">
                        <c:v>866</c:v>
                      </c:pt>
                      <c:pt idx="71">
                        <c:v>874</c:v>
                      </c:pt>
                      <c:pt idx="72">
                        <c:v>882</c:v>
                      </c:pt>
                      <c:pt idx="73">
                        <c:v>890</c:v>
                      </c:pt>
                      <c:pt idx="74">
                        <c:v>898</c:v>
                      </c:pt>
                      <c:pt idx="75">
                        <c:v>906</c:v>
                      </c:pt>
                      <c:pt idx="76">
                        <c:v>914</c:v>
                      </c:pt>
                      <c:pt idx="77">
                        <c:v>922</c:v>
                      </c:pt>
                      <c:pt idx="78">
                        <c:v>930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EVALUATION!$B$117:$CP$117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3-27FC-4A9D-A437-1D0023828BE9}"/>
                  </c:ext>
                </c:extLst>
              </c15:ser>
            </c15:filteredScatterSeries>
            <c15:filteredScatterSeries>
              <c15:ser>
                <c:idx val="15"/>
                <c:order val="17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306</c:v>
                      </c:pt>
                      <c:pt idx="1">
                        <c:v>314</c:v>
                      </c:pt>
                      <c:pt idx="2">
                        <c:v>322</c:v>
                      </c:pt>
                      <c:pt idx="3">
                        <c:v>330</c:v>
                      </c:pt>
                      <c:pt idx="4">
                        <c:v>338</c:v>
                      </c:pt>
                      <c:pt idx="5">
                        <c:v>346</c:v>
                      </c:pt>
                      <c:pt idx="6">
                        <c:v>354</c:v>
                      </c:pt>
                      <c:pt idx="7">
                        <c:v>362</c:v>
                      </c:pt>
                      <c:pt idx="8">
                        <c:v>370</c:v>
                      </c:pt>
                      <c:pt idx="9">
                        <c:v>378</c:v>
                      </c:pt>
                      <c:pt idx="10">
                        <c:v>386</c:v>
                      </c:pt>
                      <c:pt idx="11">
                        <c:v>394</c:v>
                      </c:pt>
                      <c:pt idx="12">
                        <c:v>402</c:v>
                      </c:pt>
                      <c:pt idx="13">
                        <c:v>410</c:v>
                      </c:pt>
                      <c:pt idx="14">
                        <c:v>418</c:v>
                      </c:pt>
                      <c:pt idx="15">
                        <c:v>426</c:v>
                      </c:pt>
                      <c:pt idx="16">
                        <c:v>434</c:v>
                      </c:pt>
                      <c:pt idx="17">
                        <c:v>442</c:v>
                      </c:pt>
                      <c:pt idx="18">
                        <c:v>450</c:v>
                      </c:pt>
                      <c:pt idx="19">
                        <c:v>458</c:v>
                      </c:pt>
                      <c:pt idx="20">
                        <c:v>466</c:v>
                      </c:pt>
                      <c:pt idx="21">
                        <c:v>474</c:v>
                      </c:pt>
                      <c:pt idx="22">
                        <c:v>482</c:v>
                      </c:pt>
                      <c:pt idx="23">
                        <c:v>490</c:v>
                      </c:pt>
                      <c:pt idx="24">
                        <c:v>498</c:v>
                      </c:pt>
                      <c:pt idx="25">
                        <c:v>506</c:v>
                      </c:pt>
                      <c:pt idx="26">
                        <c:v>514</c:v>
                      </c:pt>
                      <c:pt idx="27">
                        <c:v>522</c:v>
                      </c:pt>
                      <c:pt idx="28">
                        <c:v>530</c:v>
                      </c:pt>
                      <c:pt idx="29">
                        <c:v>538</c:v>
                      </c:pt>
                      <c:pt idx="30">
                        <c:v>546</c:v>
                      </c:pt>
                      <c:pt idx="31">
                        <c:v>554</c:v>
                      </c:pt>
                      <c:pt idx="32">
                        <c:v>562</c:v>
                      </c:pt>
                      <c:pt idx="33">
                        <c:v>570</c:v>
                      </c:pt>
                      <c:pt idx="34">
                        <c:v>578</c:v>
                      </c:pt>
                      <c:pt idx="35">
                        <c:v>586</c:v>
                      </c:pt>
                      <c:pt idx="36">
                        <c:v>594</c:v>
                      </c:pt>
                      <c:pt idx="37">
                        <c:v>602</c:v>
                      </c:pt>
                      <c:pt idx="38">
                        <c:v>610</c:v>
                      </c:pt>
                      <c:pt idx="39">
                        <c:v>618</c:v>
                      </c:pt>
                      <c:pt idx="40">
                        <c:v>626</c:v>
                      </c:pt>
                      <c:pt idx="41">
                        <c:v>634</c:v>
                      </c:pt>
                      <c:pt idx="42">
                        <c:v>642</c:v>
                      </c:pt>
                      <c:pt idx="43">
                        <c:v>650</c:v>
                      </c:pt>
                      <c:pt idx="44">
                        <c:v>658</c:v>
                      </c:pt>
                      <c:pt idx="45">
                        <c:v>666</c:v>
                      </c:pt>
                      <c:pt idx="46">
                        <c:v>674</c:v>
                      </c:pt>
                      <c:pt idx="47">
                        <c:v>682</c:v>
                      </c:pt>
                      <c:pt idx="48">
                        <c:v>690</c:v>
                      </c:pt>
                      <c:pt idx="49">
                        <c:v>698</c:v>
                      </c:pt>
                      <c:pt idx="50">
                        <c:v>706</c:v>
                      </c:pt>
                      <c:pt idx="51">
                        <c:v>714</c:v>
                      </c:pt>
                      <c:pt idx="52">
                        <c:v>722</c:v>
                      </c:pt>
                      <c:pt idx="53">
                        <c:v>730</c:v>
                      </c:pt>
                      <c:pt idx="54">
                        <c:v>738</c:v>
                      </c:pt>
                      <c:pt idx="55">
                        <c:v>746</c:v>
                      </c:pt>
                      <c:pt idx="56">
                        <c:v>754</c:v>
                      </c:pt>
                      <c:pt idx="57">
                        <c:v>762</c:v>
                      </c:pt>
                      <c:pt idx="58">
                        <c:v>770</c:v>
                      </c:pt>
                      <c:pt idx="59">
                        <c:v>778</c:v>
                      </c:pt>
                      <c:pt idx="60">
                        <c:v>786</c:v>
                      </c:pt>
                      <c:pt idx="61">
                        <c:v>794</c:v>
                      </c:pt>
                      <c:pt idx="62">
                        <c:v>802</c:v>
                      </c:pt>
                      <c:pt idx="63">
                        <c:v>810</c:v>
                      </c:pt>
                      <c:pt idx="64">
                        <c:v>818</c:v>
                      </c:pt>
                      <c:pt idx="65">
                        <c:v>826</c:v>
                      </c:pt>
                      <c:pt idx="66">
                        <c:v>834</c:v>
                      </c:pt>
                      <c:pt idx="67">
                        <c:v>842</c:v>
                      </c:pt>
                      <c:pt idx="68">
                        <c:v>850</c:v>
                      </c:pt>
                      <c:pt idx="69">
                        <c:v>858</c:v>
                      </c:pt>
                      <c:pt idx="70">
                        <c:v>866</c:v>
                      </c:pt>
                      <c:pt idx="71">
                        <c:v>874</c:v>
                      </c:pt>
                      <c:pt idx="72">
                        <c:v>882</c:v>
                      </c:pt>
                      <c:pt idx="73">
                        <c:v>890</c:v>
                      </c:pt>
                      <c:pt idx="74">
                        <c:v>898</c:v>
                      </c:pt>
                      <c:pt idx="75">
                        <c:v>906</c:v>
                      </c:pt>
                      <c:pt idx="76">
                        <c:v>914</c:v>
                      </c:pt>
                      <c:pt idx="77">
                        <c:v>922</c:v>
                      </c:pt>
                      <c:pt idx="78">
                        <c:v>930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EVALUATION!$B$118:$CP$118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4-27FC-4A9D-A437-1D0023828BE9}"/>
                  </c:ext>
                </c:extLst>
              </c15:ser>
            </c15:filteredScatterSeries>
            <c15:filteredScatterSeries>
              <c15:ser>
                <c:idx val="16"/>
                <c:order val="18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306</c:v>
                      </c:pt>
                      <c:pt idx="1">
                        <c:v>314</c:v>
                      </c:pt>
                      <c:pt idx="2">
                        <c:v>322</c:v>
                      </c:pt>
                      <c:pt idx="3">
                        <c:v>330</c:v>
                      </c:pt>
                      <c:pt idx="4">
                        <c:v>338</c:v>
                      </c:pt>
                      <c:pt idx="5">
                        <c:v>346</c:v>
                      </c:pt>
                      <c:pt idx="6">
                        <c:v>354</c:v>
                      </c:pt>
                      <c:pt idx="7">
                        <c:v>362</c:v>
                      </c:pt>
                      <c:pt idx="8">
                        <c:v>370</c:v>
                      </c:pt>
                      <c:pt idx="9">
                        <c:v>378</c:v>
                      </c:pt>
                      <c:pt idx="10">
                        <c:v>386</c:v>
                      </c:pt>
                      <c:pt idx="11">
                        <c:v>394</c:v>
                      </c:pt>
                      <c:pt idx="12">
                        <c:v>402</c:v>
                      </c:pt>
                      <c:pt idx="13">
                        <c:v>410</c:v>
                      </c:pt>
                      <c:pt idx="14">
                        <c:v>418</c:v>
                      </c:pt>
                      <c:pt idx="15">
                        <c:v>426</c:v>
                      </c:pt>
                      <c:pt idx="16">
                        <c:v>434</c:v>
                      </c:pt>
                      <c:pt idx="17">
                        <c:v>442</c:v>
                      </c:pt>
                      <c:pt idx="18">
                        <c:v>450</c:v>
                      </c:pt>
                      <c:pt idx="19">
                        <c:v>458</c:v>
                      </c:pt>
                      <c:pt idx="20">
                        <c:v>466</c:v>
                      </c:pt>
                      <c:pt idx="21">
                        <c:v>474</c:v>
                      </c:pt>
                      <c:pt idx="22">
                        <c:v>482</c:v>
                      </c:pt>
                      <c:pt idx="23">
                        <c:v>490</c:v>
                      </c:pt>
                      <c:pt idx="24">
                        <c:v>498</c:v>
                      </c:pt>
                      <c:pt idx="25">
                        <c:v>506</c:v>
                      </c:pt>
                      <c:pt idx="26">
                        <c:v>514</c:v>
                      </c:pt>
                      <c:pt idx="27">
                        <c:v>522</c:v>
                      </c:pt>
                      <c:pt idx="28">
                        <c:v>530</c:v>
                      </c:pt>
                      <c:pt idx="29">
                        <c:v>538</c:v>
                      </c:pt>
                      <c:pt idx="30">
                        <c:v>546</c:v>
                      </c:pt>
                      <c:pt idx="31">
                        <c:v>554</c:v>
                      </c:pt>
                      <c:pt idx="32">
                        <c:v>562</c:v>
                      </c:pt>
                      <c:pt idx="33">
                        <c:v>570</c:v>
                      </c:pt>
                      <c:pt idx="34">
                        <c:v>578</c:v>
                      </c:pt>
                      <c:pt idx="35">
                        <c:v>586</c:v>
                      </c:pt>
                      <c:pt idx="36">
                        <c:v>594</c:v>
                      </c:pt>
                      <c:pt idx="37">
                        <c:v>602</c:v>
                      </c:pt>
                      <c:pt idx="38">
                        <c:v>610</c:v>
                      </c:pt>
                      <c:pt idx="39">
                        <c:v>618</c:v>
                      </c:pt>
                      <c:pt idx="40">
                        <c:v>626</c:v>
                      </c:pt>
                      <c:pt idx="41">
                        <c:v>634</c:v>
                      </c:pt>
                      <c:pt idx="42">
                        <c:v>642</c:v>
                      </c:pt>
                      <c:pt idx="43">
                        <c:v>650</c:v>
                      </c:pt>
                      <c:pt idx="44">
                        <c:v>658</c:v>
                      </c:pt>
                      <c:pt idx="45">
                        <c:v>666</c:v>
                      </c:pt>
                      <c:pt idx="46">
                        <c:v>674</c:v>
                      </c:pt>
                      <c:pt idx="47">
                        <c:v>682</c:v>
                      </c:pt>
                      <c:pt idx="48">
                        <c:v>690</c:v>
                      </c:pt>
                      <c:pt idx="49">
                        <c:v>698</c:v>
                      </c:pt>
                      <c:pt idx="50">
                        <c:v>706</c:v>
                      </c:pt>
                      <c:pt idx="51">
                        <c:v>714</c:v>
                      </c:pt>
                      <c:pt idx="52">
                        <c:v>722</c:v>
                      </c:pt>
                      <c:pt idx="53">
                        <c:v>730</c:v>
                      </c:pt>
                      <c:pt idx="54">
                        <c:v>738</c:v>
                      </c:pt>
                      <c:pt idx="55">
                        <c:v>746</c:v>
                      </c:pt>
                      <c:pt idx="56">
                        <c:v>754</c:v>
                      </c:pt>
                      <c:pt idx="57">
                        <c:v>762</c:v>
                      </c:pt>
                      <c:pt idx="58">
                        <c:v>770</c:v>
                      </c:pt>
                      <c:pt idx="59">
                        <c:v>778</c:v>
                      </c:pt>
                      <c:pt idx="60">
                        <c:v>786</c:v>
                      </c:pt>
                      <c:pt idx="61">
                        <c:v>794</c:v>
                      </c:pt>
                      <c:pt idx="62">
                        <c:v>802</c:v>
                      </c:pt>
                      <c:pt idx="63">
                        <c:v>810</c:v>
                      </c:pt>
                      <c:pt idx="64">
                        <c:v>818</c:v>
                      </c:pt>
                      <c:pt idx="65">
                        <c:v>826</c:v>
                      </c:pt>
                      <c:pt idx="66">
                        <c:v>834</c:v>
                      </c:pt>
                      <c:pt idx="67">
                        <c:v>842</c:v>
                      </c:pt>
                      <c:pt idx="68">
                        <c:v>850</c:v>
                      </c:pt>
                      <c:pt idx="69">
                        <c:v>858</c:v>
                      </c:pt>
                      <c:pt idx="70">
                        <c:v>866</c:v>
                      </c:pt>
                      <c:pt idx="71">
                        <c:v>874</c:v>
                      </c:pt>
                      <c:pt idx="72">
                        <c:v>882</c:v>
                      </c:pt>
                      <c:pt idx="73">
                        <c:v>890</c:v>
                      </c:pt>
                      <c:pt idx="74">
                        <c:v>898</c:v>
                      </c:pt>
                      <c:pt idx="75">
                        <c:v>906</c:v>
                      </c:pt>
                      <c:pt idx="76">
                        <c:v>914</c:v>
                      </c:pt>
                      <c:pt idx="77">
                        <c:v>922</c:v>
                      </c:pt>
                      <c:pt idx="78">
                        <c:v>930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EVALUATION!$B$119:$CP$119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5-27FC-4A9D-A437-1D0023828BE9}"/>
                  </c:ext>
                </c:extLst>
              </c15:ser>
            </c15:filteredScatterSeries>
            <c15:filteredScatterSeries>
              <c15:ser>
                <c:idx val="17"/>
                <c:order val="19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306</c:v>
                      </c:pt>
                      <c:pt idx="1">
                        <c:v>314</c:v>
                      </c:pt>
                      <c:pt idx="2">
                        <c:v>322</c:v>
                      </c:pt>
                      <c:pt idx="3">
                        <c:v>330</c:v>
                      </c:pt>
                      <c:pt idx="4">
                        <c:v>338</c:v>
                      </c:pt>
                      <c:pt idx="5">
                        <c:v>346</c:v>
                      </c:pt>
                      <c:pt idx="6">
                        <c:v>354</c:v>
                      </c:pt>
                      <c:pt idx="7">
                        <c:v>362</c:v>
                      </c:pt>
                      <c:pt idx="8">
                        <c:v>370</c:v>
                      </c:pt>
                      <c:pt idx="9">
                        <c:v>378</c:v>
                      </c:pt>
                      <c:pt idx="10">
                        <c:v>386</c:v>
                      </c:pt>
                      <c:pt idx="11">
                        <c:v>394</c:v>
                      </c:pt>
                      <c:pt idx="12">
                        <c:v>402</c:v>
                      </c:pt>
                      <c:pt idx="13">
                        <c:v>410</c:v>
                      </c:pt>
                      <c:pt idx="14">
                        <c:v>418</c:v>
                      </c:pt>
                      <c:pt idx="15">
                        <c:v>426</c:v>
                      </c:pt>
                      <c:pt idx="16">
                        <c:v>434</c:v>
                      </c:pt>
                      <c:pt idx="17">
                        <c:v>442</c:v>
                      </c:pt>
                      <c:pt idx="18">
                        <c:v>450</c:v>
                      </c:pt>
                      <c:pt idx="19">
                        <c:v>458</c:v>
                      </c:pt>
                      <c:pt idx="20">
                        <c:v>466</c:v>
                      </c:pt>
                      <c:pt idx="21">
                        <c:v>474</c:v>
                      </c:pt>
                      <c:pt idx="22">
                        <c:v>482</c:v>
                      </c:pt>
                      <c:pt idx="23">
                        <c:v>490</c:v>
                      </c:pt>
                      <c:pt idx="24">
                        <c:v>498</c:v>
                      </c:pt>
                      <c:pt idx="25">
                        <c:v>506</c:v>
                      </c:pt>
                      <c:pt idx="26">
                        <c:v>514</c:v>
                      </c:pt>
                      <c:pt idx="27">
                        <c:v>522</c:v>
                      </c:pt>
                      <c:pt idx="28">
                        <c:v>530</c:v>
                      </c:pt>
                      <c:pt idx="29">
                        <c:v>538</c:v>
                      </c:pt>
                      <c:pt idx="30">
                        <c:v>546</c:v>
                      </c:pt>
                      <c:pt idx="31">
                        <c:v>554</c:v>
                      </c:pt>
                      <c:pt idx="32">
                        <c:v>562</c:v>
                      </c:pt>
                      <c:pt idx="33">
                        <c:v>570</c:v>
                      </c:pt>
                      <c:pt idx="34">
                        <c:v>578</c:v>
                      </c:pt>
                      <c:pt idx="35">
                        <c:v>586</c:v>
                      </c:pt>
                      <c:pt idx="36">
                        <c:v>594</c:v>
                      </c:pt>
                      <c:pt idx="37">
                        <c:v>602</c:v>
                      </c:pt>
                      <c:pt idx="38">
                        <c:v>610</c:v>
                      </c:pt>
                      <c:pt idx="39">
                        <c:v>618</c:v>
                      </c:pt>
                      <c:pt idx="40">
                        <c:v>626</c:v>
                      </c:pt>
                      <c:pt idx="41">
                        <c:v>634</c:v>
                      </c:pt>
                      <c:pt idx="42">
                        <c:v>642</c:v>
                      </c:pt>
                      <c:pt idx="43">
                        <c:v>650</c:v>
                      </c:pt>
                      <c:pt idx="44">
                        <c:v>658</c:v>
                      </c:pt>
                      <c:pt idx="45">
                        <c:v>666</c:v>
                      </c:pt>
                      <c:pt idx="46">
                        <c:v>674</c:v>
                      </c:pt>
                      <c:pt idx="47">
                        <c:v>682</c:v>
                      </c:pt>
                      <c:pt idx="48">
                        <c:v>690</c:v>
                      </c:pt>
                      <c:pt idx="49">
                        <c:v>698</c:v>
                      </c:pt>
                      <c:pt idx="50">
                        <c:v>706</c:v>
                      </c:pt>
                      <c:pt idx="51">
                        <c:v>714</c:v>
                      </c:pt>
                      <c:pt idx="52">
                        <c:v>722</c:v>
                      </c:pt>
                      <c:pt idx="53">
                        <c:v>730</c:v>
                      </c:pt>
                      <c:pt idx="54">
                        <c:v>738</c:v>
                      </c:pt>
                      <c:pt idx="55">
                        <c:v>746</c:v>
                      </c:pt>
                      <c:pt idx="56">
                        <c:v>754</c:v>
                      </c:pt>
                      <c:pt idx="57">
                        <c:v>762</c:v>
                      </c:pt>
                      <c:pt idx="58">
                        <c:v>770</c:v>
                      </c:pt>
                      <c:pt idx="59">
                        <c:v>778</c:v>
                      </c:pt>
                      <c:pt idx="60">
                        <c:v>786</c:v>
                      </c:pt>
                      <c:pt idx="61">
                        <c:v>794</c:v>
                      </c:pt>
                      <c:pt idx="62">
                        <c:v>802</c:v>
                      </c:pt>
                      <c:pt idx="63">
                        <c:v>810</c:v>
                      </c:pt>
                      <c:pt idx="64">
                        <c:v>818</c:v>
                      </c:pt>
                      <c:pt idx="65">
                        <c:v>826</c:v>
                      </c:pt>
                      <c:pt idx="66">
                        <c:v>834</c:v>
                      </c:pt>
                      <c:pt idx="67">
                        <c:v>842</c:v>
                      </c:pt>
                      <c:pt idx="68">
                        <c:v>850</c:v>
                      </c:pt>
                      <c:pt idx="69">
                        <c:v>858</c:v>
                      </c:pt>
                      <c:pt idx="70">
                        <c:v>866</c:v>
                      </c:pt>
                      <c:pt idx="71">
                        <c:v>874</c:v>
                      </c:pt>
                      <c:pt idx="72">
                        <c:v>882</c:v>
                      </c:pt>
                      <c:pt idx="73">
                        <c:v>890</c:v>
                      </c:pt>
                      <c:pt idx="74">
                        <c:v>898</c:v>
                      </c:pt>
                      <c:pt idx="75">
                        <c:v>906</c:v>
                      </c:pt>
                      <c:pt idx="76">
                        <c:v>914</c:v>
                      </c:pt>
                      <c:pt idx="77">
                        <c:v>922</c:v>
                      </c:pt>
                      <c:pt idx="78">
                        <c:v>930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EVALUATION!$B$120:$CP$120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6-27FC-4A9D-A437-1D0023828BE9}"/>
                  </c:ext>
                </c:extLst>
              </c15:ser>
            </c15:filteredScatterSeries>
            <c15:filteredScatterSeries>
              <c15:ser>
                <c:idx val="18"/>
                <c:order val="20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306</c:v>
                      </c:pt>
                      <c:pt idx="1">
                        <c:v>314</c:v>
                      </c:pt>
                      <c:pt idx="2">
                        <c:v>322</c:v>
                      </c:pt>
                      <c:pt idx="3">
                        <c:v>330</c:v>
                      </c:pt>
                      <c:pt idx="4">
                        <c:v>338</c:v>
                      </c:pt>
                      <c:pt idx="5">
                        <c:v>346</c:v>
                      </c:pt>
                      <c:pt idx="6">
                        <c:v>354</c:v>
                      </c:pt>
                      <c:pt idx="7">
                        <c:v>362</c:v>
                      </c:pt>
                      <c:pt idx="8">
                        <c:v>370</c:v>
                      </c:pt>
                      <c:pt idx="9">
                        <c:v>378</c:v>
                      </c:pt>
                      <c:pt idx="10">
                        <c:v>386</c:v>
                      </c:pt>
                      <c:pt idx="11">
                        <c:v>394</c:v>
                      </c:pt>
                      <c:pt idx="12">
                        <c:v>402</c:v>
                      </c:pt>
                      <c:pt idx="13">
                        <c:v>410</c:v>
                      </c:pt>
                      <c:pt idx="14">
                        <c:v>418</c:v>
                      </c:pt>
                      <c:pt idx="15">
                        <c:v>426</c:v>
                      </c:pt>
                      <c:pt idx="16">
                        <c:v>434</c:v>
                      </c:pt>
                      <c:pt idx="17">
                        <c:v>442</c:v>
                      </c:pt>
                      <c:pt idx="18">
                        <c:v>450</c:v>
                      </c:pt>
                      <c:pt idx="19">
                        <c:v>458</c:v>
                      </c:pt>
                      <c:pt idx="20">
                        <c:v>466</c:v>
                      </c:pt>
                      <c:pt idx="21">
                        <c:v>474</c:v>
                      </c:pt>
                      <c:pt idx="22">
                        <c:v>482</c:v>
                      </c:pt>
                      <c:pt idx="23">
                        <c:v>490</c:v>
                      </c:pt>
                      <c:pt idx="24">
                        <c:v>498</c:v>
                      </c:pt>
                      <c:pt idx="25">
                        <c:v>506</c:v>
                      </c:pt>
                      <c:pt idx="26">
                        <c:v>514</c:v>
                      </c:pt>
                      <c:pt idx="27">
                        <c:v>522</c:v>
                      </c:pt>
                      <c:pt idx="28">
                        <c:v>530</c:v>
                      </c:pt>
                      <c:pt idx="29">
                        <c:v>538</c:v>
                      </c:pt>
                      <c:pt idx="30">
                        <c:v>546</c:v>
                      </c:pt>
                      <c:pt idx="31">
                        <c:v>554</c:v>
                      </c:pt>
                      <c:pt idx="32">
                        <c:v>562</c:v>
                      </c:pt>
                      <c:pt idx="33">
                        <c:v>570</c:v>
                      </c:pt>
                      <c:pt idx="34">
                        <c:v>578</c:v>
                      </c:pt>
                      <c:pt idx="35">
                        <c:v>586</c:v>
                      </c:pt>
                      <c:pt idx="36">
                        <c:v>594</c:v>
                      </c:pt>
                      <c:pt idx="37">
                        <c:v>602</c:v>
                      </c:pt>
                      <c:pt idx="38">
                        <c:v>610</c:v>
                      </c:pt>
                      <c:pt idx="39">
                        <c:v>618</c:v>
                      </c:pt>
                      <c:pt idx="40">
                        <c:v>626</c:v>
                      </c:pt>
                      <c:pt idx="41">
                        <c:v>634</c:v>
                      </c:pt>
                      <c:pt idx="42">
                        <c:v>642</c:v>
                      </c:pt>
                      <c:pt idx="43">
                        <c:v>650</c:v>
                      </c:pt>
                      <c:pt idx="44">
                        <c:v>658</c:v>
                      </c:pt>
                      <c:pt idx="45">
                        <c:v>666</c:v>
                      </c:pt>
                      <c:pt idx="46">
                        <c:v>674</c:v>
                      </c:pt>
                      <c:pt idx="47">
                        <c:v>682</c:v>
                      </c:pt>
                      <c:pt idx="48">
                        <c:v>690</c:v>
                      </c:pt>
                      <c:pt idx="49">
                        <c:v>698</c:v>
                      </c:pt>
                      <c:pt idx="50">
                        <c:v>706</c:v>
                      </c:pt>
                      <c:pt idx="51">
                        <c:v>714</c:v>
                      </c:pt>
                      <c:pt idx="52">
                        <c:v>722</c:v>
                      </c:pt>
                      <c:pt idx="53">
                        <c:v>730</c:v>
                      </c:pt>
                      <c:pt idx="54">
                        <c:v>738</c:v>
                      </c:pt>
                      <c:pt idx="55">
                        <c:v>746</c:v>
                      </c:pt>
                      <c:pt idx="56">
                        <c:v>754</c:v>
                      </c:pt>
                      <c:pt idx="57">
                        <c:v>762</c:v>
                      </c:pt>
                      <c:pt idx="58">
                        <c:v>770</c:v>
                      </c:pt>
                      <c:pt idx="59">
                        <c:v>778</c:v>
                      </c:pt>
                      <c:pt idx="60">
                        <c:v>786</c:v>
                      </c:pt>
                      <c:pt idx="61">
                        <c:v>794</c:v>
                      </c:pt>
                      <c:pt idx="62">
                        <c:v>802</c:v>
                      </c:pt>
                      <c:pt idx="63">
                        <c:v>810</c:v>
                      </c:pt>
                      <c:pt idx="64">
                        <c:v>818</c:v>
                      </c:pt>
                      <c:pt idx="65">
                        <c:v>826</c:v>
                      </c:pt>
                      <c:pt idx="66">
                        <c:v>834</c:v>
                      </c:pt>
                      <c:pt idx="67">
                        <c:v>842</c:v>
                      </c:pt>
                      <c:pt idx="68">
                        <c:v>850</c:v>
                      </c:pt>
                      <c:pt idx="69">
                        <c:v>858</c:v>
                      </c:pt>
                      <c:pt idx="70">
                        <c:v>866</c:v>
                      </c:pt>
                      <c:pt idx="71">
                        <c:v>874</c:v>
                      </c:pt>
                      <c:pt idx="72">
                        <c:v>882</c:v>
                      </c:pt>
                      <c:pt idx="73">
                        <c:v>890</c:v>
                      </c:pt>
                      <c:pt idx="74">
                        <c:v>898</c:v>
                      </c:pt>
                      <c:pt idx="75">
                        <c:v>906</c:v>
                      </c:pt>
                      <c:pt idx="76">
                        <c:v>914</c:v>
                      </c:pt>
                      <c:pt idx="77">
                        <c:v>922</c:v>
                      </c:pt>
                      <c:pt idx="78">
                        <c:v>930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EVALUATION!$B$121:$CP$121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7-27FC-4A9D-A437-1D0023828BE9}"/>
                  </c:ext>
                </c:extLst>
              </c15:ser>
            </c15:filteredScatterSeries>
            <c15:filteredScatterSeries>
              <c15:ser>
                <c:idx val="19"/>
                <c:order val="21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306</c:v>
                      </c:pt>
                      <c:pt idx="1">
                        <c:v>314</c:v>
                      </c:pt>
                      <c:pt idx="2">
                        <c:v>322</c:v>
                      </c:pt>
                      <c:pt idx="3">
                        <c:v>330</c:v>
                      </c:pt>
                      <c:pt idx="4">
                        <c:v>338</c:v>
                      </c:pt>
                      <c:pt idx="5">
                        <c:v>346</c:v>
                      </c:pt>
                      <c:pt idx="6">
                        <c:v>354</c:v>
                      </c:pt>
                      <c:pt idx="7">
                        <c:v>362</c:v>
                      </c:pt>
                      <c:pt idx="8">
                        <c:v>370</c:v>
                      </c:pt>
                      <c:pt idx="9">
                        <c:v>378</c:v>
                      </c:pt>
                      <c:pt idx="10">
                        <c:v>386</c:v>
                      </c:pt>
                      <c:pt idx="11">
                        <c:v>394</c:v>
                      </c:pt>
                      <c:pt idx="12">
                        <c:v>402</c:v>
                      </c:pt>
                      <c:pt idx="13">
                        <c:v>410</c:v>
                      </c:pt>
                      <c:pt idx="14">
                        <c:v>418</c:v>
                      </c:pt>
                      <c:pt idx="15">
                        <c:v>426</c:v>
                      </c:pt>
                      <c:pt idx="16">
                        <c:v>434</c:v>
                      </c:pt>
                      <c:pt idx="17">
                        <c:v>442</c:v>
                      </c:pt>
                      <c:pt idx="18">
                        <c:v>450</c:v>
                      </c:pt>
                      <c:pt idx="19">
                        <c:v>458</c:v>
                      </c:pt>
                      <c:pt idx="20">
                        <c:v>466</c:v>
                      </c:pt>
                      <c:pt idx="21">
                        <c:v>474</c:v>
                      </c:pt>
                      <c:pt idx="22">
                        <c:v>482</c:v>
                      </c:pt>
                      <c:pt idx="23">
                        <c:v>490</c:v>
                      </c:pt>
                      <c:pt idx="24">
                        <c:v>498</c:v>
                      </c:pt>
                      <c:pt idx="25">
                        <c:v>506</c:v>
                      </c:pt>
                      <c:pt idx="26">
                        <c:v>514</c:v>
                      </c:pt>
                      <c:pt idx="27">
                        <c:v>522</c:v>
                      </c:pt>
                      <c:pt idx="28">
                        <c:v>530</c:v>
                      </c:pt>
                      <c:pt idx="29">
                        <c:v>538</c:v>
                      </c:pt>
                      <c:pt idx="30">
                        <c:v>546</c:v>
                      </c:pt>
                      <c:pt idx="31">
                        <c:v>554</c:v>
                      </c:pt>
                      <c:pt idx="32">
                        <c:v>562</c:v>
                      </c:pt>
                      <c:pt idx="33">
                        <c:v>570</c:v>
                      </c:pt>
                      <c:pt idx="34">
                        <c:v>578</c:v>
                      </c:pt>
                      <c:pt idx="35">
                        <c:v>586</c:v>
                      </c:pt>
                      <c:pt idx="36">
                        <c:v>594</c:v>
                      </c:pt>
                      <c:pt idx="37">
                        <c:v>602</c:v>
                      </c:pt>
                      <c:pt idx="38">
                        <c:v>610</c:v>
                      </c:pt>
                      <c:pt idx="39">
                        <c:v>618</c:v>
                      </c:pt>
                      <c:pt idx="40">
                        <c:v>626</c:v>
                      </c:pt>
                      <c:pt idx="41">
                        <c:v>634</c:v>
                      </c:pt>
                      <c:pt idx="42">
                        <c:v>642</c:v>
                      </c:pt>
                      <c:pt idx="43">
                        <c:v>650</c:v>
                      </c:pt>
                      <c:pt idx="44">
                        <c:v>658</c:v>
                      </c:pt>
                      <c:pt idx="45">
                        <c:v>666</c:v>
                      </c:pt>
                      <c:pt idx="46">
                        <c:v>674</c:v>
                      </c:pt>
                      <c:pt idx="47">
                        <c:v>682</c:v>
                      </c:pt>
                      <c:pt idx="48">
                        <c:v>690</c:v>
                      </c:pt>
                      <c:pt idx="49">
                        <c:v>698</c:v>
                      </c:pt>
                      <c:pt idx="50">
                        <c:v>706</c:v>
                      </c:pt>
                      <c:pt idx="51">
                        <c:v>714</c:v>
                      </c:pt>
                      <c:pt idx="52">
                        <c:v>722</c:v>
                      </c:pt>
                      <c:pt idx="53">
                        <c:v>730</c:v>
                      </c:pt>
                      <c:pt idx="54">
                        <c:v>738</c:v>
                      </c:pt>
                      <c:pt idx="55">
                        <c:v>746</c:v>
                      </c:pt>
                      <c:pt idx="56">
                        <c:v>754</c:v>
                      </c:pt>
                      <c:pt idx="57">
                        <c:v>762</c:v>
                      </c:pt>
                      <c:pt idx="58">
                        <c:v>770</c:v>
                      </c:pt>
                      <c:pt idx="59">
                        <c:v>778</c:v>
                      </c:pt>
                      <c:pt idx="60">
                        <c:v>786</c:v>
                      </c:pt>
                      <c:pt idx="61">
                        <c:v>794</c:v>
                      </c:pt>
                      <c:pt idx="62">
                        <c:v>802</c:v>
                      </c:pt>
                      <c:pt idx="63">
                        <c:v>810</c:v>
                      </c:pt>
                      <c:pt idx="64">
                        <c:v>818</c:v>
                      </c:pt>
                      <c:pt idx="65">
                        <c:v>826</c:v>
                      </c:pt>
                      <c:pt idx="66">
                        <c:v>834</c:v>
                      </c:pt>
                      <c:pt idx="67">
                        <c:v>842</c:v>
                      </c:pt>
                      <c:pt idx="68">
                        <c:v>850</c:v>
                      </c:pt>
                      <c:pt idx="69">
                        <c:v>858</c:v>
                      </c:pt>
                      <c:pt idx="70">
                        <c:v>866</c:v>
                      </c:pt>
                      <c:pt idx="71">
                        <c:v>874</c:v>
                      </c:pt>
                      <c:pt idx="72">
                        <c:v>882</c:v>
                      </c:pt>
                      <c:pt idx="73">
                        <c:v>890</c:v>
                      </c:pt>
                      <c:pt idx="74">
                        <c:v>898</c:v>
                      </c:pt>
                      <c:pt idx="75">
                        <c:v>906</c:v>
                      </c:pt>
                      <c:pt idx="76">
                        <c:v>914</c:v>
                      </c:pt>
                      <c:pt idx="77">
                        <c:v>922</c:v>
                      </c:pt>
                      <c:pt idx="78">
                        <c:v>930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EVALUATION!$B$122:$CP$122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8-27FC-4A9D-A437-1D0023828BE9}"/>
                  </c:ext>
                </c:extLst>
              </c15:ser>
            </c15:filteredScatterSeries>
            <c15:filteredScatterSeries>
              <c15:ser>
                <c:idx val="20"/>
                <c:order val="22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306</c:v>
                      </c:pt>
                      <c:pt idx="1">
                        <c:v>314</c:v>
                      </c:pt>
                      <c:pt idx="2">
                        <c:v>322</c:v>
                      </c:pt>
                      <c:pt idx="3">
                        <c:v>330</c:v>
                      </c:pt>
                      <c:pt idx="4">
                        <c:v>338</c:v>
                      </c:pt>
                      <c:pt idx="5">
                        <c:v>346</c:v>
                      </c:pt>
                      <c:pt idx="6">
                        <c:v>354</c:v>
                      </c:pt>
                      <c:pt idx="7">
                        <c:v>362</c:v>
                      </c:pt>
                      <c:pt idx="8">
                        <c:v>370</c:v>
                      </c:pt>
                      <c:pt idx="9">
                        <c:v>378</c:v>
                      </c:pt>
                      <c:pt idx="10">
                        <c:v>386</c:v>
                      </c:pt>
                      <c:pt idx="11">
                        <c:v>394</c:v>
                      </c:pt>
                      <c:pt idx="12">
                        <c:v>402</c:v>
                      </c:pt>
                      <c:pt idx="13">
                        <c:v>410</c:v>
                      </c:pt>
                      <c:pt idx="14">
                        <c:v>418</c:v>
                      </c:pt>
                      <c:pt idx="15">
                        <c:v>426</c:v>
                      </c:pt>
                      <c:pt idx="16">
                        <c:v>434</c:v>
                      </c:pt>
                      <c:pt idx="17">
                        <c:v>442</c:v>
                      </c:pt>
                      <c:pt idx="18">
                        <c:v>450</c:v>
                      </c:pt>
                      <c:pt idx="19">
                        <c:v>458</c:v>
                      </c:pt>
                      <c:pt idx="20">
                        <c:v>466</c:v>
                      </c:pt>
                      <c:pt idx="21">
                        <c:v>474</c:v>
                      </c:pt>
                      <c:pt idx="22">
                        <c:v>482</c:v>
                      </c:pt>
                      <c:pt idx="23">
                        <c:v>490</c:v>
                      </c:pt>
                      <c:pt idx="24">
                        <c:v>498</c:v>
                      </c:pt>
                      <c:pt idx="25">
                        <c:v>506</c:v>
                      </c:pt>
                      <c:pt idx="26">
                        <c:v>514</c:v>
                      </c:pt>
                      <c:pt idx="27">
                        <c:v>522</c:v>
                      </c:pt>
                      <c:pt idx="28">
                        <c:v>530</c:v>
                      </c:pt>
                      <c:pt idx="29">
                        <c:v>538</c:v>
                      </c:pt>
                      <c:pt idx="30">
                        <c:v>546</c:v>
                      </c:pt>
                      <c:pt idx="31">
                        <c:v>554</c:v>
                      </c:pt>
                      <c:pt idx="32">
                        <c:v>562</c:v>
                      </c:pt>
                      <c:pt idx="33">
                        <c:v>570</c:v>
                      </c:pt>
                      <c:pt idx="34">
                        <c:v>578</c:v>
                      </c:pt>
                      <c:pt idx="35">
                        <c:v>586</c:v>
                      </c:pt>
                      <c:pt idx="36">
                        <c:v>594</c:v>
                      </c:pt>
                      <c:pt idx="37">
                        <c:v>602</c:v>
                      </c:pt>
                      <c:pt idx="38">
                        <c:v>610</c:v>
                      </c:pt>
                      <c:pt idx="39">
                        <c:v>618</c:v>
                      </c:pt>
                      <c:pt idx="40">
                        <c:v>626</c:v>
                      </c:pt>
                      <c:pt idx="41">
                        <c:v>634</c:v>
                      </c:pt>
                      <c:pt idx="42">
                        <c:v>642</c:v>
                      </c:pt>
                      <c:pt idx="43">
                        <c:v>650</c:v>
                      </c:pt>
                      <c:pt idx="44">
                        <c:v>658</c:v>
                      </c:pt>
                      <c:pt idx="45">
                        <c:v>666</c:v>
                      </c:pt>
                      <c:pt idx="46">
                        <c:v>674</c:v>
                      </c:pt>
                      <c:pt idx="47">
                        <c:v>682</c:v>
                      </c:pt>
                      <c:pt idx="48">
                        <c:v>690</c:v>
                      </c:pt>
                      <c:pt idx="49">
                        <c:v>698</c:v>
                      </c:pt>
                      <c:pt idx="50">
                        <c:v>706</c:v>
                      </c:pt>
                      <c:pt idx="51">
                        <c:v>714</c:v>
                      </c:pt>
                      <c:pt idx="52">
                        <c:v>722</c:v>
                      </c:pt>
                      <c:pt idx="53">
                        <c:v>730</c:v>
                      </c:pt>
                      <c:pt idx="54">
                        <c:v>738</c:v>
                      </c:pt>
                      <c:pt idx="55">
                        <c:v>746</c:v>
                      </c:pt>
                      <c:pt idx="56">
                        <c:v>754</c:v>
                      </c:pt>
                      <c:pt idx="57">
                        <c:v>762</c:v>
                      </c:pt>
                      <c:pt idx="58">
                        <c:v>770</c:v>
                      </c:pt>
                      <c:pt idx="59">
                        <c:v>778</c:v>
                      </c:pt>
                      <c:pt idx="60">
                        <c:v>786</c:v>
                      </c:pt>
                      <c:pt idx="61">
                        <c:v>794</c:v>
                      </c:pt>
                      <c:pt idx="62">
                        <c:v>802</c:v>
                      </c:pt>
                      <c:pt idx="63">
                        <c:v>810</c:v>
                      </c:pt>
                      <c:pt idx="64">
                        <c:v>818</c:v>
                      </c:pt>
                      <c:pt idx="65">
                        <c:v>826</c:v>
                      </c:pt>
                      <c:pt idx="66">
                        <c:v>834</c:v>
                      </c:pt>
                      <c:pt idx="67">
                        <c:v>842</c:v>
                      </c:pt>
                      <c:pt idx="68">
                        <c:v>850</c:v>
                      </c:pt>
                      <c:pt idx="69">
                        <c:v>858</c:v>
                      </c:pt>
                      <c:pt idx="70">
                        <c:v>866</c:v>
                      </c:pt>
                      <c:pt idx="71">
                        <c:v>874</c:v>
                      </c:pt>
                      <c:pt idx="72">
                        <c:v>882</c:v>
                      </c:pt>
                      <c:pt idx="73">
                        <c:v>890</c:v>
                      </c:pt>
                      <c:pt idx="74">
                        <c:v>898</c:v>
                      </c:pt>
                      <c:pt idx="75">
                        <c:v>906</c:v>
                      </c:pt>
                      <c:pt idx="76">
                        <c:v>914</c:v>
                      </c:pt>
                      <c:pt idx="77">
                        <c:v>922</c:v>
                      </c:pt>
                      <c:pt idx="78">
                        <c:v>930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EVALUATION!$B$123:$CP$123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9-27FC-4A9D-A437-1D0023828BE9}"/>
                  </c:ext>
                </c:extLst>
              </c15:ser>
            </c15:filteredScatterSeries>
            <c15:filteredScatterSeries>
              <c15:ser>
                <c:idx val="21"/>
                <c:order val="23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306</c:v>
                      </c:pt>
                      <c:pt idx="1">
                        <c:v>314</c:v>
                      </c:pt>
                      <c:pt idx="2">
                        <c:v>322</c:v>
                      </c:pt>
                      <c:pt idx="3">
                        <c:v>330</c:v>
                      </c:pt>
                      <c:pt idx="4">
                        <c:v>338</c:v>
                      </c:pt>
                      <c:pt idx="5">
                        <c:v>346</c:v>
                      </c:pt>
                      <c:pt idx="6">
                        <c:v>354</c:v>
                      </c:pt>
                      <c:pt idx="7">
                        <c:v>362</c:v>
                      </c:pt>
                      <c:pt idx="8">
                        <c:v>370</c:v>
                      </c:pt>
                      <c:pt idx="9">
                        <c:v>378</c:v>
                      </c:pt>
                      <c:pt idx="10">
                        <c:v>386</c:v>
                      </c:pt>
                      <c:pt idx="11">
                        <c:v>394</c:v>
                      </c:pt>
                      <c:pt idx="12">
                        <c:v>402</c:v>
                      </c:pt>
                      <c:pt idx="13">
                        <c:v>410</c:v>
                      </c:pt>
                      <c:pt idx="14">
                        <c:v>418</c:v>
                      </c:pt>
                      <c:pt idx="15">
                        <c:v>426</c:v>
                      </c:pt>
                      <c:pt idx="16">
                        <c:v>434</c:v>
                      </c:pt>
                      <c:pt idx="17">
                        <c:v>442</c:v>
                      </c:pt>
                      <c:pt idx="18">
                        <c:v>450</c:v>
                      </c:pt>
                      <c:pt idx="19">
                        <c:v>458</c:v>
                      </c:pt>
                      <c:pt idx="20">
                        <c:v>466</c:v>
                      </c:pt>
                      <c:pt idx="21">
                        <c:v>474</c:v>
                      </c:pt>
                      <c:pt idx="22">
                        <c:v>482</c:v>
                      </c:pt>
                      <c:pt idx="23">
                        <c:v>490</c:v>
                      </c:pt>
                      <c:pt idx="24">
                        <c:v>498</c:v>
                      </c:pt>
                      <c:pt idx="25">
                        <c:v>506</c:v>
                      </c:pt>
                      <c:pt idx="26">
                        <c:v>514</c:v>
                      </c:pt>
                      <c:pt idx="27">
                        <c:v>522</c:v>
                      </c:pt>
                      <c:pt idx="28">
                        <c:v>530</c:v>
                      </c:pt>
                      <c:pt idx="29">
                        <c:v>538</c:v>
                      </c:pt>
                      <c:pt idx="30">
                        <c:v>546</c:v>
                      </c:pt>
                      <c:pt idx="31">
                        <c:v>554</c:v>
                      </c:pt>
                      <c:pt idx="32">
                        <c:v>562</c:v>
                      </c:pt>
                      <c:pt idx="33">
                        <c:v>570</c:v>
                      </c:pt>
                      <c:pt idx="34">
                        <c:v>578</c:v>
                      </c:pt>
                      <c:pt idx="35">
                        <c:v>586</c:v>
                      </c:pt>
                      <c:pt idx="36">
                        <c:v>594</c:v>
                      </c:pt>
                      <c:pt idx="37">
                        <c:v>602</c:v>
                      </c:pt>
                      <c:pt idx="38">
                        <c:v>610</c:v>
                      </c:pt>
                      <c:pt idx="39">
                        <c:v>618</c:v>
                      </c:pt>
                      <c:pt idx="40">
                        <c:v>626</c:v>
                      </c:pt>
                      <c:pt idx="41">
                        <c:v>634</c:v>
                      </c:pt>
                      <c:pt idx="42">
                        <c:v>642</c:v>
                      </c:pt>
                      <c:pt idx="43">
                        <c:v>650</c:v>
                      </c:pt>
                      <c:pt idx="44">
                        <c:v>658</c:v>
                      </c:pt>
                      <c:pt idx="45">
                        <c:v>666</c:v>
                      </c:pt>
                      <c:pt idx="46">
                        <c:v>674</c:v>
                      </c:pt>
                      <c:pt idx="47">
                        <c:v>682</c:v>
                      </c:pt>
                      <c:pt idx="48">
                        <c:v>690</c:v>
                      </c:pt>
                      <c:pt idx="49">
                        <c:v>698</c:v>
                      </c:pt>
                      <c:pt idx="50">
                        <c:v>706</c:v>
                      </c:pt>
                      <c:pt idx="51">
                        <c:v>714</c:v>
                      </c:pt>
                      <c:pt idx="52">
                        <c:v>722</c:v>
                      </c:pt>
                      <c:pt idx="53">
                        <c:v>730</c:v>
                      </c:pt>
                      <c:pt idx="54">
                        <c:v>738</c:v>
                      </c:pt>
                      <c:pt idx="55">
                        <c:v>746</c:v>
                      </c:pt>
                      <c:pt idx="56">
                        <c:v>754</c:v>
                      </c:pt>
                      <c:pt idx="57">
                        <c:v>762</c:v>
                      </c:pt>
                      <c:pt idx="58">
                        <c:v>770</c:v>
                      </c:pt>
                      <c:pt idx="59">
                        <c:v>778</c:v>
                      </c:pt>
                      <c:pt idx="60">
                        <c:v>786</c:v>
                      </c:pt>
                      <c:pt idx="61">
                        <c:v>794</c:v>
                      </c:pt>
                      <c:pt idx="62">
                        <c:v>802</c:v>
                      </c:pt>
                      <c:pt idx="63">
                        <c:v>810</c:v>
                      </c:pt>
                      <c:pt idx="64">
                        <c:v>818</c:v>
                      </c:pt>
                      <c:pt idx="65">
                        <c:v>826</c:v>
                      </c:pt>
                      <c:pt idx="66">
                        <c:v>834</c:v>
                      </c:pt>
                      <c:pt idx="67">
                        <c:v>842</c:v>
                      </c:pt>
                      <c:pt idx="68">
                        <c:v>850</c:v>
                      </c:pt>
                      <c:pt idx="69">
                        <c:v>858</c:v>
                      </c:pt>
                      <c:pt idx="70">
                        <c:v>866</c:v>
                      </c:pt>
                      <c:pt idx="71">
                        <c:v>874</c:v>
                      </c:pt>
                      <c:pt idx="72">
                        <c:v>882</c:v>
                      </c:pt>
                      <c:pt idx="73">
                        <c:v>890</c:v>
                      </c:pt>
                      <c:pt idx="74">
                        <c:v>898</c:v>
                      </c:pt>
                      <c:pt idx="75">
                        <c:v>906</c:v>
                      </c:pt>
                      <c:pt idx="76">
                        <c:v>914</c:v>
                      </c:pt>
                      <c:pt idx="77">
                        <c:v>922</c:v>
                      </c:pt>
                      <c:pt idx="78">
                        <c:v>930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EVALUATION!$B$124:$CP$124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A-27FC-4A9D-A437-1D0023828BE9}"/>
                  </c:ext>
                </c:extLst>
              </c15:ser>
            </c15:filteredScatterSeries>
            <c15:filteredScatterSeries>
              <c15:ser>
                <c:idx val="22"/>
                <c:order val="24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306</c:v>
                      </c:pt>
                      <c:pt idx="1">
                        <c:v>314</c:v>
                      </c:pt>
                      <c:pt idx="2">
                        <c:v>322</c:v>
                      </c:pt>
                      <c:pt idx="3">
                        <c:v>330</c:v>
                      </c:pt>
                      <c:pt idx="4">
                        <c:v>338</c:v>
                      </c:pt>
                      <c:pt idx="5">
                        <c:v>346</c:v>
                      </c:pt>
                      <c:pt idx="6">
                        <c:v>354</c:v>
                      </c:pt>
                      <c:pt idx="7">
                        <c:v>362</c:v>
                      </c:pt>
                      <c:pt idx="8">
                        <c:v>370</c:v>
                      </c:pt>
                      <c:pt idx="9">
                        <c:v>378</c:v>
                      </c:pt>
                      <c:pt idx="10">
                        <c:v>386</c:v>
                      </c:pt>
                      <c:pt idx="11">
                        <c:v>394</c:v>
                      </c:pt>
                      <c:pt idx="12">
                        <c:v>402</c:v>
                      </c:pt>
                      <c:pt idx="13">
                        <c:v>410</c:v>
                      </c:pt>
                      <c:pt idx="14">
                        <c:v>418</c:v>
                      </c:pt>
                      <c:pt idx="15">
                        <c:v>426</c:v>
                      </c:pt>
                      <c:pt idx="16">
                        <c:v>434</c:v>
                      </c:pt>
                      <c:pt idx="17">
                        <c:v>442</c:v>
                      </c:pt>
                      <c:pt idx="18">
                        <c:v>450</c:v>
                      </c:pt>
                      <c:pt idx="19">
                        <c:v>458</c:v>
                      </c:pt>
                      <c:pt idx="20">
                        <c:v>466</c:v>
                      </c:pt>
                      <c:pt idx="21">
                        <c:v>474</c:v>
                      </c:pt>
                      <c:pt idx="22">
                        <c:v>482</c:v>
                      </c:pt>
                      <c:pt idx="23">
                        <c:v>490</c:v>
                      </c:pt>
                      <c:pt idx="24">
                        <c:v>498</c:v>
                      </c:pt>
                      <c:pt idx="25">
                        <c:v>506</c:v>
                      </c:pt>
                      <c:pt idx="26">
                        <c:v>514</c:v>
                      </c:pt>
                      <c:pt idx="27">
                        <c:v>522</c:v>
                      </c:pt>
                      <c:pt idx="28">
                        <c:v>530</c:v>
                      </c:pt>
                      <c:pt idx="29">
                        <c:v>538</c:v>
                      </c:pt>
                      <c:pt idx="30">
                        <c:v>546</c:v>
                      </c:pt>
                      <c:pt idx="31">
                        <c:v>554</c:v>
                      </c:pt>
                      <c:pt idx="32">
                        <c:v>562</c:v>
                      </c:pt>
                      <c:pt idx="33">
                        <c:v>570</c:v>
                      </c:pt>
                      <c:pt idx="34">
                        <c:v>578</c:v>
                      </c:pt>
                      <c:pt idx="35">
                        <c:v>586</c:v>
                      </c:pt>
                      <c:pt idx="36">
                        <c:v>594</c:v>
                      </c:pt>
                      <c:pt idx="37">
                        <c:v>602</c:v>
                      </c:pt>
                      <c:pt idx="38">
                        <c:v>610</c:v>
                      </c:pt>
                      <c:pt idx="39">
                        <c:v>618</c:v>
                      </c:pt>
                      <c:pt idx="40">
                        <c:v>626</c:v>
                      </c:pt>
                      <c:pt idx="41">
                        <c:v>634</c:v>
                      </c:pt>
                      <c:pt idx="42">
                        <c:v>642</c:v>
                      </c:pt>
                      <c:pt idx="43">
                        <c:v>650</c:v>
                      </c:pt>
                      <c:pt idx="44">
                        <c:v>658</c:v>
                      </c:pt>
                      <c:pt idx="45">
                        <c:v>666</c:v>
                      </c:pt>
                      <c:pt idx="46">
                        <c:v>674</c:v>
                      </c:pt>
                      <c:pt idx="47">
                        <c:v>682</c:v>
                      </c:pt>
                      <c:pt idx="48">
                        <c:v>690</c:v>
                      </c:pt>
                      <c:pt idx="49">
                        <c:v>698</c:v>
                      </c:pt>
                      <c:pt idx="50">
                        <c:v>706</c:v>
                      </c:pt>
                      <c:pt idx="51">
                        <c:v>714</c:v>
                      </c:pt>
                      <c:pt idx="52">
                        <c:v>722</c:v>
                      </c:pt>
                      <c:pt idx="53">
                        <c:v>730</c:v>
                      </c:pt>
                      <c:pt idx="54">
                        <c:v>738</c:v>
                      </c:pt>
                      <c:pt idx="55">
                        <c:v>746</c:v>
                      </c:pt>
                      <c:pt idx="56">
                        <c:v>754</c:v>
                      </c:pt>
                      <c:pt idx="57">
                        <c:v>762</c:v>
                      </c:pt>
                      <c:pt idx="58">
                        <c:v>770</c:v>
                      </c:pt>
                      <c:pt idx="59">
                        <c:v>778</c:v>
                      </c:pt>
                      <c:pt idx="60">
                        <c:v>786</c:v>
                      </c:pt>
                      <c:pt idx="61">
                        <c:v>794</c:v>
                      </c:pt>
                      <c:pt idx="62">
                        <c:v>802</c:v>
                      </c:pt>
                      <c:pt idx="63">
                        <c:v>810</c:v>
                      </c:pt>
                      <c:pt idx="64">
                        <c:v>818</c:v>
                      </c:pt>
                      <c:pt idx="65">
                        <c:v>826</c:v>
                      </c:pt>
                      <c:pt idx="66">
                        <c:v>834</c:v>
                      </c:pt>
                      <c:pt idx="67">
                        <c:v>842</c:v>
                      </c:pt>
                      <c:pt idx="68">
                        <c:v>850</c:v>
                      </c:pt>
                      <c:pt idx="69">
                        <c:v>858</c:v>
                      </c:pt>
                      <c:pt idx="70">
                        <c:v>866</c:v>
                      </c:pt>
                      <c:pt idx="71">
                        <c:v>874</c:v>
                      </c:pt>
                      <c:pt idx="72">
                        <c:v>882</c:v>
                      </c:pt>
                      <c:pt idx="73">
                        <c:v>890</c:v>
                      </c:pt>
                      <c:pt idx="74">
                        <c:v>898</c:v>
                      </c:pt>
                      <c:pt idx="75">
                        <c:v>906</c:v>
                      </c:pt>
                      <c:pt idx="76">
                        <c:v>914</c:v>
                      </c:pt>
                      <c:pt idx="77">
                        <c:v>922</c:v>
                      </c:pt>
                      <c:pt idx="78">
                        <c:v>930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EVALUATION!$B$125:$CP$125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B-27FC-4A9D-A437-1D0023828BE9}"/>
                  </c:ext>
                </c:extLst>
              </c15:ser>
            </c15:filteredScatterSeries>
            <c15:filteredScatterSeries>
              <c15:ser>
                <c:idx val="23"/>
                <c:order val="25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306</c:v>
                      </c:pt>
                      <c:pt idx="1">
                        <c:v>314</c:v>
                      </c:pt>
                      <c:pt idx="2">
                        <c:v>322</c:v>
                      </c:pt>
                      <c:pt idx="3">
                        <c:v>330</c:v>
                      </c:pt>
                      <c:pt idx="4">
                        <c:v>338</c:v>
                      </c:pt>
                      <c:pt idx="5">
                        <c:v>346</c:v>
                      </c:pt>
                      <c:pt idx="6">
                        <c:v>354</c:v>
                      </c:pt>
                      <c:pt idx="7">
                        <c:v>362</c:v>
                      </c:pt>
                      <c:pt idx="8">
                        <c:v>370</c:v>
                      </c:pt>
                      <c:pt idx="9">
                        <c:v>378</c:v>
                      </c:pt>
                      <c:pt idx="10">
                        <c:v>386</c:v>
                      </c:pt>
                      <c:pt idx="11">
                        <c:v>394</c:v>
                      </c:pt>
                      <c:pt idx="12">
                        <c:v>402</c:v>
                      </c:pt>
                      <c:pt idx="13">
                        <c:v>410</c:v>
                      </c:pt>
                      <c:pt idx="14">
                        <c:v>418</c:v>
                      </c:pt>
                      <c:pt idx="15">
                        <c:v>426</c:v>
                      </c:pt>
                      <c:pt idx="16">
                        <c:v>434</c:v>
                      </c:pt>
                      <c:pt idx="17">
                        <c:v>442</c:v>
                      </c:pt>
                      <c:pt idx="18">
                        <c:v>450</c:v>
                      </c:pt>
                      <c:pt idx="19">
                        <c:v>458</c:v>
                      </c:pt>
                      <c:pt idx="20">
                        <c:v>466</c:v>
                      </c:pt>
                      <c:pt idx="21">
                        <c:v>474</c:v>
                      </c:pt>
                      <c:pt idx="22">
                        <c:v>482</c:v>
                      </c:pt>
                      <c:pt idx="23">
                        <c:v>490</c:v>
                      </c:pt>
                      <c:pt idx="24">
                        <c:v>498</c:v>
                      </c:pt>
                      <c:pt idx="25">
                        <c:v>506</c:v>
                      </c:pt>
                      <c:pt idx="26">
                        <c:v>514</c:v>
                      </c:pt>
                      <c:pt idx="27">
                        <c:v>522</c:v>
                      </c:pt>
                      <c:pt idx="28">
                        <c:v>530</c:v>
                      </c:pt>
                      <c:pt idx="29">
                        <c:v>538</c:v>
                      </c:pt>
                      <c:pt idx="30">
                        <c:v>546</c:v>
                      </c:pt>
                      <c:pt idx="31">
                        <c:v>554</c:v>
                      </c:pt>
                      <c:pt idx="32">
                        <c:v>562</c:v>
                      </c:pt>
                      <c:pt idx="33">
                        <c:v>570</c:v>
                      </c:pt>
                      <c:pt idx="34">
                        <c:v>578</c:v>
                      </c:pt>
                      <c:pt idx="35">
                        <c:v>586</c:v>
                      </c:pt>
                      <c:pt idx="36">
                        <c:v>594</c:v>
                      </c:pt>
                      <c:pt idx="37">
                        <c:v>602</c:v>
                      </c:pt>
                      <c:pt idx="38">
                        <c:v>610</c:v>
                      </c:pt>
                      <c:pt idx="39">
                        <c:v>618</c:v>
                      </c:pt>
                      <c:pt idx="40">
                        <c:v>626</c:v>
                      </c:pt>
                      <c:pt idx="41">
                        <c:v>634</c:v>
                      </c:pt>
                      <c:pt idx="42">
                        <c:v>642</c:v>
                      </c:pt>
                      <c:pt idx="43">
                        <c:v>650</c:v>
                      </c:pt>
                      <c:pt idx="44">
                        <c:v>658</c:v>
                      </c:pt>
                      <c:pt idx="45">
                        <c:v>666</c:v>
                      </c:pt>
                      <c:pt idx="46">
                        <c:v>674</c:v>
                      </c:pt>
                      <c:pt idx="47">
                        <c:v>682</c:v>
                      </c:pt>
                      <c:pt idx="48">
                        <c:v>690</c:v>
                      </c:pt>
                      <c:pt idx="49">
                        <c:v>698</c:v>
                      </c:pt>
                      <c:pt idx="50">
                        <c:v>706</c:v>
                      </c:pt>
                      <c:pt idx="51">
                        <c:v>714</c:v>
                      </c:pt>
                      <c:pt idx="52">
                        <c:v>722</c:v>
                      </c:pt>
                      <c:pt idx="53">
                        <c:v>730</c:v>
                      </c:pt>
                      <c:pt idx="54">
                        <c:v>738</c:v>
                      </c:pt>
                      <c:pt idx="55">
                        <c:v>746</c:v>
                      </c:pt>
                      <c:pt idx="56">
                        <c:v>754</c:v>
                      </c:pt>
                      <c:pt idx="57">
                        <c:v>762</c:v>
                      </c:pt>
                      <c:pt idx="58">
                        <c:v>770</c:v>
                      </c:pt>
                      <c:pt idx="59">
                        <c:v>778</c:v>
                      </c:pt>
                      <c:pt idx="60">
                        <c:v>786</c:v>
                      </c:pt>
                      <c:pt idx="61">
                        <c:v>794</c:v>
                      </c:pt>
                      <c:pt idx="62">
                        <c:v>802</c:v>
                      </c:pt>
                      <c:pt idx="63">
                        <c:v>810</c:v>
                      </c:pt>
                      <c:pt idx="64">
                        <c:v>818</c:v>
                      </c:pt>
                      <c:pt idx="65">
                        <c:v>826</c:v>
                      </c:pt>
                      <c:pt idx="66">
                        <c:v>834</c:v>
                      </c:pt>
                      <c:pt idx="67">
                        <c:v>842</c:v>
                      </c:pt>
                      <c:pt idx="68">
                        <c:v>850</c:v>
                      </c:pt>
                      <c:pt idx="69">
                        <c:v>858</c:v>
                      </c:pt>
                      <c:pt idx="70">
                        <c:v>866</c:v>
                      </c:pt>
                      <c:pt idx="71">
                        <c:v>874</c:v>
                      </c:pt>
                      <c:pt idx="72">
                        <c:v>882</c:v>
                      </c:pt>
                      <c:pt idx="73">
                        <c:v>890</c:v>
                      </c:pt>
                      <c:pt idx="74">
                        <c:v>898</c:v>
                      </c:pt>
                      <c:pt idx="75">
                        <c:v>906</c:v>
                      </c:pt>
                      <c:pt idx="76">
                        <c:v>914</c:v>
                      </c:pt>
                      <c:pt idx="77">
                        <c:v>922</c:v>
                      </c:pt>
                      <c:pt idx="78">
                        <c:v>930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EVALUATION!$B$126:$CP$126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C-27FC-4A9D-A437-1D0023828BE9}"/>
                  </c:ext>
                </c:extLst>
              </c15:ser>
            </c15:filteredScatterSeries>
            <c15:filteredScatterSeries>
              <c15:ser>
                <c:idx val="24"/>
                <c:order val="26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306</c:v>
                      </c:pt>
                      <c:pt idx="1">
                        <c:v>314</c:v>
                      </c:pt>
                      <c:pt idx="2">
                        <c:v>322</c:v>
                      </c:pt>
                      <c:pt idx="3">
                        <c:v>330</c:v>
                      </c:pt>
                      <c:pt idx="4">
                        <c:v>338</c:v>
                      </c:pt>
                      <c:pt idx="5">
                        <c:v>346</c:v>
                      </c:pt>
                      <c:pt idx="6">
                        <c:v>354</c:v>
                      </c:pt>
                      <c:pt idx="7">
                        <c:v>362</c:v>
                      </c:pt>
                      <c:pt idx="8">
                        <c:v>370</c:v>
                      </c:pt>
                      <c:pt idx="9">
                        <c:v>378</c:v>
                      </c:pt>
                      <c:pt idx="10">
                        <c:v>386</c:v>
                      </c:pt>
                      <c:pt idx="11">
                        <c:v>394</c:v>
                      </c:pt>
                      <c:pt idx="12">
                        <c:v>402</c:v>
                      </c:pt>
                      <c:pt idx="13">
                        <c:v>410</c:v>
                      </c:pt>
                      <c:pt idx="14">
                        <c:v>418</c:v>
                      </c:pt>
                      <c:pt idx="15">
                        <c:v>426</c:v>
                      </c:pt>
                      <c:pt idx="16">
                        <c:v>434</c:v>
                      </c:pt>
                      <c:pt idx="17">
                        <c:v>442</c:v>
                      </c:pt>
                      <c:pt idx="18">
                        <c:v>450</c:v>
                      </c:pt>
                      <c:pt idx="19">
                        <c:v>458</c:v>
                      </c:pt>
                      <c:pt idx="20">
                        <c:v>466</c:v>
                      </c:pt>
                      <c:pt idx="21">
                        <c:v>474</c:v>
                      </c:pt>
                      <c:pt idx="22">
                        <c:v>482</c:v>
                      </c:pt>
                      <c:pt idx="23">
                        <c:v>490</c:v>
                      </c:pt>
                      <c:pt idx="24">
                        <c:v>498</c:v>
                      </c:pt>
                      <c:pt idx="25">
                        <c:v>506</c:v>
                      </c:pt>
                      <c:pt idx="26">
                        <c:v>514</c:v>
                      </c:pt>
                      <c:pt idx="27">
                        <c:v>522</c:v>
                      </c:pt>
                      <c:pt idx="28">
                        <c:v>530</c:v>
                      </c:pt>
                      <c:pt idx="29">
                        <c:v>538</c:v>
                      </c:pt>
                      <c:pt idx="30">
                        <c:v>546</c:v>
                      </c:pt>
                      <c:pt idx="31">
                        <c:v>554</c:v>
                      </c:pt>
                      <c:pt idx="32">
                        <c:v>562</c:v>
                      </c:pt>
                      <c:pt idx="33">
                        <c:v>570</c:v>
                      </c:pt>
                      <c:pt idx="34">
                        <c:v>578</c:v>
                      </c:pt>
                      <c:pt idx="35">
                        <c:v>586</c:v>
                      </c:pt>
                      <c:pt idx="36">
                        <c:v>594</c:v>
                      </c:pt>
                      <c:pt idx="37">
                        <c:v>602</c:v>
                      </c:pt>
                      <c:pt idx="38">
                        <c:v>610</c:v>
                      </c:pt>
                      <c:pt idx="39">
                        <c:v>618</c:v>
                      </c:pt>
                      <c:pt idx="40">
                        <c:v>626</c:v>
                      </c:pt>
                      <c:pt idx="41">
                        <c:v>634</c:v>
                      </c:pt>
                      <c:pt idx="42">
                        <c:v>642</c:v>
                      </c:pt>
                      <c:pt idx="43">
                        <c:v>650</c:v>
                      </c:pt>
                      <c:pt idx="44">
                        <c:v>658</c:v>
                      </c:pt>
                      <c:pt idx="45">
                        <c:v>666</c:v>
                      </c:pt>
                      <c:pt idx="46">
                        <c:v>674</c:v>
                      </c:pt>
                      <c:pt idx="47">
                        <c:v>682</c:v>
                      </c:pt>
                      <c:pt idx="48">
                        <c:v>690</c:v>
                      </c:pt>
                      <c:pt idx="49">
                        <c:v>698</c:v>
                      </c:pt>
                      <c:pt idx="50">
                        <c:v>706</c:v>
                      </c:pt>
                      <c:pt idx="51">
                        <c:v>714</c:v>
                      </c:pt>
                      <c:pt idx="52">
                        <c:v>722</c:v>
                      </c:pt>
                      <c:pt idx="53">
                        <c:v>730</c:v>
                      </c:pt>
                      <c:pt idx="54">
                        <c:v>738</c:v>
                      </c:pt>
                      <c:pt idx="55">
                        <c:v>746</c:v>
                      </c:pt>
                      <c:pt idx="56">
                        <c:v>754</c:v>
                      </c:pt>
                      <c:pt idx="57">
                        <c:v>762</c:v>
                      </c:pt>
                      <c:pt idx="58">
                        <c:v>770</c:v>
                      </c:pt>
                      <c:pt idx="59">
                        <c:v>778</c:v>
                      </c:pt>
                      <c:pt idx="60">
                        <c:v>786</c:v>
                      </c:pt>
                      <c:pt idx="61">
                        <c:v>794</c:v>
                      </c:pt>
                      <c:pt idx="62">
                        <c:v>802</c:v>
                      </c:pt>
                      <c:pt idx="63">
                        <c:v>810</c:v>
                      </c:pt>
                      <c:pt idx="64">
                        <c:v>818</c:v>
                      </c:pt>
                      <c:pt idx="65">
                        <c:v>826</c:v>
                      </c:pt>
                      <c:pt idx="66">
                        <c:v>834</c:v>
                      </c:pt>
                      <c:pt idx="67">
                        <c:v>842</c:v>
                      </c:pt>
                      <c:pt idx="68">
                        <c:v>850</c:v>
                      </c:pt>
                      <c:pt idx="69">
                        <c:v>858</c:v>
                      </c:pt>
                      <c:pt idx="70">
                        <c:v>866</c:v>
                      </c:pt>
                      <c:pt idx="71">
                        <c:v>874</c:v>
                      </c:pt>
                      <c:pt idx="72">
                        <c:v>882</c:v>
                      </c:pt>
                      <c:pt idx="73">
                        <c:v>890</c:v>
                      </c:pt>
                      <c:pt idx="74">
                        <c:v>898</c:v>
                      </c:pt>
                      <c:pt idx="75">
                        <c:v>906</c:v>
                      </c:pt>
                      <c:pt idx="76">
                        <c:v>914</c:v>
                      </c:pt>
                      <c:pt idx="77">
                        <c:v>922</c:v>
                      </c:pt>
                      <c:pt idx="78">
                        <c:v>930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EVALUATION!$B$127:$CP$127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D-27FC-4A9D-A437-1D0023828BE9}"/>
                  </c:ext>
                </c:extLst>
              </c15:ser>
            </c15:filteredScatterSeries>
            <c15:filteredScatterSeries>
              <c15:ser>
                <c:idx val="25"/>
                <c:order val="27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306</c:v>
                      </c:pt>
                      <c:pt idx="1">
                        <c:v>314</c:v>
                      </c:pt>
                      <c:pt idx="2">
                        <c:v>322</c:v>
                      </c:pt>
                      <c:pt idx="3">
                        <c:v>330</c:v>
                      </c:pt>
                      <c:pt idx="4">
                        <c:v>338</c:v>
                      </c:pt>
                      <c:pt idx="5">
                        <c:v>346</c:v>
                      </c:pt>
                      <c:pt idx="6">
                        <c:v>354</c:v>
                      </c:pt>
                      <c:pt idx="7">
                        <c:v>362</c:v>
                      </c:pt>
                      <c:pt idx="8">
                        <c:v>370</c:v>
                      </c:pt>
                      <c:pt idx="9">
                        <c:v>378</c:v>
                      </c:pt>
                      <c:pt idx="10">
                        <c:v>386</c:v>
                      </c:pt>
                      <c:pt idx="11">
                        <c:v>394</c:v>
                      </c:pt>
                      <c:pt idx="12">
                        <c:v>402</c:v>
                      </c:pt>
                      <c:pt idx="13">
                        <c:v>410</c:v>
                      </c:pt>
                      <c:pt idx="14">
                        <c:v>418</c:v>
                      </c:pt>
                      <c:pt idx="15">
                        <c:v>426</c:v>
                      </c:pt>
                      <c:pt idx="16">
                        <c:v>434</c:v>
                      </c:pt>
                      <c:pt idx="17">
                        <c:v>442</c:v>
                      </c:pt>
                      <c:pt idx="18">
                        <c:v>450</c:v>
                      </c:pt>
                      <c:pt idx="19">
                        <c:v>458</c:v>
                      </c:pt>
                      <c:pt idx="20">
                        <c:v>466</c:v>
                      </c:pt>
                      <c:pt idx="21">
                        <c:v>474</c:v>
                      </c:pt>
                      <c:pt idx="22">
                        <c:v>482</c:v>
                      </c:pt>
                      <c:pt idx="23">
                        <c:v>490</c:v>
                      </c:pt>
                      <c:pt idx="24">
                        <c:v>498</c:v>
                      </c:pt>
                      <c:pt idx="25">
                        <c:v>506</c:v>
                      </c:pt>
                      <c:pt idx="26">
                        <c:v>514</c:v>
                      </c:pt>
                      <c:pt idx="27">
                        <c:v>522</c:v>
                      </c:pt>
                      <c:pt idx="28">
                        <c:v>530</c:v>
                      </c:pt>
                      <c:pt idx="29">
                        <c:v>538</c:v>
                      </c:pt>
                      <c:pt idx="30">
                        <c:v>546</c:v>
                      </c:pt>
                      <c:pt idx="31">
                        <c:v>554</c:v>
                      </c:pt>
                      <c:pt idx="32">
                        <c:v>562</c:v>
                      </c:pt>
                      <c:pt idx="33">
                        <c:v>570</c:v>
                      </c:pt>
                      <c:pt idx="34">
                        <c:v>578</c:v>
                      </c:pt>
                      <c:pt idx="35">
                        <c:v>586</c:v>
                      </c:pt>
                      <c:pt idx="36">
                        <c:v>594</c:v>
                      </c:pt>
                      <c:pt idx="37">
                        <c:v>602</c:v>
                      </c:pt>
                      <c:pt idx="38">
                        <c:v>610</c:v>
                      </c:pt>
                      <c:pt idx="39">
                        <c:v>618</c:v>
                      </c:pt>
                      <c:pt idx="40">
                        <c:v>626</c:v>
                      </c:pt>
                      <c:pt idx="41">
                        <c:v>634</c:v>
                      </c:pt>
                      <c:pt idx="42">
                        <c:v>642</c:v>
                      </c:pt>
                      <c:pt idx="43">
                        <c:v>650</c:v>
                      </c:pt>
                      <c:pt idx="44">
                        <c:v>658</c:v>
                      </c:pt>
                      <c:pt idx="45">
                        <c:v>666</c:v>
                      </c:pt>
                      <c:pt idx="46">
                        <c:v>674</c:v>
                      </c:pt>
                      <c:pt idx="47">
                        <c:v>682</c:v>
                      </c:pt>
                      <c:pt idx="48">
                        <c:v>690</c:v>
                      </c:pt>
                      <c:pt idx="49">
                        <c:v>698</c:v>
                      </c:pt>
                      <c:pt idx="50">
                        <c:v>706</c:v>
                      </c:pt>
                      <c:pt idx="51">
                        <c:v>714</c:v>
                      </c:pt>
                      <c:pt idx="52">
                        <c:v>722</c:v>
                      </c:pt>
                      <c:pt idx="53">
                        <c:v>730</c:v>
                      </c:pt>
                      <c:pt idx="54">
                        <c:v>738</c:v>
                      </c:pt>
                      <c:pt idx="55">
                        <c:v>746</c:v>
                      </c:pt>
                      <c:pt idx="56">
                        <c:v>754</c:v>
                      </c:pt>
                      <c:pt idx="57">
                        <c:v>762</c:v>
                      </c:pt>
                      <c:pt idx="58">
                        <c:v>770</c:v>
                      </c:pt>
                      <c:pt idx="59">
                        <c:v>778</c:v>
                      </c:pt>
                      <c:pt idx="60">
                        <c:v>786</c:v>
                      </c:pt>
                      <c:pt idx="61">
                        <c:v>794</c:v>
                      </c:pt>
                      <c:pt idx="62">
                        <c:v>802</c:v>
                      </c:pt>
                      <c:pt idx="63">
                        <c:v>810</c:v>
                      </c:pt>
                      <c:pt idx="64">
                        <c:v>818</c:v>
                      </c:pt>
                      <c:pt idx="65">
                        <c:v>826</c:v>
                      </c:pt>
                      <c:pt idx="66">
                        <c:v>834</c:v>
                      </c:pt>
                      <c:pt idx="67">
                        <c:v>842</c:v>
                      </c:pt>
                      <c:pt idx="68">
                        <c:v>850</c:v>
                      </c:pt>
                      <c:pt idx="69">
                        <c:v>858</c:v>
                      </c:pt>
                      <c:pt idx="70">
                        <c:v>866</c:v>
                      </c:pt>
                      <c:pt idx="71">
                        <c:v>874</c:v>
                      </c:pt>
                      <c:pt idx="72">
                        <c:v>882</c:v>
                      </c:pt>
                      <c:pt idx="73">
                        <c:v>890</c:v>
                      </c:pt>
                      <c:pt idx="74">
                        <c:v>898</c:v>
                      </c:pt>
                      <c:pt idx="75">
                        <c:v>906</c:v>
                      </c:pt>
                      <c:pt idx="76">
                        <c:v>914</c:v>
                      </c:pt>
                      <c:pt idx="77">
                        <c:v>922</c:v>
                      </c:pt>
                      <c:pt idx="78">
                        <c:v>930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EVALUATION!$B$128:$CP$128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E-27FC-4A9D-A437-1D0023828BE9}"/>
                  </c:ext>
                </c:extLst>
              </c15:ser>
            </c15:filteredScatterSeries>
            <c15:filteredScatterSeries>
              <c15:ser>
                <c:idx val="26"/>
                <c:order val="28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306</c:v>
                      </c:pt>
                      <c:pt idx="1">
                        <c:v>314</c:v>
                      </c:pt>
                      <c:pt idx="2">
                        <c:v>322</c:v>
                      </c:pt>
                      <c:pt idx="3">
                        <c:v>330</c:v>
                      </c:pt>
                      <c:pt idx="4">
                        <c:v>338</c:v>
                      </c:pt>
                      <c:pt idx="5">
                        <c:v>346</c:v>
                      </c:pt>
                      <c:pt idx="6">
                        <c:v>354</c:v>
                      </c:pt>
                      <c:pt idx="7">
                        <c:v>362</c:v>
                      </c:pt>
                      <c:pt idx="8">
                        <c:v>370</c:v>
                      </c:pt>
                      <c:pt idx="9">
                        <c:v>378</c:v>
                      </c:pt>
                      <c:pt idx="10">
                        <c:v>386</c:v>
                      </c:pt>
                      <c:pt idx="11">
                        <c:v>394</c:v>
                      </c:pt>
                      <c:pt idx="12">
                        <c:v>402</c:v>
                      </c:pt>
                      <c:pt idx="13">
                        <c:v>410</c:v>
                      </c:pt>
                      <c:pt idx="14">
                        <c:v>418</c:v>
                      </c:pt>
                      <c:pt idx="15">
                        <c:v>426</c:v>
                      </c:pt>
                      <c:pt idx="16">
                        <c:v>434</c:v>
                      </c:pt>
                      <c:pt idx="17">
                        <c:v>442</c:v>
                      </c:pt>
                      <c:pt idx="18">
                        <c:v>450</c:v>
                      </c:pt>
                      <c:pt idx="19">
                        <c:v>458</c:v>
                      </c:pt>
                      <c:pt idx="20">
                        <c:v>466</c:v>
                      </c:pt>
                      <c:pt idx="21">
                        <c:v>474</c:v>
                      </c:pt>
                      <c:pt idx="22">
                        <c:v>482</c:v>
                      </c:pt>
                      <c:pt idx="23">
                        <c:v>490</c:v>
                      </c:pt>
                      <c:pt idx="24">
                        <c:v>498</c:v>
                      </c:pt>
                      <c:pt idx="25">
                        <c:v>506</c:v>
                      </c:pt>
                      <c:pt idx="26">
                        <c:v>514</c:v>
                      </c:pt>
                      <c:pt idx="27">
                        <c:v>522</c:v>
                      </c:pt>
                      <c:pt idx="28">
                        <c:v>530</c:v>
                      </c:pt>
                      <c:pt idx="29">
                        <c:v>538</c:v>
                      </c:pt>
                      <c:pt idx="30">
                        <c:v>546</c:v>
                      </c:pt>
                      <c:pt idx="31">
                        <c:v>554</c:v>
                      </c:pt>
                      <c:pt idx="32">
                        <c:v>562</c:v>
                      </c:pt>
                      <c:pt idx="33">
                        <c:v>570</c:v>
                      </c:pt>
                      <c:pt idx="34">
                        <c:v>578</c:v>
                      </c:pt>
                      <c:pt idx="35">
                        <c:v>586</c:v>
                      </c:pt>
                      <c:pt idx="36">
                        <c:v>594</c:v>
                      </c:pt>
                      <c:pt idx="37">
                        <c:v>602</c:v>
                      </c:pt>
                      <c:pt idx="38">
                        <c:v>610</c:v>
                      </c:pt>
                      <c:pt idx="39">
                        <c:v>618</c:v>
                      </c:pt>
                      <c:pt idx="40">
                        <c:v>626</c:v>
                      </c:pt>
                      <c:pt idx="41">
                        <c:v>634</c:v>
                      </c:pt>
                      <c:pt idx="42">
                        <c:v>642</c:v>
                      </c:pt>
                      <c:pt idx="43">
                        <c:v>650</c:v>
                      </c:pt>
                      <c:pt idx="44">
                        <c:v>658</c:v>
                      </c:pt>
                      <c:pt idx="45">
                        <c:v>666</c:v>
                      </c:pt>
                      <c:pt idx="46">
                        <c:v>674</c:v>
                      </c:pt>
                      <c:pt idx="47">
                        <c:v>682</c:v>
                      </c:pt>
                      <c:pt idx="48">
                        <c:v>690</c:v>
                      </c:pt>
                      <c:pt idx="49">
                        <c:v>698</c:v>
                      </c:pt>
                      <c:pt idx="50">
                        <c:v>706</c:v>
                      </c:pt>
                      <c:pt idx="51">
                        <c:v>714</c:v>
                      </c:pt>
                      <c:pt idx="52">
                        <c:v>722</c:v>
                      </c:pt>
                      <c:pt idx="53">
                        <c:v>730</c:v>
                      </c:pt>
                      <c:pt idx="54">
                        <c:v>738</c:v>
                      </c:pt>
                      <c:pt idx="55">
                        <c:v>746</c:v>
                      </c:pt>
                      <c:pt idx="56">
                        <c:v>754</c:v>
                      </c:pt>
                      <c:pt idx="57">
                        <c:v>762</c:v>
                      </c:pt>
                      <c:pt idx="58">
                        <c:v>770</c:v>
                      </c:pt>
                      <c:pt idx="59">
                        <c:v>778</c:v>
                      </c:pt>
                      <c:pt idx="60">
                        <c:v>786</c:v>
                      </c:pt>
                      <c:pt idx="61">
                        <c:v>794</c:v>
                      </c:pt>
                      <c:pt idx="62">
                        <c:v>802</c:v>
                      </c:pt>
                      <c:pt idx="63">
                        <c:v>810</c:v>
                      </c:pt>
                      <c:pt idx="64">
                        <c:v>818</c:v>
                      </c:pt>
                      <c:pt idx="65">
                        <c:v>826</c:v>
                      </c:pt>
                      <c:pt idx="66">
                        <c:v>834</c:v>
                      </c:pt>
                      <c:pt idx="67">
                        <c:v>842</c:v>
                      </c:pt>
                      <c:pt idx="68">
                        <c:v>850</c:v>
                      </c:pt>
                      <c:pt idx="69">
                        <c:v>858</c:v>
                      </c:pt>
                      <c:pt idx="70">
                        <c:v>866</c:v>
                      </c:pt>
                      <c:pt idx="71">
                        <c:v>874</c:v>
                      </c:pt>
                      <c:pt idx="72">
                        <c:v>882</c:v>
                      </c:pt>
                      <c:pt idx="73">
                        <c:v>890</c:v>
                      </c:pt>
                      <c:pt idx="74">
                        <c:v>898</c:v>
                      </c:pt>
                      <c:pt idx="75">
                        <c:v>906</c:v>
                      </c:pt>
                      <c:pt idx="76">
                        <c:v>914</c:v>
                      </c:pt>
                      <c:pt idx="77">
                        <c:v>922</c:v>
                      </c:pt>
                      <c:pt idx="78">
                        <c:v>930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EVALUATION!$B$129:$CP$129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F-27FC-4A9D-A437-1D0023828BE9}"/>
                  </c:ext>
                </c:extLst>
              </c15:ser>
            </c15:filteredScatterSeries>
            <c15:filteredScatterSeries>
              <c15:ser>
                <c:idx val="27"/>
                <c:order val="29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306</c:v>
                      </c:pt>
                      <c:pt idx="1">
                        <c:v>314</c:v>
                      </c:pt>
                      <c:pt idx="2">
                        <c:v>322</c:v>
                      </c:pt>
                      <c:pt idx="3">
                        <c:v>330</c:v>
                      </c:pt>
                      <c:pt idx="4">
                        <c:v>338</c:v>
                      </c:pt>
                      <c:pt idx="5">
                        <c:v>346</c:v>
                      </c:pt>
                      <c:pt idx="6">
                        <c:v>354</c:v>
                      </c:pt>
                      <c:pt idx="7">
                        <c:v>362</c:v>
                      </c:pt>
                      <c:pt idx="8">
                        <c:v>370</c:v>
                      </c:pt>
                      <c:pt idx="9">
                        <c:v>378</c:v>
                      </c:pt>
                      <c:pt idx="10">
                        <c:v>386</c:v>
                      </c:pt>
                      <c:pt idx="11">
                        <c:v>394</c:v>
                      </c:pt>
                      <c:pt idx="12">
                        <c:v>402</c:v>
                      </c:pt>
                      <c:pt idx="13">
                        <c:v>410</c:v>
                      </c:pt>
                      <c:pt idx="14">
                        <c:v>418</c:v>
                      </c:pt>
                      <c:pt idx="15">
                        <c:v>426</c:v>
                      </c:pt>
                      <c:pt idx="16">
                        <c:v>434</c:v>
                      </c:pt>
                      <c:pt idx="17">
                        <c:v>442</c:v>
                      </c:pt>
                      <c:pt idx="18">
                        <c:v>450</c:v>
                      </c:pt>
                      <c:pt idx="19">
                        <c:v>458</c:v>
                      </c:pt>
                      <c:pt idx="20">
                        <c:v>466</c:v>
                      </c:pt>
                      <c:pt idx="21">
                        <c:v>474</c:v>
                      </c:pt>
                      <c:pt idx="22">
                        <c:v>482</c:v>
                      </c:pt>
                      <c:pt idx="23">
                        <c:v>490</c:v>
                      </c:pt>
                      <c:pt idx="24">
                        <c:v>498</c:v>
                      </c:pt>
                      <c:pt idx="25">
                        <c:v>506</c:v>
                      </c:pt>
                      <c:pt idx="26">
                        <c:v>514</c:v>
                      </c:pt>
                      <c:pt idx="27">
                        <c:v>522</c:v>
                      </c:pt>
                      <c:pt idx="28">
                        <c:v>530</c:v>
                      </c:pt>
                      <c:pt idx="29">
                        <c:v>538</c:v>
                      </c:pt>
                      <c:pt idx="30">
                        <c:v>546</c:v>
                      </c:pt>
                      <c:pt idx="31">
                        <c:v>554</c:v>
                      </c:pt>
                      <c:pt idx="32">
                        <c:v>562</c:v>
                      </c:pt>
                      <c:pt idx="33">
                        <c:v>570</c:v>
                      </c:pt>
                      <c:pt idx="34">
                        <c:v>578</c:v>
                      </c:pt>
                      <c:pt idx="35">
                        <c:v>586</c:v>
                      </c:pt>
                      <c:pt idx="36">
                        <c:v>594</c:v>
                      </c:pt>
                      <c:pt idx="37">
                        <c:v>602</c:v>
                      </c:pt>
                      <c:pt idx="38">
                        <c:v>610</c:v>
                      </c:pt>
                      <c:pt idx="39">
                        <c:v>618</c:v>
                      </c:pt>
                      <c:pt idx="40">
                        <c:v>626</c:v>
                      </c:pt>
                      <c:pt idx="41">
                        <c:v>634</c:v>
                      </c:pt>
                      <c:pt idx="42">
                        <c:v>642</c:v>
                      </c:pt>
                      <c:pt idx="43">
                        <c:v>650</c:v>
                      </c:pt>
                      <c:pt idx="44">
                        <c:v>658</c:v>
                      </c:pt>
                      <c:pt idx="45">
                        <c:v>666</c:v>
                      </c:pt>
                      <c:pt idx="46">
                        <c:v>674</c:v>
                      </c:pt>
                      <c:pt idx="47">
                        <c:v>682</c:v>
                      </c:pt>
                      <c:pt idx="48">
                        <c:v>690</c:v>
                      </c:pt>
                      <c:pt idx="49">
                        <c:v>698</c:v>
                      </c:pt>
                      <c:pt idx="50">
                        <c:v>706</c:v>
                      </c:pt>
                      <c:pt idx="51">
                        <c:v>714</c:v>
                      </c:pt>
                      <c:pt idx="52">
                        <c:v>722</c:v>
                      </c:pt>
                      <c:pt idx="53">
                        <c:v>730</c:v>
                      </c:pt>
                      <c:pt idx="54">
                        <c:v>738</c:v>
                      </c:pt>
                      <c:pt idx="55">
                        <c:v>746</c:v>
                      </c:pt>
                      <c:pt idx="56">
                        <c:v>754</c:v>
                      </c:pt>
                      <c:pt idx="57">
                        <c:v>762</c:v>
                      </c:pt>
                      <c:pt idx="58">
                        <c:v>770</c:v>
                      </c:pt>
                      <c:pt idx="59">
                        <c:v>778</c:v>
                      </c:pt>
                      <c:pt idx="60">
                        <c:v>786</c:v>
                      </c:pt>
                      <c:pt idx="61">
                        <c:v>794</c:v>
                      </c:pt>
                      <c:pt idx="62">
                        <c:v>802</c:v>
                      </c:pt>
                      <c:pt idx="63">
                        <c:v>810</c:v>
                      </c:pt>
                      <c:pt idx="64">
                        <c:v>818</c:v>
                      </c:pt>
                      <c:pt idx="65">
                        <c:v>826</c:v>
                      </c:pt>
                      <c:pt idx="66">
                        <c:v>834</c:v>
                      </c:pt>
                      <c:pt idx="67">
                        <c:v>842</c:v>
                      </c:pt>
                      <c:pt idx="68">
                        <c:v>850</c:v>
                      </c:pt>
                      <c:pt idx="69">
                        <c:v>858</c:v>
                      </c:pt>
                      <c:pt idx="70">
                        <c:v>866</c:v>
                      </c:pt>
                      <c:pt idx="71">
                        <c:v>874</c:v>
                      </c:pt>
                      <c:pt idx="72">
                        <c:v>882</c:v>
                      </c:pt>
                      <c:pt idx="73">
                        <c:v>890</c:v>
                      </c:pt>
                      <c:pt idx="74">
                        <c:v>898</c:v>
                      </c:pt>
                      <c:pt idx="75">
                        <c:v>906</c:v>
                      </c:pt>
                      <c:pt idx="76">
                        <c:v>914</c:v>
                      </c:pt>
                      <c:pt idx="77">
                        <c:v>922</c:v>
                      </c:pt>
                      <c:pt idx="78">
                        <c:v>930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EVALUATION!$B$130:$CP$130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0-27FC-4A9D-A437-1D0023828BE9}"/>
                  </c:ext>
                </c:extLst>
              </c15:ser>
            </c15:filteredScatterSeries>
            <c15:filteredScatterSeries>
              <c15:ser>
                <c:idx val="28"/>
                <c:order val="30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306</c:v>
                      </c:pt>
                      <c:pt idx="1">
                        <c:v>314</c:v>
                      </c:pt>
                      <c:pt idx="2">
                        <c:v>322</c:v>
                      </c:pt>
                      <c:pt idx="3">
                        <c:v>330</c:v>
                      </c:pt>
                      <c:pt idx="4">
                        <c:v>338</c:v>
                      </c:pt>
                      <c:pt idx="5">
                        <c:v>346</c:v>
                      </c:pt>
                      <c:pt idx="6">
                        <c:v>354</c:v>
                      </c:pt>
                      <c:pt idx="7">
                        <c:v>362</c:v>
                      </c:pt>
                      <c:pt idx="8">
                        <c:v>370</c:v>
                      </c:pt>
                      <c:pt idx="9">
                        <c:v>378</c:v>
                      </c:pt>
                      <c:pt idx="10">
                        <c:v>386</c:v>
                      </c:pt>
                      <c:pt idx="11">
                        <c:v>394</c:v>
                      </c:pt>
                      <c:pt idx="12">
                        <c:v>402</c:v>
                      </c:pt>
                      <c:pt idx="13">
                        <c:v>410</c:v>
                      </c:pt>
                      <c:pt idx="14">
                        <c:v>418</c:v>
                      </c:pt>
                      <c:pt idx="15">
                        <c:v>426</c:v>
                      </c:pt>
                      <c:pt idx="16">
                        <c:v>434</c:v>
                      </c:pt>
                      <c:pt idx="17">
                        <c:v>442</c:v>
                      </c:pt>
                      <c:pt idx="18">
                        <c:v>450</c:v>
                      </c:pt>
                      <c:pt idx="19">
                        <c:v>458</c:v>
                      </c:pt>
                      <c:pt idx="20">
                        <c:v>466</c:v>
                      </c:pt>
                      <c:pt idx="21">
                        <c:v>474</c:v>
                      </c:pt>
                      <c:pt idx="22">
                        <c:v>482</c:v>
                      </c:pt>
                      <c:pt idx="23">
                        <c:v>490</c:v>
                      </c:pt>
                      <c:pt idx="24">
                        <c:v>498</c:v>
                      </c:pt>
                      <c:pt idx="25">
                        <c:v>506</c:v>
                      </c:pt>
                      <c:pt idx="26">
                        <c:v>514</c:v>
                      </c:pt>
                      <c:pt idx="27">
                        <c:v>522</c:v>
                      </c:pt>
                      <c:pt idx="28">
                        <c:v>530</c:v>
                      </c:pt>
                      <c:pt idx="29">
                        <c:v>538</c:v>
                      </c:pt>
                      <c:pt idx="30">
                        <c:v>546</c:v>
                      </c:pt>
                      <c:pt idx="31">
                        <c:v>554</c:v>
                      </c:pt>
                      <c:pt idx="32">
                        <c:v>562</c:v>
                      </c:pt>
                      <c:pt idx="33">
                        <c:v>570</c:v>
                      </c:pt>
                      <c:pt idx="34">
                        <c:v>578</c:v>
                      </c:pt>
                      <c:pt idx="35">
                        <c:v>586</c:v>
                      </c:pt>
                      <c:pt idx="36">
                        <c:v>594</c:v>
                      </c:pt>
                      <c:pt idx="37">
                        <c:v>602</c:v>
                      </c:pt>
                      <c:pt idx="38">
                        <c:v>610</c:v>
                      </c:pt>
                      <c:pt idx="39">
                        <c:v>618</c:v>
                      </c:pt>
                      <c:pt idx="40">
                        <c:v>626</c:v>
                      </c:pt>
                      <c:pt idx="41">
                        <c:v>634</c:v>
                      </c:pt>
                      <c:pt idx="42">
                        <c:v>642</c:v>
                      </c:pt>
                      <c:pt idx="43">
                        <c:v>650</c:v>
                      </c:pt>
                      <c:pt idx="44">
                        <c:v>658</c:v>
                      </c:pt>
                      <c:pt idx="45">
                        <c:v>666</c:v>
                      </c:pt>
                      <c:pt idx="46">
                        <c:v>674</c:v>
                      </c:pt>
                      <c:pt idx="47">
                        <c:v>682</c:v>
                      </c:pt>
                      <c:pt idx="48">
                        <c:v>690</c:v>
                      </c:pt>
                      <c:pt idx="49">
                        <c:v>698</c:v>
                      </c:pt>
                      <c:pt idx="50">
                        <c:v>706</c:v>
                      </c:pt>
                      <c:pt idx="51">
                        <c:v>714</c:v>
                      </c:pt>
                      <c:pt idx="52">
                        <c:v>722</c:v>
                      </c:pt>
                      <c:pt idx="53">
                        <c:v>730</c:v>
                      </c:pt>
                      <c:pt idx="54">
                        <c:v>738</c:v>
                      </c:pt>
                      <c:pt idx="55">
                        <c:v>746</c:v>
                      </c:pt>
                      <c:pt idx="56">
                        <c:v>754</c:v>
                      </c:pt>
                      <c:pt idx="57">
                        <c:v>762</c:v>
                      </c:pt>
                      <c:pt idx="58">
                        <c:v>770</c:v>
                      </c:pt>
                      <c:pt idx="59">
                        <c:v>778</c:v>
                      </c:pt>
                      <c:pt idx="60">
                        <c:v>786</c:v>
                      </c:pt>
                      <c:pt idx="61">
                        <c:v>794</c:v>
                      </c:pt>
                      <c:pt idx="62">
                        <c:v>802</c:v>
                      </c:pt>
                      <c:pt idx="63">
                        <c:v>810</c:v>
                      </c:pt>
                      <c:pt idx="64">
                        <c:v>818</c:v>
                      </c:pt>
                      <c:pt idx="65">
                        <c:v>826</c:v>
                      </c:pt>
                      <c:pt idx="66">
                        <c:v>834</c:v>
                      </c:pt>
                      <c:pt idx="67">
                        <c:v>842</c:v>
                      </c:pt>
                      <c:pt idx="68">
                        <c:v>850</c:v>
                      </c:pt>
                      <c:pt idx="69">
                        <c:v>858</c:v>
                      </c:pt>
                      <c:pt idx="70">
                        <c:v>866</c:v>
                      </c:pt>
                      <c:pt idx="71">
                        <c:v>874</c:v>
                      </c:pt>
                      <c:pt idx="72">
                        <c:v>882</c:v>
                      </c:pt>
                      <c:pt idx="73">
                        <c:v>890</c:v>
                      </c:pt>
                      <c:pt idx="74">
                        <c:v>898</c:v>
                      </c:pt>
                      <c:pt idx="75">
                        <c:v>906</c:v>
                      </c:pt>
                      <c:pt idx="76">
                        <c:v>914</c:v>
                      </c:pt>
                      <c:pt idx="77">
                        <c:v>922</c:v>
                      </c:pt>
                      <c:pt idx="78">
                        <c:v>930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EVALUATION!$B$131:$CP$131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1-27FC-4A9D-A437-1D0023828BE9}"/>
                  </c:ext>
                </c:extLst>
              </c15:ser>
            </c15:filteredScatterSeries>
            <c15:filteredScatterSeries>
              <c15:ser>
                <c:idx val="29"/>
                <c:order val="31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306</c:v>
                      </c:pt>
                      <c:pt idx="1">
                        <c:v>314</c:v>
                      </c:pt>
                      <c:pt idx="2">
                        <c:v>322</c:v>
                      </c:pt>
                      <c:pt idx="3">
                        <c:v>330</c:v>
                      </c:pt>
                      <c:pt idx="4">
                        <c:v>338</c:v>
                      </c:pt>
                      <c:pt idx="5">
                        <c:v>346</c:v>
                      </c:pt>
                      <c:pt idx="6">
                        <c:v>354</c:v>
                      </c:pt>
                      <c:pt idx="7">
                        <c:v>362</c:v>
                      </c:pt>
                      <c:pt idx="8">
                        <c:v>370</c:v>
                      </c:pt>
                      <c:pt idx="9">
                        <c:v>378</c:v>
                      </c:pt>
                      <c:pt idx="10">
                        <c:v>386</c:v>
                      </c:pt>
                      <c:pt idx="11">
                        <c:v>394</c:v>
                      </c:pt>
                      <c:pt idx="12">
                        <c:v>402</c:v>
                      </c:pt>
                      <c:pt idx="13">
                        <c:v>410</c:v>
                      </c:pt>
                      <c:pt idx="14">
                        <c:v>418</c:v>
                      </c:pt>
                      <c:pt idx="15">
                        <c:v>426</c:v>
                      </c:pt>
                      <c:pt idx="16">
                        <c:v>434</c:v>
                      </c:pt>
                      <c:pt idx="17">
                        <c:v>442</c:v>
                      </c:pt>
                      <c:pt idx="18">
                        <c:v>450</c:v>
                      </c:pt>
                      <c:pt idx="19">
                        <c:v>458</c:v>
                      </c:pt>
                      <c:pt idx="20">
                        <c:v>466</c:v>
                      </c:pt>
                      <c:pt idx="21">
                        <c:v>474</c:v>
                      </c:pt>
                      <c:pt idx="22">
                        <c:v>482</c:v>
                      </c:pt>
                      <c:pt idx="23">
                        <c:v>490</c:v>
                      </c:pt>
                      <c:pt idx="24">
                        <c:v>498</c:v>
                      </c:pt>
                      <c:pt idx="25">
                        <c:v>506</c:v>
                      </c:pt>
                      <c:pt idx="26">
                        <c:v>514</c:v>
                      </c:pt>
                      <c:pt idx="27">
                        <c:v>522</c:v>
                      </c:pt>
                      <c:pt idx="28">
                        <c:v>530</c:v>
                      </c:pt>
                      <c:pt idx="29">
                        <c:v>538</c:v>
                      </c:pt>
                      <c:pt idx="30">
                        <c:v>546</c:v>
                      </c:pt>
                      <c:pt idx="31">
                        <c:v>554</c:v>
                      </c:pt>
                      <c:pt idx="32">
                        <c:v>562</c:v>
                      </c:pt>
                      <c:pt idx="33">
                        <c:v>570</c:v>
                      </c:pt>
                      <c:pt idx="34">
                        <c:v>578</c:v>
                      </c:pt>
                      <c:pt idx="35">
                        <c:v>586</c:v>
                      </c:pt>
                      <c:pt idx="36">
                        <c:v>594</c:v>
                      </c:pt>
                      <c:pt idx="37">
                        <c:v>602</c:v>
                      </c:pt>
                      <c:pt idx="38">
                        <c:v>610</c:v>
                      </c:pt>
                      <c:pt idx="39">
                        <c:v>618</c:v>
                      </c:pt>
                      <c:pt idx="40">
                        <c:v>626</c:v>
                      </c:pt>
                      <c:pt idx="41">
                        <c:v>634</c:v>
                      </c:pt>
                      <c:pt idx="42">
                        <c:v>642</c:v>
                      </c:pt>
                      <c:pt idx="43">
                        <c:v>650</c:v>
                      </c:pt>
                      <c:pt idx="44">
                        <c:v>658</c:v>
                      </c:pt>
                      <c:pt idx="45">
                        <c:v>666</c:v>
                      </c:pt>
                      <c:pt idx="46">
                        <c:v>674</c:v>
                      </c:pt>
                      <c:pt idx="47">
                        <c:v>682</c:v>
                      </c:pt>
                      <c:pt idx="48">
                        <c:v>690</c:v>
                      </c:pt>
                      <c:pt idx="49">
                        <c:v>698</c:v>
                      </c:pt>
                      <c:pt idx="50">
                        <c:v>706</c:v>
                      </c:pt>
                      <c:pt idx="51">
                        <c:v>714</c:v>
                      </c:pt>
                      <c:pt idx="52">
                        <c:v>722</c:v>
                      </c:pt>
                      <c:pt idx="53">
                        <c:v>730</c:v>
                      </c:pt>
                      <c:pt idx="54">
                        <c:v>738</c:v>
                      </c:pt>
                      <c:pt idx="55">
                        <c:v>746</c:v>
                      </c:pt>
                      <c:pt idx="56">
                        <c:v>754</c:v>
                      </c:pt>
                      <c:pt idx="57">
                        <c:v>762</c:v>
                      </c:pt>
                      <c:pt idx="58">
                        <c:v>770</c:v>
                      </c:pt>
                      <c:pt idx="59">
                        <c:v>778</c:v>
                      </c:pt>
                      <c:pt idx="60">
                        <c:v>786</c:v>
                      </c:pt>
                      <c:pt idx="61">
                        <c:v>794</c:v>
                      </c:pt>
                      <c:pt idx="62">
                        <c:v>802</c:v>
                      </c:pt>
                      <c:pt idx="63">
                        <c:v>810</c:v>
                      </c:pt>
                      <c:pt idx="64">
                        <c:v>818</c:v>
                      </c:pt>
                      <c:pt idx="65">
                        <c:v>826</c:v>
                      </c:pt>
                      <c:pt idx="66">
                        <c:v>834</c:v>
                      </c:pt>
                      <c:pt idx="67">
                        <c:v>842</c:v>
                      </c:pt>
                      <c:pt idx="68">
                        <c:v>850</c:v>
                      </c:pt>
                      <c:pt idx="69">
                        <c:v>858</c:v>
                      </c:pt>
                      <c:pt idx="70">
                        <c:v>866</c:v>
                      </c:pt>
                      <c:pt idx="71">
                        <c:v>874</c:v>
                      </c:pt>
                      <c:pt idx="72">
                        <c:v>882</c:v>
                      </c:pt>
                      <c:pt idx="73">
                        <c:v>890</c:v>
                      </c:pt>
                      <c:pt idx="74">
                        <c:v>898</c:v>
                      </c:pt>
                      <c:pt idx="75">
                        <c:v>906</c:v>
                      </c:pt>
                      <c:pt idx="76">
                        <c:v>914</c:v>
                      </c:pt>
                      <c:pt idx="77">
                        <c:v>922</c:v>
                      </c:pt>
                      <c:pt idx="78">
                        <c:v>930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EVALUATION!$B$132:$CP$132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-37.456036036036032</c:v>
                      </c:pt>
                      <c:pt idx="1">
                        <c:v>-36.754534534534535</c:v>
                      </c:pt>
                      <c:pt idx="2">
                        <c:v>-36.053033033033032</c:v>
                      </c:pt>
                      <c:pt idx="3">
                        <c:v>-35.351531531531528</c:v>
                      </c:pt>
                      <c:pt idx="4" formatCode="General">
                        <c:v>-34.77434131736527</c:v>
                      </c:pt>
                      <c:pt idx="5" formatCode="General">
                        <c:v>-34.225838323353294</c:v>
                      </c:pt>
                      <c:pt idx="6" formatCode="General">
                        <c:v>-33.677335329341318</c:v>
                      </c:pt>
                      <c:pt idx="7" formatCode="General">
                        <c:v>-33.128832335329342</c:v>
                      </c:pt>
                      <c:pt idx="8" formatCode="General">
                        <c:v>-32.657592814371256</c:v>
                      </c:pt>
                      <c:pt idx="9" formatCode="General">
                        <c:v>-32.230287425149697</c:v>
                      </c:pt>
                      <c:pt idx="10" formatCode="General">
                        <c:v>-31.802982035928146</c:v>
                      </c:pt>
                      <c:pt idx="11" formatCode="General">
                        <c:v>-31.375676646706587</c:v>
                      </c:pt>
                      <c:pt idx="12" formatCode="General">
                        <c:v>-30.997113772455091</c:v>
                      </c:pt>
                      <c:pt idx="13" formatCode="General">
                        <c:v>-30.675197604790419</c:v>
                      </c:pt>
                      <c:pt idx="14" formatCode="General">
                        <c:v>-30.353281437125748</c:v>
                      </c:pt>
                      <c:pt idx="15" formatCode="General">
                        <c:v>-30.031365269461077</c:v>
                      </c:pt>
                      <c:pt idx="16" formatCode="General">
                        <c:v>-29.749044910179641</c:v>
                      </c:pt>
                      <c:pt idx="17" formatCode="General">
                        <c:v>-29.564853293413172</c:v>
                      </c:pt>
                      <c:pt idx="18" formatCode="General">
                        <c:v>-29.380661676646707</c:v>
                      </c:pt>
                      <c:pt idx="19" formatCode="General">
                        <c:v>-29.196470059880241</c:v>
                      </c:pt>
                      <c:pt idx="20" formatCode="General">
                        <c:v>-29.031194610778446</c:v>
                      </c:pt>
                      <c:pt idx="21" formatCode="General">
                        <c:v>-29.015146706586826</c:v>
                      </c:pt>
                      <c:pt idx="22" formatCode="General">
                        <c:v>-28.99909880239521</c:v>
                      </c:pt>
                      <c:pt idx="23" formatCode="General">
                        <c:v>-28.983050898203594</c:v>
                      </c:pt>
                      <c:pt idx="24" formatCode="General">
                        <c:v>-28.967002994011978</c:v>
                      </c:pt>
                      <c:pt idx="25" formatCode="General">
                        <c:v>-29.170279279279281</c:v>
                      </c:pt>
                      <c:pt idx="26" formatCode="General">
                        <c:v>-29.388177177177177</c:v>
                      </c:pt>
                      <c:pt idx="27" formatCode="General">
                        <c:v>-29.606075075075076</c:v>
                      </c:pt>
                      <c:pt idx="28" formatCode="General">
                        <c:v>-29.823972972972971</c:v>
                      </c:pt>
                      <c:pt idx="29" formatCode="General">
                        <c:v>-29.965814371257483</c:v>
                      </c:pt>
                      <c:pt idx="30" formatCode="General">
                        <c:v>-30.085574850299402</c:v>
                      </c:pt>
                      <c:pt idx="31" formatCode="General">
                        <c:v>-30.205335329341317</c:v>
                      </c:pt>
                      <c:pt idx="32" formatCode="General">
                        <c:v>-30.325095808383235</c:v>
                      </c:pt>
                      <c:pt idx="33" formatCode="General">
                        <c:v>-30.453622754491018</c:v>
                      </c:pt>
                      <c:pt idx="34" formatCode="General">
                        <c:v>-30.587994011976047</c:v>
                      </c:pt>
                      <c:pt idx="35" formatCode="General">
                        <c:v>-30.722365269461079</c:v>
                      </c:pt>
                      <c:pt idx="36" formatCode="General">
                        <c:v>-30.856736526946108</c:v>
                      </c:pt>
                      <c:pt idx="37" formatCode="General">
                        <c:v>-30.990700598802395</c:v>
                      </c:pt>
                      <c:pt idx="38" formatCode="General">
                        <c:v>-31.12411377245509</c:v>
                      </c:pt>
                      <c:pt idx="39" formatCode="General">
                        <c:v>-31.257526946107784</c:v>
                      </c:pt>
                      <c:pt idx="40" formatCode="General">
                        <c:v>-31.390940119760479</c:v>
                      </c:pt>
                      <c:pt idx="41" formatCode="General">
                        <c:v>-31.524592814371257</c:v>
                      </c:pt>
                      <c:pt idx="42" formatCode="General">
                        <c:v>-31.658964071856285</c:v>
                      </c:pt>
                      <c:pt idx="43" formatCode="General">
                        <c:v>-31.793335329341318</c:v>
                      </c:pt>
                      <c:pt idx="44" formatCode="General">
                        <c:v>-31.927706586826346</c:v>
                      </c:pt>
                      <c:pt idx="45" formatCode="General">
                        <c:v>-32.062077844311375</c:v>
                      </c:pt>
                      <c:pt idx="46" formatCode="General">
                        <c:v>-32.196449101796411</c:v>
                      </c:pt>
                      <c:pt idx="47" formatCode="General">
                        <c:v>-32.330820359281439</c:v>
                      </c:pt>
                      <c:pt idx="48" formatCode="General">
                        <c:v>-32.465191616766468</c:v>
                      </c:pt>
                      <c:pt idx="49" formatCode="General">
                        <c:v>-32.599562874251497</c:v>
                      </c:pt>
                      <c:pt idx="50" formatCode="General">
                        <c:v>-32.727876404494381</c:v>
                      </c:pt>
                      <c:pt idx="51" formatCode="General">
                        <c:v>-32.855516853932585</c:v>
                      </c:pt>
                      <c:pt idx="52" formatCode="General">
                        <c:v>-32.983157303370788</c:v>
                      </c:pt>
                      <c:pt idx="53" formatCode="General">
                        <c:v>-33.110797752808992</c:v>
                      </c:pt>
                      <c:pt idx="54" formatCode="General">
                        <c:v>-33.238438202247195</c:v>
                      </c:pt>
                      <c:pt idx="55" formatCode="General">
                        <c:v>-33.366078651685392</c:v>
                      </c:pt>
                      <c:pt idx="56" formatCode="General">
                        <c:v>-33.493719101123595</c:v>
                      </c:pt>
                      <c:pt idx="57" formatCode="General">
                        <c:v>-33.621359550561799</c:v>
                      </c:pt>
                      <c:pt idx="58" formatCode="General">
                        <c:v>-33.749000000000002</c:v>
                      </c:pt>
                      <c:pt idx="59" formatCode="General">
                        <c:v>-33.876640449438206</c:v>
                      </c:pt>
                      <c:pt idx="60" formatCode="General">
                        <c:v>-34.004280898876409</c:v>
                      </c:pt>
                      <c:pt idx="61" formatCode="General">
                        <c:v>-34.131921348314606</c:v>
                      </c:pt>
                      <c:pt idx="62" formatCode="General">
                        <c:v>-34.259561797752809</c:v>
                      </c:pt>
                      <c:pt idx="63" formatCode="General">
                        <c:v>-34.387202247191013</c:v>
                      </c:pt>
                      <c:pt idx="64" formatCode="General">
                        <c:v>-34.514842696629216</c:v>
                      </c:pt>
                      <c:pt idx="65" formatCode="General">
                        <c:v>-34.64248314606742</c:v>
                      </c:pt>
                      <c:pt idx="66" formatCode="General">
                        <c:v>-34.768748314606746</c:v>
                      </c:pt>
                      <c:pt idx="67" formatCode="General">
                        <c:v>-34.88991685393259</c:v>
                      </c:pt>
                      <c:pt idx="68" formatCode="General">
                        <c:v>-35.011085393258426</c:v>
                      </c:pt>
                      <c:pt idx="69" formatCode="General">
                        <c:v>-35.13225393258427</c:v>
                      </c:pt>
                      <c:pt idx="70" formatCode="General">
                        <c:v>-35.253422471910113</c:v>
                      </c:pt>
                      <c:pt idx="71" formatCode="General">
                        <c:v>-35.374591011235957</c:v>
                      </c:pt>
                      <c:pt idx="72" formatCode="General">
                        <c:v>-35.4957595505618</c:v>
                      </c:pt>
                      <c:pt idx="73" formatCode="General">
                        <c:v>-35.616928089887644</c:v>
                      </c:pt>
                      <c:pt idx="74" formatCode="General">
                        <c:v>-35.738096629213487</c:v>
                      </c:pt>
                      <c:pt idx="75" formatCode="General">
                        <c:v>-35.859265168539331</c:v>
                      </c:pt>
                      <c:pt idx="76" formatCode="General">
                        <c:v>-35.980433707865167</c:v>
                      </c:pt>
                      <c:pt idx="77" formatCode="General">
                        <c:v>-36.101602247191011</c:v>
                      </c:pt>
                      <c:pt idx="78" formatCode="General">
                        <c:v>-36.222770786516854</c:v>
                      </c:pt>
                      <c:pt idx="79" formatCode="General">
                        <c:v>-36.343939325842697</c:v>
                      </c:pt>
                      <c:pt idx="80" formatCode="General">
                        <c:v>-36.465107865168541</c:v>
                      </c:pt>
                      <c:pt idx="81" formatCode="General">
                        <c:v>-36.586276404494384</c:v>
                      </c:pt>
                      <c:pt idx="82" formatCode="General">
                        <c:v>-36.707444943820228</c:v>
                      </c:pt>
                      <c:pt idx="83" formatCode="General">
                        <c:v>-36.825319819819818</c:v>
                      </c:pt>
                      <c:pt idx="84" formatCode="General">
                        <c:v>-36.940214714714713</c:v>
                      </c:pt>
                      <c:pt idx="85" formatCode="General">
                        <c:v>-37.055109609609609</c:v>
                      </c:pt>
                      <c:pt idx="86" formatCode="General">
                        <c:v>-37.170004504504504</c:v>
                      </c:pt>
                      <c:pt idx="87" formatCode="General">
                        <c:v>-36.080475247524753</c:v>
                      </c:pt>
                      <c:pt idx="88" formatCode="General">
                        <c:v>-36.193346534653465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2-27FC-4A9D-A437-1D0023828BE9}"/>
                  </c:ext>
                </c:extLst>
              </c15:ser>
            </c15:filteredScatterSeries>
            <c15:filteredScatterSeries>
              <c15:ser>
                <c:idx val="30"/>
                <c:order val="32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306</c:v>
                      </c:pt>
                      <c:pt idx="1">
                        <c:v>314</c:v>
                      </c:pt>
                      <c:pt idx="2">
                        <c:v>322</c:v>
                      </c:pt>
                      <c:pt idx="3">
                        <c:v>330</c:v>
                      </c:pt>
                      <c:pt idx="4">
                        <c:v>338</c:v>
                      </c:pt>
                      <c:pt idx="5">
                        <c:v>346</c:v>
                      </c:pt>
                      <c:pt idx="6">
                        <c:v>354</c:v>
                      </c:pt>
                      <c:pt idx="7">
                        <c:v>362</c:v>
                      </c:pt>
                      <c:pt idx="8">
                        <c:v>370</c:v>
                      </c:pt>
                      <c:pt idx="9">
                        <c:v>378</c:v>
                      </c:pt>
                      <c:pt idx="10">
                        <c:v>386</c:v>
                      </c:pt>
                      <c:pt idx="11">
                        <c:v>394</c:v>
                      </c:pt>
                      <c:pt idx="12">
                        <c:v>402</c:v>
                      </c:pt>
                      <c:pt idx="13">
                        <c:v>410</c:v>
                      </c:pt>
                      <c:pt idx="14">
                        <c:v>418</c:v>
                      </c:pt>
                      <c:pt idx="15">
                        <c:v>426</c:v>
                      </c:pt>
                      <c:pt idx="16">
                        <c:v>434</c:v>
                      </c:pt>
                      <c:pt idx="17">
                        <c:v>442</c:v>
                      </c:pt>
                      <c:pt idx="18">
                        <c:v>450</c:v>
                      </c:pt>
                      <c:pt idx="19">
                        <c:v>458</c:v>
                      </c:pt>
                      <c:pt idx="20">
                        <c:v>466</c:v>
                      </c:pt>
                      <c:pt idx="21">
                        <c:v>474</c:v>
                      </c:pt>
                      <c:pt idx="22">
                        <c:v>482</c:v>
                      </c:pt>
                      <c:pt idx="23">
                        <c:v>490</c:v>
                      </c:pt>
                      <c:pt idx="24">
                        <c:v>498</c:v>
                      </c:pt>
                      <c:pt idx="25">
                        <c:v>506</c:v>
                      </c:pt>
                      <c:pt idx="26">
                        <c:v>514</c:v>
                      </c:pt>
                      <c:pt idx="27">
                        <c:v>522</c:v>
                      </c:pt>
                      <c:pt idx="28">
                        <c:v>530</c:v>
                      </c:pt>
                      <c:pt idx="29">
                        <c:v>538</c:v>
                      </c:pt>
                      <c:pt idx="30">
                        <c:v>546</c:v>
                      </c:pt>
                      <c:pt idx="31">
                        <c:v>554</c:v>
                      </c:pt>
                      <c:pt idx="32">
                        <c:v>562</c:v>
                      </c:pt>
                      <c:pt idx="33">
                        <c:v>570</c:v>
                      </c:pt>
                      <c:pt idx="34">
                        <c:v>578</c:v>
                      </c:pt>
                      <c:pt idx="35">
                        <c:v>586</c:v>
                      </c:pt>
                      <c:pt idx="36">
                        <c:v>594</c:v>
                      </c:pt>
                      <c:pt idx="37">
                        <c:v>602</c:v>
                      </c:pt>
                      <c:pt idx="38">
                        <c:v>610</c:v>
                      </c:pt>
                      <c:pt idx="39">
                        <c:v>618</c:v>
                      </c:pt>
                      <c:pt idx="40">
                        <c:v>626</c:v>
                      </c:pt>
                      <c:pt idx="41">
                        <c:v>634</c:v>
                      </c:pt>
                      <c:pt idx="42">
                        <c:v>642</c:v>
                      </c:pt>
                      <c:pt idx="43">
                        <c:v>650</c:v>
                      </c:pt>
                      <c:pt idx="44">
                        <c:v>658</c:v>
                      </c:pt>
                      <c:pt idx="45">
                        <c:v>666</c:v>
                      </c:pt>
                      <c:pt idx="46">
                        <c:v>674</c:v>
                      </c:pt>
                      <c:pt idx="47">
                        <c:v>682</c:v>
                      </c:pt>
                      <c:pt idx="48">
                        <c:v>690</c:v>
                      </c:pt>
                      <c:pt idx="49">
                        <c:v>698</c:v>
                      </c:pt>
                      <c:pt idx="50">
                        <c:v>706</c:v>
                      </c:pt>
                      <c:pt idx="51">
                        <c:v>714</c:v>
                      </c:pt>
                      <c:pt idx="52">
                        <c:v>722</c:v>
                      </c:pt>
                      <c:pt idx="53">
                        <c:v>730</c:v>
                      </c:pt>
                      <c:pt idx="54">
                        <c:v>738</c:v>
                      </c:pt>
                      <c:pt idx="55">
                        <c:v>746</c:v>
                      </c:pt>
                      <c:pt idx="56">
                        <c:v>754</c:v>
                      </c:pt>
                      <c:pt idx="57">
                        <c:v>762</c:v>
                      </c:pt>
                      <c:pt idx="58">
                        <c:v>770</c:v>
                      </c:pt>
                      <c:pt idx="59">
                        <c:v>778</c:v>
                      </c:pt>
                      <c:pt idx="60">
                        <c:v>786</c:v>
                      </c:pt>
                      <c:pt idx="61">
                        <c:v>794</c:v>
                      </c:pt>
                      <c:pt idx="62">
                        <c:v>802</c:v>
                      </c:pt>
                      <c:pt idx="63">
                        <c:v>810</c:v>
                      </c:pt>
                      <c:pt idx="64">
                        <c:v>818</c:v>
                      </c:pt>
                      <c:pt idx="65">
                        <c:v>826</c:v>
                      </c:pt>
                      <c:pt idx="66">
                        <c:v>834</c:v>
                      </c:pt>
                      <c:pt idx="67">
                        <c:v>842</c:v>
                      </c:pt>
                      <c:pt idx="68">
                        <c:v>850</c:v>
                      </c:pt>
                      <c:pt idx="69">
                        <c:v>858</c:v>
                      </c:pt>
                      <c:pt idx="70">
                        <c:v>866</c:v>
                      </c:pt>
                      <c:pt idx="71">
                        <c:v>874</c:v>
                      </c:pt>
                      <c:pt idx="72">
                        <c:v>882</c:v>
                      </c:pt>
                      <c:pt idx="73">
                        <c:v>890</c:v>
                      </c:pt>
                      <c:pt idx="74">
                        <c:v>898</c:v>
                      </c:pt>
                      <c:pt idx="75">
                        <c:v>906</c:v>
                      </c:pt>
                      <c:pt idx="76">
                        <c:v>914</c:v>
                      </c:pt>
                      <c:pt idx="77">
                        <c:v>922</c:v>
                      </c:pt>
                      <c:pt idx="78">
                        <c:v>930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EVALUATION!$B$133:$CP$133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-21.943243243243245</c:v>
                      </c:pt>
                      <c:pt idx="1">
                        <c:v>-21.741441441441442</c:v>
                      </c:pt>
                      <c:pt idx="2">
                        <c:v>-21.539639639639642</c:v>
                      </c:pt>
                      <c:pt idx="3">
                        <c:v>-21.337837837837839</c:v>
                      </c:pt>
                      <c:pt idx="4" formatCode="General">
                        <c:v>-21.317514970059882</c:v>
                      </c:pt>
                      <c:pt idx="5" formatCode="General">
                        <c:v>-21.339071856287426</c:v>
                      </c:pt>
                      <c:pt idx="6" formatCode="General">
                        <c:v>-21.360628742514972</c:v>
                      </c:pt>
                      <c:pt idx="7" formatCode="General">
                        <c:v>-21.382185628742516</c:v>
                      </c:pt>
                      <c:pt idx="8" formatCode="General">
                        <c:v>-21.452604790419162</c:v>
                      </c:pt>
                      <c:pt idx="9" formatCode="General">
                        <c:v>-21.550808383233534</c:v>
                      </c:pt>
                      <c:pt idx="10" formatCode="General">
                        <c:v>-21.649011976047905</c:v>
                      </c:pt>
                      <c:pt idx="11" formatCode="General">
                        <c:v>-21.747215568862277</c:v>
                      </c:pt>
                      <c:pt idx="12" formatCode="General">
                        <c:v>-21.843203592814373</c:v>
                      </c:pt>
                      <c:pt idx="13" formatCode="General">
                        <c:v>-21.936616766467068</c:v>
                      </c:pt>
                      <c:pt idx="14" formatCode="General">
                        <c:v>-22.030029940119761</c:v>
                      </c:pt>
                      <c:pt idx="15" formatCode="General">
                        <c:v>-22.123443113772456</c:v>
                      </c:pt>
                      <c:pt idx="16" formatCode="General">
                        <c:v>-22.209970059880241</c:v>
                      </c:pt>
                      <c:pt idx="17" formatCode="General">
                        <c:v>-22.279431137724551</c:v>
                      </c:pt>
                      <c:pt idx="18" formatCode="General">
                        <c:v>-22.348892215568863</c:v>
                      </c:pt>
                      <c:pt idx="19" formatCode="General">
                        <c:v>-22.418353293413173</c:v>
                      </c:pt>
                      <c:pt idx="20" formatCode="General">
                        <c:v>-22.488353293413173</c:v>
                      </c:pt>
                      <c:pt idx="21" formatCode="General">
                        <c:v>-22.562604790419162</c:v>
                      </c:pt>
                      <c:pt idx="22" formatCode="General">
                        <c:v>-22.63685628742515</c:v>
                      </c:pt>
                      <c:pt idx="23" formatCode="General">
                        <c:v>-22.711107784431139</c:v>
                      </c:pt>
                      <c:pt idx="24" formatCode="General">
                        <c:v>-22.785359281437124</c:v>
                      </c:pt>
                      <c:pt idx="25" formatCode="General">
                        <c:v>-22.846306306306307</c:v>
                      </c:pt>
                      <c:pt idx="26" formatCode="General">
                        <c:v>-22.906366366366367</c:v>
                      </c:pt>
                      <c:pt idx="27" formatCode="General">
                        <c:v>-22.966426426426427</c:v>
                      </c:pt>
                      <c:pt idx="28" formatCode="General">
                        <c:v>-23.026486486486487</c:v>
                      </c:pt>
                      <c:pt idx="29" formatCode="General">
                        <c:v>-23.130958083832336</c:v>
                      </c:pt>
                      <c:pt idx="30" formatCode="General">
                        <c:v>-23.248323353293415</c:v>
                      </c:pt>
                      <c:pt idx="31" formatCode="General">
                        <c:v>-23.36568862275449</c:v>
                      </c:pt>
                      <c:pt idx="32" formatCode="General">
                        <c:v>-23.483053892215569</c:v>
                      </c:pt>
                      <c:pt idx="33" formatCode="General">
                        <c:v>-23.60185628742515</c:v>
                      </c:pt>
                      <c:pt idx="34" formatCode="General">
                        <c:v>-23.721616766467065</c:v>
                      </c:pt>
                      <c:pt idx="35" formatCode="General">
                        <c:v>-23.841377245508983</c:v>
                      </c:pt>
                      <c:pt idx="36" formatCode="General">
                        <c:v>-23.961137724550898</c:v>
                      </c:pt>
                      <c:pt idx="37" formatCode="General">
                        <c:v>-24.078862275449104</c:v>
                      </c:pt>
                      <c:pt idx="38" formatCode="General">
                        <c:v>-24.193832335329343</c:v>
                      </c:pt>
                      <c:pt idx="39" formatCode="General">
                        <c:v>-24.308802395209582</c:v>
                      </c:pt>
                      <c:pt idx="40" formatCode="General">
                        <c:v>-24.423772455089821</c:v>
                      </c:pt>
                      <c:pt idx="41" formatCode="General">
                        <c:v>-24.53874251497006</c:v>
                      </c:pt>
                      <c:pt idx="42" formatCode="General">
                        <c:v>-24.653712574850299</c:v>
                      </c:pt>
                      <c:pt idx="43" formatCode="General">
                        <c:v>-24.768682634730538</c:v>
                      </c:pt>
                      <c:pt idx="44" formatCode="General">
                        <c:v>-24.883652694610777</c:v>
                      </c:pt>
                      <c:pt idx="45" formatCode="General">
                        <c:v>-24.998622754491016</c:v>
                      </c:pt>
                      <c:pt idx="46" formatCode="General">
                        <c:v>-25.113592814371255</c:v>
                      </c:pt>
                      <c:pt idx="47" formatCode="General">
                        <c:v>-25.228562874251494</c:v>
                      </c:pt>
                      <c:pt idx="48" formatCode="General">
                        <c:v>-25.343532934131737</c:v>
                      </c:pt>
                      <c:pt idx="49" formatCode="General">
                        <c:v>-25.458502994011976</c:v>
                      </c:pt>
                      <c:pt idx="50" formatCode="General">
                        <c:v>-25.567617977528091</c:v>
                      </c:pt>
                      <c:pt idx="51" formatCode="General">
                        <c:v>-25.676082397003746</c:v>
                      </c:pt>
                      <c:pt idx="52" formatCode="General">
                        <c:v>-25.784546816479402</c:v>
                      </c:pt>
                      <c:pt idx="53" formatCode="General">
                        <c:v>-25.893011235955058</c:v>
                      </c:pt>
                      <c:pt idx="54" formatCode="General">
                        <c:v>-26.001475655430713</c:v>
                      </c:pt>
                      <c:pt idx="55" formatCode="General">
                        <c:v>-26.109940074906369</c:v>
                      </c:pt>
                      <c:pt idx="56" formatCode="General">
                        <c:v>-26.218404494382021</c:v>
                      </c:pt>
                      <c:pt idx="57" formatCode="General">
                        <c:v>-26.326868913857677</c:v>
                      </c:pt>
                      <c:pt idx="58" formatCode="General">
                        <c:v>-26.435333333333332</c:v>
                      </c:pt>
                      <c:pt idx="59" formatCode="General">
                        <c:v>-26.543797752808988</c:v>
                      </c:pt>
                      <c:pt idx="60" formatCode="General">
                        <c:v>-26.652262172284644</c:v>
                      </c:pt>
                      <c:pt idx="61" formatCode="General">
                        <c:v>-26.760726591760299</c:v>
                      </c:pt>
                      <c:pt idx="62" formatCode="General">
                        <c:v>-26.869191011235955</c:v>
                      </c:pt>
                      <c:pt idx="63" formatCode="General">
                        <c:v>-26.977655430711611</c:v>
                      </c:pt>
                      <c:pt idx="64" formatCode="General">
                        <c:v>-27.086119850187266</c:v>
                      </c:pt>
                      <c:pt idx="65" formatCode="General">
                        <c:v>-27.194584269662922</c:v>
                      </c:pt>
                      <c:pt idx="66" formatCode="General">
                        <c:v>-27.301902621722849</c:v>
                      </c:pt>
                      <c:pt idx="67" formatCode="General">
                        <c:v>-27.404973782771538</c:v>
                      </c:pt>
                      <c:pt idx="68" formatCode="General">
                        <c:v>-27.508044943820227</c:v>
                      </c:pt>
                      <c:pt idx="69" formatCode="General">
                        <c:v>-27.611116104868916</c:v>
                      </c:pt>
                      <c:pt idx="70" formatCode="General">
                        <c:v>-27.714187265917605</c:v>
                      </c:pt>
                      <c:pt idx="71" formatCode="General">
                        <c:v>-27.817258426966294</c:v>
                      </c:pt>
                      <c:pt idx="72" formatCode="General">
                        <c:v>-27.920329588014983</c:v>
                      </c:pt>
                      <c:pt idx="73" formatCode="General">
                        <c:v>-28.023400749063672</c:v>
                      </c:pt>
                      <c:pt idx="74" formatCode="General">
                        <c:v>-28.126471910112361</c:v>
                      </c:pt>
                      <c:pt idx="75" formatCode="General">
                        <c:v>-28.22954307116105</c:v>
                      </c:pt>
                      <c:pt idx="76" formatCode="General">
                        <c:v>-28.332614232209739</c:v>
                      </c:pt>
                      <c:pt idx="77" formatCode="General">
                        <c:v>-28.435685393258428</c:v>
                      </c:pt>
                      <c:pt idx="78" formatCode="General">
                        <c:v>-28.538756554307117</c:v>
                      </c:pt>
                      <c:pt idx="79" formatCode="General">
                        <c:v>-28.641827715355806</c:v>
                      </c:pt>
                      <c:pt idx="80" formatCode="General">
                        <c:v>-28.744898876404495</c:v>
                      </c:pt>
                      <c:pt idx="81" formatCode="General">
                        <c:v>-28.847970037453184</c:v>
                      </c:pt>
                      <c:pt idx="82" formatCode="General">
                        <c:v>-28.951041198501873</c:v>
                      </c:pt>
                      <c:pt idx="83" formatCode="General">
                        <c:v>-29.051396396396395</c:v>
                      </c:pt>
                      <c:pt idx="84" formatCode="General">
                        <c:v>-29.149294294294293</c:v>
                      </c:pt>
                      <c:pt idx="85" formatCode="General">
                        <c:v>-29.247192192192191</c:v>
                      </c:pt>
                      <c:pt idx="86" formatCode="General">
                        <c:v>-29.345090090090089</c:v>
                      </c:pt>
                      <c:pt idx="87" formatCode="General">
                        <c:v>-8.1209504950495059</c:v>
                      </c:pt>
                      <c:pt idx="88" formatCode="General">
                        <c:v>-8.1466930693069308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3-27FC-4A9D-A437-1D0023828BE9}"/>
                  </c:ext>
                </c:extLst>
              </c15:ser>
            </c15:filteredScatterSeries>
            <c15:filteredScatterSeries>
              <c15:ser>
                <c:idx val="31"/>
                <c:order val="33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306</c:v>
                      </c:pt>
                      <c:pt idx="1">
                        <c:v>314</c:v>
                      </c:pt>
                      <c:pt idx="2">
                        <c:v>322</c:v>
                      </c:pt>
                      <c:pt idx="3">
                        <c:v>330</c:v>
                      </c:pt>
                      <c:pt idx="4">
                        <c:v>338</c:v>
                      </c:pt>
                      <c:pt idx="5">
                        <c:v>346</c:v>
                      </c:pt>
                      <c:pt idx="6">
                        <c:v>354</c:v>
                      </c:pt>
                      <c:pt idx="7">
                        <c:v>362</c:v>
                      </c:pt>
                      <c:pt idx="8">
                        <c:v>370</c:v>
                      </c:pt>
                      <c:pt idx="9">
                        <c:v>378</c:v>
                      </c:pt>
                      <c:pt idx="10">
                        <c:v>386</c:v>
                      </c:pt>
                      <c:pt idx="11">
                        <c:v>394</c:v>
                      </c:pt>
                      <c:pt idx="12">
                        <c:v>402</c:v>
                      </c:pt>
                      <c:pt idx="13">
                        <c:v>410</c:v>
                      </c:pt>
                      <c:pt idx="14">
                        <c:v>418</c:v>
                      </c:pt>
                      <c:pt idx="15">
                        <c:v>426</c:v>
                      </c:pt>
                      <c:pt idx="16">
                        <c:v>434</c:v>
                      </c:pt>
                      <c:pt idx="17">
                        <c:v>442</c:v>
                      </c:pt>
                      <c:pt idx="18">
                        <c:v>450</c:v>
                      </c:pt>
                      <c:pt idx="19">
                        <c:v>458</c:v>
                      </c:pt>
                      <c:pt idx="20">
                        <c:v>466</c:v>
                      </c:pt>
                      <c:pt idx="21">
                        <c:v>474</c:v>
                      </c:pt>
                      <c:pt idx="22">
                        <c:v>482</c:v>
                      </c:pt>
                      <c:pt idx="23">
                        <c:v>490</c:v>
                      </c:pt>
                      <c:pt idx="24">
                        <c:v>498</c:v>
                      </c:pt>
                      <c:pt idx="25">
                        <c:v>506</c:v>
                      </c:pt>
                      <c:pt idx="26">
                        <c:v>514</c:v>
                      </c:pt>
                      <c:pt idx="27">
                        <c:v>522</c:v>
                      </c:pt>
                      <c:pt idx="28">
                        <c:v>530</c:v>
                      </c:pt>
                      <c:pt idx="29">
                        <c:v>538</c:v>
                      </c:pt>
                      <c:pt idx="30">
                        <c:v>546</c:v>
                      </c:pt>
                      <c:pt idx="31">
                        <c:v>554</c:v>
                      </c:pt>
                      <c:pt idx="32">
                        <c:v>562</c:v>
                      </c:pt>
                      <c:pt idx="33">
                        <c:v>570</c:v>
                      </c:pt>
                      <c:pt idx="34">
                        <c:v>578</c:v>
                      </c:pt>
                      <c:pt idx="35">
                        <c:v>586</c:v>
                      </c:pt>
                      <c:pt idx="36">
                        <c:v>594</c:v>
                      </c:pt>
                      <c:pt idx="37">
                        <c:v>602</c:v>
                      </c:pt>
                      <c:pt idx="38">
                        <c:v>610</c:v>
                      </c:pt>
                      <c:pt idx="39">
                        <c:v>618</c:v>
                      </c:pt>
                      <c:pt idx="40">
                        <c:v>626</c:v>
                      </c:pt>
                      <c:pt idx="41">
                        <c:v>634</c:v>
                      </c:pt>
                      <c:pt idx="42">
                        <c:v>642</c:v>
                      </c:pt>
                      <c:pt idx="43">
                        <c:v>650</c:v>
                      </c:pt>
                      <c:pt idx="44">
                        <c:v>658</c:v>
                      </c:pt>
                      <c:pt idx="45">
                        <c:v>666</c:v>
                      </c:pt>
                      <c:pt idx="46">
                        <c:v>674</c:v>
                      </c:pt>
                      <c:pt idx="47">
                        <c:v>682</c:v>
                      </c:pt>
                      <c:pt idx="48">
                        <c:v>690</c:v>
                      </c:pt>
                      <c:pt idx="49">
                        <c:v>698</c:v>
                      </c:pt>
                      <c:pt idx="50">
                        <c:v>706</c:v>
                      </c:pt>
                      <c:pt idx="51">
                        <c:v>714</c:v>
                      </c:pt>
                      <c:pt idx="52">
                        <c:v>722</c:v>
                      </c:pt>
                      <c:pt idx="53">
                        <c:v>730</c:v>
                      </c:pt>
                      <c:pt idx="54">
                        <c:v>738</c:v>
                      </c:pt>
                      <c:pt idx="55">
                        <c:v>746</c:v>
                      </c:pt>
                      <c:pt idx="56">
                        <c:v>754</c:v>
                      </c:pt>
                      <c:pt idx="57">
                        <c:v>762</c:v>
                      </c:pt>
                      <c:pt idx="58">
                        <c:v>770</c:v>
                      </c:pt>
                      <c:pt idx="59">
                        <c:v>778</c:v>
                      </c:pt>
                      <c:pt idx="60">
                        <c:v>786</c:v>
                      </c:pt>
                      <c:pt idx="61">
                        <c:v>794</c:v>
                      </c:pt>
                      <c:pt idx="62">
                        <c:v>802</c:v>
                      </c:pt>
                      <c:pt idx="63">
                        <c:v>810</c:v>
                      </c:pt>
                      <c:pt idx="64">
                        <c:v>818</c:v>
                      </c:pt>
                      <c:pt idx="65">
                        <c:v>826</c:v>
                      </c:pt>
                      <c:pt idx="66">
                        <c:v>834</c:v>
                      </c:pt>
                      <c:pt idx="67">
                        <c:v>842</c:v>
                      </c:pt>
                      <c:pt idx="68">
                        <c:v>850</c:v>
                      </c:pt>
                      <c:pt idx="69">
                        <c:v>858</c:v>
                      </c:pt>
                      <c:pt idx="70">
                        <c:v>866</c:v>
                      </c:pt>
                      <c:pt idx="71">
                        <c:v>874</c:v>
                      </c:pt>
                      <c:pt idx="72">
                        <c:v>882</c:v>
                      </c:pt>
                      <c:pt idx="73">
                        <c:v>890</c:v>
                      </c:pt>
                      <c:pt idx="74">
                        <c:v>898</c:v>
                      </c:pt>
                      <c:pt idx="75">
                        <c:v>906</c:v>
                      </c:pt>
                      <c:pt idx="76">
                        <c:v>914</c:v>
                      </c:pt>
                      <c:pt idx="77">
                        <c:v>922</c:v>
                      </c:pt>
                      <c:pt idx="78">
                        <c:v>930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EVALUATION!$B$134:$CP$134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-184.14450450450451</c:v>
                      </c:pt>
                      <c:pt idx="1">
                        <c:v>-180.19015015015015</c:v>
                      </c:pt>
                      <c:pt idx="2">
                        <c:v>-176.23579579579581</c:v>
                      </c:pt>
                      <c:pt idx="3">
                        <c:v>-172.28144144144147</c:v>
                      </c:pt>
                      <c:pt idx="4" formatCode="General">
                        <c:v>-168.94194610778445</c:v>
                      </c:pt>
                      <c:pt idx="5" formatCode="General">
                        <c:v>-165.74434131736527</c:v>
                      </c:pt>
                      <c:pt idx="6" formatCode="General">
                        <c:v>-162.54673652694612</c:v>
                      </c:pt>
                      <c:pt idx="7" formatCode="General">
                        <c:v>-159.34913173652694</c:v>
                      </c:pt>
                      <c:pt idx="8" formatCode="General">
                        <c:v>-156.51188622754489</c:v>
                      </c:pt>
                      <c:pt idx="9" formatCode="General">
                        <c:v>-153.87955089820358</c:v>
                      </c:pt>
                      <c:pt idx="10" formatCode="General">
                        <c:v>-151.24721556886226</c:v>
                      </c:pt>
                      <c:pt idx="11" formatCode="General">
                        <c:v>-148.61488023952094</c:v>
                      </c:pt>
                      <c:pt idx="12" formatCode="General">
                        <c:v>-146.17973053892214</c:v>
                      </c:pt>
                      <c:pt idx="13" formatCode="General">
                        <c:v>-143.97374251497007</c:v>
                      </c:pt>
                      <c:pt idx="14" formatCode="General">
                        <c:v>-141.76775449101797</c:v>
                      </c:pt>
                      <c:pt idx="15" formatCode="General">
                        <c:v>-139.56176646706587</c:v>
                      </c:pt>
                      <c:pt idx="16" formatCode="General">
                        <c:v>-137.45494011976049</c:v>
                      </c:pt>
                      <c:pt idx="17" formatCode="General">
                        <c:v>-135.59386227544911</c:v>
                      </c:pt>
                      <c:pt idx="18" formatCode="General">
                        <c:v>-133.73278443113773</c:v>
                      </c:pt>
                      <c:pt idx="19" formatCode="General">
                        <c:v>-131.87170658682635</c:v>
                      </c:pt>
                      <c:pt idx="20" formatCode="General">
                        <c:v>-130.04404191616766</c:v>
                      </c:pt>
                      <c:pt idx="21" formatCode="General">
                        <c:v>-128.47997005988023</c:v>
                      </c:pt>
                      <c:pt idx="22" formatCode="General">
                        <c:v>-126.91589820359282</c:v>
                      </c:pt>
                      <c:pt idx="23" formatCode="General">
                        <c:v>-125.35182634730539</c:v>
                      </c:pt>
                      <c:pt idx="24" formatCode="General">
                        <c:v>-123.78775449101796</c:v>
                      </c:pt>
                      <c:pt idx="25" formatCode="General">
                        <c:v>-123.46702702702703</c:v>
                      </c:pt>
                      <c:pt idx="26" formatCode="General">
                        <c:v>-123.22918918918919</c:v>
                      </c:pt>
                      <c:pt idx="27" formatCode="General">
                        <c:v>-122.99135135135135</c:v>
                      </c:pt>
                      <c:pt idx="28" formatCode="General">
                        <c:v>-122.75351351351351</c:v>
                      </c:pt>
                      <c:pt idx="29" formatCode="General">
                        <c:v>-123.46293413173653</c:v>
                      </c:pt>
                      <c:pt idx="30" formatCode="General">
                        <c:v>-124.44736526946109</c:v>
                      </c:pt>
                      <c:pt idx="31" formatCode="General">
                        <c:v>-125.43179640718563</c:v>
                      </c:pt>
                      <c:pt idx="32" formatCode="General">
                        <c:v>-126.41622754491017</c:v>
                      </c:pt>
                      <c:pt idx="33" formatCode="General">
                        <c:v>-127.39922155688622</c:v>
                      </c:pt>
                      <c:pt idx="34" formatCode="General">
                        <c:v>-128.38125748502995</c:v>
                      </c:pt>
                      <c:pt idx="35" formatCode="General">
                        <c:v>-129.36329341317364</c:v>
                      </c:pt>
                      <c:pt idx="36" formatCode="General">
                        <c:v>-130.34532934131735</c:v>
                      </c:pt>
                      <c:pt idx="37" formatCode="General">
                        <c:v>-131.31718562874252</c:v>
                      </c:pt>
                      <c:pt idx="38" formatCode="General">
                        <c:v>-132.27526946107784</c:v>
                      </c:pt>
                      <c:pt idx="39" formatCode="General">
                        <c:v>-133.23335329341316</c:v>
                      </c:pt>
                      <c:pt idx="40" formatCode="General">
                        <c:v>-134.19143712574851</c:v>
                      </c:pt>
                      <c:pt idx="41" formatCode="General">
                        <c:v>-135.14592814371258</c:v>
                      </c:pt>
                      <c:pt idx="42" formatCode="General">
                        <c:v>-136.08964071856286</c:v>
                      </c:pt>
                      <c:pt idx="43" formatCode="General">
                        <c:v>-137.03335329341317</c:v>
                      </c:pt>
                      <c:pt idx="44" formatCode="General">
                        <c:v>-137.97706586826348</c:v>
                      </c:pt>
                      <c:pt idx="45" formatCode="General">
                        <c:v>-138.91970059880239</c:v>
                      </c:pt>
                      <c:pt idx="46" formatCode="General">
                        <c:v>-139.84904191616766</c:v>
                      </c:pt>
                      <c:pt idx="47" formatCode="General">
                        <c:v>-140.77838323353294</c:v>
                      </c:pt>
                      <c:pt idx="48" formatCode="General">
                        <c:v>-141.70772455089821</c:v>
                      </c:pt>
                      <c:pt idx="49" formatCode="General">
                        <c:v>-142.63706586826348</c:v>
                      </c:pt>
                      <c:pt idx="50" formatCode="General">
                        <c:v>-143.50932584269663</c:v>
                      </c:pt>
                      <c:pt idx="51" formatCode="General">
                        <c:v>-144.37524344569289</c:v>
                      </c:pt>
                      <c:pt idx="52" formatCode="General">
                        <c:v>-145.24116104868915</c:v>
                      </c:pt>
                      <c:pt idx="53" formatCode="General">
                        <c:v>-146.10707865168538</c:v>
                      </c:pt>
                      <c:pt idx="54" formatCode="General">
                        <c:v>-146.97299625468165</c:v>
                      </c:pt>
                      <c:pt idx="55" formatCode="General">
                        <c:v>-147.83891385767791</c:v>
                      </c:pt>
                      <c:pt idx="56" formatCode="General">
                        <c:v>-148.70483146067417</c:v>
                      </c:pt>
                      <c:pt idx="57" formatCode="General">
                        <c:v>-149.57074906367041</c:v>
                      </c:pt>
                      <c:pt idx="58" formatCode="General">
                        <c:v>-150.43666666666667</c:v>
                      </c:pt>
                      <c:pt idx="59" formatCode="General">
                        <c:v>-151.30258426966293</c:v>
                      </c:pt>
                      <c:pt idx="60" formatCode="General">
                        <c:v>-152.16850187265919</c:v>
                      </c:pt>
                      <c:pt idx="61" formatCode="General">
                        <c:v>-153.03441947565543</c:v>
                      </c:pt>
                      <c:pt idx="62" formatCode="General">
                        <c:v>-153.90033707865169</c:v>
                      </c:pt>
                      <c:pt idx="63" formatCode="General">
                        <c:v>-154.76625468164795</c:v>
                      </c:pt>
                      <c:pt idx="64" formatCode="General">
                        <c:v>-155.63217228464421</c:v>
                      </c:pt>
                      <c:pt idx="65" formatCode="General">
                        <c:v>-156.49808988764045</c:v>
                      </c:pt>
                      <c:pt idx="66" formatCode="General">
                        <c:v>-157.34146816479401</c:v>
                      </c:pt>
                      <c:pt idx="67" formatCode="General">
                        <c:v>-158.10131835205993</c:v>
                      </c:pt>
                      <c:pt idx="68" formatCode="General">
                        <c:v>-158.86116853932586</c:v>
                      </c:pt>
                      <c:pt idx="69" formatCode="General">
                        <c:v>-159.62101872659179</c:v>
                      </c:pt>
                      <c:pt idx="70" formatCode="General">
                        <c:v>-160.38086891385768</c:v>
                      </c:pt>
                      <c:pt idx="71" formatCode="General">
                        <c:v>-161.14071910112361</c:v>
                      </c:pt>
                      <c:pt idx="72" formatCode="General">
                        <c:v>-161.90056928838953</c:v>
                      </c:pt>
                      <c:pt idx="73" formatCode="General">
                        <c:v>-162.66041947565543</c:v>
                      </c:pt>
                      <c:pt idx="74" formatCode="General">
                        <c:v>-163.42026966292136</c:v>
                      </c:pt>
                      <c:pt idx="75" formatCode="General">
                        <c:v>-164.18011985018728</c:v>
                      </c:pt>
                      <c:pt idx="76" formatCode="General">
                        <c:v>-164.93997003745321</c:v>
                      </c:pt>
                      <c:pt idx="77" formatCode="General">
                        <c:v>-165.6998202247191</c:v>
                      </c:pt>
                      <c:pt idx="78" formatCode="General">
                        <c:v>-166.45967041198503</c:v>
                      </c:pt>
                      <c:pt idx="79" formatCode="General">
                        <c:v>-167.21952059925096</c:v>
                      </c:pt>
                      <c:pt idx="80" formatCode="General">
                        <c:v>-167.97937078651688</c:v>
                      </c:pt>
                      <c:pt idx="81" formatCode="General">
                        <c:v>-168.73922097378278</c:v>
                      </c:pt>
                      <c:pt idx="82" formatCode="General">
                        <c:v>-169.4990711610487</c:v>
                      </c:pt>
                      <c:pt idx="83" formatCode="General">
                        <c:v>-170.1970720720721</c:v>
                      </c:pt>
                      <c:pt idx="84" formatCode="General">
                        <c:v>-170.83911411411412</c:v>
                      </c:pt>
                      <c:pt idx="85" formatCode="General">
                        <c:v>-171.48115615615617</c:v>
                      </c:pt>
                      <c:pt idx="86" formatCode="General">
                        <c:v>-172.12319819819822</c:v>
                      </c:pt>
                      <c:pt idx="87" formatCode="General">
                        <c:v>-28.733663366336632</c:v>
                      </c:pt>
                      <c:pt idx="88" formatCode="General">
                        <c:v>-28.828712871287127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4-27FC-4A9D-A437-1D0023828BE9}"/>
                  </c:ext>
                </c:extLst>
              </c15:ser>
            </c15:filteredScatterSeries>
            <c15:filteredScatterSeries>
              <c15:ser>
                <c:idx val="32"/>
                <c:order val="34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306</c:v>
                      </c:pt>
                      <c:pt idx="1">
                        <c:v>314</c:v>
                      </c:pt>
                      <c:pt idx="2">
                        <c:v>322</c:v>
                      </c:pt>
                      <c:pt idx="3">
                        <c:v>330</c:v>
                      </c:pt>
                      <c:pt idx="4">
                        <c:v>338</c:v>
                      </c:pt>
                      <c:pt idx="5">
                        <c:v>346</c:v>
                      </c:pt>
                      <c:pt idx="6">
                        <c:v>354</c:v>
                      </c:pt>
                      <c:pt idx="7">
                        <c:v>362</c:v>
                      </c:pt>
                      <c:pt idx="8">
                        <c:v>370</c:v>
                      </c:pt>
                      <c:pt idx="9">
                        <c:v>378</c:v>
                      </c:pt>
                      <c:pt idx="10">
                        <c:v>386</c:v>
                      </c:pt>
                      <c:pt idx="11">
                        <c:v>394</c:v>
                      </c:pt>
                      <c:pt idx="12">
                        <c:v>402</c:v>
                      </c:pt>
                      <c:pt idx="13">
                        <c:v>410</c:v>
                      </c:pt>
                      <c:pt idx="14">
                        <c:v>418</c:v>
                      </c:pt>
                      <c:pt idx="15">
                        <c:v>426</c:v>
                      </c:pt>
                      <c:pt idx="16">
                        <c:v>434</c:v>
                      </c:pt>
                      <c:pt idx="17">
                        <c:v>442</c:v>
                      </c:pt>
                      <c:pt idx="18">
                        <c:v>450</c:v>
                      </c:pt>
                      <c:pt idx="19">
                        <c:v>458</c:v>
                      </c:pt>
                      <c:pt idx="20">
                        <c:v>466</c:v>
                      </c:pt>
                      <c:pt idx="21">
                        <c:v>474</c:v>
                      </c:pt>
                      <c:pt idx="22">
                        <c:v>482</c:v>
                      </c:pt>
                      <c:pt idx="23">
                        <c:v>490</c:v>
                      </c:pt>
                      <c:pt idx="24">
                        <c:v>498</c:v>
                      </c:pt>
                      <c:pt idx="25">
                        <c:v>506</c:v>
                      </c:pt>
                      <c:pt idx="26">
                        <c:v>514</c:v>
                      </c:pt>
                      <c:pt idx="27">
                        <c:v>522</c:v>
                      </c:pt>
                      <c:pt idx="28">
                        <c:v>530</c:v>
                      </c:pt>
                      <c:pt idx="29">
                        <c:v>538</c:v>
                      </c:pt>
                      <c:pt idx="30">
                        <c:v>546</c:v>
                      </c:pt>
                      <c:pt idx="31">
                        <c:v>554</c:v>
                      </c:pt>
                      <c:pt idx="32">
                        <c:v>562</c:v>
                      </c:pt>
                      <c:pt idx="33">
                        <c:v>570</c:v>
                      </c:pt>
                      <c:pt idx="34">
                        <c:v>578</c:v>
                      </c:pt>
                      <c:pt idx="35">
                        <c:v>586</c:v>
                      </c:pt>
                      <c:pt idx="36">
                        <c:v>594</c:v>
                      </c:pt>
                      <c:pt idx="37">
                        <c:v>602</c:v>
                      </c:pt>
                      <c:pt idx="38">
                        <c:v>610</c:v>
                      </c:pt>
                      <c:pt idx="39">
                        <c:v>618</c:v>
                      </c:pt>
                      <c:pt idx="40">
                        <c:v>626</c:v>
                      </c:pt>
                      <c:pt idx="41">
                        <c:v>634</c:v>
                      </c:pt>
                      <c:pt idx="42">
                        <c:v>642</c:v>
                      </c:pt>
                      <c:pt idx="43">
                        <c:v>650</c:v>
                      </c:pt>
                      <c:pt idx="44">
                        <c:v>658</c:v>
                      </c:pt>
                      <c:pt idx="45">
                        <c:v>666</c:v>
                      </c:pt>
                      <c:pt idx="46">
                        <c:v>674</c:v>
                      </c:pt>
                      <c:pt idx="47">
                        <c:v>682</c:v>
                      </c:pt>
                      <c:pt idx="48">
                        <c:v>690</c:v>
                      </c:pt>
                      <c:pt idx="49">
                        <c:v>698</c:v>
                      </c:pt>
                      <c:pt idx="50">
                        <c:v>706</c:v>
                      </c:pt>
                      <c:pt idx="51">
                        <c:v>714</c:v>
                      </c:pt>
                      <c:pt idx="52">
                        <c:v>722</c:v>
                      </c:pt>
                      <c:pt idx="53">
                        <c:v>730</c:v>
                      </c:pt>
                      <c:pt idx="54">
                        <c:v>738</c:v>
                      </c:pt>
                      <c:pt idx="55">
                        <c:v>746</c:v>
                      </c:pt>
                      <c:pt idx="56">
                        <c:v>754</c:v>
                      </c:pt>
                      <c:pt idx="57">
                        <c:v>762</c:v>
                      </c:pt>
                      <c:pt idx="58">
                        <c:v>770</c:v>
                      </c:pt>
                      <c:pt idx="59">
                        <c:v>778</c:v>
                      </c:pt>
                      <c:pt idx="60">
                        <c:v>786</c:v>
                      </c:pt>
                      <c:pt idx="61">
                        <c:v>794</c:v>
                      </c:pt>
                      <c:pt idx="62">
                        <c:v>802</c:v>
                      </c:pt>
                      <c:pt idx="63">
                        <c:v>810</c:v>
                      </c:pt>
                      <c:pt idx="64">
                        <c:v>818</c:v>
                      </c:pt>
                      <c:pt idx="65">
                        <c:v>826</c:v>
                      </c:pt>
                      <c:pt idx="66">
                        <c:v>834</c:v>
                      </c:pt>
                      <c:pt idx="67">
                        <c:v>842</c:v>
                      </c:pt>
                      <c:pt idx="68">
                        <c:v>850</c:v>
                      </c:pt>
                      <c:pt idx="69">
                        <c:v>858</c:v>
                      </c:pt>
                      <c:pt idx="70">
                        <c:v>866</c:v>
                      </c:pt>
                      <c:pt idx="71">
                        <c:v>874</c:v>
                      </c:pt>
                      <c:pt idx="72">
                        <c:v>882</c:v>
                      </c:pt>
                      <c:pt idx="73">
                        <c:v>890</c:v>
                      </c:pt>
                      <c:pt idx="74">
                        <c:v>898</c:v>
                      </c:pt>
                      <c:pt idx="75">
                        <c:v>906</c:v>
                      </c:pt>
                      <c:pt idx="76">
                        <c:v>914</c:v>
                      </c:pt>
                      <c:pt idx="77">
                        <c:v>922</c:v>
                      </c:pt>
                      <c:pt idx="78">
                        <c:v>930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EVALUATION!$B$135:$CP$135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-15.512792792792792</c:v>
                      </c:pt>
                      <c:pt idx="1">
                        <c:v>-15.013093093093092</c:v>
                      </c:pt>
                      <c:pt idx="2">
                        <c:v>-14.513393393393393</c:v>
                      </c:pt>
                      <c:pt idx="3">
                        <c:v>-14.013693693693693</c:v>
                      </c:pt>
                      <c:pt idx="4" formatCode="General">
                        <c:v>-13.456826347305389</c:v>
                      </c:pt>
                      <c:pt idx="5" formatCode="General">
                        <c:v>-12.886766467065867</c:v>
                      </c:pt>
                      <c:pt idx="6" formatCode="General">
                        <c:v>-12.316706586826346</c:v>
                      </c:pt>
                      <c:pt idx="7" formatCode="General">
                        <c:v>-11.746646706586823</c:v>
                      </c:pt>
                      <c:pt idx="8" formatCode="General">
                        <c:v>-11.204988023952094</c:v>
                      </c:pt>
                      <c:pt idx="9" formatCode="General">
                        <c:v>-10.679479041916167</c:v>
                      </c:pt>
                      <c:pt idx="10" formatCode="General">
                        <c:v>-10.153970059880239</c:v>
                      </c:pt>
                      <c:pt idx="11" formatCode="General">
                        <c:v>-9.628461077844312</c:v>
                      </c:pt>
                      <c:pt idx="12" formatCode="General">
                        <c:v>-9.1539101796407198</c:v>
                      </c:pt>
                      <c:pt idx="13" formatCode="General">
                        <c:v>-8.7385808383233528</c:v>
                      </c:pt>
                      <c:pt idx="14" formatCode="General">
                        <c:v>-8.3232514970059874</c:v>
                      </c:pt>
                      <c:pt idx="15" formatCode="General">
                        <c:v>-7.9079221556886221</c:v>
                      </c:pt>
                      <c:pt idx="16" formatCode="General">
                        <c:v>-7.5390748502994009</c:v>
                      </c:pt>
                      <c:pt idx="17" formatCode="General">
                        <c:v>-7.2854221556886225</c:v>
                      </c:pt>
                      <c:pt idx="18" formatCode="General">
                        <c:v>-7.031769461077845</c:v>
                      </c:pt>
                      <c:pt idx="19" formatCode="General">
                        <c:v>-6.7781167664670665</c:v>
                      </c:pt>
                      <c:pt idx="20" formatCode="General">
                        <c:v>-6.5428413173652693</c:v>
                      </c:pt>
                      <c:pt idx="21" formatCode="General">
                        <c:v>-6.4525419161676645</c:v>
                      </c:pt>
                      <c:pt idx="22" formatCode="General">
                        <c:v>-6.3622425149700597</c:v>
                      </c:pt>
                      <c:pt idx="23" formatCode="General">
                        <c:v>-6.2719431137724548</c:v>
                      </c:pt>
                      <c:pt idx="24" formatCode="General">
                        <c:v>-6.18164371257485</c:v>
                      </c:pt>
                      <c:pt idx="25" formatCode="General">
                        <c:v>-6.3239729729729737</c:v>
                      </c:pt>
                      <c:pt idx="26" formatCode="General">
                        <c:v>-6.4818108108108117</c:v>
                      </c:pt>
                      <c:pt idx="27" formatCode="General">
                        <c:v>-6.6396486486486497</c:v>
                      </c:pt>
                      <c:pt idx="28" formatCode="General">
                        <c:v>-6.7974864864864877</c:v>
                      </c:pt>
                      <c:pt idx="29" formatCode="General">
                        <c:v>-6.8348562874251497</c:v>
                      </c:pt>
                      <c:pt idx="30" formatCode="General">
                        <c:v>-6.8372514970059886</c:v>
                      </c:pt>
                      <c:pt idx="31" formatCode="General">
                        <c:v>-6.8396467065868265</c:v>
                      </c:pt>
                      <c:pt idx="32" formatCode="General">
                        <c:v>-6.8420419161676644</c:v>
                      </c:pt>
                      <c:pt idx="33" formatCode="General">
                        <c:v>-6.8517664670658682</c:v>
                      </c:pt>
                      <c:pt idx="34" formatCode="General">
                        <c:v>-6.866377245508982</c:v>
                      </c:pt>
                      <c:pt idx="35" formatCode="General">
                        <c:v>-6.8809880239520957</c:v>
                      </c:pt>
                      <c:pt idx="36" formatCode="General">
                        <c:v>-6.8955988023952095</c:v>
                      </c:pt>
                      <c:pt idx="37" formatCode="General">
                        <c:v>-6.911838323353293</c:v>
                      </c:pt>
                      <c:pt idx="38" formatCode="General">
                        <c:v>-6.930281437125748</c:v>
                      </c:pt>
                      <c:pt idx="39" formatCode="General">
                        <c:v>-6.9487245508982038</c:v>
                      </c:pt>
                      <c:pt idx="40" formatCode="General">
                        <c:v>-6.9671676646706588</c:v>
                      </c:pt>
                      <c:pt idx="41" formatCode="General">
                        <c:v>-6.9858502994011973</c:v>
                      </c:pt>
                      <c:pt idx="42" formatCode="General">
                        <c:v>-7.0052514970059878</c:v>
                      </c:pt>
                      <c:pt idx="43" formatCode="General">
                        <c:v>-7.0246526946107783</c:v>
                      </c:pt>
                      <c:pt idx="44" formatCode="General">
                        <c:v>-7.0440538922155689</c:v>
                      </c:pt>
                      <c:pt idx="45" formatCode="General">
                        <c:v>-7.0634550898203594</c:v>
                      </c:pt>
                      <c:pt idx="46" formatCode="General">
                        <c:v>-7.0828562874251499</c:v>
                      </c:pt>
                      <c:pt idx="47" formatCode="General">
                        <c:v>-7.1022574850299405</c:v>
                      </c:pt>
                      <c:pt idx="48" formatCode="General">
                        <c:v>-7.1216586826347301</c:v>
                      </c:pt>
                      <c:pt idx="49" formatCode="General">
                        <c:v>-7.1410598802395207</c:v>
                      </c:pt>
                      <c:pt idx="50" formatCode="General">
                        <c:v>-7.1602584269662923</c:v>
                      </c:pt>
                      <c:pt idx="51" formatCode="General">
                        <c:v>-7.1794344569288393</c:v>
                      </c:pt>
                      <c:pt idx="52" formatCode="General">
                        <c:v>-7.1986104868913854</c:v>
                      </c:pt>
                      <c:pt idx="53" formatCode="General">
                        <c:v>-7.2177865168539324</c:v>
                      </c:pt>
                      <c:pt idx="54" formatCode="General">
                        <c:v>-7.2369625468164793</c:v>
                      </c:pt>
                      <c:pt idx="55" formatCode="General">
                        <c:v>-7.2561385767790263</c:v>
                      </c:pt>
                      <c:pt idx="56" formatCode="General">
                        <c:v>-7.2753146067415733</c:v>
                      </c:pt>
                      <c:pt idx="57" formatCode="General">
                        <c:v>-7.2944906367041202</c:v>
                      </c:pt>
                      <c:pt idx="58" formatCode="General">
                        <c:v>-7.3136666666666663</c:v>
                      </c:pt>
                      <c:pt idx="59" formatCode="General">
                        <c:v>-7.3328426966292133</c:v>
                      </c:pt>
                      <c:pt idx="60" formatCode="General">
                        <c:v>-7.3520187265917603</c:v>
                      </c:pt>
                      <c:pt idx="61" formatCode="General">
                        <c:v>-7.3711947565543072</c:v>
                      </c:pt>
                      <c:pt idx="62" formatCode="General">
                        <c:v>-7.3903707865168542</c:v>
                      </c:pt>
                      <c:pt idx="63" formatCode="General">
                        <c:v>-7.4095468164794012</c:v>
                      </c:pt>
                      <c:pt idx="64" formatCode="General">
                        <c:v>-7.4287228464419481</c:v>
                      </c:pt>
                      <c:pt idx="65" formatCode="General">
                        <c:v>-7.4478988764044942</c:v>
                      </c:pt>
                      <c:pt idx="66" formatCode="General">
                        <c:v>-7.4668456928838953</c:v>
                      </c:pt>
                      <c:pt idx="67" formatCode="General">
                        <c:v>-7.484943071161049</c:v>
                      </c:pt>
                      <c:pt idx="68" formatCode="General">
                        <c:v>-7.5030404494382026</c:v>
                      </c:pt>
                      <c:pt idx="69" formatCode="General">
                        <c:v>-7.5211378277153562</c:v>
                      </c:pt>
                      <c:pt idx="70" formatCode="General">
                        <c:v>-7.5392352059925098</c:v>
                      </c:pt>
                      <c:pt idx="71" formatCode="General">
                        <c:v>-7.5573325842696626</c:v>
                      </c:pt>
                      <c:pt idx="72" formatCode="General">
                        <c:v>-7.5754299625468162</c:v>
                      </c:pt>
                      <c:pt idx="73" formatCode="General">
                        <c:v>-7.5935273408239699</c:v>
                      </c:pt>
                      <c:pt idx="74" formatCode="General">
                        <c:v>-7.6116247191011235</c:v>
                      </c:pt>
                      <c:pt idx="75" formatCode="General">
                        <c:v>-7.6297220973782771</c:v>
                      </c:pt>
                      <c:pt idx="76" formatCode="General">
                        <c:v>-7.6478194756554307</c:v>
                      </c:pt>
                      <c:pt idx="77" formatCode="General">
                        <c:v>-7.6659168539325844</c:v>
                      </c:pt>
                      <c:pt idx="78" formatCode="General">
                        <c:v>-7.684014232209738</c:v>
                      </c:pt>
                      <c:pt idx="79" formatCode="General">
                        <c:v>-7.7021116104868916</c:v>
                      </c:pt>
                      <c:pt idx="80" formatCode="General">
                        <c:v>-7.7202089887640444</c:v>
                      </c:pt>
                      <c:pt idx="81" formatCode="General">
                        <c:v>-7.738306367041198</c:v>
                      </c:pt>
                      <c:pt idx="82" formatCode="General">
                        <c:v>-7.7564037453183516</c:v>
                      </c:pt>
                      <c:pt idx="83" formatCode="General">
                        <c:v>-7.7739234234234234</c:v>
                      </c:pt>
                      <c:pt idx="84" formatCode="General">
                        <c:v>-7.7909204204204201</c:v>
                      </c:pt>
                      <c:pt idx="85" formatCode="General">
                        <c:v>-7.8079174174174168</c:v>
                      </c:pt>
                      <c:pt idx="86" formatCode="General">
                        <c:v>-7.8249144144144145</c:v>
                      </c:pt>
                      <c:pt idx="87" formatCode="General">
                        <c:v>-64.814138613861388</c:v>
                      </c:pt>
                      <c:pt idx="88" formatCode="General">
                        <c:v>-65.022059405940595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5-27FC-4A9D-A437-1D0023828BE9}"/>
                  </c:ext>
                </c:extLst>
              </c15:ser>
            </c15:filteredScatterSeries>
            <c15:filteredScatterSeries>
              <c15:ser>
                <c:idx val="33"/>
                <c:order val="35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306</c:v>
                      </c:pt>
                      <c:pt idx="1">
                        <c:v>314</c:v>
                      </c:pt>
                      <c:pt idx="2">
                        <c:v>322</c:v>
                      </c:pt>
                      <c:pt idx="3">
                        <c:v>330</c:v>
                      </c:pt>
                      <c:pt idx="4">
                        <c:v>338</c:v>
                      </c:pt>
                      <c:pt idx="5">
                        <c:v>346</c:v>
                      </c:pt>
                      <c:pt idx="6">
                        <c:v>354</c:v>
                      </c:pt>
                      <c:pt idx="7">
                        <c:v>362</c:v>
                      </c:pt>
                      <c:pt idx="8">
                        <c:v>370</c:v>
                      </c:pt>
                      <c:pt idx="9">
                        <c:v>378</c:v>
                      </c:pt>
                      <c:pt idx="10">
                        <c:v>386</c:v>
                      </c:pt>
                      <c:pt idx="11">
                        <c:v>394</c:v>
                      </c:pt>
                      <c:pt idx="12">
                        <c:v>402</c:v>
                      </c:pt>
                      <c:pt idx="13">
                        <c:v>410</c:v>
                      </c:pt>
                      <c:pt idx="14">
                        <c:v>418</c:v>
                      </c:pt>
                      <c:pt idx="15">
                        <c:v>426</c:v>
                      </c:pt>
                      <c:pt idx="16">
                        <c:v>434</c:v>
                      </c:pt>
                      <c:pt idx="17">
                        <c:v>442</c:v>
                      </c:pt>
                      <c:pt idx="18">
                        <c:v>450</c:v>
                      </c:pt>
                      <c:pt idx="19">
                        <c:v>458</c:v>
                      </c:pt>
                      <c:pt idx="20">
                        <c:v>466</c:v>
                      </c:pt>
                      <c:pt idx="21">
                        <c:v>474</c:v>
                      </c:pt>
                      <c:pt idx="22">
                        <c:v>482</c:v>
                      </c:pt>
                      <c:pt idx="23">
                        <c:v>490</c:v>
                      </c:pt>
                      <c:pt idx="24">
                        <c:v>498</c:v>
                      </c:pt>
                      <c:pt idx="25">
                        <c:v>506</c:v>
                      </c:pt>
                      <c:pt idx="26">
                        <c:v>514</c:v>
                      </c:pt>
                      <c:pt idx="27">
                        <c:v>522</c:v>
                      </c:pt>
                      <c:pt idx="28">
                        <c:v>530</c:v>
                      </c:pt>
                      <c:pt idx="29">
                        <c:v>538</c:v>
                      </c:pt>
                      <c:pt idx="30">
                        <c:v>546</c:v>
                      </c:pt>
                      <c:pt idx="31">
                        <c:v>554</c:v>
                      </c:pt>
                      <c:pt idx="32">
                        <c:v>562</c:v>
                      </c:pt>
                      <c:pt idx="33">
                        <c:v>570</c:v>
                      </c:pt>
                      <c:pt idx="34">
                        <c:v>578</c:v>
                      </c:pt>
                      <c:pt idx="35">
                        <c:v>586</c:v>
                      </c:pt>
                      <c:pt idx="36">
                        <c:v>594</c:v>
                      </c:pt>
                      <c:pt idx="37">
                        <c:v>602</c:v>
                      </c:pt>
                      <c:pt idx="38">
                        <c:v>610</c:v>
                      </c:pt>
                      <c:pt idx="39">
                        <c:v>618</c:v>
                      </c:pt>
                      <c:pt idx="40">
                        <c:v>626</c:v>
                      </c:pt>
                      <c:pt idx="41">
                        <c:v>634</c:v>
                      </c:pt>
                      <c:pt idx="42">
                        <c:v>642</c:v>
                      </c:pt>
                      <c:pt idx="43">
                        <c:v>650</c:v>
                      </c:pt>
                      <c:pt idx="44">
                        <c:v>658</c:v>
                      </c:pt>
                      <c:pt idx="45">
                        <c:v>666</c:v>
                      </c:pt>
                      <c:pt idx="46">
                        <c:v>674</c:v>
                      </c:pt>
                      <c:pt idx="47">
                        <c:v>682</c:v>
                      </c:pt>
                      <c:pt idx="48">
                        <c:v>690</c:v>
                      </c:pt>
                      <c:pt idx="49">
                        <c:v>698</c:v>
                      </c:pt>
                      <c:pt idx="50">
                        <c:v>706</c:v>
                      </c:pt>
                      <c:pt idx="51">
                        <c:v>714</c:v>
                      </c:pt>
                      <c:pt idx="52">
                        <c:v>722</c:v>
                      </c:pt>
                      <c:pt idx="53">
                        <c:v>730</c:v>
                      </c:pt>
                      <c:pt idx="54">
                        <c:v>738</c:v>
                      </c:pt>
                      <c:pt idx="55">
                        <c:v>746</c:v>
                      </c:pt>
                      <c:pt idx="56">
                        <c:v>754</c:v>
                      </c:pt>
                      <c:pt idx="57">
                        <c:v>762</c:v>
                      </c:pt>
                      <c:pt idx="58">
                        <c:v>770</c:v>
                      </c:pt>
                      <c:pt idx="59">
                        <c:v>778</c:v>
                      </c:pt>
                      <c:pt idx="60">
                        <c:v>786</c:v>
                      </c:pt>
                      <c:pt idx="61">
                        <c:v>794</c:v>
                      </c:pt>
                      <c:pt idx="62">
                        <c:v>802</c:v>
                      </c:pt>
                      <c:pt idx="63">
                        <c:v>810</c:v>
                      </c:pt>
                      <c:pt idx="64">
                        <c:v>818</c:v>
                      </c:pt>
                      <c:pt idx="65">
                        <c:v>826</c:v>
                      </c:pt>
                      <c:pt idx="66">
                        <c:v>834</c:v>
                      </c:pt>
                      <c:pt idx="67">
                        <c:v>842</c:v>
                      </c:pt>
                      <c:pt idx="68">
                        <c:v>850</c:v>
                      </c:pt>
                      <c:pt idx="69">
                        <c:v>858</c:v>
                      </c:pt>
                      <c:pt idx="70">
                        <c:v>866</c:v>
                      </c:pt>
                      <c:pt idx="71">
                        <c:v>874</c:v>
                      </c:pt>
                      <c:pt idx="72">
                        <c:v>882</c:v>
                      </c:pt>
                      <c:pt idx="73">
                        <c:v>890</c:v>
                      </c:pt>
                      <c:pt idx="74">
                        <c:v>898</c:v>
                      </c:pt>
                      <c:pt idx="75">
                        <c:v>906</c:v>
                      </c:pt>
                      <c:pt idx="76">
                        <c:v>914</c:v>
                      </c:pt>
                      <c:pt idx="77">
                        <c:v>922</c:v>
                      </c:pt>
                      <c:pt idx="78">
                        <c:v>930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EVALUATION!$B$136:$CP$136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-18.877657657657657</c:v>
                      </c:pt>
                      <c:pt idx="1">
                        <c:v>-18.875255255255254</c:v>
                      </c:pt>
                      <c:pt idx="2">
                        <c:v>-18.872852852852855</c:v>
                      </c:pt>
                      <c:pt idx="3">
                        <c:v>-18.870450450450452</c:v>
                      </c:pt>
                      <c:pt idx="4" formatCode="General">
                        <c:v>-18.875838323353292</c:v>
                      </c:pt>
                      <c:pt idx="5" formatCode="General">
                        <c:v>-18.883023952095808</c:v>
                      </c:pt>
                      <c:pt idx="6" formatCode="General">
                        <c:v>-18.890209580838324</c:v>
                      </c:pt>
                      <c:pt idx="7" formatCode="General">
                        <c:v>-18.897395209580836</c:v>
                      </c:pt>
                      <c:pt idx="8" formatCode="General">
                        <c:v>-18.906107784431136</c:v>
                      </c:pt>
                      <c:pt idx="9" formatCode="General">
                        <c:v>-18.915688622754491</c:v>
                      </c:pt>
                      <c:pt idx="10" formatCode="General">
                        <c:v>-18.925269461077846</c:v>
                      </c:pt>
                      <c:pt idx="11" formatCode="General">
                        <c:v>-18.934850299401198</c:v>
                      </c:pt>
                      <c:pt idx="12" formatCode="General">
                        <c:v>-18.945538922155688</c:v>
                      </c:pt>
                      <c:pt idx="13" formatCode="General">
                        <c:v>-18.957514970059879</c:v>
                      </c:pt>
                      <c:pt idx="14" formatCode="General">
                        <c:v>-18.969491017964071</c:v>
                      </c:pt>
                      <c:pt idx="15" formatCode="General">
                        <c:v>-18.981467065868262</c:v>
                      </c:pt>
                      <c:pt idx="16" formatCode="General">
                        <c:v>-18.993443113772454</c:v>
                      </c:pt>
                      <c:pt idx="17" formatCode="General">
                        <c:v>-19.005419161676645</c:v>
                      </c:pt>
                      <c:pt idx="18" formatCode="General">
                        <c:v>-19.017395209580837</c:v>
                      </c:pt>
                      <c:pt idx="19" formatCode="General">
                        <c:v>-19.029371257485028</c:v>
                      </c:pt>
                      <c:pt idx="20" formatCode="General">
                        <c:v>-19.040808383233532</c:v>
                      </c:pt>
                      <c:pt idx="21" formatCode="General">
                        <c:v>-19.047994011976048</c:v>
                      </c:pt>
                      <c:pt idx="22" formatCode="General">
                        <c:v>-19.055179640718563</c:v>
                      </c:pt>
                      <c:pt idx="23" formatCode="General">
                        <c:v>-19.062365269461079</c:v>
                      </c:pt>
                      <c:pt idx="24" formatCode="General">
                        <c:v>-19.069550898203595</c:v>
                      </c:pt>
                      <c:pt idx="25" formatCode="General">
                        <c:v>-19.045225225225227</c:v>
                      </c:pt>
                      <c:pt idx="26" formatCode="General">
                        <c:v>-19.018798798798798</c:v>
                      </c:pt>
                      <c:pt idx="27" formatCode="General">
                        <c:v>-18.992372372372373</c:v>
                      </c:pt>
                      <c:pt idx="28" formatCode="General">
                        <c:v>-18.965945945945947</c:v>
                      </c:pt>
                      <c:pt idx="29" formatCode="General">
                        <c:v>-18.972994011976049</c:v>
                      </c:pt>
                      <c:pt idx="30" formatCode="General">
                        <c:v>-18.989760479041916</c:v>
                      </c:pt>
                      <c:pt idx="31" formatCode="General">
                        <c:v>-19.006526946107787</c:v>
                      </c:pt>
                      <c:pt idx="32" formatCode="General">
                        <c:v>-19.023293413173654</c:v>
                      </c:pt>
                      <c:pt idx="33" formatCode="General">
                        <c:v>-19.040059880239522</c:v>
                      </c:pt>
                      <c:pt idx="34" formatCode="General">
                        <c:v>-19.056826347305389</c:v>
                      </c:pt>
                      <c:pt idx="35" formatCode="General">
                        <c:v>-19.07359281437126</c:v>
                      </c:pt>
                      <c:pt idx="36" formatCode="General">
                        <c:v>-19.090359281437127</c:v>
                      </c:pt>
                      <c:pt idx="37" formatCode="General">
                        <c:v>-19.107125748502995</c:v>
                      </c:pt>
                      <c:pt idx="38" formatCode="General">
                        <c:v>-19.123892215568866</c:v>
                      </c:pt>
                      <c:pt idx="39" formatCode="General">
                        <c:v>-19.140658682634733</c:v>
                      </c:pt>
                      <c:pt idx="40" formatCode="General">
                        <c:v>-19.1574251497006</c:v>
                      </c:pt>
                      <c:pt idx="41" formatCode="General">
                        <c:v>-19.174191616766468</c:v>
                      </c:pt>
                      <c:pt idx="42" formatCode="General">
                        <c:v>-19.190958083832335</c:v>
                      </c:pt>
                      <c:pt idx="43" formatCode="General">
                        <c:v>-19.207724550898202</c:v>
                      </c:pt>
                      <c:pt idx="44" formatCode="General">
                        <c:v>-19.22449101796407</c:v>
                      </c:pt>
                      <c:pt idx="45" formatCode="General">
                        <c:v>-19.241257485029937</c:v>
                      </c:pt>
                      <c:pt idx="46" formatCode="General">
                        <c:v>-19.258023952095808</c:v>
                      </c:pt>
                      <c:pt idx="47" formatCode="General">
                        <c:v>-19.274790419161675</c:v>
                      </c:pt>
                      <c:pt idx="48" formatCode="General">
                        <c:v>-19.291556886227543</c:v>
                      </c:pt>
                      <c:pt idx="49" formatCode="General">
                        <c:v>-19.30832335329341</c:v>
                      </c:pt>
                      <c:pt idx="50" formatCode="General">
                        <c:v>-19.324022471910112</c:v>
                      </c:pt>
                      <c:pt idx="51" formatCode="General">
                        <c:v>-19.33960299625468</c:v>
                      </c:pt>
                      <c:pt idx="52" formatCode="General">
                        <c:v>-19.355183520599251</c:v>
                      </c:pt>
                      <c:pt idx="53" formatCode="General">
                        <c:v>-19.370764044943819</c:v>
                      </c:pt>
                      <c:pt idx="54" formatCode="General">
                        <c:v>-19.38634456928839</c:v>
                      </c:pt>
                      <c:pt idx="55" formatCode="General">
                        <c:v>-19.401925093632958</c:v>
                      </c:pt>
                      <c:pt idx="56" formatCode="General">
                        <c:v>-19.417505617977529</c:v>
                      </c:pt>
                      <c:pt idx="57" formatCode="General">
                        <c:v>-19.433086142322097</c:v>
                      </c:pt>
                      <c:pt idx="58" formatCode="General">
                        <c:v>-19.448666666666668</c:v>
                      </c:pt>
                      <c:pt idx="59" formatCode="General">
                        <c:v>-19.464247191011236</c:v>
                      </c:pt>
                      <c:pt idx="60" formatCode="General">
                        <c:v>-19.479827715355807</c:v>
                      </c:pt>
                      <c:pt idx="61" formatCode="General">
                        <c:v>-19.495408239700375</c:v>
                      </c:pt>
                      <c:pt idx="62" formatCode="General">
                        <c:v>-19.510988764044942</c:v>
                      </c:pt>
                      <c:pt idx="63" formatCode="General">
                        <c:v>-19.526569288389513</c:v>
                      </c:pt>
                      <c:pt idx="64" formatCode="General">
                        <c:v>-19.542149812734081</c:v>
                      </c:pt>
                      <c:pt idx="65" formatCode="General">
                        <c:v>-19.557730337078652</c:v>
                      </c:pt>
                      <c:pt idx="66" formatCode="General">
                        <c:v>-19.573183520599251</c:v>
                      </c:pt>
                      <c:pt idx="67" formatCode="General">
                        <c:v>-19.58816479400749</c:v>
                      </c:pt>
                      <c:pt idx="68" formatCode="General">
                        <c:v>-19.603146067415732</c:v>
                      </c:pt>
                      <c:pt idx="69" formatCode="General">
                        <c:v>-19.618127340823971</c:v>
                      </c:pt>
                      <c:pt idx="70" formatCode="General">
                        <c:v>-19.63310861423221</c:v>
                      </c:pt>
                      <c:pt idx="71" formatCode="General">
                        <c:v>-19.648089887640449</c:v>
                      </c:pt>
                      <c:pt idx="72" formatCode="General">
                        <c:v>-19.663071161048691</c:v>
                      </c:pt>
                      <c:pt idx="73" formatCode="General">
                        <c:v>-19.67805243445693</c:v>
                      </c:pt>
                      <c:pt idx="74" formatCode="General">
                        <c:v>-19.693033707865169</c:v>
                      </c:pt>
                      <c:pt idx="75" formatCode="General">
                        <c:v>-19.708014981273408</c:v>
                      </c:pt>
                      <c:pt idx="76" formatCode="General">
                        <c:v>-19.722996254681647</c:v>
                      </c:pt>
                      <c:pt idx="77" formatCode="General">
                        <c:v>-19.737977528089889</c:v>
                      </c:pt>
                      <c:pt idx="78" formatCode="General">
                        <c:v>-19.752958801498128</c:v>
                      </c:pt>
                      <c:pt idx="79" formatCode="General">
                        <c:v>-19.767940074906367</c:v>
                      </c:pt>
                      <c:pt idx="80" formatCode="General">
                        <c:v>-19.782921348314606</c:v>
                      </c:pt>
                      <c:pt idx="81" formatCode="General">
                        <c:v>-19.797902621722848</c:v>
                      </c:pt>
                      <c:pt idx="82" formatCode="General">
                        <c:v>-19.812883895131087</c:v>
                      </c:pt>
                      <c:pt idx="83" formatCode="General">
                        <c:v>-19.827252252252254</c:v>
                      </c:pt>
                      <c:pt idx="84" formatCode="General">
                        <c:v>-19.841066066066066</c:v>
                      </c:pt>
                      <c:pt idx="85" formatCode="General">
                        <c:v>-19.854879879879881</c:v>
                      </c:pt>
                      <c:pt idx="86" formatCode="General">
                        <c:v>-19.868693693693693</c:v>
                      </c:pt>
                      <c:pt idx="87" formatCode="General">
                        <c:v>-102.44289108910891</c:v>
                      </c:pt>
                      <c:pt idx="88" formatCode="General">
                        <c:v>-102.77952475247524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6-27FC-4A9D-A437-1D0023828BE9}"/>
                  </c:ext>
                </c:extLst>
              </c15:ser>
            </c15:filteredScatterSeries>
            <c15:filteredScatterSeries>
              <c15:ser>
                <c:idx val="34"/>
                <c:order val="36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306</c:v>
                      </c:pt>
                      <c:pt idx="1">
                        <c:v>314</c:v>
                      </c:pt>
                      <c:pt idx="2">
                        <c:v>322</c:v>
                      </c:pt>
                      <c:pt idx="3">
                        <c:v>330</c:v>
                      </c:pt>
                      <c:pt idx="4">
                        <c:v>338</c:v>
                      </c:pt>
                      <c:pt idx="5">
                        <c:v>346</c:v>
                      </c:pt>
                      <c:pt idx="6">
                        <c:v>354</c:v>
                      </c:pt>
                      <c:pt idx="7">
                        <c:v>362</c:v>
                      </c:pt>
                      <c:pt idx="8">
                        <c:v>370</c:v>
                      </c:pt>
                      <c:pt idx="9">
                        <c:v>378</c:v>
                      </c:pt>
                      <c:pt idx="10">
                        <c:v>386</c:v>
                      </c:pt>
                      <c:pt idx="11">
                        <c:v>394</c:v>
                      </c:pt>
                      <c:pt idx="12">
                        <c:v>402</c:v>
                      </c:pt>
                      <c:pt idx="13">
                        <c:v>410</c:v>
                      </c:pt>
                      <c:pt idx="14">
                        <c:v>418</c:v>
                      </c:pt>
                      <c:pt idx="15">
                        <c:v>426</c:v>
                      </c:pt>
                      <c:pt idx="16">
                        <c:v>434</c:v>
                      </c:pt>
                      <c:pt idx="17">
                        <c:v>442</c:v>
                      </c:pt>
                      <c:pt idx="18">
                        <c:v>450</c:v>
                      </c:pt>
                      <c:pt idx="19">
                        <c:v>458</c:v>
                      </c:pt>
                      <c:pt idx="20">
                        <c:v>466</c:v>
                      </c:pt>
                      <c:pt idx="21">
                        <c:v>474</c:v>
                      </c:pt>
                      <c:pt idx="22">
                        <c:v>482</c:v>
                      </c:pt>
                      <c:pt idx="23">
                        <c:v>490</c:v>
                      </c:pt>
                      <c:pt idx="24">
                        <c:v>498</c:v>
                      </c:pt>
                      <c:pt idx="25">
                        <c:v>506</c:v>
                      </c:pt>
                      <c:pt idx="26">
                        <c:v>514</c:v>
                      </c:pt>
                      <c:pt idx="27">
                        <c:v>522</c:v>
                      </c:pt>
                      <c:pt idx="28">
                        <c:v>530</c:v>
                      </c:pt>
                      <c:pt idx="29">
                        <c:v>538</c:v>
                      </c:pt>
                      <c:pt idx="30">
                        <c:v>546</c:v>
                      </c:pt>
                      <c:pt idx="31">
                        <c:v>554</c:v>
                      </c:pt>
                      <c:pt idx="32">
                        <c:v>562</c:v>
                      </c:pt>
                      <c:pt idx="33">
                        <c:v>570</c:v>
                      </c:pt>
                      <c:pt idx="34">
                        <c:v>578</c:v>
                      </c:pt>
                      <c:pt idx="35">
                        <c:v>586</c:v>
                      </c:pt>
                      <c:pt idx="36">
                        <c:v>594</c:v>
                      </c:pt>
                      <c:pt idx="37">
                        <c:v>602</c:v>
                      </c:pt>
                      <c:pt idx="38">
                        <c:v>610</c:v>
                      </c:pt>
                      <c:pt idx="39">
                        <c:v>618</c:v>
                      </c:pt>
                      <c:pt idx="40">
                        <c:v>626</c:v>
                      </c:pt>
                      <c:pt idx="41">
                        <c:v>634</c:v>
                      </c:pt>
                      <c:pt idx="42">
                        <c:v>642</c:v>
                      </c:pt>
                      <c:pt idx="43">
                        <c:v>650</c:v>
                      </c:pt>
                      <c:pt idx="44">
                        <c:v>658</c:v>
                      </c:pt>
                      <c:pt idx="45">
                        <c:v>666</c:v>
                      </c:pt>
                      <c:pt idx="46">
                        <c:v>674</c:v>
                      </c:pt>
                      <c:pt idx="47">
                        <c:v>682</c:v>
                      </c:pt>
                      <c:pt idx="48">
                        <c:v>690</c:v>
                      </c:pt>
                      <c:pt idx="49">
                        <c:v>698</c:v>
                      </c:pt>
                      <c:pt idx="50">
                        <c:v>706</c:v>
                      </c:pt>
                      <c:pt idx="51">
                        <c:v>714</c:v>
                      </c:pt>
                      <c:pt idx="52">
                        <c:v>722</c:v>
                      </c:pt>
                      <c:pt idx="53">
                        <c:v>730</c:v>
                      </c:pt>
                      <c:pt idx="54">
                        <c:v>738</c:v>
                      </c:pt>
                      <c:pt idx="55">
                        <c:v>746</c:v>
                      </c:pt>
                      <c:pt idx="56">
                        <c:v>754</c:v>
                      </c:pt>
                      <c:pt idx="57">
                        <c:v>762</c:v>
                      </c:pt>
                      <c:pt idx="58">
                        <c:v>770</c:v>
                      </c:pt>
                      <c:pt idx="59">
                        <c:v>778</c:v>
                      </c:pt>
                      <c:pt idx="60">
                        <c:v>786</c:v>
                      </c:pt>
                      <c:pt idx="61">
                        <c:v>794</c:v>
                      </c:pt>
                      <c:pt idx="62">
                        <c:v>802</c:v>
                      </c:pt>
                      <c:pt idx="63">
                        <c:v>810</c:v>
                      </c:pt>
                      <c:pt idx="64">
                        <c:v>818</c:v>
                      </c:pt>
                      <c:pt idx="65">
                        <c:v>826</c:v>
                      </c:pt>
                      <c:pt idx="66">
                        <c:v>834</c:v>
                      </c:pt>
                      <c:pt idx="67">
                        <c:v>842</c:v>
                      </c:pt>
                      <c:pt idx="68">
                        <c:v>850</c:v>
                      </c:pt>
                      <c:pt idx="69">
                        <c:v>858</c:v>
                      </c:pt>
                      <c:pt idx="70">
                        <c:v>866</c:v>
                      </c:pt>
                      <c:pt idx="71">
                        <c:v>874</c:v>
                      </c:pt>
                      <c:pt idx="72">
                        <c:v>882</c:v>
                      </c:pt>
                      <c:pt idx="73">
                        <c:v>890</c:v>
                      </c:pt>
                      <c:pt idx="74">
                        <c:v>898</c:v>
                      </c:pt>
                      <c:pt idx="75">
                        <c:v>906</c:v>
                      </c:pt>
                      <c:pt idx="76">
                        <c:v>914</c:v>
                      </c:pt>
                      <c:pt idx="77">
                        <c:v>922</c:v>
                      </c:pt>
                      <c:pt idx="78">
                        <c:v>930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EVALUATION!$B$137:$CP$137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-59.399279279279277</c:v>
                      </c:pt>
                      <c:pt idx="1">
                        <c:v>-58.495975975975981</c:v>
                      </c:pt>
                      <c:pt idx="2">
                        <c:v>-57.592672672672677</c:v>
                      </c:pt>
                      <c:pt idx="3">
                        <c:v>-56.689369369369373</c:v>
                      </c:pt>
                      <c:pt idx="4" formatCode="General">
                        <c:v>-56.091856287425152</c:v>
                      </c:pt>
                      <c:pt idx="5" formatCode="General">
                        <c:v>-55.564910179640719</c:v>
                      </c:pt>
                      <c:pt idx="6" formatCode="General">
                        <c:v>-55.037964071856287</c:v>
                      </c:pt>
                      <c:pt idx="7" formatCode="General">
                        <c:v>-54.511017964071854</c:v>
                      </c:pt>
                      <c:pt idx="8" formatCode="General">
                        <c:v>-54.110197604790422</c:v>
                      </c:pt>
                      <c:pt idx="9" formatCode="General">
                        <c:v>-53.781095808383235</c:v>
                      </c:pt>
                      <c:pt idx="10" formatCode="General">
                        <c:v>-53.451994011976048</c:v>
                      </c:pt>
                      <c:pt idx="11" formatCode="General">
                        <c:v>-53.122892215568861</c:v>
                      </c:pt>
                      <c:pt idx="12" formatCode="General">
                        <c:v>-52.840317365269463</c:v>
                      </c:pt>
                      <c:pt idx="13" formatCode="General">
                        <c:v>-52.611814371257488</c:v>
                      </c:pt>
                      <c:pt idx="14" formatCode="General">
                        <c:v>-52.383311377245512</c:v>
                      </c:pt>
                      <c:pt idx="15" formatCode="General">
                        <c:v>-52.154808383233537</c:v>
                      </c:pt>
                      <c:pt idx="16" formatCode="General">
                        <c:v>-51.959014970059883</c:v>
                      </c:pt>
                      <c:pt idx="17" formatCode="General">
                        <c:v>-51.84428443113773</c:v>
                      </c:pt>
                      <c:pt idx="18" formatCode="General">
                        <c:v>-51.72955389221557</c:v>
                      </c:pt>
                      <c:pt idx="19" formatCode="General">
                        <c:v>-51.61482335329341</c:v>
                      </c:pt>
                      <c:pt idx="20" formatCode="General">
                        <c:v>-51.519547904191612</c:v>
                      </c:pt>
                      <c:pt idx="21" formatCode="General">
                        <c:v>-51.577751497005984</c:v>
                      </c:pt>
                      <c:pt idx="22" formatCode="General">
                        <c:v>-51.635955089820357</c:v>
                      </c:pt>
                      <c:pt idx="23" formatCode="General">
                        <c:v>-51.694158682634729</c:v>
                      </c:pt>
                      <c:pt idx="24" formatCode="General">
                        <c:v>-51.752362275449102</c:v>
                      </c:pt>
                      <c:pt idx="25" formatCode="General">
                        <c:v>-52.016585585585588</c:v>
                      </c:pt>
                      <c:pt idx="26" formatCode="General">
                        <c:v>-52.29454354354354</c:v>
                      </c:pt>
                      <c:pt idx="27" formatCode="General">
                        <c:v>-52.572501501501499</c:v>
                      </c:pt>
                      <c:pt idx="28" formatCode="General">
                        <c:v>-52.850459459459458</c:v>
                      </c:pt>
                      <c:pt idx="29" formatCode="General">
                        <c:v>-53.09677245508982</c:v>
                      </c:pt>
                      <c:pt idx="30" formatCode="General">
                        <c:v>-53.333898203592817</c:v>
                      </c:pt>
                      <c:pt idx="31" formatCode="General">
                        <c:v>-53.571023952095814</c:v>
                      </c:pt>
                      <c:pt idx="32" formatCode="General">
                        <c:v>-53.808149700598804</c:v>
                      </c:pt>
                      <c:pt idx="33" formatCode="General">
                        <c:v>-54.055479041916172</c:v>
                      </c:pt>
                      <c:pt idx="34" formatCode="General">
                        <c:v>-54.309610778443115</c:v>
                      </c:pt>
                      <c:pt idx="35" formatCode="General">
                        <c:v>-54.563742514970059</c:v>
                      </c:pt>
                      <c:pt idx="36" formatCode="General">
                        <c:v>-54.817874251497003</c:v>
                      </c:pt>
                      <c:pt idx="37" formatCode="General">
                        <c:v>-55.069562874251496</c:v>
                      </c:pt>
                      <c:pt idx="38" formatCode="General">
                        <c:v>-55.317946107784429</c:v>
                      </c:pt>
                      <c:pt idx="39" formatCode="General">
                        <c:v>-55.56632934131737</c:v>
                      </c:pt>
                      <c:pt idx="40" formatCode="General">
                        <c:v>-55.814712574850304</c:v>
                      </c:pt>
                      <c:pt idx="41" formatCode="General">
                        <c:v>-56.063335329341321</c:v>
                      </c:pt>
                      <c:pt idx="42" formatCode="General">
                        <c:v>-56.312676646706592</c:v>
                      </c:pt>
                      <c:pt idx="43" formatCode="General">
                        <c:v>-56.562017964071856</c:v>
                      </c:pt>
                      <c:pt idx="44" formatCode="General">
                        <c:v>-56.81135928143712</c:v>
                      </c:pt>
                      <c:pt idx="45" formatCode="General">
                        <c:v>-57.060700598802391</c:v>
                      </c:pt>
                      <c:pt idx="46" formatCode="General">
                        <c:v>-57.310041916167663</c:v>
                      </c:pt>
                      <c:pt idx="47" formatCode="General">
                        <c:v>-57.559383233532934</c:v>
                      </c:pt>
                      <c:pt idx="48" formatCode="General">
                        <c:v>-57.808724550898205</c:v>
                      </c:pt>
                      <c:pt idx="49" formatCode="General">
                        <c:v>-58.058065868263469</c:v>
                      </c:pt>
                      <c:pt idx="50" formatCode="General">
                        <c:v>-58.295494382022468</c:v>
                      </c:pt>
                      <c:pt idx="51" formatCode="General">
                        <c:v>-58.531599250936331</c:v>
                      </c:pt>
                      <c:pt idx="52" formatCode="General">
                        <c:v>-58.767704119850187</c:v>
                      </c:pt>
                      <c:pt idx="53" formatCode="General">
                        <c:v>-59.003808988764042</c:v>
                      </c:pt>
                      <c:pt idx="54" formatCode="General">
                        <c:v>-59.239913857677905</c:v>
                      </c:pt>
                      <c:pt idx="55" formatCode="General">
                        <c:v>-59.476018726591761</c:v>
                      </c:pt>
                      <c:pt idx="56" formatCode="General">
                        <c:v>-59.712123595505616</c:v>
                      </c:pt>
                      <c:pt idx="57" formatCode="General">
                        <c:v>-59.948228464419479</c:v>
                      </c:pt>
                      <c:pt idx="58" formatCode="General">
                        <c:v>-60.184333333333335</c:v>
                      </c:pt>
                      <c:pt idx="59" formatCode="General">
                        <c:v>-60.42043820224719</c:v>
                      </c:pt>
                      <c:pt idx="60" formatCode="General">
                        <c:v>-60.656543071161053</c:v>
                      </c:pt>
                      <c:pt idx="61" formatCode="General">
                        <c:v>-60.892647940074909</c:v>
                      </c:pt>
                      <c:pt idx="62" formatCode="General">
                        <c:v>-61.128752808988764</c:v>
                      </c:pt>
                      <c:pt idx="63" formatCode="General">
                        <c:v>-61.364857677902627</c:v>
                      </c:pt>
                      <c:pt idx="64" formatCode="General">
                        <c:v>-61.600962546816483</c:v>
                      </c:pt>
                      <c:pt idx="65" formatCode="General">
                        <c:v>-61.837067415730338</c:v>
                      </c:pt>
                      <c:pt idx="66" formatCode="General">
                        <c:v>-62.070650936329592</c:v>
                      </c:pt>
                      <c:pt idx="67" formatCode="General">
                        <c:v>-62.294890636704125</c:v>
                      </c:pt>
                      <c:pt idx="68" formatCode="General">
                        <c:v>-62.519130337078657</c:v>
                      </c:pt>
                      <c:pt idx="69" formatCode="General">
                        <c:v>-62.74337003745319</c:v>
                      </c:pt>
                      <c:pt idx="70" formatCode="General">
                        <c:v>-62.967609737827722</c:v>
                      </c:pt>
                      <c:pt idx="71" formatCode="General">
                        <c:v>-63.191849438202254</c:v>
                      </c:pt>
                      <c:pt idx="72" formatCode="General">
                        <c:v>-63.41608913857678</c:v>
                      </c:pt>
                      <c:pt idx="73" formatCode="General">
                        <c:v>-63.640328838951312</c:v>
                      </c:pt>
                      <c:pt idx="74" formatCode="General">
                        <c:v>-63.864568539325845</c:v>
                      </c:pt>
                      <c:pt idx="75" formatCode="General">
                        <c:v>-64.088808239700384</c:v>
                      </c:pt>
                      <c:pt idx="76" formatCode="General">
                        <c:v>-64.31304794007491</c:v>
                      </c:pt>
                      <c:pt idx="77" formatCode="General">
                        <c:v>-64.537287640449435</c:v>
                      </c:pt>
                      <c:pt idx="78" formatCode="General">
                        <c:v>-64.761527340823974</c:v>
                      </c:pt>
                      <c:pt idx="79" formatCode="General">
                        <c:v>-64.9857670411985</c:v>
                      </c:pt>
                      <c:pt idx="80" formatCode="General">
                        <c:v>-65.210006741573039</c:v>
                      </c:pt>
                      <c:pt idx="81" formatCode="General">
                        <c:v>-65.434246441947565</c:v>
                      </c:pt>
                      <c:pt idx="82" formatCode="General">
                        <c:v>-65.658486142322104</c:v>
                      </c:pt>
                      <c:pt idx="83" formatCode="General">
                        <c:v>-65.876716216216224</c:v>
                      </c:pt>
                      <c:pt idx="84" formatCode="General">
                        <c:v>-66.089509009009006</c:v>
                      </c:pt>
                      <c:pt idx="85" formatCode="General">
                        <c:v>-66.302301801801804</c:v>
                      </c:pt>
                      <c:pt idx="86" formatCode="General">
                        <c:v>-66.515094594594601</c:v>
                      </c:pt>
                      <c:pt idx="87" formatCode="General">
                        <c:v>-44.975564356435648</c:v>
                      </c:pt>
                      <c:pt idx="88" formatCode="General">
                        <c:v>-45.122099009900992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7-27FC-4A9D-A437-1D0023828BE9}"/>
                  </c:ext>
                </c:extLst>
              </c15:ser>
            </c15:filteredScatterSeries>
            <c15:filteredScatterSeries>
              <c15:ser>
                <c:idx val="35"/>
                <c:order val="37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306</c:v>
                      </c:pt>
                      <c:pt idx="1">
                        <c:v>314</c:v>
                      </c:pt>
                      <c:pt idx="2">
                        <c:v>322</c:v>
                      </c:pt>
                      <c:pt idx="3">
                        <c:v>330</c:v>
                      </c:pt>
                      <c:pt idx="4">
                        <c:v>338</c:v>
                      </c:pt>
                      <c:pt idx="5">
                        <c:v>346</c:v>
                      </c:pt>
                      <c:pt idx="6">
                        <c:v>354</c:v>
                      </c:pt>
                      <c:pt idx="7">
                        <c:v>362</c:v>
                      </c:pt>
                      <c:pt idx="8">
                        <c:v>370</c:v>
                      </c:pt>
                      <c:pt idx="9">
                        <c:v>378</c:v>
                      </c:pt>
                      <c:pt idx="10">
                        <c:v>386</c:v>
                      </c:pt>
                      <c:pt idx="11">
                        <c:v>394</c:v>
                      </c:pt>
                      <c:pt idx="12">
                        <c:v>402</c:v>
                      </c:pt>
                      <c:pt idx="13">
                        <c:v>410</c:v>
                      </c:pt>
                      <c:pt idx="14">
                        <c:v>418</c:v>
                      </c:pt>
                      <c:pt idx="15">
                        <c:v>426</c:v>
                      </c:pt>
                      <c:pt idx="16">
                        <c:v>434</c:v>
                      </c:pt>
                      <c:pt idx="17">
                        <c:v>442</c:v>
                      </c:pt>
                      <c:pt idx="18">
                        <c:v>450</c:v>
                      </c:pt>
                      <c:pt idx="19">
                        <c:v>458</c:v>
                      </c:pt>
                      <c:pt idx="20">
                        <c:v>466</c:v>
                      </c:pt>
                      <c:pt idx="21">
                        <c:v>474</c:v>
                      </c:pt>
                      <c:pt idx="22">
                        <c:v>482</c:v>
                      </c:pt>
                      <c:pt idx="23">
                        <c:v>490</c:v>
                      </c:pt>
                      <c:pt idx="24">
                        <c:v>498</c:v>
                      </c:pt>
                      <c:pt idx="25">
                        <c:v>506</c:v>
                      </c:pt>
                      <c:pt idx="26">
                        <c:v>514</c:v>
                      </c:pt>
                      <c:pt idx="27">
                        <c:v>522</c:v>
                      </c:pt>
                      <c:pt idx="28">
                        <c:v>530</c:v>
                      </c:pt>
                      <c:pt idx="29">
                        <c:v>538</c:v>
                      </c:pt>
                      <c:pt idx="30">
                        <c:v>546</c:v>
                      </c:pt>
                      <c:pt idx="31">
                        <c:v>554</c:v>
                      </c:pt>
                      <c:pt idx="32">
                        <c:v>562</c:v>
                      </c:pt>
                      <c:pt idx="33">
                        <c:v>570</c:v>
                      </c:pt>
                      <c:pt idx="34">
                        <c:v>578</c:v>
                      </c:pt>
                      <c:pt idx="35">
                        <c:v>586</c:v>
                      </c:pt>
                      <c:pt idx="36">
                        <c:v>594</c:v>
                      </c:pt>
                      <c:pt idx="37">
                        <c:v>602</c:v>
                      </c:pt>
                      <c:pt idx="38">
                        <c:v>610</c:v>
                      </c:pt>
                      <c:pt idx="39">
                        <c:v>618</c:v>
                      </c:pt>
                      <c:pt idx="40">
                        <c:v>626</c:v>
                      </c:pt>
                      <c:pt idx="41">
                        <c:v>634</c:v>
                      </c:pt>
                      <c:pt idx="42">
                        <c:v>642</c:v>
                      </c:pt>
                      <c:pt idx="43">
                        <c:v>650</c:v>
                      </c:pt>
                      <c:pt idx="44">
                        <c:v>658</c:v>
                      </c:pt>
                      <c:pt idx="45">
                        <c:v>666</c:v>
                      </c:pt>
                      <c:pt idx="46">
                        <c:v>674</c:v>
                      </c:pt>
                      <c:pt idx="47">
                        <c:v>682</c:v>
                      </c:pt>
                      <c:pt idx="48">
                        <c:v>690</c:v>
                      </c:pt>
                      <c:pt idx="49">
                        <c:v>698</c:v>
                      </c:pt>
                      <c:pt idx="50">
                        <c:v>706</c:v>
                      </c:pt>
                      <c:pt idx="51">
                        <c:v>714</c:v>
                      </c:pt>
                      <c:pt idx="52">
                        <c:v>722</c:v>
                      </c:pt>
                      <c:pt idx="53">
                        <c:v>730</c:v>
                      </c:pt>
                      <c:pt idx="54">
                        <c:v>738</c:v>
                      </c:pt>
                      <c:pt idx="55">
                        <c:v>746</c:v>
                      </c:pt>
                      <c:pt idx="56">
                        <c:v>754</c:v>
                      </c:pt>
                      <c:pt idx="57">
                        <c:v>762</c:v>
                      </c:pt>
                      <c:pt idx="58">
                        <c:v>770</c:v>
                      </c:pt>
                      <c:pt idx="59">
                        <c:v>778</c:v>
                      </c:pt>
                      <c:pt idx="60">
                        <c:v>786</c:v>
                      </c:pt>
                      <c:pt idx="61">
                        <c:v>794</c:v>
                      </c:pt>
                      <c:pt idx="62">
                        <c:v>802</c:v>
                      </c:pt>
                      <c:pt idx="63">
                        <c:v>810</c:v>
                      </c:pt>
                      <c:pt idx="64">
                        <c:v>818</c:v>
                      </c:pt>
                      <c:pt idx="65">
                        <c:v>826</c:v>
                      </c:pt>
                      <c:pt idx="66">
                        <c:v>834</c:v>
                      </c:pt>
                      <c:pt idx="67">
                        <c:v>842</c:v>
                      </c:pt>
                      <c:pt idx="68">
                        <c:v>850</c:v>
                      </c:pt>
                      <c:pt idx="69">
                        <c:v>858</c:v>
                      </c:pt>
                      <c:pt idx="70">
                        <c:v>866</c:v>
                      </c:pt>
                      <c:pt idx="71">
                        <c:v>874</c:v>
                      </c:pt>
                      <c:pt idx="72">
                        <c:v>882</c:v>
                      </c:pt>
                      <c:pt idx="73">
                        <c:v>890</c:v>
                      </c:pt>
                      <c:pt idx="74">
                        <c:v>898</c:v>
                      </c:pt>
                      <c:pt idx="75">
                        <c:v>906</c:v>
                      </c:pt>
                      <c:pt idx="76">
                        <c:v>914</c:v>
                      </c:pt>
                      <c:pt idx="77">
                        <c:v>922</c:v>
                      </c:pt>
                      <c:pt idx="78">
                        <c:v>930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EVALUATION!$B$138:$CP$138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-37.456036036036032</c:v>
                      </c:pt>
                      <c:pt idx="1">
                        <c:v>-36.754534534534535</c:v>
                      </c:pt>
                      <c:pt idx="2">
                        <c:v>-36.053033033033032</c:v>
                      </c:pt>
                      <c:pt idx="3">
                        <c:v>-35.351531531531528</c:v>
                      </c:pt>
                      <c:pt idx="4" formatCode="General">
                        <c:v>-34.77434131736527</c:v>
                      </c:pt>
                      <c:pt idx="5" formatCode="General">
                        <c:v>-34.225838323353294</c:v>
                      </c:pt>
                      <c:pt idx="6" formatCode="General">
                        <c:v>-33.677335329341318</c:v>
                      </c:pt>
                      <c:pt idx="7" formatCode="General">
                        <c:v>-33.128832335329342</c:v>
                      </c:pt>
                      <c:pt idx="8" formatCode="General">
                        <c:v>-32.657592814371256</c:v>
                      </c:pt>
                      <c:pt idx="9" formatCode="General">
                        <c:v>-32.230287425149697</c:v>
                      </c:pt>
                      <c:pt idx="10" formatCode="General">
                        <c:v>-31.802982035928146</c:v>
                      </c:pt>
                      <c:pt idx="11" formatCode="General">
                        <c:v>-31.375676646706587</c:v>
                      </c:pt>
                      <c:pt idx="12" formatCode="General">
                        <c:v>-30.997113772455091</c:v>
                      </c:pt>
                      <c:pt idx="13" formatCode="General">
                        <c:v>-30.675197604790419</c:v>
                      </c:pt>
                      <c:pt idx="14" formatCode="General">
                        <c:v>-30.353281437125748</c:v>
                      </c:pt>
                      <c:pt idx="15" formatCode="General">
                        <c:v>-30.031365269461077</c:v>
                      </c:pt>
                      <c:pt idx="16" formatCode="General">
                        <c:v>-29.749044910179641</c:v>
                      </c:pt>
                      <c:pt idx="17" formatCode="General">
                        <c:v>-29.564853293413172</c:v>
                      </c:pt>
                      <c:pt idx="18" formatCode="General">
                        <c:v>-29.380661676646707</c:v>
                      </c:pt>
                      <c:pt idx="19" formatCode="General">
                        <c:v>-29.196470059880241</c:v>
                      </c:pt>
                      <c:pt idx="20" formatCode="General">
                        <c:v>-29.031194610778446</c:v>
                      </c:pt>
                      <c:pt idx="21" formatCode="General">
                        <c:v>-29.015146706586826</c:v>
                      </c:pt>
                      <c:pt idx="22" formatCode="General">
                        <c:v>-28.99909880239521</c:v>
                      </c:pt>
                      <c:pt idx="23" formatCode="General">
                        <c:v>-28.983050898203594</c:v>
                      </c:pt>
                      <c:pt idx="24" formatCode="General">
                        <c:v>-28.967002994011978</c:v>
                      </c:pt>
                      <c:pt idx="25" formatCode="General">
                        <c:v>-29.170279279279281</c:v>
                      </c:pt>
                      <c:pt idx="26" formatCode="General">
                        <c:v>-29.388177177177177</c:v>
                      </c:pt>
                      <c:pt idx="27" formatCode="General">
                        <c:v>-29.606075075075076</c:v>
                      </c:pt>
                      <c:pt idx="28" formatCode="General">
                        <c:v>-29.823972972972971</c:v>
                      </c:pt>
                      <c:pt idx="29" formatCode="General">
                        <c:v>-29.965814371257483</c:v>
                      </c:pt>
                      <c:pt idx="30" formatCode="General">
                        <c:v>-30.085574850299402</c:v>
                      </c:pt>
                      <c:pt idx="31" formatCode="General">
                        <c:v>-30.205335329341317</c:v>
                      </c:pt>
                      <c:pt idx="32" formatCode="General">
                        <c:v>-30.325095808383235</c:v>
                      </c:pt>
                      <c:pt idx="33" formatCode="General">
                        <c:v>-30.453622754491018</c:v>
                      </c:pt>
                      <c:pt idx="34" formatCode="General">
                        <c:v>-30.587994011976047</c:v>
                      </c:pt>
                      <c:pt idx="35" formatCode="General">
                        <c:v>-30.722365269461079</c:v>
                      </c:pt>
                      <c:pt idx="36" formatCode="General">
                        <c:v>-30.856736526946108</c:v>
                      </c:pt>
                      <c:pt idx="37" formatCode="General">
                        <c:v>-30.990700598802395</c:v>
                      </c:pt>
                      <c:pt idx="38" formatCode="General">
                        <c:v>-31.12411377245509</c:v>
                      </c:pt>
                      <c:pt idx="39" formatCode="General">
                        <c:v>-31.257526946107784</c:v>
                      </c:pt>
                      <c:pt idx="40" formatCode="General">
                        <c:v>-31.390940119760479</c:v>
                      </c:pt>
                      <c:pt idx="41" formatCode="General">
                        <c:v>-31.524592814371257</c:v>
                      </c:pt>
                      <c:pt idx="42" formatCode="General">
                        <c:v>-31.658964071856285</c:v>
                      </c:pt>
                      <c:pt idx="43" formatCode="General">
                        <c:v>-31.793335329341318</c:v>
                      </c:pt>
                      <c:pt idx="44" formatCode="General">
                        <c:v>-31.927706586826346</c:v>
                      </c:pt>
                      <c:pt idx="45" formatCode="General">
                        <c:v>-32.062077844311375</c:v>
                      </c:pt>
                      <c:pt idx="46" formatCode="General">
                        <c:v>-32.196449101796411</c:v>
                      </c:pt>
                      <c:pt idx="47" formatCode="General">
                        <c:v>-32.330820359281439</c:v>
                      </c:pt>
                      <c:pt idx="48" formatCode="General">
                        <c:v>-32.465191616766468</c:v>
                      </c:pt>
                      <c:pt idx="49" formatCode="General">
                        <c:v>-32.599562874251497</c:v>
                      </c:pt>
                      <c:pt idx="50" formatCode="General">
                        <c:v>-32.727876404494381</c:v>
                      </c:pt>
                      <c:pt idx="51" formatCode="General">
                        <c:v>-32.855516853932585</c:v>
                      </c:pt>
                      <c:pt idx="52" formatCode="General">
                        <c:v>-32.983157303370788</c:v>
                      </c:pt>
                      <c:pt idx="53" formatCode="General">
                        <c:v>-33.110797752808992</c:v>
                      </c:pt>
                      <c:pt idx="54" formatCode="General">
                        <c:v>-33.238438202247195</c:v>
                      </c:pt>
                      <c:pt idx="55" formatCode="General">
                        <c:v>-33.366078651685392</c:v>
                      </c:pt>
                      <c:pt idx="56" formatCode="General">
                        <c:v>-33.493719101123595</c:v>
                      </c:pt>
                      <c:pt idx="57" formatCode="General">
                        <c:v>-33.621359550561799</c:v>
                      </c:pt>
                      <c:pt idx="58" formatCode="General">
                        <c:v>-33.749000000000002</c:v>
                      </c:pt>
                      <c:pt idx="59" formatCode="General">
                        <c:v>-33.876640449438206</c:v>
                      </c:pt>
                      <c:pt idx="60" formatCode="General">
                        <c:v>-34.004280898876409</c:v>
                      </c:pt>
                      <c:pt idx="61" formatCode="General">
                        <c:v>-34.131921348314606</c:v>
                      </c:pt>
                      <c:pt idx="62" formatCode="General">
                        <c:v>-34.259561797752809</c:v>
                      </c:pt>
                      <c:pt idx="63" formatCode="General">
                        <c:v>-34.387202247191013</c:v>
                      </c:pt>
                      <c:pt idx="64" formatCode="General">
                        <c:v>-34.514842696629216</c:v>
                      </c:pt>
                      <c:pt idx="65" formatCode="General">
                        <c:v>-34.64248314606742</c:v>
                      </c:pt>
                      <c:pt idx="66" formatCode="General">
                        <c:v>-34.768748314606746</c:v>
                      </c:pt>
                      <c:pt idx="67" formatCode="General">
                        <c:v>-34.88991685393259</c:v>
                      </c:pt>
                      <c:pt idx="68" formatCode="General">
                        <c:v>-35.011085393258426</c:v>
                      </c:pt>
                      <c:pt idx="69" formatCode="General">
                        <c:v>-35.13225393258427</c:v>
                      </c:pt>
                      <c:pt idx="70" formatCode="General">
                        <c:v>-35.253422471910113</c:v>
                      </c:pt>
                      <c:pt idx="71" formatCode="General">
                        <c:v>-35.374591011235957</c:v>
                      </c:pt>
                      <c:pt idx="72" formatCode="General">
                        <c:v>-35.4957595505618</c:v>
                      </c:pt>
                      <c:pt idx="73" formatCode="General">
                        <c:v>-35.616928089887644</c:v>
                      </c:pt>
                      <c:pt idx="74" formatCode="General">
                        <c:v>-35.738096629213487</c:v>
                      </c:pt>
                      <c:pt idx="75" formatCode="General">
                        <c:v>-35.859265168539331</c:v>
                      </c:pt>
                      <c:pt idx="76" formatCode="General">
                        <c:v>-35.980433707865167</c:v>
                      </c:pt>
                      <c:pt idx="77" formatCode="General">
                        <c:v>-36.101602247191011</c:v>
                      </c:pt>
                      <c:pt idx="78" formatCode="General">
                        <c:v>-36.222770786516854</c:v>
                      </c:pt>
                      <c:pt idx="79" formatCode="General">
                        <c:v>-36.343939325842697</c:v>
                      </c:pt>
                      <c:pt idx="80" formatCode="General">
                        <c:v>-36.465107865168541</c:v>
                      </c:pt>
                      <c:pt idx="81" formatCode="General">
                        <c:v>-36.586276404494384</c:v>
                      </c:pt>
                      <c:pt idx="82" formatCode="General">
                        <c:v>-36.707444943820228</c:v>
                      </c:pt>
                      <c:pt idx="83" formatCode="General">
                        <c:v>-36.825319819819818</c:v>
                      </c:pt>
                      <c:pt idx="84" formatCode="General">
                        <c:v>-36.940214714714713</c:v>
                      </c:pt>
                      <c:pt idx="85" formatCode="General">
                        <c:v>-37.055109609609609</c:v>
                      </c:pt>
                      <c:pt idx="86" formatCode="General">
                        <c:v>-37.170004504504504</c:v>
                      </c:pt>
                      <c:pt idx="87" formatCode="General">
                        <c:v>-8.1209504950495059</c:v>
                      </c:pt>
                      <c:pt idx="88" formatCode="General">
                        <c:v>-8.1466930693069308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8-27FC-4A9D-A437-1D0023828BE9}"/>
                  </c:ext>
                </c:extLst>
              </c15:ser>
            </c15:filteredScatterSeries>
            <c15:filteredScatterSeries>
              <c15:ser>
                <c:idx val="36"/>
                <c:order val="38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306</c:v>
                      </c:pt>
                      <c:pt idx="1">
                        <c:v>314</c:v>
                      </c:pt>
                      <c:pt idx="2">
                        <c:v>322</c:v>
                      </c:pt>
                      <c:pt idx="3">
                        <c:v>330</c:v>
                      </c:pt>
                      <c:pt idx="4">
                        <c:v>338</c:v>
                      </c:pt>
                      <c:pt idx="5">
                        <c:v>346</c:v>
                      </c:pt>
                      <c:pt idx="6">
                        <c:v>354</c:v>
                      </c:pt>
                      <c:pt idx="7">
                        <c:v>362</c:v>
                      </c:pt>
                      <c:pt idx="8">
                        <c:v>370</c:v>
                      </c:pt>
                      <c:pt idx="9">
                        <c:v>378</c:v>
                      </c:pt>
                      <c:pt idx="10">
                        <c:v>386</c:v>
                      </c:pt>
                      <c:pt idx="11">
                        <c:v>394</c:v>
                      </c:pt>
                      <c:pt idx="12">
                        <c:v>402</c:v>
                      </c:pt>
                      <c:pt idx="13">
                        <c:v>410</c:v>
                      </c:pt>
                      <c:pt idx="14">
                        <c:v>418</c:v>
                      </c:pt>
                      <c:pt idx="15">
                        <c:v>426</c:v>
                      </c:pt>
                      <c:pt idx="16">
                        <c:v>434</c:v>
                      </c:pt>
                      <c:pt idx="17">
                        <c:v>442</c:v>
                      </c:pt>
                      <c:pt idx="18">
                        <c:v>450</c:v>
                      </c:pt>
                      <c:pt idx="19">
                        <c:v>458</c:v>
                      </c:pt>
                      <c:pt idx="20">
                        <c:v>466</c:v>
                      </c:pt>
                      <c:pt idx="21">
                        <c:v>474</c:v>
                      </c:pt>
                      <c:pt idx="22">
                        <c:v>482</c:v>
                      </c:pt>
                      <c:pt idx="23">
                        <c:v>490</c:v>
                      </c:pt>
                      <c:pt idx="24">
                        <c:v>498</c:v>
                      </c:pt>
                      <c:pt idx="25">
                        <c:v>506</c:v>
                      </c:pt>
                      <c:pt idx="26">
                        <c:v>514</c:v>
                      </c:pt>
                      <c:pt idx="27">
                        <c:v>522</c:v>
                      </c:pt>
                      <c:pt idx="28">
                        <c:v>530</c:v>
                      </c:pt>
                      <c:pt idx="29">
                        <c:v>538</c:v>
                      </c:pt>
                      <c:pt idx="30">
                        <c:v>546</c:v>
                      </c:pt>
                      <c:pt idx="31">
                        <c:v>554</c:v>
                      </c:pt>
                      <c:pt idx="32">
                        <c:v>562</c:v>
                      </c:pt>
                      <c:pt idx="33">
                        <c:v>570</c:v>
                      </c:pt>
                      <c:pt idx="34">
                        <c:v>578</c:v>
                      </c:pt>
                      <c:pt idx="35">
                        <c:v>586</c:v>
                      </c:pt>
                      <c:pt idx="36">
                        <c:v>594</c:v>
                      </c:pt>
                      <c:pt idx="37">
                        <c:v>602</c:v>
                      </c:pt>
                      <c:pt idx="38">
                        <c:v>610</c:v>
                      </c:pt>
                      <c:pt idx="39">
                        <c:v>618</c:v>
                      </c:pt>
                      <c:pt idx="40">
                        <c:v>626</c:v>
                      </c:pt>
                      <c:pt idx="41">
                        <c:v>634</c:v>
                      </c:pt>
                      <c:pt idx="42">
                        <c:v>642</c:v>
                      </c:pt>
                      <c:pt idx="43">
                        <c:v>650</c:v>
                      </c:pt>
                      <c:pt idx="44">
                        <c:v>658</c:v>
                      </c:pt>
                      <c:pt idx="45">
                        <c:v>666</c:v>
                      </c:pt>
                      <c:pt idx="46">
                        <c:v>674</c:v>
                      </c:pt>
                      <c:pt idx="47">
                        <c:v>682</c:v>
                      </c:pt>
                      <c:pt idx="48">
                        <c:v>690</c:v>
                      </c:pt>
                      <c:pt idx="49">
                        <c:v>698</c:v>
                      </c:pt>
                      <c:pt idx="50">
                        <c:v>706</c:v>
                      </c:pt>
                      <c:pt idx="51">
                        <c:v>714</c:v>
                      </c:pt>
                      <c:pt idx="52">
                        <c:v>722</c:v>
                      </c:pt>
                      <c:pt idx="53">
                        <c:v>730</c:v>
                      </c:pt>
                      <c:pt idx="54">
                        <c:v>738</c:v>
                      </c:pt>
                      <c:pt idx="55">
                        <c:v>746</c:v>
                      </c:pt>
                      <c:pt idx="56">
                        <c:v>754</c:v>
                      </c:pt>
                      <c:pt idx="57">
                        <c:v>762</c:v>
                      </c:pt>
                      <c:pt idx="58">
                        <c:v>770</c:v>
                      </c:pt>
                      <c:pt idx="59">
                        <c:v>778</c:v>
                      </c:pt>
                      <c:pt idx="60">
                        <c:v>786</c:v>
                      </c:pt>
                      <c:pt idx="61">
                        <c:v>794</c:v>
                      </c:pt>
                      <c:pt idx="62">
                        <c:v>802</c:v>
                      </c:pt>
                      <c:pt idx="63">
                        <c:v>810</c:v>
                      </c:pt>
                      <c:pt idx="64">
                        <c:v>818</c:v>
                      </c:pt>
                      <c:pt idx="65">
                        <c:v>826</c:v>
                      </c:pt>
                      <c:pt idx="66">
                        <c:v>834</c:v>
                      </c:pt>
                      <c:pt idx="67">
                        <c:v>842</c:v>
                      </c:pt>
                      <c:pt idx="68">
                        <c:v>850</c:v>
                      </c:pt>
                      <c:pt idx="69">
                        <c:v>858</c:v>
                      </c:pt>
                      <c:pt idx="70">
                        <c:v>866</c:v>
                      </c:pt>
                      <c:pt idx="71">
                        <c:v>874</c:v>
                      </c:pt>
                      <c:pt idx="72">
                        <c:v>882</c:v>
                      </c:pt>
                      <c:pt idx="73">
                        <c:v>890</c:v>
                      </c:pt>
                      <c:pt idx="74">
                        <c:v>898</c:v>
                      </c:pt>
                      <c:pt idx="75">
                        <c:v>906</c:v>
                      </c:pt>
                      <c:pt idx="76">
                        <c:v>914</c:v>
                      </c:pt>
                      <c:pt idx="77">
                        <c:v>922</c:v>
                      </c:pt>
                      <c:pt idx="78">
                        <c:v>930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EVALUATION!$B$139:$CP$139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-184.14450450450451</c:v>
                      </c:pt>
                      <c:pt idx="1">
                        <c:v>-180.19015015015015</c:v>
                      </c:pt>
                      <c:pt idx="2">
                        <c:v>-176.23579579579581</c:v>
                      </c:pt>
                      <c:pt idx="3">
                        <c:v>-172.28144144144147</c:v>
                      </c:pt>
                      <c:pt idx="4" formatCode="General">
                        <c:v>-168.94194610778445</c:v>
                      </c:pt>
                      <c:pt idx="5" formatCode="General">
                        <c:v>-165.74434131736527</c:v>
                      </c:pt>
                      <c:pt idx="6" formatCode="General">
                        <c:v>-162.54673652694612</c:v>
                      </c:pt>
                      <c:pt idx="7" formatCode="General">
                        <c:v>-159.34913173652694</c:v>
                      </c:pt>
                      <c:pt idx="8" formatCode="General">
                        <c:v>-156.51188622754489</c:v>
                      </c:pt>
                      <c:pt idx="9" formatCode="General">
                        <c:v>-153.87955089820358</c:v>
                      </c:pt>
                      <c:pt idx="10" formatCode="General">
                        <c:v>-151.24721556886226</c:v>
                      </c:pt>
                      <c:pt idx="11" formatCode="General">
                        <c:v>-148.61488023952094</c:v>
                      </c:pt>
                      <c:pt idx="12" formatCode="General">
                        <c:v>-146.17973053892214</c:v>
                      </c:pt>
                      <c:pt idx="13" formatCode="General">
                        <c:v>-143.97374251497007</c:v>
                      </c:pt>
                      <c:pt idx="14" formatCode="General">
                        <c:v>-141.76775449101797</c:v>
                      </c:pt>
                      <c:pt idx="15" formatCode="General">
                        <c:v>-139.56176646706587</c:v>
                      </c:pt>
                      <c:pt idx="16" formatCode="General">
                        <c:v>-137.45494011976049</c:v>
                      </c:pt>
                      <c:pt idx="17" formatCode="General">
                        <c:v>-135.59386227544911</c:v>
                      </c:pt>
                      <c:pt idx="18" formatCode="General">
                        <c:v>-133.73278443113773</c:v>
                      </c:pt>
                      <c:pt idx="19" formatCode="General">
                        <c:v>-131.87170658682635</c:v>
                      </c:pt>
                      <c:pt idx="20" formatCode="General">
                        <c:v>-130.04404191616766</c:v>
                      </c:pt>
                      <c:pt idx="21" formatCode="General">
                        <c:v>-128.47997005988023</c:v>
                      </c:pt>
                      <c:pt idx="22" formatCode="General">
                        <c:v>-126.91589820359282</c:v>
                      </c:pt>
                      <c:pt idx="23" formatCode="General">
                        <c:v>-125.35182634730539</c:v>
                      </c:pt>
                      <c:pt idx="24" formatCode="General">
                        <c:v>-123.78775449101796</c:v>
                      </c:pt>
                      <c:pt idx="25" formatCode="General">
                        <c:v>-123.46702702702703</c:v>
                      </c:pt>
                      <c:pt idx="26" formatCode="General">
                        <c:v>-123.22918918918919</c:v>
                      </c:pt>
                      <c:pt idx="27" formatCode="General">
                        <c:v>-122.99135135135135</c:v>
                      </c:pt>
                      <c:pt idx="28" formatCode="General">
                        <c:v>-122.75351351351351</c:v>
                      </c:pt>
                      <c:pt idx="29" formatCode="General">
                        <c:v>-123.46293413173653</c:v>
                      </c:pt>
                      <c:pt idx="30" formatCode="General">
                        <c:v>-124.44736526946109</c:v>
                      </c:pt>
                      <c:pt idx="31" formatCode="General">
                        <c:v>-125.43179640718563</c:v>
                      </c:pt>
                      <c:pt idx="32" formatCode="General">
                        <c:v>-126.41622754491017</c:v>
                      </c:pt>
                      <c:pt idx="33" formatCode="General">
                        <c:v>-127.39922155688622</c:v>
                      </c:pt>
                      <c:pt idx="34" formatCode="General">
                        <c:v>-128.38125748502995</c:v>
                      </c:pt>
                      <c:pt idx="35" formatCode="General">
                        <c:v>-129.36329341317364</c:v>
                      </c:pt>
                      <c:pt idx="36" formatCode="General">
                        <c:v>-130.34532934131735</c:v>
                      </c:pt>
                      <c:pt idx="37" formatCode="General">
                        <c:v>-131.31718562874252</c:v>
                      </c:pt>
                      <c:pt idx="38" formatCode="General">
                        <c:v>-132.27526946107784</c:v>
                      </c:pt>
                      <c:pt idx="39" formatCode="General">
                        <c:v>-133.23335329341316</c:v>
                      </c:pt>
                      <c:pt idx="40" formatCode="General">
                        <c:v>-134.19143712574851</c:v>
                      </c:pt>
                      <c:pt idx="41" formatCode="General">
                        <c:v>-135.14592814371258</c:v>
                      </c:pt>
                      <c:pt idx="42" formatCode="General">
                        <c:v>-136.08964071856286</c:v>
                      </c:pt>
                      <c:pt idx="43" formatCode="General">
                        <c:v>-137.03335329341317</c:v>
                      </c:pt>
                      <c:pt idx="44" formatCode="General">
                        <c:v>-137.97706586826348</c:v>
                      </c:pt>
                      <c:pt idx="45" formatCode="General">
                        <c:v>-138.91970059880239</c:v>
                      </c:pt>
                      <c:pt idx="46" formatCode="General">
                        <c:v>-139.84904191616766</c:v>
                      </c:pt>
                      <c:pt idx="47" formatCode="General">
                        <c:v>-140.77838323353294</c:v>
                      </c:pt>
                      <c:pt idx="48" formatCode="General">
                        <c:v>-141.70772455089821</c:v>
                      </c:pt>
                      <c:pt idx="49" formatCode="General">
                        <c:v>-142.63706586826348</c:v>
                      </c:pt>
                      <c:pt idx="50" formatCode="General">
                        <c:v>-143.50932584269663</c:v>
                      </c:pt>
                      <c:pt idx="51" formatCode="General">
                        <c:v>-144.37524344569289</c:v>
                      </c:pt>
                      <c:pt idx="52" formatCode="General">
                        <c:v>-145.24116104868915</c:v>
                      </c:pt>
                      <c:pt idx="53" formatCode="General">
                        <c:v>-146.10707865168538</c:v>
                      </c:pt>
                      <c:pt idx="54" formatCode="General">
                        <c:v>-146.97299625468165</c:v>
                      </c:pt>
                      <c:pt idx="55" formatCode="General">
                        <c:v>-147.83891385767791</c:v>
                      </c:pt>
                      <c:pt idx="56" formatCode="General">
                        <c:v>-148.70483146067417</c:v>
                      </c:pt>
                      <c:pt idx="57" formatCode="General">
                        <c:v>-149.57074906367041</c:v>
                      </c:pt>
                      <c:pt idx="58" formatCode="General">
                        <c:v>-150.43666666666667</c:v>
                      </c:pt>
                      <c:pt idx="59" formatCode="General">
                        <c:v>-151.30258426966293</c:v>
                      </c:pt>
                      <c:pt idx="60" formatCode="General">
                        <c:v>-152.16850187265919</c:v>
                      </c:pt>
                      <c:pt idx="61" formatCode="General">
                        <c:v>-153.03441947565543</c:v>
                      </c:pt>
                      <c:pt idx="62" formatCode="General">
                        <c:v>-153.90033707865169</c:v>
                      </c:pt>
                      <c:pt idx="63" formatCode="General">
                        <c:v>-154.76625468164795</c:v>
                      </c:pt>
                      <c:pt idx="64" formatCode="General">
                        <c:v>-155.63217228464421</c:v>
                      </c:pt>
                      <c:pt idx="65" formatCode="General">
                        <c:v>-156.49808988764045</c:v>
                      </c:pt>
                      <c:pt idx="66" formatCode="General">
                        <c:v>-157.34146816479401</c:v>
                      </c:pt>
                      <c:pt idx="67" formatCode="General">
                        <c:v>-158.10131835205993</c:v>
                      </c:pt>
                      <c:pt idx="68" formatCode="General">
                        <c:v>-158.86116853932586</c:v>
                      </c:pt>
                      <c:pt idx="69" formatCode="General">
                        <c:v>-159.62101872659179</c:v>
                      </c:pt>
                      <c:pt idx="70" formatCode="General">
                        <c:v>-160.38086891385768</c:v>
                      </c:pt>
                      <c:pt idx="71" formatCode="General">
                        <c:v>-161.14071910112361</c:v>
                      </c:pt>
                      <c:pt idx="72" formatCode="General">
                        <c:v>-161.90056928838953</c:v>
                      </c:pt>
                      <c:pt idx="73" formatCode="General">
                        <c:v>-162.66041947565543</c:v>
                      </c:pt>
                      <c:pt idx="74" formatCode="General">
                        <c:v>-163.42026966292136</c:v>
                      </c:pt>
                      <c:pt idx="75" formatCode="General">
                        <c:v>-164.18011985018728</c:v>
                      </c:pt>
                      <c:pt idx="76" formatCode="General">
                        <c:v>-164.93997003745321</c:v>
                      </c:pt>
                      <c:pt idx="77" formatCode="General">
                        <c:v>-165.6998202247191</c:v>
                      </c:pt>
                      <c:pt idx="78" formatCode="General">
                        <c:v>-166.45967041198503</c:v>
                      </c:pt>
                      <c:pt idx="79" formatCode="General">
                        <c:v>-167.21952059925096</c:v>
                      </c:pt>
                      <c:pt idx="80" formatCode="General">
                        <c:v>-167.97937078651688</c:v>
                      </c:pt>
                      <c:pt idx="81" formatCode="General">
                        <c:v>-168.73922097378278</c:v>
                      </c:pt>
                      <c:pt idx="82" formatCode="General">
                        <c:v>-169.4990711610487</c:v>
                      </c:pt>
                      <c:pt idx="83" formatCode="General">
                        <c:v>-170.1970720720721</c:v>
                      </c:pt>
                      <c:pt idx="84" formatCode="General">
                        <c:v>-170.83911411411412</c:v>
                      </c:pt>
                      <c:pt idx="85" formatCode="General">
                        <c:v>-171.48115615615617</c:v>
                      </c:pt>
                      <c:pt idx="86" formatCode="General">
                        <c:v>-172.12319819819822</c:v>
                      </c:pt>
                      <c:pt idx="87" formatCode="General">
                        <c:v>-19.85920792079208</c:v>
                      </c:pt>
                      <c:pt idx="88" formatCode="General">
                        <c:v>-19.871089108910891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9-27FC-4A9D-A437-1D0023828BE9}"/>
                  </c:ext>
                </c:extLst>
              </c15:ser>
            </c15:filteredScatterSeries>
            <c15:filteredScatterSeries>
              <c15:ser>
                <c:idx val="37"/>
                <c:order val="39"/>
                <c:spPr>
                  <a:ln>
                    <a:solidFill>
                      <a:srgbClr val="FFC000"/>
                    </a:solidFill>
                    <a:prstDash val="sysDash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306</c:v>
                      </c:pt>
                      <c:pt idx="1">
                        <c:v>314</c:v>
                      </c:pt>
                      <c:pt idx="2">
                        <c:v>322</c:v>
                      </c:pt>
                      <c:pt idx="3">
                        <c:v>330</c:v>
                      </c:pt>
                      <c:pt idx="4">
                        <c:v>338</c:v>
                      </c:pt>
                      <c:pt idx="5">
                        <c:v>346</c:v>
                      </c:pt>
                      <c:pt idx="6">
                        <c:v>354</c:v>
                      </c:pt>
                      <c:pt idx="7">
                        <c:v>362</c:v>
                      </c:pt>
                      <c:pt idx="8">
                        <c:v>370</c:v>
                      </c:pt>
                      <c:pt idx="9">
                        <c:v>378</c:v>
                      </c:pt>
                      <c:pt idx="10">
                        <c:v>386</c:v>
                      </c:pt>
                      <c:pt idx="11">
                        <c:v>394</c:v>
                      </c:pt>
                      <c:pt idx="12">
                        <c:v>402</c:v>
                      </c:pt>
                      <c:pt idx="13">
                        <c:v>410</c:v>
                      </c:pt>
                      <c:pt idx="14">
                        <c:v>418</c:v>
                      </c:pt>
                      <c:pt idx="15">
                        <c:v>426</c:v>
                      </c:pt>
                      <c:pt idx="16">
                        <c:v>434</c:v>
                      </c:pt>
                      <c:pt idx="17">
                        <c:v>442</c:v>
                      </c:pt>
                      <c:pt idx="18">
                        <c:v>450</c:v>
                      </c:pt>
                      <c:pt idx="19">
                        <c:v>458</c:v>
                      </c:pt>
                      <c:pt idx="20">
                        <c:v>466</c:v>
                      </c:pt>
                      <c:pt idx="21">
                        <c:v>474</c:v>
                      </c:pt>
                      <c:pt idx="22">
                        <c:v>482</c:v>
                      </c:pt>
                      <c:pt idx="23">
                        <c:v>490</c:v>
                      </c:pt>
                      <c:pt idx="24">
                        <c:v>498</c:v>
                      </c:pt>
                      <c:pt idx="25">
                        <c:v>506</c:v>
                      </c:pt>
                      <c:pt idx="26">
                        <c:v>514</c:v>
                      </c:pt>
                      <c:pt idx="27">
                        <c:v>522</c:v>
                      </c:pt>
                      <c:pt idx="28">
                        <c:v>530</c:v>
                      </c:pt>
                      <c:pt idx="29">
                        <c:v>538</c:v>
                      </c:pt>
                      <c:pt idx="30">
                        <c:v>546</c:v>
                      </c:pt>
                      <c:pt idx="31">
                        <c:v>554</c:v>
                      </c:pt>
                      <c:pt idx="32">
                        <c:v>562</c:v>
                      </c:pt>
                      <c:pt idx="33">
                        <c:v>570</c:v>
                      </c:pt>
                      <c:pt idx="34">
                        <c:v>578</c:v>
                      </c:pt>
                      <c:pt idx="35">
                        <c:v>586</c:v>
                      </c:pt>
                      <c:pt idx="36">
                        <c:v>594</c:v>
                      </c:pt>
                      <c:pt idx="37">
                        <c:v>602</c:v>
                      </c:pt>
                      <c:pt idx="38">
                        <c:v>610</c:v>
                      </c:pt>
                      <c:pt idx="39">
                        <c:v>618</c:v>
                      </c:pt>
                      <c:pt idx="40">
                        <c:v>626</c:v>
                      </c:pt>
                      <c:pt idx="41">
                        <c:v>634</c:v>
                      </c:pt>
                      <c:pt idx="42">
                        <c:v>642</c:v>
                      </c:pt>
                      <c:pt idx="43">
                        <c:v>650</c:v>
                      </c:pt>
                      <c:pt idx="44">
                        <c:v>658</c:v>
                      </c:pt>
                      <c:pt idx="45">
                        <c:v>666</c:v>
                      </c:pt>
                      <c:pt idx="46">
                        <c:v>674</c:v>
                      </c:pt>
                      <c:pt idx="47">
                        <c:v>682</c:v>
                      </c:pt>
                      <c:pt idx="48">
                        <c:v>690</c:v>
                      </c:pt>
                      <c:pt idx="49">
                        <c:v>698</c:v>
                      </c:pt>
                      <c:pt idx="50">
                        <c:v>706</c:v>
                      </c:pt>
                      <c:pt idx="51">
                        <c:v>714</c:v>
                      </c:pt>
                      <c:pt idx="52">
                        <c:v>722</c:v>
                      </c:pt>
                      <c:pt idx="53">
                        <c:v>730</c:v>
                      </c:pt>
                      <c:pt idx="54">
                        <c:v>738</c:v>
                      </c:pt>
                      <c:pt idx="55">
                        <c:v>746</c:v>
                      </c:pt>
                      <c:pt idx="56">
                        <c:v>754</c:v>
                      </c:pt>
                      <c:pt idx="57">
                        <c:v>762</c:v>
                      </c:pt>
                      <c:pt idx="58">
                        <c:v>770</c:v>
                      </c:pt>
                      <c:pt idx="59">
                        <c:v>778</c:v>
                      </c:pt>
                      <c:pt idx="60">
                        <c:v>786</c:v>
                      </c:pt>
                      <c:pt idx="61">
                        <c:v>794</c:v>
                      </c:pt>
                      <c:pt idx="62">
                        <c:v>802</c:v>
                      </c:pt>
                      <c:pt idx="63">
                        <c:v>810</c:v>
                      </c:pt>
                      <c:pt idx="64">
                        <c:v>818</c:v>
                      </c:pt>
                      <c:pt idx="65">
                        <c:v>826</c:v>
                      </c:pt>
                      <c:pt idx="66">
                        <c:v>834</c:v>
                      </c:pt>
                      <c:pt idx="67">
                        <c:v>842</c:v>
                      </c:pt>
                      <c:pt idx="68">
                        <c:v>850</c:v>
                      </c:pt>
                      <c:pt idx="69">
                        <c:v>858</c:v>
                      </c:pt>
                      <c:pt idx="70">
                        <c:v>866</c:v>
                      </c:pt>
                      <c:pt idx="71">
                        <c:v>874</c:v>
                      </c:pt>
                      <c:pt idx="72">
                        <c:v>882</c:v>
                      </c:pt>
                      <c:pt idx="73">
                        <c:v>890</c:v>
                      </c:pt>
                      <c:pt idx="74">
                        <c:v>898</c:v>
                      </c:pt>
                      <c:pt idx="75">
                        <c:v>906</c:v>
                      </c:pt>
                      <c:pt idx="76">
                        <c:v>914</c:v>
                      </c:pt>
                      <c:pt idx="77">
                        <c:v>922</c:v>
                      </c:pt>
                      <c:pt idx="78">
                        <c:v>930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EVALUATION!$B$140:$CP$140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-15.512792792792792</c:v>
                      </c:pt>
                      <c:pt idx="1">
                        <c:v>-15.013093093093092</c:v>
                      </c:pt>
                      <c:pt idx="2">
                        <c:v>-14.513393393393393</c:v>
                      </c:pt>
                      <c:pt idx="3">
                        <c:v>-14.013693693693693</c:v>
                      </c:pt>
                      <c:pt idx="4" formatCode="General">
                        <c:v>-13.456826347305389</c:v>
                      </c:pt>
                      <c:pt idx="5" formatCode="General">
                        <c:v>-12.886766467065867</c:v>
                      </c:pt>
                      <c:pt idx="6" formatCode="General">
                        <c:v>-12.316706586826346</c:v>
                      </c:pt>
                      <c:pt idx="7" formatCode="General">
                        <c:v>-11.746646706586823</c:v>
                      </c:pt>
                      <c:pt idx="8" formatCode="General">
                        <c:v>-11.204988023952094</c:v>
                      </c:pt>
                      <c:pt idx="9" formatCode="General">
                        <c:v>-10.679479041916167</c:v>
                      </c:pt>
                      <c:pt idx="10" formatCode="General">
                        <c:v>-10.153970059880239</c:v>
                      </c:pt>
                      <c:pt idx="11" formatCode="General">
                        <c:v>-9.628461077844312</c:v>
                      </c:pt>
                      <c:pt idx="12" formatCode="General">
                        <c:v>-9.1539101796407198</c:v>
                      </c:pt>
                      <c:pt idx="13" formatCode="General">
                        <c:v>-8.7385808383233528</c:v>
                      </c:pt>
                      <c:pt idx="14" formatCode="General">
                        <c:v>-8.3232514970059874</c:v>
                      </c:pt>
                      <c:pt idx="15" formatCode="General">
                        <c:v>-7.9079221556886221</c:v>
                      </c:pt>
                      <c:pt idx="16" formatCode="General">
                        <c:v>-7.5390748502994009</c:v>
                      </c:pt>
                      <c:pt idx="17" formatCode="General">
                        <c:v>-7.2854221556886225</c:v>
                      </c:pt>
                      <c:pt idx="18" formatCode="General">
                        <c:v>-7.031769461077845</c:v>
                      </c:pt>
                      <c:pt idx="19" formatCode="General">
                        <c:v>-6.7781167664670665</c:v>
                      </c:pt>
                      <c:pt idx="20" formatCode="General">
                        <c:v>-6.5428413173652693</c:v>
                      </c:pt>
                      <c:pt idx="21" formatCode="General">
                        <c:v>-6.4525419161676645</c:v>
                      </c:pt>
                      <c:pt idx="22" formatCode="General">
                        <c:v>-6.3622425149700597</c:v>
                      </c:pt>
                      <c:pt idx="23" formatCode="General">
                        <c:v>-6.2719431137724548</c:v>
                      </c:pt>
                      <c:pt idx="24" formatCode="General">
                        <c:v>-6.18164371257485</c:v>
                      </c:pt>
                      <c:pt idx="25" formatCode="General">
                        <c:v>-6.3239729729729737</c:v>
                      </c:pt>
                      <c:pt idx="26" formatCode="General">
                        <c:v>-6.4818108108108117</c:v>
                      </c:pt>
                      <c:pt idx="27" formatCode="General">
                        <c:v>-6.6396486486486497</c:v>
                      </c:pt>
                      <c:pt idx="28" formatCode="General">
                        <c:v>-6.7974864864864877</c:v>
                      </c:pt>
                      <c:pt idx="29" formatCode="General">
                        <c:v>-6.8348562874251497</c:v>
                      </c:pt>
                      <c:pt idx="30" formatCode="General">
                        <c:v>-6.8372514970059886</c:v>
                      </c:pt>
                      <c:pt idx="31" formatCode="General">
                        <c:v>-6.8396467065868265</c:v>
                      </c:pt>
                      <c:pt idx="32" formatCode="General">
                        <c:v>-6.8420419161676644</c:v>
                      </c:pt>
                      <c:pt idx="33" formatCode="General">
                        <c:v>-6.8517664670658682</c:v>
                      </c:pt>
                      <c:pt idx="34" formatCode="General">
                        <c:v>-6.866377245508982</c:v>
                      </c:pt>
                      <c:pt idx="35" formatCode="General">
                        <c:v>-6.8809880239520957</c:v>
                      </c:pt>
                      <c:pt idx="36" formatCode="General">
                        <c:v>-6.8955988023952095</c:v>
                      </c:pt>
                      <c:pt idx="37" formatCode="General">
                        <c:v>-6.911838323353293</c:v>
                      </c:pt>
                      <c:pt idx="38" formatCode="General">
                        <c:v>-6.930281437125748</c:v>
                      </c:pt>
                      <c:pt idx="39" formatCode="General">
                        <c:v>-6.9487245508982038</c:v>
                      </c:pt>
                      <c:pt idx="40" formatCode="General">
                        <c:v>-6.9671676646706588</c:v>
                      </c:pt>
                      <c:pt idx="41" formatCode="General">
                        <c:v>-6.9858502994011973</c:v>
                      </c:pt>
                      <c:pt idx="42" formatCode="General">
                        <c:v>-7.0052514970059878</c:v>
                      </c:pt>
                      <c:pt idx="43" formatCode="General">
                        <c:v>-7.0246526946107783</c:v>
                      </c:pt>
                      <c:pt idx="44" formatCode="General">
                        <c:v>-7.0440538922155689</c:v>
                      </c:pt>
                      <c:pt idx="45" formatCode="General">
                        <c:v>-7.0634550898203594</c:v>
                      </c:pt>
                      <c:pt idx="46" formatCode="General">
                        <c:v>-7.0828562874251499</c:v>
                      </c:pt>
                      <c:pt idx="47" formatCode="General">
                        <c:v>-7.1022574850299405</c:v>
                      </c:pt>
                      <c:pt idx="48" formatCode="General">
                        <c:v>-7.1216586826347301</c:v>
                      </c:pt>
                      <c:pt idx="49" formatCode="General">
                        <c:v>-7.1410598802395207</c:v>
                      </c:pt>
                      <c:pt idx="50" formatCode="General">
                        <c:v>-7.1602584269662923</c:v>
                      </c:pt>
                      <c:pt idx="51" formatCode="General">
                        <c:v>-7.1794344569288393</c:v>
                      </c:pt>
                      <c:pt idx="52" formatCode="General">
                        <c:v>-7.1986104868913854</c:v>
                      </c:pt>
                      <c:pt idx="53" formatCode="General">
                        <c:v>-7.2177865168539324</c:v>
                      </c:pt>
                      <c:pt idx="54" formatCode="General">
                        <c:v>-7.2369625468164793</c:v>
                      </c:pt>
                      <c:pt idx="55" formatCode="General">
                        <c:v>-7.2561385767790263</c:v>
                      </c:pt>
                      <c:pt idx="56" formatCode="General">
                        <c:v>-7.2753146067415733</c:v>
                      </c:pt>
                      <c:pt idx="57" formatCode="General">
                        <c:v>-7.2944906367041202</c:v>
                      </c:pt>
                      <c:pt idx="58" formatCode="General">
                        <c:v>-7.3136666666666663</c:v>
                      </c:pt>
                      <c:pt idx="59" formatCode="General">
                        <c:v>-7.3328426966292133</c:v>
                      </c:pt>
                      <c:pt idx="60" formatCode="General">
                        <c:v>-7.3520187265917603</c:v>
                      </c:pt>
                      <c:pt idx="61" formatCode="General">
                        <c:v>-7.3711947565543072</c:v>
                      </c:pt>
                      <c:pt idx="62" formatCode="General">
                        <c:v>-7.3903707865168542</c:v>
                      </c:pt>
                      <c:pt idx="63" formatCode="General">
                        <c:v>-7.4095468164794012</c:v>
                      </c:pt>
                      <c:pt idx="64" formatCode="General">
                        <c:v>-7.4287228464419481</c:v>
                      </c:pt>
                      <c:pt idx="65" formatCode="General">
                        <c:v>-7.4478988764044942</c:v>
                      </c:pt>
                      <c:pt idx="66" formatCode="General">
                        <c:v>-7.4668456928838953</c:v>
                      </c:pt>
                      <c:pt idx="67" formatCode="General">
                        <c:v>-7.484943071161049</c:v>
                      </c:pt>
                      <c:pt idx="68" formatCode="General">
                        <c:v>-7.5030404494382026</c:v>
                      </c:pt>
                      <c:pt idx="69" formatCode="General">
                        <c:v>-7.5211378277153562</c:v>
                      </c:pt>
                      <c:pt idx="70" formatCode="General">
                        <c:v>-7.5392352059925098</c:v>
                      </c:pt>
                      <c:pt idx="71" formatCode="General">
                        <c:v>-7.5573325842696626</c:v>
                      </c:pt>
                      <c:pt idx="72" formatCode="General">
                        <c:v>-7.5754299625468162</c:v>
                      </c:pt>
                      <c:pt idx="73" formatCode="General">
                        <c:v>-7.5935273408239699</c:v>
                      </c:pt>
                      <c:pt idx="74" formatCode="General">
                        <c:v>-7.6116247191011235</c:v>
                      </c:pt>
                      <c:pt idx="75" formatCode="General">
                        <c:v>-7.6297220973782771</c:v>
                      </c:pt>
                      <c:pt idx="76" formatCode="General">
                        <c:v>-7.6478194756554307</c:v>
                      </c:pt>
                      <c:pt idx="77" formatCode="General">
                        <c:v>-7.6659168539325844</c:v>
                      </c:pt>
                      <c:pt idx="78" formatCode="General">
                        <c:v>-7.684014232209738</c:v>
                      </c:pt>
                      <c:pt idx="79" formatCode="General">
                        <c:v>-7.7021116104868916</c:v>
                      </c:pt>
                      <c:pt idx="80" formatCode="General">
                        <c:v>-7.7202089887640444</c:v>
                      </c:pt>
                      <c:pt idx="81" formatCode="General">
                        <c:v>-7.738306367041198</c:v>
                      </c:pt>
                      <c:pt idx="82" formatCode="General">
                        <c:v>-7.7564037453183516</c:v>
                      </c:pt>
                      <c:pt idx="83" formatCode="General">
                        <c:v>-7.7739234234234234</c:v>
                      </c:pt>
                      <c:pt idx="84" formatCode="General">
                        <c:v>-7.7909204204204201</c:v>
                      </c:pt>
                      <c:pt idx="85" formatCode="General">
                        <c:v>-7.8079174174174168</c:v>
                      </c:pt>
                      <c:pt idx="86" formatCode="General">
                        <c:v>-7.8249144144144145</c:v>
                      </c:pt>
                      <c:pt idx="87" formatCode="General">
                        <c:v>-64.814138613861388</c:v>
                      </c:pt>
                      <c:pt idx="88" formatCode="General">
                        <c:v>-65.022059405940595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A-27FC-4A9D-A437-1D0023828BE9}"/>
                  </c:ext>
                </c:extLst>
              </c15:ser>
            </c15:filteredScatterSeries>
            <c15:filteredScatterSeries>
              <c15:ser>
                <c:idx val="38"/>
                <c:order val="40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306</c:v>
                      </c:pt>
                      <c:pt idx="1">
                        <c:v>314</c:v>
                      </c:pt>
                      <c:pt idx="2">
                        <c:v>322</c:v>
                      </c:pt>
                      <c:pt idx="3">
                        <c:v>330</c:v>
                      </c:pt>
                      <c:pt idx="4">
                        <c:v>338</c:v>
                      </c:pt>
                      <c:pt idx="5">
                        <c:v>346</c:v>
                      </c:pt>
                      <c:pt idx="6">
                        <c:v>354</c:v>
                      </c:pt>
                      <c:pt idx="7">
                        <c:v>362</c:v>
                      </c:pt>
                      <c:pt idx="8">
                        <c:v>370</c:v>
                      </c:pt>
                      <c:pt idx="9">
                        <c:v>378</c:v>
                      </c:pt>
                      <c:pt idx="10">
                        <c:v>386</c:v>
                      </c:pt>
                      <c:pt idx="11">
                        <c:v>394</c:v>
                      </c:pt>
                      <c:pt idx="12">
                        <c:v>402</c:v>
                      </c:pt>
                      <c:pt idx="13">
                        <c:v>410</c:v>
                      </c:pt>
                      <c:pt idx="14">
                        <c:v>418</c:v>
                      </c:pt>
                      <c:pt idx="15">
                        <c:v>426</c:v>
                      </c:pt>
                      <c:pt idx="16">
                        <c:v>434</c:v>
                      </c:pt>
                      <c:pt idx="17">
                        <c:v>442</c:v>
                      </c:pt>
                      <c:pt idx="18">
                        <c:v>450</c:v>
                      </c:pt>
                      <c:pt idx="19">
                        <c:v>458</c:v>
                      </c:pt>
                      <c:pt idx="20">
                        <c:v>466</c:v>
                      </c:pt>
                      <c:pt idx="21">
                        <c:v>474</c:v>
                      </c:pt>
                      <c:pt idx="22">
                        <c:v>482</c:v>
                      </c:pt>
                      <c:pt idx="23">
                        <c:v>490</c:v>
                      </c:pt>
                      <c:pt idx="24">
                        <c:v>498</c:v>
                      </c:pt>
                      <c:pt idx="25">
                        <c:v>506</c:v>
                      </c:pt>
                      <c:pt idx="26">
                        <c:v>514</c:v>
                      </c:pt>
                      <c:pt idx="27">
                        <c:v>522</c:v>
                      </c:pt>
                      <c:pt idx="28">
                        <c:v>530</c:v>
                      </c:pt>
                      <c:pt idx="29">
                        <c:v>538</c:v>
                      </c:pt>
                      <c:pt idx="30">
                        <c:v>546</c:v>
                      </c:pt>
                      <c:pt idx="31">
                        <c:v>554</c:v>
                      </c:pt>
                      <c:pt idx="32">
                        <c:v>562</c:v>
                      </c:pt>
                      <c:pt idx="33">
                        <c:v>570</c:v>
                      </c:pt>
                      <c:pt idx="34">
                        <c:v>578</c:v>
                      </c:pt>
                      <c:pt idx="35">
                        <c:v>586</c:v>
                      </c:pt>
                      <c:pt idx="36">
                        <c:v>594</c:v>
                      </c:pt>
                      <c:pt idx="37">
                        <c:v>602</c:v>
                      </c:pt>
                      <c:pt idx="38">
                        <c:v>610</c:v>
                      </c:pt>
                      <c:pt idx="39">
                        <c:v>618</c:v>
                      </c:pt>
                      <c:pt idx="40">
                        <c:v>626</c:v>
                      </c:pt>
                      <c:pt idx="41">
                        <c:v>634</c:v>
                      </c:pt>
                      <c:pt idx="42">
                        <c:v>642</c:v>
                      </c:pt>
                      <c:pt idx="43">
                        <c:v>650</c:v>
                      </c:pt>
                      <c:pt idx="44">
                        <c:v>658</c:v>
                      </c:pt>
                      <c:pt idx="45">
                        <c:v>666</c:v>
                      </c:pt>
                      <c:pt idx="46">
                        <c:v>674</c:v>
                      </c:pt>
                      <c:pt idx="47">
                        <c:v>682</c:v>
                      </c:pt>
                      <c:pt idx="48">
                        <c:v>690</c:v>
                      </c:pt>
                      <c:pt idx="49">
                        <c:v>698</c:v>
                      </c:pt>
                      <c:pt idx="50">
                        <c:v>706</c:v>
                      </c:pt>
                      <c:pt idx="51">
                        <c:v>714</c:v>
                      </c:pt>
                      <c:pt idx="52">
                        <c:v>722</c:v>
                      </c:pt>
                      <c:pt idx="53">
                        <c:v>730</c:v>
                      </c:pt>
                      <c:pt idx="54">
                        <c:v>738</c:v>
                      </c:pt>
                      <c:pt idx="55">
                        <c:v>746</c:v>
                      </c:pt>
                      <c:pt idx="56">
                        <c:v>754</c:v>
                      </c:pt>
                      <c:pt idx="57">
                        <c:v>762</c:v>
                      </c:pt>
                      <c:pt idx="58">
                        <c:v>770</c:v>
                      </c:pt>
                      <c:pt idx="59">
                        <c:v>778</c:v>
                      </c:pt>
                      <c:pt idx="60">
                        <c:v>786</c:v>
                      </c:pt>
                      <c:pt idx="61">
                        <c:v>794</c:v>
                      </c:pt>
                      <c:pt idx="62">
                        <c:v>802</c:v>
                      </c:pt>
                      <c:pt idx="63">
                        <c:v>810</c:v>
                      </c:pt>
                      <c:pt idx="64">
                        <c:v>818</c:v>
                      </c:pt>
                      <c:pt idx="65">
                        <c:v>826</c:v>
                      </c:pt>
                      <c:pt idx="66">
                        <c:v>834</c:v>
                      </c:pt>
                      <c:pt idx="67">
                        <c:v>842</c:v>
                      </c:pt>
                      <c:pt idx="68">
                        <c:v>850</c:v>
                      </c:pt>
                      <c:pt idx="69">
                        <c:v>858</c:v>
                      </c:pt>
                      <c:pt idx="70">
                        <c:v>866</c:v>
                      </c:pt>
                      <c:pt idx="71">
                        <c:v>874</c:v>
                      </c:pt>
                      <c:pt idx="72">
                        <c:v>882</c:v>
                      </c:pt>
                      <c:pt idx="73">
                        <c:v>890</c:v>
                      </c:pt>
                      <c:pt idx="74">
                        <c:v>898</c:v>
                      </c:pt>
                      <c:pt idx="75">
                        <c:v>906</c:v>
                      </c:pt>
                      <c:pt idx="76">
                        <c:v>914</c:v>
                      </c:pt>
                      <c:pt idx="77">
                        <c:v>922</c:v>
                      </c:pt>
                      <c:pt idx="78">
                        <c:v>930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EVALUATION!$B$141:$CP$141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-59.157387387387388</c:v>
                      </c:pt>
                      <c:pt idx="1">
                        <c:v>-57.482912912912909</c:v>
                      </c:pt>
                      <c:pt idx="2">
                        <c:v>-55.808438438438436</c:v>
                      </c:pt>
                      <c:pt idx="3">
                        <c:v>-54.133963963963964</c:v>
                      </c:pt>
                      <c:pt idx="4" formatCode="General">
                        <c:v>-52.494700598802396</c:v>
                      </c:pt>
                      <c:pt idx="5" formatCode="General">
                        <c:v>-50.863562874251492</c:v>
                      </c:pt>
                      <c:pt idx="6" formatCode="General">
                        <c:v>-49.232425149700596</c:v>
                      </c:pt>
                      <c:pt idx="7" formatCode="General">
                        <c:v>-47.601287425149692</c:v>
                      </c:pt>
                      <c:pt idx="8" formatCode="General">
                        <c:v>-46.077035928143708</c:v>
                      </c:pt>
                      <c:pt idx="9" formatCode="General">
                        <c:v>-44.613562874251492</c:v>
                      </c:pt>
                      <c:pt idx="10" formatCode="General">
                        <c:v>-43.150089820359277</c:v>
                      </c:pt>
                      <c:pt idx="11" formatCode="General">
                        <c:v>-41.686616766467068</c:v>
                      </c:pt>
                      <c:pt idx="12" formatCode="General">
                        <c:v>-40.325059880239522</c:v>
                      </c:pt>
                      <c:pt idx="13" formatCode="General">
                        <c:v>-39.081946107784432</c:v>
                      </c:pt>
                      <c:pt idx="14" formatCode="General">
                        <c:v>-37.838832335329343</c:v>
                      </c:pt>
                      <c:pt idx="15" formatCode="General">
                        <c:v>-36.595718562874254</c:v>
                      </c:pt>
                      <c:pt idx="16" formatCode="General">
                        <c:v>-35.412514970059881</c:v>
                      </c:pt>
                      <c:pt idx="17" formatCode="General">
                        <c:v>-34.377784431137727</c:v>
                      </c:pt>
                      <c:pt idx="18" formatCode="General">
                        <c:v>-33.343053892215572</c:v>
                      </c:pt>
                      <c:pt idx="19" formatCode="General">
                        <c:v>-32.308323353293417</c:v>
                      </c:pt>
                      <c:pt idx="20" formatCode="General">
                        <c:v>-31.289491017964075</c:v>
                      </c:pt>
                      <c:pt idx="21" formatCode="General">
                        <c:v>-30.396077844311378</c:v>
                      </c:pt>
                      <c:pt idx="22" formatCode="General">
                        <c:v>-29.502664670658685</c:v>
                      </c:pt>
                      <c:pt idx="23" formatCode="General">
                        <c:v>-28.609251497005989</c:v>
                      </c:pt>
                      <c:pt idx="24" formatCode="General">
                        <c:v>-27.715838323353292</c:v>
                      </c:pt>
                      <c:pt idx="25" formatCode="General">
                        <c:v>-27.464054054054053</c:v>
                      </c:pt>
                      <c:pt idx="26" formatCode="General">
                        <c:v>-27.255045045045044</c:v>
                      </c:pt>
                      <c:pt idx="27" formatCode="General">
                        <c:v>-27.046036036036035</c:v>
                      </c:pt>
                      <c:pt idx="28" formatCode="General">
                        <c:v>-26.837027027027027</c:v>
                      </c:pt>
                      <c:pt idx="29" formatCode="General">
                        <c:v>-27.03502994011976</c:v>
                      </c:pt>
                      <c:pt idx="30" formatCode="General">
                        <c:v>-27.351197604790418</c:v>
                      </c:pt>
                      <c:pt idx="31" formatCode="General">
                        <c:v>-27.667365269461076</c:v>
                      </c:pt>
                      <c:pt idx="32" formatCode="General">
                        <c:v>-27.983532934131734</c:v>
                      </c:pt>
                      <c:pt idx="33" formatCode="General">
                        <c:v>-28.296826347305387</c:v>
                      </c:pt>
                      <c:pt idx="34" formatCode="General">
                        <c:v>-28.60820359281437</c:v>
                      </c:pt>
                      <c:pt idx="35" formatCode="General">
                        <c:v>-28.919580838323352</c:v>
                      </c:pt>
                      <c:pt idx="36" formatCode="General">
                        <c:v>-29.230958083832334</c:v>
                      </c:pt>
                      <c:pt idx="37" formatCode="General">
                        <c:v>-29.540299401197604</c:v>
                      </c:pt>
                      <c:pt idx="38" formatCode="General">
                        <c:v>-29.84688622754491</c:v>
                      </c:pt>
                      <c:pt idx="39" formatCode="General">
                        <c:v>-30.153473053892217</c:v>
                      </c:pt>
                      <c:pt idx="40" formatCode="General">
                        <c:v>-30.460059880239523</c:v>
                      </c:pt>
                      <c:pt idx="41" formatCode="General">
                        <c:v>-30.7648502994012</c:v>
                      </c:pt>
                      <c:pt idx="42" formatCode="General">
                        <c:v>-31.064251497005991</c:v>
                      </c:pt>
                      <c:pt idx="43" formatCode="General">
                        <c:v>-31.363652694610781</c:v>
                      </c:pt>
                      <c:pt idx="44" formatCode="General">
                        <c:v>-31.663053892215572</c:v>
                      </c:pt>
                      <c:pt idx="45" formatCode="General">
                        <c:v>-31.961916167664672</c:v>
                      </c:pt>
                      <c:pt idx="46" formatCode="General">
                        <c:v>-32.254131736526951</c:v>
                      </c:pt>
                      <c:pt idx="47" formatCode="General">
                        <c:v>-32.546347305389219</c:v>
                      </c:pt>
                      <c:pt idx="48" formatCode="General">
                        <c:v>-32.838562874251494</c:v>
                      </c:pt>
                      <c:pt idx="49" formatCode="General">
                        <c:v>-33.130778443113769</c:v>
                      </c:pt>
                      <c:pt idx="50" formatCode="General">
                        <c:v>-33.403235955056175</c:v>
                      </c:pt>
                      <c:pt idx="51" formatCode="General">
                        <c:v>-33.673498127340821</c:v>
                      </c:pt>
                      <c:pt idx="52" formatCode="General">
                        <c:v>-33.943760299625467</c:v>
                      </c:pt>
                      <c:pt idx="53" formatCode="General">
                        <c:v>-34.214022471910113</c:v>
                      </c:pt>
                      <c:pt idx="54" formatCode="General">
                        <c:v>-34.484284644194759</c:v>
                      </c:pt>
                      <c:pt idx="55" formatCode="General">
                        <c:v>-34.754546816479397</c:v>
                      </c:pt>
                      <c:pt idx="56" formatCode="General">
                        <c:v>-35.024808988764043</c:v>
                      </c:pt>
                      <c:pt idx="57" formatCode="General">
                        <c:v>-35.295071161048689</c:v>
                      </c:pt>
                      <c:pt idx="58" formatCode="General">
                        <c:v>-35.565333333333335</c:v>
                      </c:pt>
                      <c:pt idx="59" formatCode="General">
                        <c:v>-35.835595505617981</c:v>
                      </c:pt>
                      <c:pt idx="60" formatCode="General">
                        <c:v>-36.10585767790262</c:v>
                      </c:pt>
                      <c:pt idx="61" formatCode="General">
                        <c:v>-36.376119850187266</c:v>
                      </c:pt>
                      <c:pt idx="62" formatCode="General">
                        <c:v>-36.646382022471911</c:v>
                      </c:pt>
                      <c:pt idx="63" formatCode="General">
                        <c:v>-36.916644194756557</c:v>
                      </c:pt>
                      <c:pt idx="64" formatCode="General">
                        <c:v>-37.186906367041203</c:v>
                      </c:pt>
                      <c:pt idx="65" formatCode="General">
                        <c:v>-37.457168539325849</c:v>
                      </c:pt>
                      <c:pt idx="66" formatCode="General">
                        <c:v>-37.717880149812736</c:v>
                      </c:pt>
                      <c:pt idx="67" formatCode="General">
                        <c:v>-37.943198501872665</c:v>
                      </c:pt>
                      <c:pt idx="68" formatCode="General">
                        <c:v>-38.168516853932587</c:v>
                      </c:pt>
                      <c:pt idx="69" formatCode="General">
                        <c:v>-38.393835205992509</c:v>
                      </c:pt>
                      <c:pt idx="70" formatCode="General">
                        <c:v>-38.619153558052439</c:v>
                      </c:pt>
                      <c:pt idx="71" formatCode="General">
                        <c:v>-38.844471910112361</c:v>
                      </c:pt>
                      <c:pt idx="72" formatCode="General">
                        <c:v>-39.06979026217229</c:v>
                      </c:pt>
                      <c:pt idx="73" formatCode="General">
                        <c:v>-39.295108614232213</c:v>
                      </c:pt>
                      <c:pt idx="74" formatCode="General">
                        <c:v>-39.520426966292135</c:v>
                      </c:pt>
                      <c:pt idx="75" formatCode="General">
                        <c:v>-39.745745318352064</c:v>
                      </c:pt>
                      <c:pt idx="76" formatCode="General">
                        <c:v>-39.971063670411986</c:v>
                      </c:pt>
                      <c:pt idx="77" formatCode="General">
                        <c:v>-40.196382022471909</c:v>
                      </c:pt>
                      <c:pt idx="78" formatCode="General">
                        <c:v>-40.421700374531838</c:v>
                      </c:pt>
                      <c:pt idx="79" formatCode="General">
                        <c:v>-40.64701872659176</c:v>
                      </c:pt>
                      <c:pt idx="80" formatCode="General">
                        <c:v>-40.87233707865169</c:v>
                      </c:pt>
                      <c:pt idx="81" formatCode="General">
                        <c:v>-41.097655430711612</c:v>
                      </c:pt>
                      <c:pt idx="82" formatCode="General">
                        <c:v>-41.322973782771534</c:v>
                      </c:pt>
                      <c:pt idx="83" formatCode="General">
                        <c:v>-41.521441441441439</c:v>
                      </c:pt>
                      <c:pt idx="84" formatCode="General">
                        <c:v>-41.695615615615615</c:v>
                      </c:pt>
                      <c:pt idx="85" formatCode="General">
                        <c:v>-41.869789789789792</c:v>
                      </c:pt>
                      <c:pt idx="86" formatCode="General">
                        <c:v>-42.043963963963961</c:v>
                      </c:pt>
                      <c:pt idx="87" formatCode="General">
                        <c:v>-36.080475247524753</c:v>
                      </c:pt>
                      <c:pt idx="88" formatCode="General">
                        <c:v>-36.193346534653465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B-27FC-4A9D-A437-1D0023828BE9}"/>
                  </c:ext>
                </c:extLst>
              </c15:ser>
            </c15:filteredScatterSeries>
            <c15:filteredScatterSeries>
              <c15:ser>
                <c:idx val="40"/>
                <c:order val="41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306</c:v>
                      </c:pt>
                      <c:pt idx="1">
                        <c:v>314</c:v>
                      </c:pt>
                      <c:pt idx="2">
                        <c:v>322</c:v>
                      </c:pt>
                      <c:pt idx="3">
                        <c:v>330</c:v>
                      </c:pt>
                      <c:pt idx="4">
                        <c:v>338</c:v>
                      </c:pt>
                      <c:pt idx="5">
                        <c:v>346</c:v>
                      </c:pt>
                      <c:pt idx="6">
                        <c:v>354</c:v>
                      </c:pt>
                      <c:pt idx="7">
                        <c:v>362</c:v>
                      </c:pt>
                      <c:pt idx="8">
                        <c:v>370</c:v>
                      </c:pt>
                      <c:pt idx="9">
                        <c:v>378</c:v>
                      </c:pt>
                      <c:pt idx="10">
                        <c:v>386</c:v>
                      </c:pt>
                      <c:pt idx="11">
                        <c:v>394</c:v>
                      </c:pt>
                      <c:pt idx="12">
                        <c:v>402</c:v>
                      </c:pt>
                      <c:pt idx="13">
                        <c:v>410</c:v>
                      </c:pt>
                      <c:pt idx="14">
                        <c:v>418</c:v>
                      </c:pt>
                      <c:pt idx="15">
                        <c:v>426</c:v>
                      </c:pt>
                      <c:pt idx="16">
                        <c:v>434</c:v>
                      </c:pt>
                      <c:pt idx="17">
                        <c:v>442</c:v>
                      </c:pt>
                      <c:pt idx="18">
                        <c:v>450</c:v>
                      </c:pt>
                      <c:pt idx="19">
                        <c:v>458</c:v>
                      </c:pt>
                      <c:pt idx="20">
                        <c:v>466</c:v>
                      </c:pt>
                      <c:pt idx="21">
                        <c:v>474</c:v>
                      </c:pt>
                      <c:pt idx="22">
                        <c:v>482</c:v>
                      </c:pt>
                      <c:pt idx="23">
                        <c:v>490</c:v>
                      </c:pt>
                      <c:pt idx="24">
                        <c:v>498</c:v>
                      </c:pt>
                      <c:pt idx="25">
                        <c:v>506</c:v>
                      </c:pt>
                      <c:pt idx="26">
                        <c:v>514</c:v>
                      </c:pt>
                      <c:pt idx="27">
                        <c:v>522</c:v>
                      </c:pt>
                      <c:pt idx="28">
                        <c:v>530</c:v>
                      </c:pt>
                      <c:pt idx="29">
                        <c:v>538</c:v>
                      </c:pt>
                      <c:pt idx="30">
                        <c:v>546</c:v>
                      </c:pt>
                      <c:pt idx="31">
                        <c:v>554</c:v>
                      </c:pt>
                      <c:pt idx="32">
                        <c:v>562</c:v>
                      </c:pt>
                      <c:pt idx="33">
                        <c:v>570</c:v>
                      </c:pt>
                      <c:pt idx="34">
                        <c:v>578</c:v>
                      </c:pt>
                      <c:pt idx="35">
                        <c:v>586</c:v>
                      </c:pt>
                      <c:pt idx="36">
                        <c:v>594</c:v>
                      </c:pt>
                      <c:pt idx="37">
                        <c:v>602</c:v>
                      </c:pt>
                      <c:pt idx="38">
                        <c:v>610</c:v>
                      </c:pt>
                      <c:pt idx="39">
                        <c:v>618</c:v>
                      </c:pt>
                      <c:pt idx="40">
                        <c:v>626</c:v>
                      </c:pt>
                      <c:pt idx="41">
                        <c:v>634</c:v>
                      </c:pt>
                      <c:pt idx="42">
                        <c:v>642</c:v>
                      </c:pt>
                      <c:pt idx="43">
                        <c:v>650</c:v>
                      </c:pt>
                      <c:pt idx="44">
                        <c:v>658</c:v>
                      </c:pt>
                      <c:pt idx="45">
                        <c:v>666</c:v>
                      </c:pt>
                      <c:pt idx="46">
                        <c:v>674</c:v>
                      </c:pt>
                      <c:pt idx="47">
                        <c:v>682</c:v>
                      </c:pt>
                      <c:pt idx="48">
                        <c:v>690</c:v>
                      </c:pt>
                      <c:pt idx="49">
                        <c:v>698</c:v>
                      </c:pt>
                      <c:pt idx="50">
                        <c:v>706</c:v>
                      </c:pt>
                      <c:pt idx="51">
                        <c:v>714</c:v>
                      </c:pt>
                      <c:pt idx="52">
                        <c:v>722</c:v>
                      </c:pt>
                      <c:pt idx="53">
                        <c:v>730</c:v>
                      </c:pt>
                      <c:pt idx="54">
                        <c:v>738</c:v>
                      </c:pt>
                      <c:pt idx="55">
                        <c:v>746</c:v>
                      </c:pt>
                      <c:pt idx="56">
                        <c:v>754</c:v>
                      </c:pt>
                      <c:pt idx="57">
                        <c:v>762</c:v>
                      </c:pt>
                      <c:pt idx="58">
                        <c:v>770</c:v>
                      </c:pt>
                      <c:pt idx="59">
                        <c:v>778</c:v>
                      </c:pt>
                      <c:pt idx="60">
                        <c:v>786</c:v>
                      </c:pt>
                      <c:pt idx="61">
                        <c:v>794</c:v>
                      </c:pt>
                      <c:pt idx="62">
                        <c:v>802</c:v>
                      </c:pt>
                      <c:pt idx="63">
                        <c:v>810</c:v>
                      </c:pt>
                      <c:pt idx="64">
                        <c:v>818</c:v>
                      </c:pt>
                      <c:pt idx="65">
                        <c:v>826</c:v>
                      </c:pt>
                      <c:pt idx="66">
                        <c:v>834</c:v>
                      </c:pt>
                      <c:pt idx="67">
                        <c:v>842</c:v>
                      </c:pt>
                      <c:pt idx="68">
                        <c:v>850</c:v>
                      </c:pt>
                      <c:pt idx="69">
                        <c:v>858</c:v>
                      </c:pt>
                      <c:pt idx="70">
                        <c:v>866</c:v>
                      </c:pt>
                      <c:pt idx="71">
                        <c:v>874</c:v>
                      </c:pt>
                      <c:pt idx="72">
                        <c:v>882</c:v>
                      </c:pt>
                      <c:pt idx="73">
                        <c:v>890</c:v>
                      </c:pt>
                      <c:pt idx="74">
                        <c:v>898</c:v>
                      </c:pt>
                      <c:pt idx="75">
                        <c:v>906</c:v>
                      </c:pt>
                      <c:pt idx="76">
                        <c:v>914</c:v>
                      </c:pt>
                      <c:pt idx="77">
                        <c:v>922</c:v>
                      </c:pt>
                      <c:pt idx="78">
                        <c:v>930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EVALUATION!$B$142:$CP$142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-21.943243243243245</c:v>
                      </c:pt>
                      <c:pt idx="1">
                        <c:v>-21.741441441441442</c:v>
                      </c:pt>
                      <c:pt idx="2">
                        <c:v>-21.539639639639642</c:v>
                      </c:pt>
                      <c:pt idx="3">
                        <c:v>-21.337837837837839</c:v>
                      </c:pt>
                      <c:pt idx="4" formatCode="General">
                        <c:v>-21.317514970059882</c:v>
                      </c:pt>
                      <c:pt idx="5" formatCode="General">
                        <c:v>-21.339071856287426</c:v>
                      </c:pt>
                      <c:pt idx="6" formatCode="General">
                        <c:v>-21.360628742514972</c:v>
                      </c:pt>
                      <c:pt idx="7" formatCode="General">
                        <c:v>-21.382185628742516</c:v>
                      </c:pt>
                      <c:pt idx="8" formatCode="General">
                        <c:v>-21.452604790419162</c:v>
                      </c:pt>
                      <c:pt idx="9" formatCode="General">
                        <c:v>-21.550808383233534</c:v>
                      </c:pt>
                      <c:pt idx="10" formatCode="General">
                        <c:v>-21.649011976047905</c:v>
                      </c:pt>
                      <c:pt idx="11" formatCode="General">
                        <c:v>-21.747215568862277</c:v>
                      </c:pt>
                      <c:pt idx="12" formatCode="General">
                        <c:v>-21.843203592814373</c:v>
                      </c:pt>
                      <c:pt idx="13" formatCode="General">
                        <c:v>-21.936616766467068</c:v>
                      </c:pt>
                      <c:pt idx="14" formatCode="General">
                        <c:v>-22.030029940119761</c:v>
                      </c:pt>
                      <c:pt idx="15" formatCode="General">
                        <c:v>-22.123443113772456</c:v>
                      </c:pt>
                      <c:pt idx="16" formatCode="General">
                        <c:v>-22.209970059880241</c:v>
                      </c:pt>
                      <c:pt idx="17" formatCode="General">
                        <c:v>-22.279431137724551</c:v>
                      </c:pt>
                      <c:pt idx="18" formatCode="General">
                        <c:v>-22.348892215568863</c:v>
                      </c:pt>
                      <c:pt idx="19" formatCode="General">
                        <c:v>-22.418353293413173</c:v>
                      </c:pt>
                      <c:pt idx="20" formatCode="General">
                        <c:v>-22.488353293413173</c:v>
                      </c:pt>
                      <c:pt idx="21" formatCode="General">
                        <c:v>-22.562604790419162</c:v>
                      </c:pt>
                      <c:pt idx="22" formatCode="General">
                        <c:v>-22.63685628742515</c:v>
                      </c:pt>
                      <c:pt idx="23" formatCode="General">
                        <c:v>-22.711107784431139</c:v>
                      </c:pt>
                      <c:pt idx="24" formatCode="General">
                        <c:v>-22.785359281437124</c:v>
                      </c:pt>
                      <c:pt idx="25" formatCode="General">
                        <c:v>-22.846306306306307</c:v>
                      </c:pt>
                      <c:pt idx="26" formatCode="General">
                        <c:v>-22.906366366366367</c:v>
                      </c:pt>
                      <c:pt idx="27" formatCode="General">
                        <c:v>-22.966426426426427</c:v>
                      </c:pt>
                      <c:pt idx="28" formatCode="General">
                        <c:v>-23.026486486486487</c:v>
                      </c:pt>
                      <c:pt idx="29" formatCode="General">
                        <c:v>-23.130958083832336</c:v>
                      </c:pt>
                      <c:pt idx="30" formatCode="General">
                        <c:v>-23.248323353293415</c:v>
                      </c:pt>
                      <c:pt idx="31" formatCode="General">
                        <c:v>-23.36568862275449</c:v>
                      </c:pt>
                      <c:pt idx="32" formatCode="General">
                        <c:v>-23.483053892215569</c:v>
                      </c:pt>
                      <c:pt idx="33" formatCode="General">
                        <c:v>-23.60185628742515</c:v>
                      </c:pt>
                      <c:pt idx="34" formatCode="General">
                        <c:v>-23.721616766467065</c:v>
                      </c:pt>
                      <c:pt idx="35" formatCode="General">
                        <c:v>-23.841377245508983</c:v>
                      </c:pt>
                      <c:pt idx="36" formatCode="General">
                        <c:v>-23.961137724550898</c:v>
                      </c:pt>
                      <c:pt idx="37" formatCode="General">
                        <c:v>-24.078862275449104</c:v>
                      </c:pt>
                      <c:pt idx="38" formatCode="General">
                        <c:v>-24.193832335329343</c:v>
                      </c:pt>
                      <c:pt idx="39" formatCode="General">
                        <c:v>-24.308802395209582</c:v>
                      </c:pt>
                      <c:pt idx="40" formatCode="General">
                        <c:v>-24.423772455089821</c:v>
                      </c:pt>
                      <c:pt idx="41" formatCode="General">
                        <c:v>-24.53874251497006</c:v>
                      </c:pt>
                      <c:pt idx="42" formatCode="General">
                        <c:v>-24.653712574850299</c:v>
                      </c:pt>
                      <c:pt idx="43" formatCode="General">
                        <c:v>-24.768682634730538</c:v>
                      </c:pt>
                      <c:pt idx="44" formatCode="General">
                        <c:v>-24.883652694610777</c:v>
                      </c:pt>
                      <c:pt idx="45" formatCode="General">
                        <c:v>-24.998622754491016</c:v>
                      </c:pt>
                      <c:pt idx="46" formatCode="General">
                        <c:v>-25.113592814371255</c:v>
                      </c:pt>
                      <c:pt idx="47" formatCode="General">
                        <c:v>-25.228562874251494</c:v>
                      </c:pt>
                      <c:pt idx="48" formatCode="General">
                        <c:v>-25.343532934131737</c:v>
                      </c:pt>
                      <c:pt idx="49" formatCode="General">
                        <c:v>-25.458502994011976</c:v>
                      </c:pt>
                      <c:pt idx="50" formatCode="General">
                        <c:v>-25.567617977528091</c:v>
                      </c:pt>
                      <c:pt idx="51" formatCode="General">
                        <c:v>-25.676082397003746</c:v>
                      </c:pt>
                      <c:pt idx="52" formatCode="General">
                        <c:v>-25.784546816479402</c:v>
                      </c:pt>
                      <c:pt idx="53" formatCode="General">
                        <c:v>-25.893011235955058</c:v>
                      </c:pt>
                      <c:pt idx="54" formatCode="General">
                        <c:v>-26.001475655430713</c:v>
                      </c:pt>
                      <c:pt idx="55" formatCode="General">
                        <c:v>-26.109940074906369</c:v>
                      </c:pt>
                      <c:pt idx="56" formatCode="General">
                        <c:v>-26.218404494382021</c:v>
                      </c:pt>
                      <c:pt idx="57" formatCode="General">
                        <c:v>-26.326868913857677</c:v>
                      </c:pt>
                      <c:pt idx="58" formatCode="General">
                        <c:v>-26.435333333333332</c:v>
                      </c:pt>
                      <c:pt idx="59" formatCode="General">
                        <c:v>-26.543797752808988</c:v>
                      </c:pt>
                      <c:pt idx="60" formatCode="General">
                        <c:v>-26.652262172284644</c:v>
                      </c:pt>
                      <c:pt idx="61" formatCode="General">
                        <c:v>-26.760726591760299</c:v>
                      </c:pt>
                      <c:pt idx="62" formatCode="General">
                        <c:v>-26.869191011235955</c:v>
                      </c:pt>
                      <c:pt idx="63" formatCode="General">
                        <c:v>-26.977655430711611</c:v>
                      </c:pt>
                      <c:pt idx="64" formatCode="General">
                        <c:v>-27.086119850187266</c:v>
                      </c:pt>
                      <c:pt idx="65" formatCode="General">
                        <c:v>-27.194584269662922</c:v>
                      </c:pt>
                      <c:pt idx="66" formatCode="General">
                        <c:v>-27.301902621722849</c:v>
                      </c:pt>
                      <c:pt idx="67" formatCode="General">
                        <c:v>-27.404973782771538</c:v>
                      </c:pt>
                      <c:pt idx="68" formatCode="General">
                        <c:v>-27.508044943820227</c:v>
                      </c:pt>
                      <c:pt idx="69" formatCode="General">
                        <c:v>-27.611116104868916</c:v>
                      </c:pt>
                      <c:pt idx="70" formatCode="General">
                        <c:v>-27.714187265917605</c:v>
                      </c:pt>
                      <c:pt idx="71" formatCode="General">
                        <c:v>-27.817258426966294</c:v>
                      </c:pt>
                      <c:pt idx="72" formatCode="General">
                        <c:v>-27.920329588014983</c:v>
                      </c:pt>
                      <c:pt idx="73" formatCode="General">
                        <c:v>-28.023400749063672</c:v>
                      </c:pt>
                      <c:pt idx="74" formatCode="General">
                        <c:v>-28.126471910112361</c:v>
                      </c:pt>
                      <c:pt idx="75" formatCode="General">
                        <c:v>-28.22954307116105</c:v>
                      </c:pt>
                      <c:pt idx="76" formatCode="General">
                        <c:v>-28.332614232209739</c:v>
                      </c:pt>
                      <c:pt idx="77" formatCode="General">
                        <c:v>-28.435685393258428</c:v>
                      </c:pt>
                      <c:pt idx="78" formatCode="General">
                        <c:v>-28.538756554307117</c:v>
                      </c:pt>
                      <c:pt idx="79" formatCode="General">
                        <c:v>-28.641827715355806</c:v>
                      </c:pt>
                      <c:pt idx="80" formatCode="General">
                        <c:v>-28.744898876404495</c:v>
                      </c:pt>
                      <c:pt idx="81" formatCode="General">
                        <c:v>-28.847970037453184</c:v>
                      </c:pt>
                      <c:pt idx="82" formatCode="General">
                        <c:v>-28.951041198501873</c:v>
                      </c:pt>
                      <c:pt idx="83" formatCode="General">
                        <c:v>-29.051396396396395</c:v>
                      </c:pt>
                      <c:pt idx="84" formatCode="General">
                        <c:v>-29.149294294294293</c:v>
                      </c:pt>
                      <c:pt idx="85" formatCode="General">
                        <c:v>-29.247192192192191</c:v>
                      </c:pt>
                      <c:pt idx="86" formatCode="General">
                        <c:v>-29.345090090090089</c:v>
                      </c:pt>
                      <c:pt idx="87" formatCode="General">
                        <c:v>-102.44289108910891</c:v>
                      </c:pt>
                      <c:pt idx="88" formatCode="General">
                        <c:v>-102.77952475247524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C-27FC-4A9D-A437-1D0023828BE9}"/>
                  </c:ext>
                </c:extLst>
              </c15:ser>
            </c15:filteredScatterSeries>
            <c15:filteredScatterSeries>
              <c15:ser>
                <c:idx val="41"/>
                <c:order val="42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306</c:v>
                      </c:pt>
                      <c:pt idx="1">
                        <c:v>314</c:v>
                      </c:pt>
                      <c:pt idx="2">
                        <c:v>322</c:v>
                      </c:pt>
                      <c:pt idx="3">
                        <c:v>330</c:v>
                      </c:pt>
                      <c:pt idx="4">
                        <c:v>338</c:v>
                      </c:pt>
                      <c:pt idx="5">
                        <c:v>346</c:v>
                      </c:pt>
                      <c:pt idx="6">
                        <c:v>354</c:v>
                      </c:pt>
                      <c:pt idx="7">
                        <c:v>362</c:v>
                      </c:pt>
                      <c:pt idx="8">
                        <c:v>370</c:v>
                      </c:pt>
                      <c:pt idx="9">
                        <c:v>378</c:v>
                      </c:pt>
                      <c:pt idx="10">
                        <c:v>386</c:v>
                      </c:pt>
                      <c:pt idx="11">
                        <c:v>394</c:v>
                      </c:pt>
                      <c:pt idx="12">
                        <c:v>402</c:v>
                      </c:pt>
                      <c:pt idx="13">
                        <c:v>410</c:v>
                      </c:pt>
                      <c:pt idx="14">
                        <c:v>418</c:v>
                      </c:pt>
                      <c:pt idx="15">
                        <c:v>426</c:v>
                      </c:pt>
                      <c:pt idx="16">
                        <c:v>434</c:v>
                      </c:pt>
                      <c:pt idx="17">
                        <c:v>442</c:v>
                      </c:pt>
                      <c:pt idx="18">
                        <c:v>450</c:v>
                      </c:pt>
                      <c:pt idx="19">
                        <c:v>458</c:v>
                      </c:pt>
                      <c:pt idx="20">
                        <c:v>466</c:v>
                      </c:pt>
                      <c:pt idx="21">
                        <c:v>474</c:v>
                      </c:pt>
                      <c:pt idx="22">
                        <c:v>482</c:v>
                      </c:pt>
                      <c:pt idx="23">
                        <c:v>490</c:v>
                      </c:pt>
                      <c:pt idx="24">
                        <c:v>498</c:v>
                      </c:pt>
                      <c:pt idx="25">
                        <c:v>506</c:v>
                      </c:pt>
                      <c:pt idx="26">
                        <c:v>514</c:v>
                      </c:pt>
                      <c:pt idx="27">
                        <c:v>522</c:v>
                      </c:pt>
                      <c:pt idx="28">
                        <c:v>530</c:v>
                      </c:pt>
                      <c:pt idx="29">
                        <c:v>538</c:v>
                      </c:pt>
                      <c:pt idx="30">
                        <c:v>546</c:v>
                      </c:pt>
                      <c:pt idx="31">
                        <c:v>554</c:v>
                      </c:pt>
                      <c:pt idx="32">
                        <c:v>562</c:v>
                      </c:pt>
                      <c:pt idx="33">
                        <c:v>570</c:v>
                      </c:pt>
                      <c:pt idx="34">
                        <c:v>578</c:v>
                      </c:pt>
                      <c:pt idx="35">
                        <c:v>586</c:v>
                      </c:pt>
                      <c:pt idx="36">
                        <c:v>594</c:v>
                      </c:pt>
                      <c:pt idx="37">
                        <c:v>602</c:v>
                      </c:pt>
                      <c:pt idx="38">
                        <c:v>610</c:v>
                      </c:pt>
                      <c:pt idx="39">
                        <c:v>618</c:v>
                      </c:pt>
                      <c:pt idx="40">
                        <c:v>626</c:v>
                      </c:pt>
                      <c:pt idx="41">
                        <c:v>634</c:v>
                      </c:pt>
                      <c:pt idx="42">
                        <c:v>642</c:v>
                      </c:pt>
                      <c:pt idx="43">
                        <c:v>650</c:v>
                      </c:pt>
                      <c:pt idx="44">
                        <c:v>658</c:v>
                      </c:pt>
                      <c:pt idx="45">
                        <c:v>666</c:v>
                      </c:pt>
                      <c:pt idx="46">
                        <c:v>674</c:v>
                      </c:pt>
                      <c:pt idx="47">
                        <c:v>682</c:v>
                      </c:pt>
                      <c:pt idx="48">
                        <c:v>690</c:v>
                      </c:pt>
                      <c:pt idx="49">
                        <c:v>698</c:v>
                      </c:pt>
                      <c:pt idx="50">
                        <c:v>706</c:v>
                      </c:pt>
                      <c:pt idx="51">
                        <c:v>714</c:v>
                      </c:pt>
                      <c:pt idx="52">
                        <c:v>722</c:v>
                      </c:pt>
                      <c:pt idx="53">
                        <c:v>730</c:v>
                      </c:pt>
                      <c:pt idx="54">
                        <c:v>738</c:v>
                      </c:pt>
                      <c:pt idx="55">
                        <c:v>746</c:v>
                      </c:pt>
                      <c:pt idx="56">
                        <c:v>754</c:v>
                      </c:pt>
                      <c:pt idx="57">
                        <c:v>762</c:v>
                      </c:pt>
                      <c:pt idx="58">
                        <c:v>770</c:v>
                      </c:pt>
                      <c:pt idx="59">
                        <c:v>778</c:v>
                      </c:pt>
                      <c:pt idx="60">
                        <c:v>786</c:v>
                      </c:pt>
                      <c:pt idx="61">
                        <c:v>794</c:v>
                      </c:pt>
                      <c:pt idx="62">
                        <c:v>802</c:v>
                      </c:pt>
                      <c:pt idx="63">
                        <c:v>810</c:v>
                      </c:pt>
                      <c:pt idx="64">
                        <c:v>818</c:v>
                      </c:pt>
                      <c:pt idx="65">
                        <c:v>826</c:v>
                      </c:pt>
                      <c:pt idx="66">
                        <c:v>834</c:v>
                      </c:pt>
                      <c:pt idx="67">
                        <c:v>842</c:v>
                      </c:pt>
                      <c:pt idx="68">
                        <c:v>850</c:v>
                      </c:pt>
                      <c:pt idx="69">
                        <c:v>858</c:v>
                      </c:pt>
                      <c:pt idx="70">
                        <c:v>866</c:v>
                      </c:pt>
                      <c:pt idx="71">
                        <c:v>874</c:v>
                      </c:pt>
                      <c:pt idx="72">
                        <c:v>882</c:v>
                      </c:pt>
                      <c:pt idx="73">
                        <c:v>890</c:v>
                      </c:pt>
                      <c:pt idx="74">
                        <c:v>898</c:v>
                      </c:pt>
                      <c:pt idx="75">
                        <c:v>906</c:v>
                      </c:pt>
                      <c:pt idx="76">
                        <c:v>914</c:v>
                      </c:pt>
                      <c:pt idx="77">
                        <c:v>922</c:v>
                      </c:pt>
                      <c:pt idx="78">
                        <c:v>930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EVALUATION!$B$143:$CP$143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-21.943243243243245</c:v>
                      </c:pt>
                      <c:pt idx="1">
                        <c:v>-21.741441441441442</c:v>
                      </c:pt>
                      <c:pt idx="2">
                        <c:v>-21.539639639639642</c:v>
                      </c:pt>
                      <c:pt idx="3">
                        <c:v>-21.337837837837839</c:v>
                      </c:pt>
                      <c:pt idx="4" formatCode="General">
                        <c:v>-21.317514970059882</c:v>
                      </c:pt>
                      <c:pt idx="5" formatCode="General">
                        <c:v>-21.339071856287426</c:v>
                      </c:pt>
                      <c:pt idx="6" formatCode="General">
                        <c:v>-21.360628742514972</c:v>
                      </c:pt>
                      <c:pt idx="7" formatCode="General">
                        <c:v>-21.382185628742516</c:v>
                      </c:pt>
                      <c:pt idx="8" formatCode="General">
                        <c:v>-21.452604790419162</c:v>
                      </c:pt>
                      <c:pt idx="9" formatCode="General">
                        <c:v>-21.550808383233534</c:v>
                      </c:pt>
                      <c:pt idx="10" formatCode="General">
                        <c:v>-21.649011976047905</c:v>
                      </c:pt>
                      <c:pt idx="11" formatCode="General">
                        <c:v>-21.747215568862277</c:v>
                      </c:pt>
                      <c:pt idx="12" formatCode="General">
                        <c:v>-21.843203592814373</c:v>
                      </c:pt>
                      <c:pt idx="13" formatCode="General">
                        <c:v>-21.936616766467068</c:v>
                      </c:pt>
                      <c:pt idx="14" formatCode="General">
                        <c:v>-22.030029940119761</c:v>
                      </c:pt>
                      <c:pt idx="15" formatCode="General">
                        <c:v>-22.123443113772456</c:v>
                      </c:pt>
                      <c:pt idx="16" formatCode="General">
                        <c:v>-22.209970059880241</c:v>
                      </c:pt>
                      <c:pt idx="17" formatCode="General">
                        <c:v>-22.279431137724551</c:v>
                      </c:pt>
                      <c:pt idx="18" formatCode="General">
                        <c:v>-22.348892215568863</c:v>
                      </c:pt>
                      <c:pt idx="19" formatCode="General">
                        <c:v>-22.418353293413173</c:v>
                      </c:pt>
                      <c:pt idx="20" formatCode="General">
                        <c:v>-22.488353293413173</c:v>
                      </c:pt>
                      <c:pt idx="21" formatCode="General">
                        <c:v>-22.562604790419162</c:v>
                      </c:pt>
                      <c:pt idx="22" formatCode="General">
                        <c:v>-22.63685628742515</c:v>
                      </c:pt>
                      <c:pt idx="23" formatCode="General">
                        <c:v>-22.711107784431139</c:v>
                      </c:pt>
                      <c:pt idx="24" formatCode="General">
                        <c:v>-22.785359281437124</c:v>
                      </c:pt>
                      <c:pt idx="25" formatCode="General">
                        <c:v>-22.846306306306307</c:v>
                      </c:pt>
                      <c:pt idx="26" formatCode="General">
                        <c:v>-22.906366366366367</c:v>
                      </c:pt>
                      <c:pt idx="27" formatCode="General">
                        <c:v>-22.966426426426427</c:v>
                      </c:pt>
                      <c:pt idx="28" formatCode="General">
                        <c:v>-23.026486486486487</c:v>
                      </c:pt>
                      <c:pt idx="29" formatCode="General">
                        <c:v>-23.130958083832336</c:v>
                      </c:pt>
                      <c:pt idx="30" formatCode="General">
                        <c:v>-23.248323353293415</c:v>
                      </c:pt>
                      <c:pt idx="31" formatCode="General">
                        <c:v>-23.36568862275449</c:v>
                      </c:pt>
                      <c:pt idx="32" formatCode="General">
                        <c:v>-23.483053892215569</c:v>
                      </c:pt>
                      <c:pt idx="33" formatCode="General">
                        <c:v>-23.60185628742515</c:v>
                      </c:pt>
                      <c:pt idx="34" formatCode="General">
                        <c:v>-23.721616766467065</c:v>
                      </c:pt>
                      <c:pt idx="35" formatCode="General">
                        <c:v>-23.841377245508983</c:v>
                      </c:pt>
                      <c:pt idx="36" formatCode="General">
                        <c:v>-23.961137724550898</c:v>
                      </c:pt>
                      <c:pt idx="37" formatCode="General">
                        <c:v>-24.078862275449104</c:v>
                      </c:pt>
                      <c:pt idx="38" formatCode="General">
                        <c:v>-24.193832335329343</c:v>
                      </c:pt>
                      <c:pt idx="39" formatCode="General">
                        <c:v>-24.308802395209582</c:v>
                      </c:pt>
                      <c:pt idx="40" formatCode="General">
                        <c:v>-24.423772455089821</c:v>
                      </c:pt>
                      <c:pt idx="41" formatCode="General">
                        <c:v>-24.53874251497006</c:v>
                      </c:pt>
                      <c:pt idx="42" formatCode="General">
                        <c:v>-24.653712574850299</c:v>
                      </c:pt>
                      <c:pt idx="43" formatCode="General">
                        <c:v>-24.768682634730538</c:v>
                      </c:pt>
                      <c:pt idx="44" formatCode="General">
                        <c:v>-24.883652694610777</c:v>
                      </c:pt>
                      <c:pt idx="45" formatCode="General">
                        <c:v>-24.998622754491016</c:v>
                      </c:pt>
                      <c:pt idx="46" formatCode="General">
                        <c:v>-25.113592814371255</c:v>
                      </c:pt>
                      <c:pt idx="47" formatCode="General">
                        <c:v>-25.228562874251494</c:v>
                      </c:pt>
                      <c:pt idx="48" formatCode="General">
                        <c:v>-25.343532934131737</c:v>
                      </c:pt>
                      <c:pt idx="49" formatCode="General">
                        <c:v>-25.458502994011976</c:v>
                      </c:pt>
                      <c:pt idx="50" formatCode="General">
                        <c:v>-25.567617977528091</c:v>
                      </c:pt>
                      <c:pt idx="51" formatCode="General">
                        <c:v>-25.676082397003746</c:v>
                      </c:pt>
                      <c:pt idx="52" formatCode="General">
                        <c:v>-25.784546816479402</c:v>
                      </c:pt>
                      <c:pt idx="53" formatCode="General">
                        <c:v>-25.893011235955058</c:v>
                      </c:pt>
                      <c:pt idx="54" formatCode="General">
                        <c:v>-26.001475655430713</c:v>
                      </c:pt>
                      <c:pt idx="55" formatCode="General">
                        <c:v>-26.109940074906369</c:v>
                      </c:pt>
                      <c:pt idx="56" formatCode="General">
                        <c:v>-26.218404494382021</c:v>
                      </c:pt>
                      <c:pt idx="57" formatCode="General">
                        <c:v>-26.326868913857677</c:v>
                      </c:pt>
                      <c:pt idx="58" formatCode="General">
                        <c:v>-26.435333333333332</c:v>
                      </c:pt>
                      <c:pt idx="59" formatCode="General">
                        <c:v>-26.543797752808988</c:v>
                      </c:pt>
                      <c:pt idx="60" formatCode="General">
                        <c:v>-26.652262172284644</c:v>
                      </c:pt>
                      <c:pt idx="61" formatCode="General">
                        <c:v>-26.760726591760299</c:v>
                      </c:pt>
                      <c:pt idx="62" formatCode="General">
                        <c:v>-26.869191011235955</c:v>
                      </c:pt>
                      <c:pt idx="63" formatCode="General">
                        <c:v>-26.977655430711611</c:v>
                      </c:pt>
                      <c:pt idx="64" formatCode="General">
                        <c:v>-27.086119850187266</c:v>
                      </c:pt>
                      <c:pt idx="65" formatCode="General">
                        <c:v>-27.194584269662922</c:v>
                      </c:pt>
                      <c:pt idx="66" formatCode="General">
                        <c:v>-27.301902621722849</c:v>
                      </c:pt>
                      <c:pt idx="67" formatCode="General">
                        <c:v>-27.404973782771538</c:v>
                      </c:pt>
                      <c:pt idx="68" formatCode="General">
                        <c:v>-27.508044943820227</c:v>
                      </c:pt>
                      <c:pt idx="69" formatCode="General">
                        <c:v>-27.611116104868916</c:v>
                      </c:pt>
                      <c:pt idx="70" formatCode="General">
                        <c:v>-27.714187265917605</c:v>
                      </c:pt>
                      <c:pt idx="71" formatCode="General">
                        <c:v>-27.817258426966294</c:v>
                      </c:pt>
                      <c:pt idx="72" formatCode="General">
                        <c:v>-27.920329588014983</c:v>
                      </c:pt>
                      <c:pt idx="73" formatCode="General">
                        <c:v>-28.023400749063672</c:v>
                      </c:pt>
                      <c:pt idx="74" formatCode="General">
                        <c:v>-28.126471910112361</c:v>
                      </c:pt>
                      <c:pt idx="75" formatCode="General">
                        <c:v>-28.22954307116105</c:v>
                      </c:pt>
                      <c:pt idx="76" formatCode="General">
                        <c:v>-28.332614232209739</c:v>
                      </c:pt>
                      <c:pt idx="77" formatCode="General">
                        <c:v>-28.435685393258428</c:v>
                      </c:pt>
                      <c:pt idx="78" formatCode="General">
                        <c:v>-28.538756554307117</c:v>
                      </c:pt>
                      <c:pt idx="79" formatCode="General">
                        <c:v>-28.641827715355806</c:v>
                      </c:pt>
                      <c:pt idx="80" formatCode="General">
                        <c:v>-28.744898876404495</c:v>
                      </c:pt>
                      <c:pt idx="81" formatCode="General">
                        <c:v>-28.847970037453184</c:v>
                      </c:pt>
                      <c:pt idx="82" formatCode="General">
                        <c:v>-28.951041198501873</c:v>
                      </c:pt>
                      <c:pt idx="83" formatCode="General">
                        <c:v>-29.051396396396395</c:v>
                      </c:pt>
                      <c:pt idx="84" formatCode="General">
                        <c:v>-29.149294294294293</c:v>
                      </c:pt>
                      <c:pt idx="85" formatCode="General">
                        <c:v>-29.247192192192191</c:v>
                      </c:pt>
                      <c:pt idx="86" formatCode="General">
                        <c:v>-29.345090090090089</c:v>
                      </c:pt>
                      <c:pt idx="87" formatCode="General">
                        <c:v>-44.975564356435648</c:v>
                      </c:pt>
                      <c:pt idx="88" formatCode="General">
                        <c:v>-45.122099009900992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D-27FC-4A9D-A437-1D0023828BE9}"/>
                  </c:ext>
                </c:extLst>
              </c15:ser>
            </c15:filteredScatterSeries>
            <c15:filteredScatterSeries>
              <c15:ser>
                <c:idx val="42"/>
                <c:order val="43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306</c:v>
                      </c:pt>
                      <c:pt idx="1">
                        <c:v>314</c:v>
                      </c:pt>
                      <c:pt idx="2">
                        <c:v>322</c:v>
                      </c:pt>
                      <c:pt idx="3">
                        <c:v>330</c:v>
                      </c:pt>
                      <c:pt idx="4">
                        <c:v>338</c:v>
                      </c:pt>
                      <c:pt idx="5">
                        <c:v>346</c:v>
                      </c:pt>
                      <c:pt idx="6">
                        <c:v>354</c:v>
                      </c:pt>
                      <c:pt idx="7">
                        <c:v>362</c:v>
                      </c:pt>
                      <c:pt idx="8">
                        <c:v>370</c:v>
                      </c:pt>
                      <c:pt idx="9">
                        <c:v>378</c:v>
                      </c:pt>
                      <c:pt idx="10">
                        <c:v>386</c:v>
                      </c:pt>
                      <c:pt idx="11">
                        <c:v>394</c:v>
                      </c:pt>
                      <c:pt idx="12">
                        <c:v>402</c:v>
                      </c:pt>
                      <c:pt idx="13">
                        <c:v>410</c:v>
                      </c:pt>
                      <c:pt idx="14">
                        <c:v>418</c:v>
                      </c:pt>
                      <c:pt idx="15">
                        <c:v>426</c:v>
                      </c:pt>
                      <c:pt idx="16">
                        <c:v>434</c:v>
                      </c:pt>
                      <c:pt idx="17">
                        <c:v>442</c:v>
                      </c:pt>
                      <c:pt idx="18">
                        <c:v>450</c:v>
                      </c:pt>
                      <c:pt idx="19">
                        <c:v>458</c:v>
                      </c:pt>
                      <c:pt idx="20">
                        <c:v>466</c:v>
                      </c:pt>
                      <c:pt idx="21">
                        <c:v>474</c:v>
                      </c:pt>
                      <c:pt idx="22">
                        <c:v>482</c:v>
                      </c:pt>
                      <c:pt idx="23">
                        <c:v>490</c:v>
                      </c:pt>
                      <c:pt idx="24">
                        <c:v>498</c:v>
                      </c:pt>
                      <c:pt idx="25">
                        <c:v>506</c:v>
                      </c:pt>
                      <c:pt idx="26">
                        <c:v>514</c:v>
                      </c:pt>
                      <c:pt idx="27">
                        <c:v>522</c:v>
                      </c:pt>
                      <c:pt idx="28">
                        <c:v>530</c:v>
                      </c:pt>
                      <c:pt idx="29">
                        <c:v>538</c:v>
                      </c:pt>
                      <c:pt idx="30">
                        <c:v>546</c:v>
                      </c:pt>
                      <c:pt idx="31">
                        <c:v>554</c:v>
                      </c:pt>
                      <c:pt idx="32">
                        <c:v>562</c:v>
                      </c:pt>
                      <c:pt idx="33">
                        <c:v>570</c:v>
                      </c:pt>
                      <c:pt idx="34">
                        <c:v>578</c:v>
                      </c:pt>
                      <c:pt idx="35">
                        <c:v>586</c:v>
                      </c:pt>
                      <c:pt idx="36">
                        <c:v>594</c:v>
                      </c:pt>
                      <c:pt idx="37">
                        <c:v>602</c:v>
                      </c:pt>
                      <c:pt idx="38">
                        <c:v>610</c:v>
                      </c:pt>
                      <c:pt idx="39">
                        <c:v>618</c:v>
                      </c:pt>
                      <c:pt idx="40">
                        <c:v>626</c:v>
                      </c:pt>
                      <c:pt idx="41">
                        <c:v>634</c:v>
                      </c:pt>
                      <c:pt idx="42">
                        <c:v>642</c:v>
                      </c:pt>
                      <c:pt idx="43">
                        <c:v>650</c:v>
                      </c:pt>
                      <c:pt idx="44">
                        <c:v>658</c:v>
                      </c:pt>
                      <c:pt idx="45">
                        <c:v>666</c:v>
                      </c:pt>
                      <c:pt idx="46">
                        <c:v>674</c:v>
                      </c:pt>
                      <c:pt idx="47">
                        <c:v>682</c:v>
                      </c:pt>
                      <c:pt idx="48">
                        <c:v>690</c:v>
                      </c:pt>
                      <c:pt idx="49">
                        <c:v>698</c:v>
                      </c:pt>
                      <c:pt idx="50">
                        <c:v>706</c:v>
                      </c:pt>
                      <c:pt idx="51">
                        <c:v>714</c:v>
                      </c:pt>
                      <c:pt idx="52">
                        <c:v>722</c:v>
                      </c:pt>
                      <c:pt idx="53">
                        <c:v>730</c:v>
                      </c:pt>
                      <c:pt idx="54">
                        <c:v>738</c:v>
                      </c:pt>
                      <c:pt idx="55">
                        <c:v>746</c:v>
                      </c:pt>
                      <c:pt idx="56">
                        <c:v>754</c:v>
                      </c:pt>
                      <c:pt idx="57">
                        <c:v>762</c:v>
                      </c:pt>
                      <c:pt idx="58">
                        <c:v>770</c:v>
                      </c:pt>
                      <c:pt idx="59">
                        <c:v>778</c:v>
                      </c:pt>
                      <c:pt idx="60">
                        <c:v>786</c:v>
                      </c:pt>
                      <c:pt idx="61">
                        <c:v>794</c:v>
                      </c:pt>
                      <c:pt idx="62">
                        <c:v>802</c:v>
                      </c:pt>
                      <c:pt idx="63">
                        <c:v>810</c:v>
                      </c:pt>
                      <c:pt idx="64">
                        <c:v>818</c:v>
                      </c:pt>
                      <c:pt idx="65">
                        <c:v>826</c:v>
                      </c:pt>
                      <c:pt idx="66">
                        <c:v>834</c:v>
                      </c:pt>
                      <c:pt idx="67">
                        <c:v>842</c:v>
                      </c:pt>
                      <c:pt idx="68">
                        <c:v>850</c:v>
                      </c:pt>
                      <c:pt idx="69">
                        <c:v>858</c:v>
                      </c:pt>
                      <c:pt idx="70">
                        <c:v>866</c:v>
                      </c:pt>
                      <c:pt idx="71">
                        <c:v>874</c:v>
                      </c:pt>
                      <c:pt idx="72">
                        <c:v>882</c:v>
                      </c:pt>
                      <c:pt idx="73">
                        <c:v>890</c:v>
                      </c:pt>
                      <c:pt idx="74">
                        <c:v>898</c:v>
                      </c:pt>
                      <c:pt idx="75">
                        <c:v>906</c:v>
                      </c:pt>
                      <c:pt idx="76">
                        <c:v>914</c:v>
                      </c:pt>
                      <c:pt idx="77">
                        <c:v>922</c:v>
                      </c:pt>
                      <c:pt idx="78">
                        <c:v>930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EVALUATION!$B$144:$CP$144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-21.943243243243245</c:v>
                      </c:pt>
                      <c:pt idx="1">
                        <c:v>-21.741441441441442</c:v>
                      </c:pt>
                      <c:pt idx="2">
                        <c:v>-21.539639639639642</c:v>
                      </c:pt>
                      <c:pt idx="3">
                        <c:v>-21.337837837837839</c:v>
                      </c:pt>
                      <c:pt idx="4" formatCode="General">
                        <c:v>-21.317514970059882</c:v>
                      </c:pt>
                      <c:pt idx="5" formatCode="General">
                        <c:v>-21.339071856287426</c:v>
                      </c:pt>
                      <c:pt idx="6" formatCode="General">
                        <c:v>-21.360628742514972</c:v>
                      </c:pt>
                      <c:pt idx="7" formatCode="General">
                        <c:v>-21.382185628742516</c:v>
                      </c:pt>
                      <c:pt idx="8" formatCode="General">
                        <c:v>-21.452604790419162</c:v>
                      </c:pt>
                      <c:pt idx="9" formatCode="General">
                        <c:v>-21.550808383233534</c:v>
                      </c:pt>
                      <c:pt idx="10" formatCode="General">
                        <c:v>-21.649011976047905</c:v>
                      </c:pt>
                      <c:pt idx="11" formatCode="General">
                        <c:v>-21.747215568862277</c:v>
                      </c:pt>
                      <c:pt idx="12" formatCode="General">
                        <c:v>-21.843203592814373</c:v>
                      </c:pt>
                      <c:pt idx="13" formatCode="General">
                        <c:v>-21.936616766467068</c:v>
                      </c:pt>
                      <c:pt idx="14" formatCode="General">
                        <c:v>-22.030029940119761</c:v>
                      </c:pt>
                      <c:pt idx="15" formatCode="General">
                        <c:v>-22.123443113772456</c:v>
                      </c:pt>
                      <c:pt idx="16" formatCode="General">
                        <c:v>-22.209970059880241</c:v>
                      </c:pt>
                      <c:pt idx="17" formatCode="General">
                        <c:v>-22.279431137724551</c:v>
                      </c:pt>
                      <c:pt idx="18" formatCode="General">
                        <c:v>-22.348892215568863</c:v>
                      </c:pt>
                      <c:pt idx="19" formatCode="General">
                        <c:v>-22.418353293413173</c:v>
                      </c:pt>
                      <c:pt idx="20" formatCode="General">
                        <c:v>-22.488353293413173</c:v>
                      </c:pt>
                      <c:pt idx="21" formatCode="General">
                        <c:v>-22.562604790419162</c:v>
                      </c:pt>
                      <c:pt idx="22" formatCode="General">
                        <c:v>-22.63685628742515</c:v>
                      </c:pt>
                      <c:pt idx="23" formatCode="General">
                        <c:v>-22.711107784431139</c:v>
                      </c:pt>
                      <c:pt idx="24" formatCode="General">
                        <c:v>-22.785359281437124</c:v>
                      </c:pt>
                      <c:pt idx="25" formatCode="General">
                        <c:v>-22.846306306306307</c:v>
                      </c:pt>
                      <c:pt idx="26" formatCode="General">
                        <c:v>-22.906366366366367</c:v>
                      </c:pt>
                      <c:pt idx="27" formatCode="General">
                        <c:v>-22.966426426426427</c:v>
                      </c:pt>
                      <c:pt idx="28" formatCode="General">
                        <c:v>-23.026486486486487</c:v>
                      </c:pt>
                      <c:pt idx="29" formatCode="General">
                        <c:v>-23.130958083832336</c:v>
                      </c:pt>
                      <c:pt idx="30" formatCode="General">
                        <c:v>-23.248323353293415</c:v>
                      </c:pt>
                      <c:pt idx="31" formatCode="General">
                        <c:v>-23.36568862275449</c:v>
                      </c:pt>
                      <c:pt idx="32" formatCode="General">
                        <c:v>-23.483053892215569</c:v>
                      </c:pt>
                      <c:pt idx="33" formatCode="General">
                        <c:v>-23.60185628742515</c:v>
                      </c:pt>
                      <c:pt idx="34" formatCode="General">
                        <c:v>-23.721616766467065</c:v>
                      </c:pt>
                      <c:pt idx="35" formatCode="General">
                        <c:v>-23.841377245508983</c:v>
                      </c:pt>
                      <c:pt idx="36" formatCode="General">
                        <c:v>-23.961137724550898</c:v>
                      </c:pt>
                      <c:pt idx="37" formatCode="General">
                        <c:v>-24.078862275449104</c:v>
                      </c:pt>
                      <c:pt idx="38" formatCode="General">
                        <c:v>-24.193832335329343</c:v>
                      </c:pt>
                      <c:pt idx="39" formatCode="General">
                        <c:v>-24.308802395209582</c:v>
                      </c:pt>
                      <c:pt idx="40" formatCode="General">
                        <c:v>-24.423772455089821</c:v>
                      </c:pt>
                      <c:pt idx="41" formatCode="General">
                        <c:v>-24.53874251497006</c:v>
                      </c:pt>
                      <c:pt idx="42" formatCode="General">
                        <c:v>-24.653712574850299</c:v>
                      </c:pt>
                      <c:pt idx="43" formatCode="General">
                        <c:v>-24.768682634730538</c:v>
                      </c:pt>
                      <c:pt idx="44" formatCode="General">
                        <c:v>-24.883652694610777</c:v>
                      </c:pt>
                      <c:pt idx="45" formatCode="General">
                        <c:v>-24.998622754491016</c:v>
                      </c:pt>
                      <c:pt idx="46" formatCode="General">
                        <c:v>-25.113592814371255</c:v>
                      </c:pt>
                      <c:pt idx="47" formatCode="General">
                        <c:v>-25.228562874251494</c:v>
                      </c:pt>
                      <c:pt idx="48" formatCode="General">
                        <c:v>-25.343532934131737</c:v>
                      </c:pt>
                      <c:pt idx="49" formatCode="General">
                        <c:v>-25.458502994011976</c:v>
                      </c:pt>
                      <c:pt idx="50" formatCode="General">
                        <c:v>-25.567617977528091</c:v>
                      </c:pt>
                      <c:pt idx="51" formatCode="General">
                        <c:v>-25.676082397003746</c:v>
                      </c:pt>
                      <c:pt idx="52" formatCode="General">
                        <c:v>-25.784546816479402</c:v>
                      </c:pt>
                      <c:pt idx="53" formatCode="General">
                        <c:v>-25.893011235955058</c:v>
                      </c:pt>
                      <c:pt idx="54" formatCode="General">
                        <c:v>-26.001475655430713</c:v>
                      </c:pt>
                      <c:pt idx="55" formatCode="General">
                        <c:v>-26.109940074906369</c:v>
                      </c:pt>
                      <c:pt idx="56" formatCode="General">
                        <c:v>-26.218404494382021</c:v>
                      </c:pt>
                      <c:pt idx="57" formatCode="General">
                        <c:v>-26.326868913857677</c:v>
                      </c:pt>
                      <c:pt idx="58" formatCode="General">
                        <c:v>-26.435333333333332</c:v>
                      </c:pt>
                      <c:pt idx="59" formatCode="General">
                        <c:v>-26.543797752808988</c:v>
                      </c:pt>
                      <c:pt idx="60" formatCode="General">
                        <c:v>-26.652262172284644</c:v>
                      </c:pt>
                      <c:pt idx="61" formatCode="General">
                        <c:v>-26.760726591760299</c:v>
                      </c:pt>
                      <c:pt idx="62" formatCode="General">
                        <c:v>-26.869191011235955</c:v>
                      </c:pt>
                      <c:pt idx="63" formatCode="General">
                        <c:v>-26.977655430711611</c:v>
                      </c:pt>
                      <c:pt idx="64" formatCode="General">
                        <c:v>-27.086119850187266</c:v>
                      </c:pt>
                      <c:pt idx="65" formatCode="General">
                        <c:v>-27.194584269662922</c:v>
                      </c:pt>
                      <c:pt idx="66" formatCode="General">
                        <c:v>-27.301902621722849</c:v>
                      </c:pt>
                      <c:pt idx="67" formatCode="General">
                        <c:v>-27.404973782771538</c:v>
                      </c:pt>
                      <c:pt idx="68" formatCode="General">
                        <c:v>-27.508044943820227</c:v>
                      </c:pt>
                      <c:pt idx="69" formatCode="General">
                        <c:v>-27.611116104868916</c:v>
                      </c:pt>
                      <c:pt idx="70" formatCode="General">
                        <c:v>-27.714187265917605</c:v>
                      </c:pt>
                      <c:pt idx="71" formatCode="General">
                        <c:v>-27.817258426966294</c:v>
                      </c:pt>
                      <c:pt idx="72" formatCode="General">
                        <c:v>-27.920329588014983</c:v>
                      </c:pt>
                      <c:pt idx="73" formatCode="General">
                        <c:v>-28.023400749063672</c:v>
                      </c:pt>
                      <c:pt idx="74" formatCode="General">
                        <c:v>-28.126471910112361</c:v>
                      </c:pt>
                      <c:pt idx="75" formatCode="General">
                        <c:v>-28.22954307116105</c:v>
                      </c:pt>
                      <c:pt idx="76" formatCode="General">
                        <c:v>-28.332614232209739</c:v>
                      </c:pt>
                      <c:pt idx="77" formatCode="General">
                        <c:v>-28.435685393258428</c:v>
                      </c:pt>
                      <c:pt idx="78" formatCode="General">
                        <c:v>-28.538756554307117</c:v>
                      </c:pt>
                      <c:pt idx="79" formatCode="General">
                        <c:v>-28.641827715355806</c:v>
                      </c:pt>
                      <c:pt idx="80" formatCode="General">
                        <c:v>-28.744898876404495</c:v>
                      </c:pt>
                      <c:pt idx="81" formatCode="General">
                        <c:v>-28.847970037453184</c:v>
                      </c:pt>
                      <c:pt idx="82" formatCode="General">
                        <c:v>-28.951041198501873</c:v>
                      </c:pt>
                      <c:pt idx="83" formatCode="General">
                        <c:v>-29.051396396396395</c:v>
                      </c:pt>
                      <c:pt idx="84" formatCode="General">
                        <c:v>-29.149294294294293</c:v>
                      </c:pt>
                      <c:pt idx="85" formatCode="General">
                        <c:v>-29.247192192192191</c:v>
                      </c:pt>
                      <c:pt idx="86" formatCode="General">
                        <c:v>-29.345090090090089</c:v>
                      </c:pt>
                      <c:pt idx="87" formatCode="General">
                        <c:v>-7.3468118811881187</c:v>
                      </c:pt>
                      <c:pt idx="88" formatCode="General">
                        <c:v>-7.3646336633663365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E-27FC-4A9D-A437-1D0023828BE9}"/>
                  </c:ext>
                </c:extLst>
              </c15:ser>
            </c15:filteredScatterSeries>
            <c15:filteredScatterSeries>
              <c15:ser>
                <c:idx val="43"/>
                <c:order val="44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306</c:v>
                      </c:pt>
                      <c:pt idx="1">
                        <c:v>314</c:v>
                      </c:pt>
                      <c:pt idx="2">
                        <c:v>322</c:v>
                      </c:pt>
                      <c:pt idx="3">
                        <c:v>330</c:v>
                      </c:pt>
                      <c:pt idx="4">
                        <c:v>338</c:v>
                      </c:pt>
                      <c:pt idx="5">
                        <c:v>346</c:v>
                      </c:pt>
                      <c:pt idx="6">
                        <c:v>354</c:v>
                      </c:pt>
                      <c:pt idx="7">
                        <c:v>362</c:v>
                      </c:pt>
                      <c:pt idx="8">
                        <c:v>370</c:v>
                      </c:pt>
                      <c:pt idx="9">
                        <c:v>378</c:v>
                      </c:pt>
                      <c:pt idx="10">
                        <c:v>386</c:v>
                      </c:pt>
                      <c:pt idx="11">
                        <c:v>394</c:v>
                      </c:pt>
                      <c:pt idx="12">
                        <c:v>402</c:v>
                      </c:pt>
                      <c:pt idx="13">
                        <c:v>410</c:v>
                      </c:pt>
                      <c:pt idx="14">
                        <c:v>418</c:v>
                      </c:pt>
                      <c:pt idx="15">
                        <c:v>426</c:v>
                      </c:pt>
                      <c:pt idx="16">
                        <c:v>434</c:v>
                      </c:pt>
                      <c:pt idx="17">
                        <c:v>442</c:v>
                      </c:pt>
                      <c:pt idx="18">
                        <c:v>450</c:v>
                      </c:pt>
                      <c:pt idx="19">
                        <c:v>458</c:v>
                      </c:pt>
                      <c:pt idx="20">
                        <c:v>466</c:v>
                      </c:pt>
                      <c:pt idx="21">
                        <c:v>474</c:v>
                      </c:pt>
                      <c:pt idx="22">
                        <c:v>482</c:v>
                      </c:pt>
                      <c:pt idx="23">
                        <c:v>490</c:v>
                      </c:pt>
                      <c:pt idx="24">
                        <c:v>498</c:v>
                      </c:pt>
                      <c:pt idx="25">
                        <c:v>506</c:v>
                      </c:pt>
                      <c:pt idx="26">
                        <c:v>514</c:v>
                      </c:pt>
                      <c:pt idx="27">
                        <c:v>522</c:v>
                      </c:pt>
                      <c:pt idx="28">
                        <c:v>530</c:v>
                      </c:pt>
                      <c:pt idx="29">
                        <c:v>538</c:v>
                      </c:pt>
                      <c:pt idx="30">
                        <c:v>546</c:v>
                      </c:pt>
                      <c:pt idx="31">
                        <c:v>554</c:v>
                      </c:pt>
                      <c:pt idx="32">
                        <c:v>562</c:v>
                      </c:pt>
                      <c:pt idx="33">
                        <c:v>570</c:v>
                      </c:pt>
                      <c:pt idx="34">
                        <c:v>578</c:v>
                      </c:pt>
                      <c:pt idx="35">
                        <c:v>586</c:v>
                      </c:pt>
                      <c:pt idx="36">
                        <c:v>594</c:v>
                      </c:pt>
                      <c:pt idx="37">
                        <c:v>602</c:v>
                      </c:pt>
                      <c:pt idx="38">
                        <c:v>610</c:v>
                      </c:pt>
                      <c:pt idx="39">
                        <c:v>618</c:v>
                      </c:pt>
                      <c:pt idx="40">
                        <c:v>626</c:v>
                      </c:pt>
                      <c:pt idx="41">
                        <c:v>634</c:v>
                      </c:pt>
                      <c:pt idx="42">
                        <c:v>642</c:v>
                      </c:pt>
                      <c:pt idx="43">
                        <c:v>650</c:v>
                      </c:pt>
                      <c:pt idx="44">
                        <c:v>658</c:v>
                      </c:pt>
                      <c:pt idx="45">
                        <c:v>666</c:v>
                      </c:pt>
                      <c:pt idx="46">
                        <c:v>674</c:v>
                      </c:pt>
                      <c:pt idx="47">
                        <c:v>682</c:v>
                      </c:pt>
                      <c:pt idx="48">
                        <c:v>690</c:v>
                      </c:pt>
                      <c:pt idx="49">
                        <c:v>698</c:v>
                      </c:pt>
                      <c:pt idx="50">
                        <c:v>706</c:v>
                      </c:pt>
                      <c:pt idx="51">
                        <c:v>714</c:v>
                      </c:pt>
                      <c:pt idx="52">
                        <c:v>722</c:v>
                      </c:pt>
                      <c:pt idx="53">
                        <c:v>730</c:v>
                      </c:pt>
                      <c:pt idx="54">
                        <c:v>738</c:v>
                      </c:pt>
                      <c:pt idx="55">
                        <c:v>746</c:v>
                      </c:pt>
                      <c:pt idx="56">
                        <c:v>754</c:v>
                      </c:pt>
                      <c:pt idx="57">
                        <c:v>762</c:v>
                      </c:pt>
                      <c:pt idx="58">
                        <c:v>770</c:v>
                      </c:pt>
                      <c:pt idx="59">
                        <c:v>778</c:v>
                      </c:pt>
                      <c:pt idx="60">
                        <c:v>786</c:v>
                      </c:pt>
                      <c:pt idx="61">
                        <c:v>794</c:v>
                      </c:pt>
                      <c:pt idx="62">
                        <c:v>802</c:v>
                      </c:pt>
                      <c:pt idx="63">
                        <c:v>810</c:v>
                      </c:pt>
                      <c:pt idx="64">
                        <c:v>818</c:v>
                      </c:pt>
                      <c:pt idx="65">
                        <c:v>826</c:v>
                      </c:pt>
                      <c:pt idx="66">
                        <c:v>834</c:v>
                      </c:pt>
                      <c:pt idx="67">
                        <c:v>842</c:v>
                      </c:pt>
                      <c:pt idx="68">
                        <c:v>850</c:v>
                      </c:pt>
                      <c:pt idx="69">
                        <c:v>858</c:v>
                      </c:pt>
                      <c:pt idx="70">
                        <c:v>866</c:v>
                      </c:pt>
                      <c:pt idx="71">
                        <c:v>874</c:v>
                      </c:pt>
                      <c:pt idx="72">
                        <c:v>882</c:v>
                      </c:pt>
                      <c:pt idx="73">
                        <c:v>890</c:v>
                      </c:pt>
                      <c:pt idx="74">
                        <c:v>898</c:v>
                      </c:pt>
                      <c:pt idx="75">
                        <c:v>906</c:v>
                      </c:pt>
                      <c:pt idx="76">
                        <c:v>914</c:v>
                      </c:pt>
                      <c:pt idx="77">
                        <c:v>922</c:v>
                      </c:pt>
                      <c:pt idx="78">
                        <c:v>930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EVALUATION!$B$145:$CP$145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-21.943243243243245</c:v>
                      </c:pt>
                      <c:pt idx="1">
                        <c:v>-21.741441441441442</c:v>
                      </c:pt>
                      <c:pt idx="2">
                        <c:v>-21.539639639639642</c:v>
                      </c:pt>
                      <c:pt idx="3">
                        <c:v>-21.337837837837839</c:v>
                      </c:pt>
                      <c:pt idx="4" formatCode="General">
                        <c:v>-21.317514970059882</c:v>
                      </c:pt>
                      <c:pt idx="5" formatCode="General">
                        <c:v>-21.339071856287426</c:v>
                      </c:pt>
                      <c:pt idx="6" formatCode="General">
                        <c:v>-21.360628742514972</c:v>
                      </c:pt>
                      <c:pt idx="7" formatCode="General">
                        <c:v>-21.382185628742516</c:v>
                      </c:pt>
                      <c:pt idx="8" formatCode="General">
                        <c:v>-21.452604790419162</c:v>
                      </c:pt>
                      <c:pt idx="9" formatCode="General">
                        <c:v>-21.550808383233534</c:v>
                      </c:pt>
                      <c:pt idx="10" formatCode="General">
                        <c:v>-21.649011976047905</c:v>
                      </c:pt>
                      <c:pt idx="11" formatCode="General">
                        <c:v>-21.747215568862277</c:v>
                      </c:pt>
                      <c:pt idx="12" formatCode="General">
                        <c:v>-21.843203592814373</c:v>
                      </c:pt>
                      <c:pt idx="13" formatCode="General">
                        <c:v>-21.936616766467068</c:v>
                      </c:pt>
                      <c:pt idx="14" formatCode="General">
                        <c:v>-22.030029940119761</c:v>
                      </c:pt>
                      <c:pt idx="15" formatCode="General">
                        <c:v>-22.123443113772456</c:v>
                      </c:pt>
                      <c:pt idx="16" formatCode="General">
                        <c:v>-22.209970059880241</c:v>
                      </c:pt>
                      <c:pt idx="17" formatCode="General">
                        <c:v>-22.279431137724551</c:v>
                      </c:pt>
                      <c:pt idx="18" formatCode="General">
                        <c:v>-22.348892215568863</c:v>
                      </c:pt>
                      <c:pt idx="19" formatCode="General">
                        <c:v>-22.418353293413173</c:v>
                      </c:pt>
                      <c:pt idx="20" formatCode="General">
                        <c:v>-22.488353293413173</c:v>
                      </c:pt>
                      <c:pt idx="21" formatCode="General">
                        <c:v>-22.562604790419162</c:v>
                      </c:pt>
                      <c:pt idx="22" formatCode="General">
                        <c:v>-22.63685628742515</c:v>
                      </c:pt>
                      <c:pt idx="23" formatCode="General">
                        <c:v>-22.711107784431139</c:v>
                      </c:pt>
                      <c:pt idx="24" formatCode="General">
                        <c:v>-22.785359281437124</c:v>
                      </c:pt>
                      <c:pt idx="25" formatCode="General">
                        <c:v>-22.846306306306307</c:v>
                      </c:pt>
                      <c:pt idx="26" formatCode="General">
                        <c:v>-22.906366366366367</c:v>
                      </c:pt>
                      <c:pt idx="27" formatCode="General">
                        <c:v>-22.966426426426427</c:v>
                      </c:pt>
                      <c:pt idx="28" formatCode="General">
                        <c:v>-23.026486486486487</c:v>
                      </c:pt>
                      <c:pt idx="29" formatCode="General">
                        <c:v>-23.130958083832336</c:v>
                      </c:pt>
                      <c:pt idx="30" formatCode="General">
                        <c:v>-23.248323353293415</c:v>
                      </c:pt>
                      <c:pt idx="31" formatCode="General">
                        <c:v>-23.36568862275449</c:v>
                      </c:pt>
                      <c:pt idx="32" formatCode="General">
                        <c:v>-23.483053892215569</c:v>
                      </c:pt>
                      <c:pt idx="33" formatCode="General">
                        <c:v>-23.60185628742515</c:v>
                      </c:pt>
                      <c:pt idx="34" formatCode="General">
                        <c:v>-23.721616766467065</c:v>
                      </c:pt>
                      <c:pt idx="35" formatCode="General">
                        <c:v>-23.841377245508983</c:v>
                      </c:pt>
                      <c:pt idx="36" formatCode="General">
                        <c:v>-23.961137724550898</c:v>
                      </c:pt>
                      <c:pt idx="37" formatCode="General">
                        <c:v>-24.078862275449104</c:v>
                      </c:pt>
                      <c:pt idx="38" formatCode="General">
                        <c:v>-24.193832335329343</c:v>
                      </c:pt>
                      <c:pt idx="39" formatCode="General">
                        <c:v>-24.308802395209582</c:v>
                      </c:pt>
                      <c:pt idx="40" formatCode="General">
                        <c:v>-24.423772455089821</c:v>
                      </c:pt>
                      <c:pt idx="41" formatCode="General">
                        <c:v>-24.53874251497006</c:v>
                      </c:pt>
                      <c:pt idx="42" formatCode="General">
                        <c:v>-24.653712574850299</c:v>
                      </c:pt>
                      <c:pt idx="43" formatCode="General">
                        <c:v>-24.768682634730538</c:v>
                      </c:pt>
                      <c:pt idx="44" formatCode="General">
                        <c:v>-24.883652694610777</c:v>
                      </c:pt>
                      <c:pt idx="45" formatCode="General">
                        <c:v>-24.998622754491016</c:v>
                      </c:pt>
                      <c:pt idx="46" formatCode="General">
                        <c:v>-25.113592814371255</c:v>
                      </c:pt>
                      <c:pt idx="47" formatCode="General">
                        <c:v>-25.228562874251494</c:v>
                      </c:pt>
                      <c:pt idx="48" formatCode="General">
                        <c:v>-25.343532934131737</c:v>
                      </c:pt>
                      <c:pt idx="49" formatCode="General">
                        <c:v>-25.458502994011976</c:v>
                      </c:pt>
                      <c:pt idx="50" formatCode="General">
                        <c:v>-25.567617977528091</c:v>
                      </c:pt>
                      <c:pt idx="51" formatCode="General">
                        <c:v>-25.676082397003746</c:v>
                      </c:pt>
                      <c:pt idx="52" formatCode="General">
                        <c:v>-25.784546816479402</c:v>
                      </c:pt>
                      <c:pt idx="53" formatCode="General">
                        <c:v>-25.893011235955058</c:v>
                      </c:pt>
                      <c:pt idx="54" formatCode="General">
                        <c:v>-26.001475655430713</c:v>
                      </c:pt>
                      <c:pt idx="55" formatCode="General">
                        <c:v>-26.109940074906369</c:v>
                      </c:pt>
                      <c:pt idx="56" formatCode="General">
                        <c:v>-26.218404494382021</c:v>
                      </c:pt>
                      <c:pt idx="57" formatCode="General">
                        <c:v>-26.326868913857677</c:v>
                      </c:pt>
                      <c:pt idx="58" formatCode="General">
                        <c:v>-26.435333333333332</c:v>
                      </c:pt>
                      <c:pt idx="59" formatCode="General">
                        <c:v>-26.543797752808988</c:v>
                      </c:pt>
                      <c:pt idx="60" formatCode="General">
                        <c:v>-26.652262172284644</c:v>
                      </c:pt>
                      <c:pt idx="61" formatCode="General">
                        <c:v>-26.760726591760299</c:v>
                      </c:pt>
                      <c:pt idx="62" formatCode="General">
                        <c:v>-26.869191011235955</c:v>
                      </c:pt>
                      <c:pt idx="63" formatCode="General">
                        <c:v>-26.977655430711611</c:v>
                      </c:pt>
                      <c:pt idx="64" formatCode="General">
                        <c:v>-27.086119850187266</c:v>
                      </c:pt>
                      <c:pt idx="65" formatCode="General">
                        <c:v>-27.194584269662922</c:v>
                      </c:pt>
                      <c:pt idx="66" formatCode="General">
                        <c:v>-27.301902621722849</c:v>
                      </c:pt>
                      <c:pt idx="67" formatCode="General">
                        <c:v>-27.404973782771538</c:v>
                      </c:pt>
                      <c:pt idx="68" formatCode="General">
                        <c:v>-27.508044943820227</c:v>
                      </c:pt>
                      <c:pt idx="69" formatCode="General">
                        <c:v>-27.611116104868916</c:v>
                      </c:pt>
                      <c:pt idx="70" formatCode="General">
                        <c:v>-27.714187265917605</c:v>
                      </c:pt>
                      <c:pt idx="71" formatCode="General">
                        <c:v>-27.817258426966294</c:v>
                      </c:pt>
                      <c:pt idx="72" formatCode="General">
                        <c:v>-27.920329588014983</c:v>
                      </c:pt>
                      <c:pt idx="73" formatCode="General">
                        <c:v>-28.023400749063672</c:v>
                      </c:pt>
                      <c:pt idx="74" formatCode="General">
                        <c:v>-28.126471910112361</c:v>
                      </c:pt>
                      <c:pt idx="75" formatCode="General">
                        <c:v>-28.22954307116105</c:v>
                      </c:pt>
                      <c:pt idx="76" formatCode="General">
                        <c:v>-28.332614232209739</c:v>
                      </c:pt>
                      <c:pt idx="77" formatCode="General">
                        <c:v>-28.435685393258428</c:v>
                      </c:pt>
                      <c:pt idx="78" formatCode="General">
                        <c:v>-28.538756554307117</c:v>
                      </c:pt>
                      <c:pt idx="79" formatCode="General">
                        <c:v>-28.641827715355806</c:v>
                      </c:pt>
                      <c:pt idx="80" formatCode="General">
                        <c:v>-28.744898876404495</c:v>
                      </c:pt>
                      <c:pt idx="81" formatCode="General">
                        <c:v>-28.847970037453184</c:v>
                      </c:pt>
                      <c:pt idx="82" formatCode="General">
                        <c:v>-28.951041198501873</c:v>
                      </c:pt>
                      <c:pt idx="83" formatCode="General">
                        <c:v>-29.051396396396395</c:v>
                      </c:pt>
                      <c:pt idx="84" formatCode="General">
                        <c:v>-29.149294294294293</c:v>
                      </c:pt>
                      <c:pt idx="85" formatCode="General">
                        <c:v>-29.247192192192191</c:v>
                      </c:pt>
                      <c:pt idx="86" formatCode="General">
                        <c:v>-29.345090090090089</c:v>
                      </c:pt>
                      <c:pt idx="87" formatCode="General">
                        <c:v>-8.1209504950495059</c:v>
                      </c:pt>
                      <c:pt idx="88" formatCode="General">
                        <c:v>-8.1466930693069308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F-27FC-4A9D-A437-1D0023828BE9}"/>
                  </c:ext>
                </c:extLst>
              </c15:ser>
            </c15:filteredScatterSeries>
            <c15:filteredScatterSeries>
              <c15:ser>
                <c:idx val="44"/>
                <c:order val="45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306</c:v>
                      </c:pt>
                      <c:pt idx="1">
                        <c:v>314</c:v>
                      </c:pt>
                      <c:pt idx="2">
                        <c:v>322</c:v>
                      </c:pt>
                      <c:pt idx="3">
                        <c:v>330</c:v>
                      </c:pt>
                      <c:pt idx="4">
                        <c:v>338</c:v>
                      </c:pt>
                      <c:pt idx="5">
                        <c:v>346</c:v>
                      </c:pt>
                      <c:pt idx="6">
                        <c:v>354</c:v>
                      </c:pt>
                      <c:pt idx="7">
                        <c:v>362</c:v>
                      </c:pt>
                      <c:pt idx="8">
                        <c:v>370</c:v>
                      </c:pt>
                      <c:pt idx="9">
                        <c:v>378</c:v>
                      </c:pt>
                      <c:pt idx="10">
                        <c:v>386</c:v>
                      </c:pt>
                      <c:pt idx="11">
                        <c:v>394</c:v>
                      </c:pt>
                      <c:pt idx="12">
                        <c:v>402</c:v>
                      </c:pt>
                      <c:pt idx="13">
                        <c:v>410</c:v>
                      </c:pt>
                      <c:pt idx="14">
                        <c:v>418</c:v>
                      </c:pt>
                      <c:pt idx="15">
                        <c:v>426</c:v>
                      </c:pt>
                      <c:pt idx="16">
                        <c:v>434</c:v>
                      </c:pt>
                      <c:pt idx="17">
                        <c:v>442</c:v>
                      </c:pt>
                      <c:pt idx="18">
                        <c:v>450</c:v>
                      </c:pt>
                      <c:pt idx="19">
                        <c:v>458</c:v>
                      </c:pt>
                      <c:pt idx="20">
                        <c:v>466</c:v>
                      </c:pt>
                      <c:pt idx="21">
                        <c:v>474</c:v>
                      </c:pt>
                      <c:pt idx="22">
                        <c:v>482</c:v>
                      </c:pt>
                      <c:pt idx="23">
                        <c:v>490</c:v>
                      </c:pt>
                      <c:pt idx="24">
                        <c:v>498</c:v>
                      </c:pt>
                      <c:pt idx="25">
                        <c:v>506</c:v>
                      </c:pt>
                      <c:pt idx="26">
                        <c:v>514</c:v>
                      </c:pt>
                      <c:pt idx="27">
                        <c:v>522</c:v>
                      </c:pt>
                      <c:pt idx="28">
                        <c:v>530</c:v>
                      </c:pt>
                      <c:pt idx="29">
                        <c:v>538</c:v>
                      </c:pt>
                      <c:pt idx="30">
                        <c:v>546</c:v>
                      </c:pt>
                      <c:pt idx="31">
                        <c:v>554</c:v>
                      </c:pt>
                      <c:pt idx="32">
                        <c:v>562</c:v>
                      </c:pt>
                      <c:pt idx="33">
                        <c:v>570</c:v>
                      </c:pt>
                      <c:pt idx="34">
                        <c:v>578</c:v>
                      </c:pt>
                      <c:pt idx="35">
                        <c:v>586</c:v>
                      </c:pt>
                      <c:pt idx="36">
                        <c:v>594</c:v>
                      </c:pt>
                      <c:pt idx="37">
                        <c:v>602</c:v>
                      </c:pt>
                      <c:pt idx="38">
                        <c:v>610</c:v>
                      </c:pt>
                      <c:pt idx="39">
                        <c:v>618</c:v>
                      </c:pt>
                      <c:pt idx="40">
                        <c:v>626</c:v>
                      </c:pt>
                      <c:pt idx="41">
                        <c:v>634</c:v>
                      </c:pt>
                      <c:pt idx="42">
                        <c:v>642</c:v>
                      </c:pt>
                      <c:pt idx="43">
                        <c:v>650</c:v>
                      </c:pt>
                      <c:pt idx="44">
                        <c:v>658</c:v>
                      </c:pt>
                      <c:pt idx="45">
                        <c:v>666</c:v>
                      </c:pt>
                      <c:pt idx="46">
                        <c:v>674</c:v>
                      </c:pt>
                      <c:pt idx="47">
                        <c:v>682</c:v>
                      </c:pt>
                      <c:pt idx="48">
                        <c:v>690</c:v>
                      </c:pt>
                      <c:pt idx="49">
                        <c:v>698</c:v>
                      </c:pt>
                      <c:pt idx="50">
                        <c:v>706</c:v>
                      </c:pt>
                      <c:pt idx="51">
                        <c:v>714</c:v>
                      </c:pt>
                      <c:pt idx="52">
                        <c:v>722</c:v>
                      </c:pt>
                      <c:pt idx="53">
                        <c:v>730</c:v>
                      </c:pt>
                      <c:pt idx="54">
                        <c:v>738</c:v>
                      </c:pt>
                      <c:pt idx="55">
                        <c:v>746</c:v>
                      </c:pt>
                      <c:pt idx="56">
                        <c:v>754</c:v>
                      </c:pt>
                      <c:pt idx="57">
                        <c:v>762</c:v>
                      </c:pt>
                      <c:pt idx="58">
                        <c:v>770</c:v>
                      </c:pt>
                      <c:pt idx="59">
                        <c:v>778</c:v>
                      </c:pt>
                      <c:pt idx="60">
                        <c:v>786</c:v>
                      </c:pt>
                      <c:pt idx="61">
                        <c:v>794</c:v>
                      </c:pt>
                      <c:pt idx="62">
                        <c:v>802</c:v>
                      </c:pt>
                      <c:pt idx="63">
                        <c:v>810</c:v>
                      </c:pt>
                      <c:pt idx="64">
                        <c:v>818</c:v>
                      </c:pt>
                      <c:pt idx="65">
                        <c:v>826</c:v>
                      </c:pt>
                      <c:pt idx="66">
                        <c:v>834</c:v>
                      </c:pt>
                      <c:pt idx="67">
                        <c:v>842</c:v>
                      </c:pt>
                      <c:pt idx="68">
                        <c:v>850</c:v>
                      </c:pt>
                      <c:pt idx="69">
                        <c:v>858</c:v>
                      </c:pt>
                      <c:pt idx="70">
                        <c:v>866</c:v>
                      </c:pt>
                      <c:pt idx="71">
                        <c:v>874</c:v>
                      </c:pt>
                      <c:pt idx="72">
                        <c:v>882</c:v>
                      </c:pt>
                      <c:pt idx="73">
                        <c:v>890</c:v>
                      </c:pt>
                      <c:pt idx="74">
                        <c:v>898</c:v>
                      </c:pt>
                      <c:pt idx="75">
                        <c:v>906</c:v>
                      </c:pt>
                      <c:pt idx="76">
                        <c:v>914</c:v>
                      </c:pt>
                      <c:pt idx="77">
                        <c:v>922</c:v>
                      </c:pt>
                      <c:pt idx="78">
                        <c:v>930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EVALUATION!$B$146:$CP$146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-15.512792792792792</c:v>
                      </c:pt>
                      <c:pt idx="1">
                        <c:v>-15.013093093093092</c:v>
                      </c:pt>
                      <c:pt idx="2">
                        <c:v>-14.513393393393393</c:v>
                      </c:pt>
                      <c:pt idx="3">
                        <c:v>-14.013693693693693</c:v>
                      </c:pt>
                      <c:pt idx="4" formatCode="General">
                        <c:v>-13.456826347305389</c:v>
                      </c:pt>
                      <c:pt idx="5" formatCode="General">
                        <c:v>-12.886766467065867</c:v>
                      </c:pt>
                      <c:pt idx="6" formatCode="General">
                        <c:v>-12.316706586826346</c:v>
                      </c:pt>
                      <c:pt idx="7" formatCode="General">
                        <c:v>-11.746646706586823</c:v>
                      </c:pt>
                      <c:pt idx="8" formatCode="General">
                        <c:v>-11.204988023952094</c:v>
                      </c:pt>
                      <c:pt idx="9" formatCode="General">
                        <c:v>-10.679479041916167</c:v>
                      </c:pt>
                      <c:pt idx="10" formatCode="General">
                        <c:v>-10.153970059880239</c:v>
                      </c:pt>
                      <c:pt idx="11" formatCode="General">
                        <c:v>-9.628461077844312</c:v>
                      </c:pt>
                      <c:pt idx="12" formatCode="General">
                        <c:v>-9.1539101796407198</c:v>
                      </c:pt>
                      <c:pt idx="13" formatCode="General">
                        <c:v>-8.7385808383233528</c:v>
                      </c:pt>
                      <c:pt idx="14" formatCode="General">
                        <c:v>-8.3232514970059874</c:v>
                      </c:pt>
                      <c:pt idx="15" formatCode="General">
                        <c:v>-7.9079221556886221</c:v>
                      </c:pt>
                      <c:pt idx="16" formatCode="General">
                        <c:v>-7.5390748502994009</c:v>
                      </c:pt>
                      <c:pt idx="17" formatCode="General">
                        <c:v>-7.2854221556886225</c:v>
                      </c:pt>
                      <c:pt idx="18" formatCode="General">
                        <c:v>-7.031769461077845</c:v>
                      </c:pt>
                      <c:pt idx="19" formatCode="General">
                        <c:v>-6.7781167664670665</c:v>
                      </c:pt>
                      <c:pt idx="20" formatCode="General">
                        <c:v>-6.5428413173652693</c:v>
                      </c:pt>
                      <c:pt idx="21" formatCode="General">
                        <c:v>-6.4525419161676645</c:v>
                      </c:pt>
                      <c:pt idx="22" formatCode="General">
                        <c:v>-6.3622425149700597</c:v>
                      </c:pt>
                      <c:pt idx="23" formatCode="General">
                        <c:v>-6.2719431137724548</c:v>
                      </c:pt>
                      <c:pt idx="24" formatCode="General">
                        <c:v>-6.18164371257485</c:v>
                      </c:pt>
                      <c:pt idx="25" formatCode="General">
                        <c:v>-6.3239729729729737</c:v>
                      </c:pt>
                      <c:pt idx="26" formatCode="General">
                        <c:v>-6.4818108108108117</c:v>
                      </c:pt>
                      <c:pt idx="27" formatCode="General">
                        <c:v>-6.6396486486486497</c:v>
                      </c:pt>
                      <c:pt idx="28" formatCode="General">
                        <c:v>-6.7974864864864877</c:v>
                      </c:pt>
                      <c:pt idx="29" formatCode="General">
                        <c:v>-6.8348562874251497</c:v>
                      </c:pt>
                      <c:pt idx="30" formatCode="General">
                        <c:v>-6.8372514970059886</c:v>
                      </c:pt>
                      <c:pt idx="31" formatCode="General">
                        <c:v>-6.8396467065868265</c:v>
                      </c:pt>
                      <c:pt idx="32" formatCode="General">
                        <c:v>-6.8420419161676644</c:v>
                      </c:pt>
                      <c:pt idx="33" formatCode="General">
                        <c:v>-6.8517664670658682</c:v>
                      </c:pt>
                      <c:pt idx="34" formatCode="General">
                        <c:v>-6.866377245508982</c:v>
                      </c:pt>
                      <c:pt idx="35" formatCode="General">
                        <c:v>-6.8809880239520957</c:v>
                      </c:pt>
                      <c:pt idx="36" formatCode="General">
                        <c:v>-6.8955988023952095</c:v>
                      </c:pt>
                      <c:pt idx="37" formatCode="General">
                        <c:v>-6.911838323353293</c:v>
                      </c:pt>
                      <c:pt idx="38" formatCode="General">
                        <c:v>-6.930281437125748</c:v>
                      </c:pt>
                      <c:pt idx="39" formatCode="General">
                        <c:v>-6.9487245508982038</c:v>
                      </c:pt>
                      <c:pt idx="40" formatCode="General">
                        <c:v>-6.9671676646706588</c:v>
                      </c:pt>
                      <c:pt idx="41" formatCode="General">
                        <c:v>-6.9858502994011973</c:v>
                      </c:pt>
                      <c:pt idx="42" formatCode="General">
                        <c:v>-7.0052514970059878</c:v>
                      </c:pt>
                      <c:pt idx="43" formatCode="General">
                        <c:v>-7.0246526946107783</c:v>
                      </c:pt>
                      <c:pt idx="44" formatCode="General">
                        <c:v>-7.0440538922155689</c:v>
                      </c:pt>
                      <c:pt idx="45" formatCode="General">
                        <c:v>-7.0634550898203594</c:v>
                      </c:pt>
                      <c:pt idx="46" formatCode="General">
                        <c:v>-7.0828562874251499</c:v>
                      </c:pt>
                      <c:pt idx="47" formatCode="General">
                        <c:v>-7.1022574850299405</c:v>
                      </c:pt>
                      <c:pt idx="48" formatCode="General">
                        <c:v>-7.1216586826347301</c:v>
                      </c:pt>
                      <c:pt idx="49" formatCode="General">
                        <c:v>-7.1410598802395207</c:v>
                      </c:pt>
                      <c:pt idx="50" formatCode="General">
                        <c:v>-7.1602584269662923</c:v>
                      </c:pt>
                      <c:pt idx="51" formatCode="General">
                        <c:v>-7.1794344569288393</c:v>
                      </c:pt>
                      <c:pt idx="52" formatCode="General">
                        <c:v>-7.1986104868913854</c:v>
                      </c:pt>
                      <c:pt idx="53" formatCode="General">
                        <c:v>-7.2177865168539324</c:v>
                      </c:pt>
                      <c:pt idx="54" formatCode="General">
                        <c:v>-7.2369625468164793</c:v>
                      </c:pt>
                      <c:pt idx="55" formatCode="General">
                        <c:v>-7.2561385767790263</c:v>
                      </c:pt>
                      <c:pt idx="56" formatCode="General">
                        <c:v>-7.2753146067415733</c:v>
                      </c:pt>
                      <c:pt idx="57" formatCode="General">
                        <c:v>-7.2944906367041202</c:v>
                      </c:pt>
                      <c:pt idx="58" formatCode="General">
                        <c:v>-7.3136666666666663</c:v>
                      </c:pt>
                      <c:pt idx="59" formatCode="General">
                        <c:v>-7.3328426966292133</c:v>
                      </c:pt>
                      <c:pt idx="60" formatCode="General">
                        <c:v>-7.3520187265917603</c:v>
                      </c:pt>
                      <c:pt idx="61" formatCode="General">
                        <c:v>-7.3711947565543072</c:v>
                      </c:pt>
                      <c:pt idx="62" formatCode="General">
                        <c:v>-7.3903707865168542</c:v>
                      </c:pt>
                      <c:pt idx="63" formatCode="General">
                        <c:v>-7.4095468164794012</c:v>
                      </c:pt>
                      <c:pt idx="64" formatCode="General">
                        <c:v>-7.4287228464419481</c:v>
                      </c:pt>
                      <c:pt idx="65" formatCode="General">
                        <c:v>-7.4478988764044942</c:v>
                      </c:pt>
                      <c:pt idx="66" formatCode="General">
                        <c:v>-7.4668456928838953</c:v>
                      </c:pt>
                      <c:pt idx="67" formatCode="General">
                        <c:v>-7.484943071161049</c:v>
                      </c:pt>
                      <c:pt idx="68" formatCode="General">
                        <c:v>-7.5030404494382026</c:v>
                      </c:pt>
                      <c:pt idx="69" formatCode="General">
                        <c:v>-7.5211378277153562</c:v>
                      </c:pt>
                      <c:pt idx="70" formatCode="General">
                        <c:v>-7.5392352059925098</c:v>
                      </c:pt>
                      <c:pt idx="71" formatCode="General">
                        <c:v>-7.5573325842696626</c:v>
                      </c:pt>
                      <c:pt idx="72" formatCode="General">
                        <c:v>-7.5754299625468162</c:v>
                      </c:pt>
                      <c:pt idx="73" formatCode="General">
                        <c:v>-7.5935273408239699</c:v>
                      </c:pt>
                      <c:pt idx="74" formatCode="General">
                        <c:v>-7.6116247191011235</c:v>
                      </c:pt>
                      <c:pt idx="75" formatCode="General">
                        <c:v>-7.6297220973782771</c:v>
                      </c:pt>
                      <c:pt idx="76" formatCode="General">
                        <c:v>-7.6478194756554307</c:v>
                      </c:pt>
                      <c:pt idx="77" formatCode="General">
                        <c:v>-7.6659168539325844</c:v>
                      </c:pt>
                      <c:pt idx="78" formatCode="General">
                        <c:v>-7.684014232209738</c:v>
                      </c:pt>
                      <c:pt idx="79" formatCode="General">
                        <c:v>-7.7021116104868916</c:v>
                      </c:pt>
                      <c:pt idx="80" formatCode="General">
                        <c:v>-7.7202089887640444</c:v>
                      </c:pt>
                      <c:pt idx="81" formatCode="General">
                        <c:v>-7.738306367041198</c:v>
                      </c:pt>
                      <c:pt idx="82" formatCode="General">
                        <c:v>-7.7564037453183516</c:v>
                      </c:pt>
                      <c:pt idx="83" formatCode="General">
                        <c:v>-7.7739234234234234</c:v>
                      </c:pt>
                      <c:pt idx="84" formatCode="General">
                        <c:v>-7.7909204204204201</c:v>
                      </c:pt>
                      <c:pt idx="85" formatCode="General">
                        <c:v>-7.8079174174174168</c:v>
                      </c:pt>
                      <c:pt idx="86" formatCode="General">
                        <c:v>-7.8249144144144145</c:v>
                      </c:pt>
                      <c:pt idx="87" formatCode="General">
                        <c:v>-28.733663366336632</c:v>
                      </c:pt>
                      <c:pt idx="88" formatCode="General">
                        <c:v>-28.828712871287127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0-27FC-4A9D-A437-1D0023828BE9}"/>
                  </c:ext>
                </c:extLst>
              </c15:ser>
            </c15:filteredScatterSeries>
            <c15:filteredScatterSeries>
              <c15:ser>
                <c:idx val="45"/>
                <c:order val="46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306</c:v>
                      </c:pt>
                      <c:pt idx="1">
                        <c:v>314</c:v>
                      </c:pt>
                      <c:pt idx="2">
                        <c:v>322</c:v>
                      </c:pt>
                      <c:pt idx="3">
                        <c:v>330</c:v>
                      </c:pt>
                      <c:pt idx="4">
                        <c:v>338</c:v>
                      </c:pt>
                      <c:pt idx="5">
                        <c:v>346</c:v>
                      </c:pt>
                      <c:pt idx="6">
                        <c:v>354</c:v>
                      </c:pt>
                      <c:pt idx="7">
                        <c:v>362</c:v>
                      </c:pt>
                      <c:pt idx="8">
                        <c:v>370</c:v>
                      </c:pt>
                      <c:pt idx="9">
                        <c:v>378</c:v>
                      </c:pt>
                      <c:pt idx="10">
                        <c:v>386</c:v>
                      </c:pt>
                      <c:pt idx="11">
                        <c:v>394</c:v>
                      </c:pt>
                      <c:pt idx="12">
                        <c:v>402</c:v>
                      </c:pt>
                      <c:pt idx="13">
                        <c:v>410</c:v>
                      </c:pt>
                      <c:pt idx="14">
                        <c:v>418</c:v>
                      </c:pt>
                      <c:pt idx="15">
                        <c:v>426</c:v>
                      </c:pt>
                      <c:pt idx="16">
                        <c:v>434</c:v>
                      </c:pt>
                      <c:pt idx="17">
                        <c:v>442</c:v>
                      </c:pt>
                      <c:pt idx="18">
                        <c:v>450</c:v>
                      </c:pt>
                      <c:pt idx="19">
                        <c:v>458</c:v>
                      </c:pt>
                      <c:pt idx="20">
                        <c:v>466</c:v>
                      </c:pt>
                      <c:pt idx="21">
                        <c:v>474</c:v>
                      </c:pt>
                      <c:pt idx="22">
                        <c:v>482</c:v>
                      </c:pt>
                      <c:pt idx="23">
                        <c:v>490</c:v>
                      </c:pt>
                      <c:pt idx="24">
                        <c:v>498</c:v>
                      </c:pt>
                      <c:pt idx="25">
                        <c:v>506</c:v>
                      </c:pt>
                      <c:pt idx="26">
                        <c:v>514</c:v>
                      </c:pt>
                      <c:pt idx="27">
                        <c:v>522</c:v>
                      </c:pt>
                      <c:pt idx="28">
                        <c:v>530</c:v>
                      </c:pt>
                      <c:pt idx="29">
                        <c:v>538</c:v>
                      </c:pt>
                      <c:pt idx="30">
                        <c:v>546</c:v>
                      </c:pt>
                      <c:pt idx="31">
                        <c:v>554</c:v>
                      </c:pt>
                      <c:pt idx="32">
                        <c:v>562</c:v>
                      </c:pt>
                      <c:pt idx="33">
                        <c:v>570</c:v>
                      </c:pt>
                      <c:pt idx="34">
                        <c:v>578</c:v>
                      </c:pt>
                      <c:pt idx="35">
                        <c:v>586</c:v>
                      </c:pt>
                      <c:pt idx="36">
                        <c:v>594</c:v>
                      </c:pt>
                      <c:pt idx="37">
                        <c:v>602</c:v>
                      </c:pt>
                      <c:pt idx="38">
                        <c:v>610</c:v>
                      </c:pt>
                      <c:pt idx="39">
                        <c:v>618</c:v>
                      </c:pt>
                      <c:pt idx="40">
                        <c:v>626</c:v>
                      </c:pt>
                      <c:pt idx="41">
                        <c:v>634</c:v>
                      </c:pt>
                      <c:pt idx="42">
                        <c:v>642</c:v>
                      </c:pt>
                      <c:pt idx="43">
                        <c:v>650</c:v>
                      </c:pt>
                      <c:pt idx="44">
                        <c:v>658</c:v>
                      </c:pt>
                      <c:pt idx="45">
                        <c:v>666</c:v>
                      </c:pt>
                      <c:pt idx="46">
                        <c:v>674</c:v>
                      </c:pt>
                      <c:pt idx="47">
                        <c:v>682</c:v>
                      </c:pt>
                      <c:pt idx="48">
                        <c:v>690</c:v>
                      </c:pt>
                      <c:pt idx="49">
                        <c:v>698</c:v>
                      </c:pt>
                      <c:pt idx="50">
                        <c:v>706</c:v>
                      </c:pt>
                      <c:pt idx="51">
                        <c:v>714</c:v>
                      </c:pt>
                      <c:pt idx="52">
                        <c:v>722</c:v>
                      </c:pt>
                      <c:pt idx="53">
                        <c:v>730</c:v>
                      </c:pt>
                      <c:pt idx="54">
                        <c:v>738</c:v>
                      </c:pt>
                      <c:pt idx="55">
                        <c:v>746</c:v>
                      </c:pt>
                      <c:pt idx="56">
                        <c:v>754</c:v>
                      </c:pt>
                      <c:pt idx="57">
                        <c:v>762</c:v>
                      </c:pt>
                      <c:pt idx="58">
                        <c:v>770</c:v>
                      </c:pt>
                      <c:pt idx="59">
                        <c:v>778</c:v>
                      </c:pt>
                      <c:pt idx="60">
                        <c:v>786</c:v>
                      </c:pt>
                      <c:pt idx="61">
                        <c:v>794</c:v>
                      </c:pt>
                      <c:pt idx="62">
                        <c:v>802</c:v>
                      </c:pt>
                      <c:pt idx="63">
                        <c:v>810</c:v>
                      </c:pt>
                      <c:pt idx="64">
                        <c:v>818</c:v>
                      </c:pt>
                      <c:pt idx="65">
                        <c:v>826</c:v>
                      </c:pt>
                      <c:pt idx="66">
                        <c:v>834</c:v>
                      </c:pt>
                      <c:pt idx="67">
                        <c:v>842</c:v>
                      </c:pt>
                      <c:pt idx="68">
                        <c:v>850</c:v>
                      </c:pt>
                      <c:pt idx="69">
                        <c:v>858</c:v>
                      </c:pt>
                      <c:pt idx="70">
                        <c:v>866</c:v>
                      </c:pt>
                      <c:pt idx="71">
                        <c:v>874</c:v>
                      </c:pt>
                      <c:pt idx="72">
                        <c:v>882</c:v>
                      </c:pt>
                      <c:pt idx="73">
                        <c:v>890</c:v>
                      </c:pt>
                      <c:pt idx="74">
                        <c:v>898</c:v>
                      </c:pt>
                      <c:pt idx="75">
                        <c:v>906</c:v>
                      </c:pt>
                      <c:pt idx="76">
                        <c:v>914</c:v>
                      </c:pt>
                      <c:pt idx="77">
                        <c:v>922</c:v>
                      </c:pt>
                      <c:pt idx="78">
                        <c:v>930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EVALUATION!$B$147:$CP$147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-18.877657657657657</c:v>
                      </c:pt>
                      <c:pt idx="1">
                        <c:v>-18.875255255255254</c:v>
                      </c:pt>
                      <c:pt idx="2">
                        <c:v>-18.872852852852855</c:v>
                      </c:pt>
                      <c:pt idx="3">
                        <c:v>-18.870450450450452</c:v>
                      </c:pt>
                      <c:pt idx="4" formatCode="General">
                        <c:v>-18.875838323353292</c:v>
                      </c:pt>
                      <c:pt idx="5" formatCode="General">
                        <c:v>-18.883023952095808</c:v>
                      </c:pt>
                      <c:pt idx="6" formatCode="General">
                        <c:v>-18.890209580838324</c:v>
                      </c:pt>
                      <c:pt idx="7" formatCode="General">
                        <c:v>-18.897395209580836</c:v>
                      </c:pt>
                      <c:pt idx="8" formatCode="General">
                        <c:v>-18.906107784431136</c:v>
                      </c:pt>
                      <c:pt idx="9" formatCode="General">
                        <c:v>-18.915688622754491</c:v>
                      </c:pt>
                      <c:pt idx="10" formatCode="General">
                        <c:v>-18.925269461077846</c:v>
                      </c:pt>
                      <c:pt idx="11" formatCode="General">
                        <c:v>-18.934850299401198</c:v>
                      </c:pt>
                      <c:pt idx="12" formatCode="General">
                        <c:v>-18.945538922155688</c:v>
                      </c:pt>
                      <c:pt idx="13" formatCode="General">
                        <c:v>-18.957514970059879</c:v>
                      </c:pt>
                      <c:pt idx="14" formatCode="General">
                        <c:v>-18.969491017964071</c:v>
                      </c:pt>
                      <c:pt idx="15" formatCode="General">
                        <c:v>-18.981467065868262</c:v>
                      </c:pt>
                      <c:pt idx="16" formatCode="General">
                        <c:v>-18.993443113772454</c:v>
                      </c:pt>
                      <c:pt idx="17" formatCode="General">
                        <c:v>-19.005419161676645</c:v>
                      </c:pt>
                      <c:pt idx="18" formatCode="General">
                        <c:v>-19.017395209580837</c:v>
                      </c:pt>
                      <c:pt idx="19" formatCode="General">
                        <c:v>-19.029371257485028</c:v>
                      </c:pt>
                      <c:pt idx="20" formatCode="General">
                        <c:v>-19.040808383233532</c:v>
                      </c:pt>
                      <c:pt idx="21" formatCode="General">
                        <c:v>-19.047994011976048</c:v>
                      </c:pt>
                      <c:pt idx="22" formatCode="General">
                        <c:v>-19.055179640718563</c:v>
                      </c:pt>
                      <c:pt idx="23" formatCode="General">
                        <c:v>-19.062365269461079</c:v>
                      </c:pt>
                      <c:pt idx="24" formatCode="General">
                        <c:v>-19.069550898203595</c:v>
                      </c:pt>
                      <c:pt idx="25" formatCode="General">
                        <c:v>-19.045225225225227</c:v>
                      </c:pt>
                      <c:pt idx="26" formatCode="General">
                        <c:v>-19.018798798798798</c:v>
                      </c:pt>
                      <c:pt idx="27" formatCode="General">
                        <c:v>-18.992372372372373</c:v>
                      </c:pt>
                      <c:pt idx="28" formatCode="General">
                        <c:v>-18.965945945945947</c:v>
                      </c:pt>
                      <c:pt idx="29" formatCode="General">
                        <c:v>-18.972994011976049</c:v>
                      </c:pt>
                      <c:pt idx="30" formatCode="General">
                        <c:v>-18.989760479041916</c:v>
                      </c:pt>
                      <c:pt idx="31" formatCode="General">
                        <c:v>-19.006526946107787</c:v>
                      </c:pt>
                      <c:pt idx="32" formatCode="General">
                        <c:v>-19.023293413173654</c:v>
                      </c:pt>
                      <c:pt idx="33" formatCode="General">
                        <c:v>-19.040059880239522</c:v>
                      </c:pt>
                      <c:pt idx="34" formatCode="General">
                        <c:v>-19.056826347305389</c:v>
                      </c:pt>
                      <c:pt idx="35" formatCode="General">
                        <c:v>-19.07359281437126</c:v>
                      </c:pt>
                      <c:pt idx="36" formatCode="General">
                        <c:v>-19.090359281437127</c:v>
                      </c:pt>
                      <c:pt idx="37" formatCode="General">
                        <c:v>-19.107125748502995</c:v>
                      </c:pt>
                      <c:pt idx="38" formatCode="General">
                        <c:v>-19.123892215568866</c:v>
                      </c:pt>
                      <c:pt idx="39" formatCode="General">
                        <c:v>-19.140658682634733</c:v>
                      </c:pt>
                      <c:pt idx="40" formatCode="General">
                        <c:v>-19.1574251497006</c:v>
                      </c:pt>
                      <c:pt idx="41" formatCode="General">
                        <c:v>-19.174191616766468</c:v>
                      </c:pt>
                      <c:pt idx="42" formatCode="General">
                        <c:v>-19.190958083832335</c:v>
                      </c:pt>
                      <c:pt idx="43" formatCode="General">
                        <c:v>-19.207724550898202</c:v>
                      </c:pt>
                      <c:pt idx="44" formatCode="General">
                        <c:v>-19.22449101796407</c:v>
                      </c:pt>
                      <c:pt idx="45" formatCode="General">
                        <c:v>-19.241257485029937</c:v>
                      </c:pt>
                      <c:pt idx="46" formatCode="General">
                        <c:v>-19.258023952095808</c:v>
                      </c:pt>
                      <c:pt idx="47" formatCode="General">
                        <c:v>-19.274790419161675</c:v>
                      </c:pt>
                      <c:pt idx="48" formatCode="General">
                        <c:v>-19.291556886227543</c:v>
                      </c:pt>
                      <c:pt idx="49" formatCode="General">
                        <c:v>-19.30832335329341</c:v>
                      </c:pt>
                      <c:pt idx="50" formatCode="General">
                        <c:v>-19.324022471910112</c:v>
                      </c:pt>
                      <c:pt idx="51" formatCode="General">
                        <c:v>-19.33960299625468</c:v>
                      </c:pt>
                      <c:pt idx="52" formatCode="General">
                        <c:v>-19.355183520599251</c:v>
                      </c:pt>
                      <c:pt idx="53" formatCode="General">
                        <c:v>-19.370764044943819</c:v>
                      </c:pt>
                      <c:pt idx="54" formatCode="General">
                        <c:v>-19.38634456928839</c:v>
                      </c:pt>
                      <c:pt idx="55" formatCode="General">
                        <c:v>-19.401925093632958</c:v>
                      </c:pt>
                      <c:pt idx="56" formatCode="General">
                        <c:v>-19.417505617977529</c:v>
                      </c:pt>
                      <c:pt idx="57" formatCode="General">
                        <c:v>-19.433086142322097</c:v>
                      </c:pt>
                      <c:pt idx="58" formatCode="General">
                        <c:v>-19.448666666666668</c:v>
                      </c:pt>
                      <c:pt idx="59" formatCode="General">
                        <c:v>-19.464247191011236</c:v>
                      </c:pt>
                      <c:pt idx="60" formatCode="General">
                        <c:v>-19.479827715355807</c:v>
                      </c:pt>
                      <c:pt idx="61" formatCode="General">
                        <c:v>-19.495408239700375</c:v>
                      </c:pt>
                      <c:pt idx="62" formatCode="General">
                        <c:v>-19.510988764044942</c:v>
                      </c:pt>
                      <c:pt idx="63" formatCode="General">
                        <c:v>-19.526569288389513</c:v>
                      </c:pt>
                      <c:pt idx="64" formatCode="General">
                        <c:v>-19.542149812734081</c:v>
                      </c:pt>
                      <c:pt idx="65" formatCode="General">
                        <c:v>-19.557730337078652</c:v>
                      </c:pt>
                      <c:pt idx="66" formatCode="General">
                        <c:v>-19.573183520599251</c:v>
                      </c:pt>
                      <c:pt idx="67" formatCode="General">
                        <c:v>-19.58816479400749</c:v>
                      </c:pt>
                      <c:pt idx="68" formatCode="General">
                        <c:v>-19.603146067415732</c:v>
                      </c:pt>
                      <c:pt idx="69" formatCode="General">
                        <c:v>-19.618127340823971</c:v>
                      </c:pt>
                      <c:pt idx="70" formatCode="General">
                        <c:v>-19.63310861423221</c:v>
                      </c:pt>
                      <c:pt idx="71" formatCode="General">
                        <c:v>-19.648089887640449</c:v>
                      </c:pt>
                      <c:pt idx="72" formatCode="General">
                        <c:v>-19.663071161048691</c:v>
                      </c:pt>
                      <c:pt idx="73" formatCode="General">
                        <c:v>-19.67805243445693</c:v>
                      </c:pt>
                      <c:pt idx="74" formatCode="General">
                        <c:v>-19.693033707865169</c:v>
                      </c:pt>
                      <c:pt idx="75" formatCode="General">
                        <c:v>-19.708014981273408</c:v>
                      </c:pt>
                      <c:pt idx="76" formatCode="General">
                        <c:v>-19.722996254681647</c:v>
                      </c:pt>
                      <c:pt idx="77" formatCode="General">
                        <c:v>-19.737977528089889</c:v>
                      </c:pt>
                      <c:pt idx="78" formatCode="General">
                        <c:v>-19.752958801498128</c:v>
                      </c:pt>
                      <c:pt idx="79" formatCode="General">
                        <c:v>-19.767940074906367</c:v>
                      </c:pt>
                      <c:pt idx="80" formatCode="General">
                        <c:v>-19.782921348314606</c:v>
                      </c:pt>
                      <c:pt idx="81" formatCode="General">
                        <c:v>-19.797902621722848</c:v>
                      </c:pt>
                      <c:pt idx="82" formatCode="General">
                        <c:v>-19.812883895131087</c:v>
                      </c:pt>
                      <c:pt idx="83" formatCode="General">
                        <c:v>-19.827252252252254</c:v>
                      </c:pt>
                      <c:pt idx="84" formatCode="General">
                        <c:v>-19.841066066066066</c:v>
                      </c:pt>
                      <c:pt idx="85" formatCode="General">
                        <c:v>-19.854879879879881</c:v>
                      </c:pt>
                      <c:pt idx="86" formatCode="General">
                        <c:v>-19.868693693693693</c:v>
                      </c:pt>
                      <c:pt idx="87" formatCode="General">
                        <c:v>-28.733663366336632</c:v>
                      </c:pt>
                      <c:pt idx="88" formatCode="General">
                        <c:v>-28.828712871287127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1-27FC-4A9D-A437-1D0023828BE9}"/>
                  </c:ext>
                </c:extLst>
              </c15:ser>
            </c15:filteredScatterSeries>
            <c15:filteredScatterSeries>
              <c15:ser>
                <c:idx val="46"/>
                <c:order val="47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306</c:v>
                      </c:pt>
                      <c:pt idx="1">
                        <c:v>314</c:v>
                      </c:pt>
                      <c:pt idx="2">
                        <c:v>322</c:v>
                      </c:pt>
                      <c:pt idx="3">
                        <c:v>330</c:v>
                      </c:pt>
                      <c:pt idx="4">
                        <c:v>338</c:v>
                      </c:pt>
                      <c:pt idx="5">
                        <c:v>346</c:v>
                      </c:pt>
                      <c:pt idx="6">
                        <c:v>354</c:v>
                      </c:pt>
                      <c:pt idx="7">
                        <c:v>362</c:v>
                      </c:pt>
                      <c:pt idx="8">
                        <c:v>370</c:v>
                      </c:pt>
                      <c:pt idx="9">
                        <c:v>378</c:v>
                      </c:pt>
                      <c:pt idx="10">
                        <c:v>386</c:v>
                      </c:pt>
                      <c:pt idx="11">
                        <c:v>394</c:v>
                      </c:pt>
                      <c:pt idx="12">
                        <c:v>402</c:v>
                      </c:pt>
                      <c:pt idx="13">
                        <c:v>410</c:v>
                      </c:pt>
                      <c:pt idx="14">
                        <c:v>418</c:v>
                      </c:pt>
                      <c:pt idx="15">
                        <c:v>426</c:v>
                      </c:pt>
                      <c:pt idx="16">
                        <c:v>434</c:v>
                      </c:pt>
                      <c:pt idx="17">
                        <c:v>442</c:v>
                      </c:pt>
                      <c:pt idx="18">
                        <c:v>450</c:v>
                      </c:pt>
                      <c:pt idx="19">
                        <c:v>458</c:v>
                      </c:pt>
                      <c:pt idx="20">
                        <c:v>466</c:v>
                      </c:pt>
                      <c:pt idx="21">
                        <c:v>474</c:v>
                      </c:pt>
                      <c:pt idx="22">
                        <c:v>482</c:v>
                      </c:pt>
                      <c:pt idx="23">
                        <c:v>490</c:v>
                      </c:pt>
                      <c:pt idx="24">
                        <c:v>498</c:v>
                      </c:pt>
                      <c:pt idx="25">
                        <c:v>506</c:v>
                      </c:pt>
                      <c:pt idx="26">
                        <c:v>514</c:v>
                      </c:pt>
                      <c:pt idx="27">
                        <c:v>522</c:v>
                      </c:pt>
                      <c:pt idx="28">
                        <c:v>530</c:v>
                      </c:pt>
                      <c:pt idx="29">
                        <c:v>538</c:v>
                      </c:pt>
                      <c:pt idx="30">
                        <c:v>546</c:v>
                      </c:pt>
                      <c:pt idx="31">
                        <c:v>554</c:v>
                      </c:pt>
                      <c:pt idx="32">
                        <c:v>562</c:v>
                      </c:pt>
                      <c:pt idx="33">
                        <c:v>570</c:v>
                      </c:pt>
                      <c:pt idx="34">
                        <c:v>578</c:v>
                      </c:pt>
                      <c:pt idx="35">
                        <c:v>586</c:v>
                      </c:pt>
                      <c:pt idx="36">
                        <c:v>594</c:v>
                      </c:pt>
                      <c:pt idx="37">
                        <c:v>602</c:v>
                      </c:pt>
                      <c:pt idx="38">
                        <c:v>610</c:v>
                      </c:pt>
                      <c:pt idx="39">
                        <c:v>618</c:v>
                      </c:pt>
                      <c:pt idx="40">
                        <c:v>626</c:v>
                      </c:pt>
                      <c:pt idx="41">
                        <c:v>634</c:v>
                      </c:pt>
                      <c:pt idx="42">
                        <c:v>642</c:v>
                      </c:pt>
                      <c:pt idx="43">
                        <c:v>650</c:v>
                      </c:pt>
                      <c:pt idx="44">
                        <c:v>658</c:v>
                      </c:pt>
                      <c:pt idx="45">
                        <c:v>666</c:v>
                      </c:pt>
                      <c:pt idx="46">
                        <c:v>674</c:v>
                      </c:pt>
                      <c:pt idx="47">
                        <c:v>682</c:v>
                      </c:pt>
                      <c:pt idx="48">
                        <c:v>690</c:v>
                      </c:pt>
                      <c:pt idx="49">
                        <c:v>698</c:v>
                      </c:pt>
                      <c:pt idx="50">
                        <c:v>706</c:v>
                      </c:pt>
                      <c:pt idx="51">
                        <c:v>714</c:v>
                      </c:pt>
                      <c:pt idx="52">
                        <c:v>722</c:v>
                      </c:pt>
                      <c:pt idx="53">
                        <c:v>730</c:v>
                      </c:pt>
                      <c:pt idx="54">
                        <c:v>738</c:v>
                      </c:pt>
                      <c:pt idx="55">
                        <c:v>746</c:v>
                      </c:pt>
                      <c:pt idx="56">
                        <c:v>754</c:v>
                      </c:pt>
                      <c:pt idx="57">
                        <c:v>762</c:v>
                      </c:pt>
                      <c:pt idx="58">
                        <c:v>770</c:v>
                      </c:pt>
                      <c:pt idx="59">
                        <c:v>778</c:v>
                      </c:pt>
                      <c:pt idx="60">
                        <c:v>786</c:v>
                      </c:pt>
                      <c:pt idx="61">
                        <c:v>794</c:v>
                      </c:pt>
                      <c:pt idx="62">
                        <c:v>802</c:v>
                      </c:pt>
                      <c:pt idx="63">
                        <c:v>810</c:v>
                      </c:pt>
                      <c:pt idx="64">
                        <c:v>818</c:v>
                      </c:pt>
                      <c:pt idx="65">
                        <c:v>826</c:v>
                      </c:pt>
                      <c:pt idx="66">
                        <c:v>834</c:v>
                      </c:pt>
                      <c:pt idx="67">
                        <c:v>842</c:v>
                      </c:pt>
                      <c:pt idx="68">
                        <c:v>850</c:v>
                      </c:pt>
                      <c:pt idx="69">
                        <c:v>858</c:v>
                      </c:pt>
                      <c:pt idx="70">
                        <c:v>866</c:v>
                      </c:pt>
                      <c:pt idx="71">
                        <c:v>874</c:v>
                      </c:pt>
                      <c:pt idx="72">
                        <c:v>882</c:v>
                      </c:pt>
                      <c:pt idx="73">
                        <c:v>890</c:v>
                      </c:pt>
                      <c:pt idx="74">
                        <c:v>898</c:v>
                      </c:pt>
                      <c:pt idx="75">
                        <c:v>906</c:v>
                      </c:pt>
                      <c:pt idx="76">
                        <c:v>914</c:v>
                      </c:pt>
                      <c:pt idx="77">
                        <c:v>922</c:v>
                      </c:pt>
                      <c:pt idx="78">
                        <c:v>930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EVALUATION!$B$148:$CP$148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-59.157387387387388</c:v>
                      </c:pt>
                      <c:pt idx="1">
                        <c:v>-57.482912912912909</c:v>
                      </c:pt>
                      <c:pt idx="2">
                        <c:v>-55.808438438438436</c:v>
                      </c:pt>
                      <c:pt idx="3">
                        <c:v>-54.133963963963964</c:v>
                      </c:pt>
                      <c:pt idx="4" formatCode="General">
                        <c:v>-52.494700598802396</c:v>
                      </c:pt>
                      <c:pt idx="5" formatCode="General">
                        <c:v>-50.863562874251492</c:v>
                      </c:pt>
                      <c:pt idx="6" formatCode="General">
                        <c:v>-49.232425149700596</c:v>
                      </c:pt>
                      <c:pt idx="7" formatCode="General">
                        <c:v>-47.601287425149692</c:v>
                      </c:pt>
                      <c:pt idx="8" formatCode="General">
                        <c:v>-46.077035928143708</c:v>
                      </c:pt>
                      <c:pt idx="9" formatCode="General">
                        <c:v>-44.613562874251492</c:v>
                      </c:pt>
                      <c:pt idx="10" formatCode="General">
                        <c:v>-43.150089820359277</c:v>
                      </c:pt>
                      <c:pt idx="11" formatCode="General">
                        <c:v>-41.686616766467068</c:v>
                      </c:pt>
                      <c:pt idx="12" formatCode="General">
                        <c:v>-40.325059880239522</c:v>
                      </c:pt>
                      <c:pt idx="13" formatCode="General">
                        <c:v>-39.081946107784432</c:v>
                      </c:pt>
                      <c:pt idx="14" formatCode="General">
                        <c:v>-37.838832335329343</c:v>
                      </c:pt>
                      <c:pt idx="15" formatCode="General">
                        <c:v>-36.595718562874254</c:v>
                      </c:pt>
                      <c:pt idx="16" formatCode="General">
                        <c:v>-35.412514970059881</c:v>
                      </c:pt>
                      <c:pt idx="17" formatCode="General">
                        <c:v>-34.377784431137727</c:v>
                      </c:pt>
                      <c:pt idx="18" formatCode="General">
                        <c:v>-33.343053892215572</c:v>
                      </c:pt>
                      <c:pt idx="19" formatCode="General">
                        <c:v>-32.308323353293417</c:v>
                      </c:pt>
                      <c:pt idx="20" formatCode="General">
                        <c:v>-31.289491017964075</c:v>
                      </c:pt>
                      <c:pt idx="21" formatCode="General">
                        <c:v>-30.396077844311378</c:v>
                      </c:pt>
                      <c:pt idx="22" formatCode="General">
                        <c:v>-29.502664670658685</c:v>
                      </c:pt>
                      <c:pt idx="23" formatCode="General">
                        <c:v>-28.609251497005989</c:v>
                      </c:pt>
                      <c:pt idx="24" formatCode="General">
                        <c:v>-27.715838323353292</c:v>
                      </c:pt>
                      <c:pt idx="25" formatCode="General">
                        <c:v>-27.464054054054053</c:v>
                      </c:pt>
                      <c:pt idx="26" formatCode="General">
                        <c:v>-27.255045045045044</c:v>
                      </c:pt>
                      <c:pt idx="27" formatCode="General">
                        <c:v>-27.046036036036035</c:v>
                      </c:pt>
                      <c:pt idx="28" formatCode="General">
                        <c:v>-26.837027027027027</c:v>
                      </c:pt>
                      <c:pt idx="29" formatCode="General">
                        <c:v>-27.03502994011976</c:v>
                      </c:pt>
                      <c:pt idx="30" formatCode="General">
                        <c:v>-27.351197604790418</c:v>
                      </c:pt>
                      <c:pt idx="31" formatCode="General">
                        <c:v>-27.667365269461076</c:v>
                      </c:pt>
                      <c:pt idx="32" formatCode="General">
                        <c:v>-27.983532934131734</c:v>
                      </c:pt>
                      <c:pt idx="33" formatCode="General">
                        <c:v>-28.296826347305387</c:v>
                      </c:pt>
                      <c:pt idx="34" formatCode="General">
                        <c:v>-28.60820359281437</c:v>
                      </c:pt>
                      <c:pt idx="35" formatCode="General">
                        <c:v>-28.919580838323352</c:v>
                      </c:pt>
                      <c:pt idx="36" formatCode="General">
                        <c:v>-29.230958083832334</c:v>
                      </c:pt>
                      <c:pt idx="37" formatCode="General">
                        <c:v>-29.540299401197604</c:v>
                      </c:pt>
                      <c:pt idx="38" formatCode="General">
                        <c:v>-29.84688622754491</c:v>
                      </c:pt>
                      <c:pt idx="39" formatCode="General">
                        <c:v>-30.153473053892217</c:v>
                      </c:pt>
                      <c:pt idx="40" formatCode="General">
                        <c:v>-30.460059880239523</c:v>
                      </c:pt>
                      <c:pt idx="41" formatCode="General">
                        <c:v>-30.7648502994012</c:v>
                      </c:pt>
                      <c:pt idx="42" formatCode="General">
                        <c:v>-31.064251497005991</c:v>
                      </c:pt>
                      <c:pt idx="43" formatCode="General">
                        <c:v>-31.363652694610781</c:v>
                      </c:pt>
                      <c:pt idx="44" formatCode="General">
                        <c:v>-31.663053892215572</c:v>
                      </c:pt>
                      <c:pt idx="45" formatCode="General">
                        <c:v>-31.961916167664672</c:v>
                      </c:pt>
                      <c:pt idx="46" formatCode="General">
                        <c:v>-32.254131736526951</c:v>
                      </c:pt>
                      <c:pt idx="47" formatCode="General">
                        <c:v>-32.546347305389219</c:v>
                      </c:pt>
                      <c:pt idx="48" formatCode="General">
                        <c:v>-32.838562874251494</c:v>
                      </c:pt>
                      <c:pt idx="49" formatCode="General">
                        <c:v>-33.130778443113769</c:v>
                      </c:pt>
                      <c:pt idx="50" formatCode="General">
                        <c:v>-33.403235955056175</c:v>
                      </c:pt>
                      <c:pt idx="51" formatCode="General">
                        <c:v>-33.673498127340821</c:v>
                      </c:pt>
                      <c:pt idx="52" formatCode="General">
                        <c:v>-33.943760299625467</c:v>
                      </c:pt>
                      <c:pt idx="53" formatCode="General">
                        <c:v>-34.214022471910113</c:v>
                      </c:pt>
                      <c:pt idx="54" formatCode="General">
                        <c:v>-34.484284644194759</c:v>
                      </c:pt>
                      <c:pt idx="55" formatCode="General">
                        <c:v>-34.754546816479397</c:v>
                      </c:pt>
                      <c:pt idx="56" formatCode="General">
                        <c:v>-35.024808988764043</c:v>
                      </c:pt>
                      <c:pt idx="57" formatCode="General">
                        <c:v>-35.295071161048689</c:v>
                      </c:pt>
                      <c:pt idx="58" formatCode="General">
                        <c:v>-35.565333333333335</c:v>
                      </c:pt>
                      <c:pt idx="59" formatCode="General">
                        <c:v>-35.835595505617981</c:v>
                      </c:pt>
                      <c:pt idx="60" formatCode="General">
                        <c:v>-36.10585767790262</c:v>
                      </c:pt>
                      <c:pt idx="61" formatCode="General">
                        <c:v>-36.376119850187266</c:v>
                      </c:pt>
                      <c:pt idx="62" formatCode="General">
                        <c:v>-36.646382022471911</c:v>
                      </c:pt>
                      <c:pt idx="63" formatCode="General">
                        <c:v>-36.916644194756557</c:v>
                      </c:pt>
                      <c:pt idx="64" formatCode="General">
                        <c:v>-37.186906367041203</c:v>
                      </c:pt>
                      <c:pt idx="65" formatCode="General">
                        <c:v>-37.457168539325849</c:v>
                      </c:pt>
                      <c:pt idx="66" formatCode="General">
                        <c:v>-37.717880149812736</c:v>
                      </c:pt>
                      <c:pt idx="67" formatCode="General">
                        <c:v>-37.943198501872665</c:v>
                      </c:pt>
                      <c:pt idx="68" formatCode="General">
                        <c:v>-38.168516853932587</c:v>
                      </c:pt>
                      <c:pt idx="69" formatCode="General">
                        <c:v>-38.393835205992509</c:v>
                      </c:pt>
                      <c:pt idx="70" formatCode="General">
                        <c:v>-38.619153558052439</c:v>
                      </c:pt>
                      <c:pt idx="71" formatCode="General">
                        <c:v>-38.844471910112361</c:v>
                      </c:pt>
                      <c:pt idx="72" formatCode="General">
                        <c:v>-39.06979026217229</c:v>
                      </c:pt>
                      <c:pt idx="73" formatCode="General">
                        <c:v>-39.295108614232213</c:v>
                      </c:pt>
                      <c:pt idx="74" formatCode="General">
                        <c:v>-39.520426966292135</c:v>
                      </c:pt>
                      <c:pt idx="75" formatCode="General">
                        <c:v>-39.745745318352064</c:v>
                      </c:pt>
                      <c:pt idx="76" formatCode="General">
                        <c:v>-39.971063670411986</c:v>
                      </c:pt>
                      <c:pt idx="77" formatCode="General">
                        <c:v>-40.196382022471909</c:v>
                      </c:pt>
                      <c:pt idx="78" formatCode="General">
                        <c:v>-40.421700374531838</c:v>
                      </c:pt>
                      <c:pt idx="79" formatCode="General">
                        <c:v>-40.64701872659176</c:v>
                      </c:pt>
                      <c:pt idx="80" formatCode="General">
                        <c:v>-40.87233707865169</c:v>
                      </c:pt>
                      <c:pt idx="81" formatCode="General">
                        <c:v>-41.097655430711612</c:v>
                      </c:pt>
                      <c:pt idx="82" formatCode="General">
                        <c:v>-41.322973782771534</c:v>
                      </c:pt>
                      <c:pt idx="83" formatCode="General">
                        <c:v>-41.521441441441439</c:v>
                      </c:pt>
                      <c:pt idx="84" formatCode="General">
                        <c:v>-41.695615615615615</c:v>
                      </c:pt>
                      <c:pt idx="85" formatCode="General">
                        <c:v>-41.869789789789792</c:v>
                      </c:pt>
                      <c:pt idx="86" formatCode="General">
                        <c:v>-42.043963963963961</c:v>
                      </c:pt>
                      <c:pt idx="87" formatCode="General">
                        <c:v>-28.733663366336632</c:v>
                      </c:pt>
                      <c:pt idx="88" formatCode="General">
                        <c:v>-28.828712871287127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2-27FC-4A9D-A437-1D0023828BE9}"/>
                  </c:ext>
                </c:extLst>
              </c15:ser>
            </c15:filteredScatterSeries>
            <c15:filteredScatterSeries>
              <c15:ser>
                <c:idx val="47"/>
                <c:order val="48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306</c:v>
                      </c:pt>
                      <c:pt idx="1">
                        <c:v>314</c:v>
                      </c:pt>
                      <c:pt idx="2">
                        <c:v>322</c:v>
                      </c:pt>
                      <c:pt idx="3">
                        <c:v>330</c:v>
                      </c:pt>
                      <c:pt idx="4">
                        <c:v>338</c:v>
                      </c:pt>
                      <c:pt idx="5">
                        <c:v>346</c:v>
                      </c:pt>
                      <c:pt idx="6">
                        <c:v>354</c:v>
                      </c:pt>
                      <c:pt idx="7">
                        <c:v>362</c:v>
                      </c:pt>
                      <c:pt idx="8">
                        <c:v>370</c:v>
                      </c:pt>
                      <c:pt idx="9">
                        <c:v>378</c:v>
                      </c:pt>
                      <c:pt idx="10">
                        <c:v>386</c:v>
                      </c:pt>
                      <c:pt idx="11">
                        <c:v>394</c:v>
                      </c:pt>
                      <c:pt idx="12">
                        <c:v>402</c:v>
                      </c:pt>
                      <c:pt idx="13">
                        <c:v>410</c:v>
                      </c:pt>
                      <c:pt idx="14">
                        <c:v>418</c:v>
                      </c:pt>
                      <c:pt idx="15">
                        <c:v>426</c:v>
                      </c:pt>
                      <c:pt idx="16">
                        <c:v>434</c:v>
                      </c:pt>
                      <c:pt idx="17">
                        <c:v>442</c:v>
                      </c:pt>
                      <c:pt idx="18">
                        <c:v>450</c:v>
                      </c:pt>
                      <c:pt idx="19">
                        <c:v>458</c:v>
                      </c:pt>
                      <c:pt idx="20">
                        <c:v>466</c:v>
                      </c:pt>
                      <c:pt idx="21">
                        <c:v>474</c:v>
                      </c:pt>
                      <c:pt idx="22">
                        <c:v>482</c:v>
                      </c:pt>
                      <c:pt idx="23">
                        <c:v>490</c:v>
                      </c:pt>
                      <c:pt idx="24">
                        <c:v>498</c:v>
                      </c:pt>
                      <c:pt idx="25">
                        <c:v>506</c:v>
                      </c:pt>
                      <c:pt idx="26">
                        <c:v>514</c:v>
                      </c:pt>
                      <c:pt idx="27">
                        <c:v>522</c:v>
                      </c:pt>
                      <c:pt idx="28">
                        <c:v>530</c:v>
                      </c:pt>
                      <c:pt idx="29">
                        <c:v>538</c:v>
                      </c:pt>
                      <c:pt idx="30">
                        <c:v>546</c:v>
                      </c:pt>
                      <c:pt idx="31">
                        <c:v>554</c:v>
                      </c:pt>
                      <c:pt idx="32">
                        <c:v>562</c:v>
                      </c:pt>
                      <c:pt idx="33">
                        <c:v>570</c:v>
                      </c:pt>
                      <c:pt idx="34">
                        <c:v>578</c:v>
                      </c:pt>
                      <c:pt idx="35">
                        <c:v>586</c:v>
                      </c:pt>
                      <c:pt idx="36">
                        <c:v>594</c:v>
                      </c:pt>
                      <c:pt idx="37">
                        <c:v>602</c:v>
                      </c:pt>
                      <c:pt idx="38">
                        <c:v>610</c:v>
                      </c:pt>
                      <c:pt idx="39">
                        <c:v>618</c:v>
                      </c:pt>
                      <c:pt idx="40">
                        <c:v>626</c:v>
                      </c:pt>
                      <c:pt idx="41">
                        <c:v>634</c:v>
                      </c:pt>
                      <c:pt idx="42">
                        <c:v>642</c:v>
                      </c:pt>
                      <c:pt idx="43">
                        <c:v>650</c:v>
                      </c:pt>
                      <c:pt idx="44">
                        <c:v>658</c:v>
                      </c:pt>
                      <c:pt idx="45">
                        <c:v>666</c:v>
                      </c:pt>
                      <c:pt idx="46">
                        <c:v>674</c:v>
                      </c:pt>
                      <c:pt idx="47">
                        <c:v>682</c:v>
                      </c:pt>
                      <c:pt idx="48">
                        <c:v>690</c:v>
                      </c:pt>
                      <c:pt idx="49">
                        <c:v>698</c:v>
                      </c:pt>
                      <c:pt idx="50">
                        <c:v>706</c:v>
                      </c:pt>
                      <c:pt idx="51">
                        <c:v>714</c:v>
                      </c:pt>
                      <c:pt idx="52">
                        <c:v>722</c:v>
                      </c:pt>
                      <c:pt idx="53">
                        <c:v>730</c:v>
                      </c:pt>
                      <c:pt idx="54">
                        <c:v>738</c:v>
                      </c:pt>
                      <c:pt idx="55">
                        <c:v>746</c:v>
                      </c:pt>
                      <c:pt idx="56">
                        <c:v>754</c:v>
                      </c:pt>
                      <c:pt idx="57">
                        <c:v>762</c:v>
                      </c:pt>
                      <c:pt idx="58">
                        <c:v>770</c:v>
                      </c:pt>
                      <c:pt idx="59">
                        <c:v>778</c:v>
                      </c:pt>
                      <c:pt idx="60">
                        <c:v>786</c:v>
                      </c:pt>
                      <c:pt idx="61">
                        <c:v>794</c:v>
                      </c:pt>
                      <c:pt idx="62">
                        <c:v>802</c:v>
                      </c:pt>
                      <c:pt idx="63">
                        <c:v>810</c:v>
                      </c:pt>
                      <c:pt idx="64">
                        <c:v>818</c:v>
                      </c:pt>
                      <c:pt idx="65">
                        <c:v>826</c:v>
                      </c:pt>
                      <c:pt idx="66">
                        <c:v>834</c:v>
                      </c:pt>
                      <c:pt idx="67">
                        <c:v>842</c:v>
                      </c:pt>
                      <c:pt idx="68">
                        <c:v>850</c:v>
                      </c:pt>
                      <c:pt idx="69">
                        <c:v>858</c:v>
                      </c:pt>
                      <c:pt idx="70">
                        <c:v>866</c:v>
                      </c:pt>
                      <c:pt idx="71">
                        <c:v>874</c:v>
                      </c:pt>
                      <c:pt idx="72">
                        <c:v>882</c:v>
                      </c:pt>
                      <c:pt idx="73">
                        <c:v>890</c:v>
                      </c:pt>
                      <c:pt idx="74">
                        <c:v>898</c:v>
                      </c:pt>
                      <c:pt idx="75">
                        <c:v>906</c:v>
                      </c:pt>
                      <c:pt idx="76">
                        <c:v>914</c:v>
                      </c:pt>
                      <c:pt idx="77">
                        <c:v>922</c:v>
                      </c:pt>
                      <c:pt idx="78">
                        <c:v>930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EVALUATION!$B$149:$CP$149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-15.512792792792792</c:v>
                      </c:pt>
                      <c:pt idx="1">
                        <c:v>-15.013093093093092</c:v>
                      </c:pt>
                      <c:pt idx="2">
                        <c:v>-14.513393393393393</c:v>
                      </c:pt>
                      <c:pt idx="3">
                        <c:v>-14.013693693693693</c:v>
                      </c:pt>
                      <c:pt idx="4" formatCode="General">
                        <c:v>-13.456826347305389</c:v>
                      </c:pt>
                      <c:pt idx="5" formatCode="General">
                        <c:v>-12.886766467065867</c:v>
                      </c:pt>
                      <c:pt idx="6" formatCode="General">
                        <c:v>-12.316706586826346</c:v>
                      </c:pt>
                      <c:pt idx="7" formatCode="General">
                        <c:v>-11.746646706586823</c:v>
                      </c:pt>
                      <c:pt idx="8" formatCode="General">
                        <c:v>-11.204988023952094</c:v>
                      </c:pt>
                      <c:pt idx="9" formatCode="General">
                        <c:v>-10.679479041916167</c:v>
                      </c:pt>
                      <c:pt idx="10" formatCode="General">
                        <c:v>-10.153970059880239</c:v>
                      </c:pt>
                      <c:pt idx="11" formatCode="General">
                        <c:v>-9.628461077844312</c:v>
                      </c:pt>
                      <c:pt idx="12" formatCode="General">
                        <c:v>-9.1539101796407198</c:v>
                      </c:pt>
                      <c:pt idx="13" formatCode="General">
                        <c:v>-8.7385808383233528</c:v>
                      </c:pt>
                      <c:pt idx="14" formatCode="General">
                        <c:v>-8.3232514970059874</c:v>
                      </c:pt>
                      <c:pt idx="15" formatCode="General">
                        <c:v>-7.9079221556886221</c:v>
                      </c:pt>
                      <c:pt idx="16" formatCode="General">
                        <c:v>-7.5390748502994009</c:v>
                      </c:pt>
                      <c:pt idx="17" formatCode="General">
                        <c:v>-7.2854221556886225</c:v>
                      </c:pt>
                      <c:pt idx="18" formatCode="General">
                        <c:v>-7.031769461077845</c:v>
                      </c:pt>
                      <c:pt idx="19" formatCode="General">
                        <c:v>-6.7781167664670665</c:v>
                      </c:pt>
                      <c:pt idx="20" formatCode="General">
                        <c:v>-6.5428413173652693</c:v>
                      </c:pt>
                      <c:pt idx="21" formatCode="General">
                        <c:v>-6.4525419161676645</c:v>
                      </c:pt>
                      <c:pt idx="22" formatCode="General">
                        <c:v>-6.3622425149700597</c:v>
                      </c:pt>
                      <c:pt idx="23" formatCode="General">
                        <c:v>-6.2719431137724548</c:v>
                      </c:pt>
                      <c:pt idx="24" formatCode="General">
                        <c:v>-6.18164371257485</c:v>
                      </c:pt>
                      <c:pt idx="25" formatCode="General">
                        <c:v>-6.3239729729729737</c:v>
                      </c:pt>
                      <c:pt idx="26" formatCode="General">
                        <c:v>-6.4818108108108117</c:v>
                      </c:pt>
                      <c:pt idx="27" formatCode="General">
                        <c:v>-6.6396486486486497</c:v>
                      </c:pt>
                      <c:pt idx="28" formatCode="General">
                        <c:v>-6.7974864864864877</c:v>
                      </c:pt>
                      <c:pt idx="29" formatCode="General">
                        <c:v>-6.8348562874251497</c:v>
                      </c:pt>
                      <c:pt idx="30" formatCode="General">
                        <c:v>-6.8372514970059886</c:v>
                      </c:pt>
                      <c:pt idx="31" formatCode="General">
                        <c:v>-6.8396467065868265</c:v>
                      </c:pt>
                      <c:pt idx="32" formatCode="General">
                        <c:v>-6.8420419161676644</c:v>
                      </c:pt>
                      <c:pt idx="33" formatCode="General">
                        <c:v>-6.8517664670658682</c:v>
                      </c:pt>
                      <c:pt idx="34" formatCode="General">
                        <c:v>-6.866377245508982</c:v>
                      </c:pt>
                      <c:pt idx="35" formatCode="General">
                        <c:v>-6.8809880239520957</c:v>
                      </c:pt>
                      <c:pt idx="36" formatCode="General">
                        <c:v>-6.8955988023952095</c:v>
                      </c:pt>
                      <c:pt idx="37" formatCode="General">
                        <c:v>-6.911838323353293</c:v>
                      </c:pt>
                      <c:pt idx="38" formatCode="General">
                        <c:v>-6.930281437125748</c:v>
                      </c:pt>
                      <c:pt idx="39" formatCode="General">
                        <c:v>-6.9487245508982038</c:v>
                      </c:pt>
                      <c:pt idx="40" formatCode="General">
                        <c:v>-6.9671676646706588</c:v>
                      </c:pt>
                      <c:pt idx="41" formatCode="General">
                        <c:v>-6.9858502994011973</c:v>
                      </c:pt>
                      <c:pt idx="42" formatCode="General">
                        <c:v>-7.0052514970059878</c:v>
                      </c:pt>
                      <c:pt idx="43" formatCode="General">
                        <c:v>-7.0246526946107783</c:v>
                      </c:pt>
                      <c:pt idx="44" formatCode="General">
                        <c:v>-7.0440538922155689</c:v>
                      </c:pt>
                      <c:pt idx="45" formatCode="General">
                        <c:v>-7.0634550898203594</c:v>
                      </c:pt>
                      <c:pt idx="46" formatCode="General">
                        <c:v>-7.0828562874251499</c:v>
                      </c:pt>
                      <c:pt idx="47" formatCode="General">
                        <c:v>-7.1022574850299405</c:v>
                      </c:pt>
                      <c:pt idx="48" formatCode="General">
                        <c:v>-7.1216586826347301</c:v>
                      </c:pt>
                      <c:pt idx="49" formatCode="General">
                        <c:v>-7.1410598802395207</c:v>
                      </c:pt>
                      <c:pt idx="50" formatCode="General">
                        <c:v>-7.1602584269662923</c:v>
                      </c:pt>
                      <c:pt idx="51" formatCode="General">
                        <c:v>-7.1794344569288393</c:v>
                      </c:pt>
                      <c:pt idx="52" formatCode="General">
                        <c:v>-7.1986104868913854</c:v>
                      </c:pt>
                      <c:pt idx="53" formatCode="General">
                        <c:v>-7.2177865168539324</c:v>
                      </c:pt>
                      <c:pt idx="54" formatCode="General">
                        <c:v>-7.2369625468164793</c:v>
                      </c:pt>
                      <c:pt idx="55" formatCode="General">
                        <c:v>-7.2561385767790263</c:v>
                      </c:pt>
                      <c:pt idx="56" formatCode="General">
                        <c:v>-7.2753146067415733</c:v>
                      </c:pt>
                      <c:pt idx="57" formatCode="General">
                        <c:v>-7.2944906367041202</c:v>
                      </c:pt>
                      <c:pt idx="58" formatCode="General">
                        <c:v>-7.3136666666666663</c:v>
                      </c:pt>
                      <c:pt idx="59" formatCode="General">
                        <c:v>-7.3328426966292133</c:v>
                      </c:pt>
                      <c:pt idx="60" formatCode="General">
                        <c:v>-7.3520187265917603</c:v>
                      </c:pt>
                      <c:pt idx="61" formatCode="General">
                        <c:v>-7.3711947565543072</c:v>
                      </c:pt>
                      <c:pt idx="62" formatCode="General">
                        <c:v>-7.3903707865168542</c:v>
                      </c:pt>
                      <c:pt idx="63" formatCode="General">
                        <c:v>-7.4095468164794012</c:v>
                      </c:pt>
                      <c:pt idx="64" formatCode="General">
                        <c:v>-7.4287228464419481</c:v>
                      </c:pt>
                      <c:pt idx="65" formatCode="General">
                        <c:v>-7.4478988764044942</c:v>
                      </c:pt>
                      <c:pt idx="66" formatCode="General">
                        <c:v>-7.4668456928838953</c:v>
                      </c:pt>
                      <c:pt idx="67" formatCode="General">
                        <c:v>-7.484943071161049</c:v>
                      </c:pt>
                      <c:pt idx="68" formatCode="General">
                        <c:v>-7.5030404494382026</c:v>
                      </c:pt>
                      <c:pt idx="69" formatCode="General">
                        <c:v>-7.5211378277153562</c:v>
                      </c:pt>
                      <c:pt idx="70" formatCode="General">
                        <c:v>-7.5392352059925098</c:v>
                      </c:pt>
                      <c:pt idx="71" formatCode="General">
                        <c:v>-7.5573325842696626</c:v>
                      </c:pt>
                      <c:pt idx="72" formatCode="General">
                        <c:v>-7.5754299625468162</c:v>
                      </c:pt>
                      <c:pt idx="73" formatCode="General">
                        <c:v>-7.5935273408239699</c:v>
                      </c:pt>
                      <c:pt idx="74" formatCode="General">
                        <c:v>-7.6116247191011235</c:v>
                      </c:pt>
                      <c:pt idx="75" formatCode="General">
                        <c:v>-7.6297220973782771</c:v>
                      </c:pt>
                      <c:pt idx="76" formatCode="General">
                        <c:v>-7.6478194756554307</c:v>
                      </c:pt>
                      <c:pt idx="77" formatCode="General">
                        <c:v>-7.6659168539325844</c:v>
                      </c:pt>
                      <c:pt idx="78" formatCode="General">
                        <c:v>-7.684014232209738</c:v>
                      </c:pt>
                      <c:pt idx="79" formatCode="General">
                        <c:v>-7.7021116104868916</c:v>
                      </c:pt>
                      <c:pt idx="80" formatCode="General">
                        <c:v>-7.7202089887640444</c:v>
                      </c:pt>
                      <c:pt idx="81" formatCode="General">
                        <c:v>-7.738306367041198</c:v>
                      </c:pt>
                      <c:pt idx="82" formatCode="General">
                        <c:v>-7.7564037453183516</c:v>
                      </c:pt>
                      <c:pt idx="83" formatCode="General">
                        <c:v>-7.7739234234234234</c:v>
                      </c:pt>
                      <c:pt idx="84" formatCode="General">
                        <c:v>-7.7909204204204201</c:v>
                      </c:pt>
                      <c:pt idx="85" formatCode="General">
                        <c:v>-7.8079174174174168</c:v>
                      </c:pt>
                      <c:pt idx="86" formatCode="General">
                        <c:v>-7.8249144144144145</c:v>
                      </c:pt>
                      <c:pt idx="87" formatCode="General">
                        <c:v>-28.733663366336632</c:v>
                      </c:pt>
                      <c:pt idx="88" formatCode="General">
                        <c:v>-28.828712871287127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3-27FC-4A9D-A437-1D0023828BE9}"/>
                  </c:ext>
                </c:extLst>
              </c15:ser>
            </c15:filteredScatterSeries>
            <c15:filteredScatterSeries>
              <c15:ser>
                <c:idx val="48"/>
                <c:order val="49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306</c:v>
                      </c:pt>
                      <c:pt idx="1">
                        <c:v>314</c:v>
                      </c:pt>
                      <c:pt idx="2">
                        <c:v>322</c:v>
                      </c:pt>
                      <c:pt idx="3">
                        <c:v>330</c:v>
                      </c:pt>
                      <c:pt idx="4">
                        <c:v>338</c:v>
                      </c:pt>
                      <c:pt idx="5">
                        <c:v>346</c:v>
                      </c:pt>
                      <c:pt idx="6">
                        <c:v>354</c:v>
                      </c:pt>
                      <c:pt idx="7">
                        <c:v>362</c:v>
                      </c:pt>
                      <c:pt idx="8">
                        <c:v>370</c:v>
                      </c:pt>
                      <c:pt idx="9">
                        <c:v>378</c:v>
                      </c:pt>
                      <c:pt idx="10">
                        <c:v>386</c:v>
                      </c:pt>
                      <c:pt idx="11">
                        <c:v>394</c:v>
                      </c:pt>
                      <c:pt idx="12">
                        <c:v>402</c:v>
                      </c:pt>
                      <c:pt idx="13">
                        <c:v>410</c:v>
                      </c:pt>
                      <c:pt idx="14">
                        <c:v>418</c:v>
                      </c:pt>
                      <c:pt idx="15">
                        <c:v>426</c:v>
                      </c:pt>
                      <c:pt idx="16">
                        <c:v>434</c:v>
                      </c:pt>
                      <c:pt idx="17">
                        <c:v>442</c:v>
                      </c:pt>
                      <c:pt idx="18">
                        <c:v>450</c:v>
                      </c:pt>
                      <c:pt idx="19">
                        <c:v>458</c:v>
                      </c:pt>
                      <c:pt idx="20">
                        <c:v>466</c:v>
                      </c:pt>
                      <c:pt idx="21">
                        <c:v>474</c:v>
                      </c:pt>
                      <c:pt idx="22">
                        <c:v>482</c:v>
                      </c:pt>
                      <c:pt idx="23">
                        <c:v>490</c:v>
                      </c:pt>
                      <c:pt idx="24">
                        <c:v>498</c:v>
                      </c:pt>
                      <c:pt idx="25">
                        <c:v>506</c:v>
                      </c:pt>
                      <c:pt idx="26">
                        <c:v>514</c:v>
                      </c:pt>
                      <c:pt idx="27">
                        <c:v>522</c:v>
                      </c:pt>
                      <c:pt idx="28">
                        <c:v>530</c:v>
                      </c:pt>
                      <c:pt idx="29">
                        <c:v>538</c:v>
                      </c:pt>
                      <c:pt idx="30">
                        <c:v>546</c:v>
                      </c:pt>
                      <c:pt idx="31">
                        <c:v>554</c:v>
                      </c:pt>
                      <c:pt idx="32">
                        <c:v>562</c:v>
                      </c:pt>
                      <c:pt idx="33">
                        <c:v>570</c:v>
                      </c:pt>
                      <c:pt idx="34">
                        <c:v>578</c:v>
                      </c:pt>
                      <c:pt idx="35">
                        <c:v>586</c:v>
                      </c:pt>
                      <c:pt idx="36">
                        <c:v>594</c:v>
                      </c:pt>
                      <c:pt idx="37">
                        <c:v>602</c:v>
                      </c:pt>
                      <c:pt idx="38">
                        <c:v>610</c:v>
                      </c:pt>
                      <c:pt idx="39">
                        <c:v>618</c:v>
                      </c:pt>
                      <c:pt idx="40">
                        <c:v>626</c:v>
                      </c:pt>
                      <c:pt idx="41">
                        <c:v>634</c:v>
                      </c:pt>
                      <c:pt idx="42">
                        <c:v>642</c:v>
                      </c:pt>
                      <c:pt idx="43">
                        <c:v>650</c:v>
                      </c:pt>
                      <c:pt idx="44">
                        <c:v>658</c:v>
                      </c:pt>
                      <c:pt idx="45">
                        <c:v>666</c:v>
                      </c:pt>
                      <c:pt idx="46">
                        <c:v>674</c:v>
                      </c:pt>
                      <c:pt idx="47">
                        <c:v>682</c:v>
                      </c:pt>
                      <c:pt idx="48">
                        <c:v>690</c:v>
                      </c:pt>
                      <c:pt idx="49">
                        <c:v>698</c:v>
                      </c:pt>
                      <c:pt idx="50">
                        <c:v>706</c:v>
                      </c:pt>
                      <c:pt idx="51">
                        <c:v>714</c:v>
                      </c:pt>
                      <c:pt idx="52">
                        <c:v>722</c:v>
                      </c:pt>
                      <c:pt idx="53">
                        <c:v>730</c:v>
                      </c:pt>
                      <c:pt idx="54">
                        <c:v>738</c:v>
                      </c:pt>
                      <c:pt idx="55">
                        <c:v>746</c:v>
                      </c:pt>
                      <c:pt idx="56">
                        <c:v>754</c:v>
                      </c:pt>
                      <c:pt idx="57">
                        <c:v>762</c:v>
                      </c:pt>
                      <c:pt idx="58">
                        <c:v>770</c:v>
                      </c:pt>
                      <c:pt idx="59">
                        <c:v>778</c:v>
                      </c:pt>
                      <c:pt idx="60">
                        <c:v>786</c:v>
                      </c:pt>
                      <c:pt idx="61">
                        <c:v>794</c:v>
                      </c:pt>
                      <c:pt idx="62">
                        <c:v>802</c:v>
                      </c:pt>
                      <c:pt idx="63">
                        <c:v>810</c:v>
                      </c:pt>
                      <c:pt idx="64">
                        <c:v>818</c:v>
                      </c:pt>
                      <c:pt idx="65">
                        <c:v>826</c:v>
                      </c:pt>
                      <c:pt idx="66">
                        <c:v>834</c:v>
                      </c:pt>
                      <c:pt idx="67">
                        <c:v>842</c:v>
                      </c:pt>
                      <c:pt idx="68">
                        <c:v>850</c:v>
                      </c:pt>
                      <c:pt idx="69">
                        <c:v>858</c:v>
                      </c:pt>
                      <c:pt idx="70">
                        <c:v>866</c:v>
                      </c:pt>
                      <c:pt idx="71">
                        <c:v>874</c:v>
                      </c:pt>
                      <c:pt idx="72">
                        <c:v>882</c:v>
                      </c:pt>
                      <c:pt idx="73">
                        <c:v>890</c:v>
                      </c:pt>
                      <c:pt idx="74">
                        <c:v>898</c:v>
                      </c:pt>
                      <c:pt idx="75">
                        <c:v>906</c:v>
                      </c:pt>
                      <c:pt idx="76">
                        <c:v>914</c:v>
                      </c:pt>
                      <c:pt idx="77">
                        <c:v>922</c:v>
                      </c:pt>
                      <c:pt idx="78">
                        <c:v>930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EVALUATION!$B$150:$CP$150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-21.943243243243245</c:v>
                      </c:pt>
                      <c:pt idx="1">
                        <c:v>-21.741441441441442</c:v>
                      </c:pt>
                      <c:pt idx="2">
                        <c:v>-21.539639639639642</c:v>
                      </c:pt>
                      <c:pt idx="3">
                        <c:v>-21.337837837837839</c:v>
                      </c:pt>
                      <c:pt idx="4" formatCode="General">
                        <c:v>-21.317514970059882</c:v>
                      </c:pt>
                      <c:pt idx="5" formatCode="General">
                        <c:v>-21.339071856287426</c:v>
                      </c:pt>
                      <c:pt idx="6" formatCode="General">
                        <c:v>-21.360628742514972</c:v>
                      </c:pt>
                      <c:pt idx="7" formatCode="General">
                        <c:v>-21.382185628742516</c:v>
                      </c:pt>
                      <c:pt idx="8" formatCode="General">
                        <c:v>-21.452604790419162</c:v>
                      </c:pt>
                      <c:pt idx="9" formatCode="General">
                        <c:v>-21.550808383233534</c:v>
                      </c:pt>
                      <c:pt idx="10" formatCode="General">
                        <c:v>-21.649011976047905</c:v>
                      </c:pt>
                      <c:pt idx="11" formatCode="General">
                        <c:v>-21.747215568862277</c:v>
                      </c:pt>
                      <c:pt idx="12" formatCode="General">
                        <c:v>-21.843203592814373</c:v>
                      </c:pt>
                      <c:pt idx="13" formatCode="General">
                        <c:v>-21.936616766467068</c:v>
                      </c:pt>
                      <c:pt idx="14" formatCode="General">
                        <c:v>-22.030029940119761</c:v>
                      </c:pt>
                      <c:pt idx="15" formatCode="General">
                        <c:v>-22.123443113772456</c:v>
                      </c:pt>
                      <c:pt idx="16" formatCode="General">
                        <c:v>-22.209970059880241</c:v>
                      </c:pt>
                      <c:pt idx="17" formatCode="General">
                        <c:v>-22.279431137724551</c:v>
                      </c:pt>
                      <c:pt idx="18" formatCode="General">
                        <c:v>-22.348892215568863</c:v>
                      </c:pt>
                      <c:pt idx="19" formatCode="General">
                        <c:v>-22.418353293413173</c:v>
                      </c:pt>
                      <c:pt idx="20" formatCode="General">
                        <c:v>-22.488353293413173</c:v>
                      </c:pt>
                      <c:pt idx="21" formatCode="General">
                        <c:v>-22.562604790419162</c:v>
                      </c:pt>
                      <c:pt idx="22" formatCode="General">
                        <c:v>-22.63685628742515</c:v>
                      </c:pt>
                      <c:pt idx="23" formatCode="General">
                        <c:v>-22.711107784431139</c:v>
                      </c:pt>
                      <c:pt idx="24" formatCode="General">
                        <c:v>-22.785359281437124</c:v>
                      </c:pt>
                      <c:pt idx="25" formatCode="General">
                        <c:v>-22.846306306306307</c:v>
                      </c:pt>
                      <c:pt idx="26" formatCode="General">
                        <c:v>-22.906366366366367</c:v>
                      </c:pt>
                      <c:pt idx="27" formatCode="General">
                        <c:v>-22.966426426426427</c:v>
                      </c:pt>
                      <c:pt idx="28" formatCode="General">
                        <c:v>-23.026486486486487</c:v>
                      </c:pt>
                      <c:pt idx="29" formatCode="General">
                        <c:v>-23.130958083832336</c:v>
                      </c:pt>
                      <c:pt idx="30" formatCode="General">
                        <c:v>-23.248323353293415</c:v>
                      </c:pt>
                      <c:pt idx="31" formatCode="General">
                        <c:v>-23.36568862275449</c:v>
                      </c:pt>
                      <c:pt idx="32" formatCode="General">
                        <c:v>-23.483053892215569</c:v>
                      </c:pt>
                      <c:pt idx="33" formatCode="General">
                        <c:v>-23.60185628742515</c:v>
                      </c:pt>
                      <c:pt idx="34" formatCode="General">
                        <c:v>-23.721616766467065</c:v>
                      </c:pt>
                      <c:pt idx="35" formatCode="General">
                        <c:v>-23.841377245508983</c:v>
                      </c:pt>
                      <c:pt idx="36" formatCode="General">
                        <c:v>-23.961137724550898</c:v>
                      </c:pt>
                      <c:pt idx="37" formatCode="General">
                        <c:v>-24.078862275449104</c:v>
                      </c:pt>
                      <c:pt idx="38" formatCode="General">
                        <c:v>-24.193832335329343</c:v>
                      </c:pt>
                      <c:pt idx="39" formatCode="General">
                        <c:v>-24.308802395209582</c:v>
                      </c:pt>
                      <c:pt idx="40" formatCode="General">
                        <c:v>-24.423772455089821</c:v>
                      </c:pt>
                      <c:pt idx="41" formatCode="General">
                        <c:v>-24.53874251497006</c:v>
                      </c:pt>
                      <c:pt idx="42" formatCode="General">
                        <c:v>-24.653712574850299</c:v>
                      </c:pt>
                      <c:pt idx="43" formatCode="General">
                        <c:v>-24.768682634730538</c:v>
                      </c:pt>
                      <c:pt idx="44" formatCode="General">
                        <c:v>-24.883652694610777</c:v>
                      </c:pt>
                      <c:pt idx="45" formatCode="General">
                        <c:v>-24.998622754491016</c:v>
                      </c:pt>
                      <c:pt idx="46" formatCode="General">
                        <c:v>-25.113592814371255</c:v>
                      </c:pt>
                      <c:pt idx="47" formatCode="General">
                        <c:v>-25.228562874251494</c:v>
                      </c:pt>
                      <c:pt idx="48" formatCode="General">
                        <c:v>-25.343532934131737</c:v>
                      </c:pt>
                      <c:pt idx="49" formatCode="General">
                        <c:v>-25.458502994011976</c:v>
                      </c:pt>
                      <c:pt idx="50" formatCode="General">
                        <c:v>-25.567617977528091</c:v>
                      </c:pt>
                      <c:pt idx="51" formatCode="General">
                        <c:v>-25.676082397003746</c:v>
                      </c:pt>
                      <c:pt idx="52" formatCode="General">
                        <c:v>-25.784546816479402</c:v>
                      </c:pt>
                      <c:pt idx="53" formatCode="General">
                        <c:v>-25.893011235955058</c:v>
                      </c:pt>
                      <c:pt idx="54" formatCode="General">
                        <c:v>-26.001475655430713</c:v>
                      </c:pt>
                      <c:pt idx="55" formatCode="General">
                        <c:v>-26.109940074906369</c:v>
                      </c:pt>
                      <c:pt idx="56" formatCode="General">
                        <c:v>-26.218404494382021</c:v>
                      </c:pt>
                      <c:pt idx="57" formatCode="General">
                        <c:v>-26.326868913857677</c:v>
                      </c:pt>
                      <c:pt idx="58" formatCode="General">
                        <c:v>-26.435333333333332</c:v>
                      </c:pt>
                      <c:pt idx="59" formatCode="General">
                        <c:v>-26.543797752808988</c:v>
                      </c:pt>
                      <c:pt idx="60" formatCode="General">
                        <c:v>-26.652262172284644</c:v>
                      </c:pt>
                      <c:pt idx="61" formatCode="General">
                        <c:v>-26.760726591760299</c:v>
                      </c:pt>
                      <c:pt idx="62" formatCode="General">
                        <c:v>-26.869191011235955</c:v>
                      </c:pt>
                      <c:pt idx="63" formatCode="General">
                        <c:v>-26.977655430711611</c:v>
                      </c:pt>
                      <c:pt idx="64" formatCode="General">
                        <c:v>-27.086119850187266</c:v>
                      </c:pt>
                      <c:pt idx="65" formatCode="General">
                        <c:v>-27.194584269662922</c:v>
                      </c:pt>
                      <c:pt idx="66" formatCode="General">
                        <c:v>-27.301902621722849</c:v>
                      </c:pt>
                      <c:pt idx="67" formatCode="General">
                        <c:v>-27.404973782771538</c:v>
                      </c:pt>
                      <c:pt idx="68" formatCode="General">
                        <c:v>-27.508044943820227</c:v>
                      </c:pt>
                      <c:pt idx="69" formatCode="General">
                        <c:v>-27.611116104868916</c:v>
                      </c:pt>
                      <c:pt idx="70" formatCode="General">
                        <c:v>-27.714187265917605</c:v>
                      </c:pt>
                      <c:pt idx="71" formatCode="General">
                        <c:v>-27.817258426966294</c:v>
                      </c:pt>
                      <c:pt idx="72" formatCode="General">
                        <c:v>-27.920329588014983</c:v>
                      </c:pt>
                      <c:pt idx="73" formatCode="General">
                        <c:v>-28.023400749063672</c:v>
                      </c:pt>
                      <c:pt idx="74" formatCode="General">
                        <c:v>-28.126471910112361</c:v>
                      </c:pt>
                      <c:pt idx="75" formatCode="General">
                        <c:v>-28.22954307116105</c:v>
                      </c:pt>
                      <c:pt idx="76" formatCode="General">
                        <c:v>-28.332614232209739</c:v>
                      </c:pt>
                      <c:pt idx="77" formatCode="General">
                        <c:v>-28.435685393258428</c:v>
                      </c:pt>
                      <c:pt idx="78" formatCode="General">
                        <c:v>-28.538756554307117</c:v>
                      </c:pt>
                      <c:pt idx="79" formatCode="General">
                        <c:v>-28.641827715355806</c:v>
                      </c:pt>
                      <c:pt idx="80" formatCode="General">
                        <c:v>-28.744898876404495</c:v>
                      </c:pt>
                      <c:pt idx="81" formatCode="General">
                        <c:v>-28.847970037453184</c:v>
                      </c:pt>
                      <c:pt idx="82" formatCode="General">
                        <c:v>-28.951041198501873</c:v>
                      </c:pt>
                      <c:pt idx="83" formatCode="General">
                        <c:v>-29.051396396396395</c:v>
                      </c:pt>
                      <c:pt idx="84" formatCode="General">
                        <c:v>-29.149294294294293</c:v>
                      </c:pt>
                      <c:pt idx="85" formatCode="General">
                        <c:v>-29.247192192192191</c:v>
                      </c:pt>
                      <c:pt idx="86" formatCode="General">
                        <c:v>-29.345090090090089</c:v>
                      </c:pt>
                      <c:pt idx="87" formatCode="General">
                        <c:v>-7.3468118811881187</c:v>
                      </c:pt>
                      <c:pt idx="88" formatCode="General">
                        <c:v>-7.3646336633663365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4-27FC-4A9D-A437-1D0023828BE9}"/>
                  </c:ext>
                </c:extLst>
              </c15:ser>
            </c15:filteredScatterSeries>
            <c15:filteredScatterSeries>
              <c15:ser>
                <c:idx val="49"/>
                <c:order val="50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306</c:v>
                      </c:pt>
                      <c:pt idx="1">
                        <c:v>314</c:v>
                      </c:pt>
                      <c:pt idx="2">
                        <c:v>322</c:v>
                      </c:pt>
                      <c:pt idx="3">
                        <c:v>330</c:v>
                      </c:pt>
                      <c:pt idx="4">
                        <c:v>338</c:v>
                      </c:pt>
                      <c:pt idx="5">
                        <c:v>346</c:v>
                      </c:pt>
                      <c:pt idx="6">
                        <c:v>354</c:v>
                      </c:pt>
                      <c:pt idx="7">
                        <c:v>362</c:v>
                      </c:pt>
                      <c:pt idx="8">
                        <c:v>370</c:v>
                      </c:pt>
                      <c:pt idx="9">
                        <c:v>378</c:v>
                      </c:pt>
                      <c:pt idx="10">
                        <c:v>386</c:v>
                      </c:pt>
                      <c:pt idx="11">
                        <c:v>394</c:v>
                      </c:pt>
                      <c:pt idx="12">
                        <c:v>402</c:v>
                      </c:pt>
                      <c:pt idx="13">
                        <c:v>410</c:v>
                      </c:pt>
                      <c:pt idx="14">
                        <c:v>418</c:v>
                      </c:pt>
                      <c:pt idx="15">
                        <c:v>426</c:v>
                      </c:pt>
                      <c:pt idx="16">
                        <c:v>434</c:v>
                      </c:pt>
                      <c:pt idx="17">
                        <c:v>442</c:v>
                      </c:pt>
                      <c:pt idx="18">
                        <c:v>450</c:v>
                      </c:pt>
                      <c:pt idx="19">
                        <c:v>458</c:v>
                      </c:pt>
                      <c:pt idx="20">
                        <c:v>466</c:v>
                      </c:pt>
                      <c:pt idx="21">
                        <c:v>474</c:v>
                      </c:pt>
                      <c:pt idx="22">
                        <c:v>482</c:v>
                      </c:pt>
                      <c:pt idx="23">
                        <c:v>490</c:v>
                      </c:pt>
                      <c:pt idx="24">
                        <c:v>498</c:v>
                      </c:pt>
                      <c:pt idx="25">
                        <c:v>506</c:v>
                      </c:pt>
                      <c:pt idx="26">
                        <c:v>514</c:v>
                      </c:pt>
                      <c:pt idx="27">
                        <c:v>522</c:v>
                      </c:pt>
                      <c:pt idx="28">
                        <c:v>530</c:v>
                      </c:pt>
                      <c:pt idx="29">
                        <c:v>538</c:v>
                      </c:pt>
                      <c:pt idx="30">
                        <c:v>546</c:v>
                      </c:pt>
                      <c:pt idx="31">
                        <c:v>554</c:v>
                      </c:pt>
                      <c:pt idx="32">
                        <c:v>562</c:v>
                      </c:pt>
                      <c:pt idx="33">
                        <c:v>570</c:v>
                      </c:pt>
                      <c:pt idx="34">
                        <c:v>578</c:v>
                      </c:pt>
                      <c:pt idx="35">
                        <c:v>586</c:v>
                      </c:pt>
                      <c:pt idx="36">
                        <c:v>594</c:v>
                      </c:pt>
                      <c:pt idx="37">
                        <c:v>602</c:v>
                      </c:pt>
                      <c:pt idx="38">
                        <c:v>610</c:v>
                      </c:pt>
                      <c:pt idx="39">
                        <c:v>618</c:v>
                      </c:pt>
                      <c:pt idx="40">
                        <c:v>626</c:v>
                      </c:pt>
                      <c:pt idx="41">
                        <c:v>634</c:v>
                      </c:pt>
                      <c:pt idx="42">
                        <c:v>642</c:v>
                      </c:pt>
                      <c:pt idx="43">
                        <c:v>650</c:v>
                      </c:pt>
                      <c:pt idx="44">
                        <c:v>658</c:v>
                      </c:pt>
                      <c:pt idx="45">
                        <c:v>666</c:v>
                      </c:pt>
                      <c:pt idx="46">
                        <c:v>674</c:v>
                      </c:pt>
                      <c:pt idx="47">
                        <c:v>682</c:v>
                      </c:pt>
                      <c:pt idx="48">
                        <c:v>690</c:v>
                      </c:pt>
                      <c:pt idx="49">
                        <c:v>698</c:v>
                      </c:pt>
                      <c:pt idx="50">
                        <c:v>706</c:v>
                      </c:pt>
                      <c:pt idx="51">
                        <c:v>714</c:v>
                      </c:pt>
                      <c:pt idx="52">
                        <c:v>722</c:v>
                      </c:pt>
                      <c:pt idx="53">
                        <c:v>730</c:v>
                      </c:pt>
                      <c:pt idx="54">
                        <c:v>738</c:v>
                      </c:pt>
                      <c:pt idx="55">
                        <c:v>746</c:v>
                      </c:pt>
                      <c:pt idx="56">
                        <c:v>754</c:v>
                      </c:pt>
                      <c:pt idx="57">
                        <c:v>762</c:v>
                      </c:pt>
                      <c:pt idx="58">
                        <c:v>770</c:v>
                      </c:pt>
                      <c:pt idx="59">
                        <c:v>778</c:v>
                      </c:pt>
                      <c:pt idx="60">
                        <c:v>786</c:v>
                      </c:pt>
                      <c:pt idx="61">
                        <c:v>794</c:v>
                      </c:pt>
                      <c:pt idx="62">
                        <c:v>802</c:v>
                      </c:pt>
                      <c:pt idx="63">
                        <c:v>810</c:v>
                      </c:pt>
                      <c:pt idx="64">
                        <c:v>818</c:v>
                      </c:pt>
                      <c:pt idx="65">
                        <c:v>826</c:v>
                      </c:pt>
                      <c:pt idx="66">
                        <c:v>834</c:v>
                      </c:pt>
                      <c:pt idx="67">
                        <c:v>842</c:v>
                      </c:pt>
                      <c:pt idx="68">
                        <c:v>850</c:v>
                      </c:pt>
                      <c:pt idx="69">
                        <c:v>858</c:v>
                      </c:pt>
                      <c:pt idx="70">
                        <c:v>866</c:v>
                      </c:pt>
                      <c:pt idx="71">
                        <c:v>874</c:v>
                      </c:pt>
                      <c:pt idx="72">
                        <c:v>882</c:v>
                      </c:pt>
                      <c:pt idx="73">
                        <c:v>890</c:v>
                      </c:pt>
                      <c:pt idx="74">
                        <c:v>898</c:v>
                      </c:pt>
                      <c:pt idx="75">
                        <c:v>906</c:v>
                      </c:pt>
                      <c:pt idx="76">
                        <c:v>914</c:v>
                      </c:pt>
                      <c:pt idx="77">
                        <c:v>922</c:v>
                      </c:pt>
                      <c:pt idx="78">
                        <c:v>930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EVALUATION!$B$151:$CP$151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5-27FC-4A9D-A437-1D0023828BE9}"/>
                  </c:ext>
                </c:extLst>
              </c15:ser>
            </c15:filteredScatterSeries>
            <c15:filteredScatterSeries>
              <c15:ser>
                <c:idx val="50"/>
                <c:order val="51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306</c:v>
                      </c:pt>
                      <c:pt idx="1">
                        <c:v>314</c:v>
                      </c:pt>
                      <c:pt idx="2">
                        <c:v>322</c:v>
                      </c:pt>
                      <c:pt idx="3">
                        <c:v>330</c:v>
                      </c:pt>
                      <c:pt idx="4">
                        <c:v>338</c:v>
                      </c:pt>
                      <c:pt idx="5">
                        <c:v>346</c:v>
                      </c:pt>
                      <c:pt idx="6">
                        <c:v>354</c:v>
                      </c:pt>
                      <c:pt idx="7">
                        <c:v>362</c:v>
                      </c:pt>
                      <c:pt idx="8">
                        <c:v>370</c:v>
                      </c:pt>
                      <c:pt idx="9">
                        <c:v>378</c:v>
                      </c:pt>
                      <c:pt idx="10">
                        <c:v>386</c:v>
                      </c:pt>
                      <c:pt idx="11">
                        <c:v>394</c:v>
                      </c:pt>
                      <c:pt idx="12">
                        <c:v>402</c:v>
                      </c:pt>
                      <c:pt idx="13">
                        <c:v>410</c:v>
                      </c:pt>
                      <c:pt idx="14">
                        <c:v>418</c:v>
                      </c:pt>
                      <c:pt idx="15">
                        <c:v>426</c:v>
                      </c:pt>
                      <c:pt idx="16">
                        <c:v>434</c:v>
                      </c:pt>
                      <c:pt idx="17">
                        <c:v>442</c:v>
                      </c:pt>
                      <c:pt idx="18">
                        <c:v>450</c:v>
                      </c:pt>
                      <c:pt idx="19">
                        <c:v>458</c:v>
                      </c:pt>
                      <c:pt idx="20">
                        <c:v>466</c:v>
                      </c:pt>
                      <c:pt idx="21">
                        <c:v>474</c:v>
                      </c:pt>
                      <c:pt idx="22">
                        <c:v>482</c:v>
                      </c:pt>
                      <c:pt idx="23">
                        <c:v>490</c:v>
                      </c:pt>
                      <c:pt idx="24">
                        <c:v>498</c:v>
                      </c:pt>
                      <c:pt idx="25">
                        <c:v>506</c:v>
                      </c:pt>
                      <c:pt idx="26">
                        <c:v>514</c:v>
                      </c:pt>
                      <c:pt idx="27">
                        <c:v>522</c:v>
                      </c:pt>
                      <c:pt idx="28">
                        <c:v>530</c:v>
                      </c:pt>
                      <c:pt idx="29">
                        <c:v>538</c:v>
                      </c:pt>
                      <c:pt idx="30">
                        <c:v>546</c:v>
                      </c:pt>
                      <c:pt idx="31">
                        <c:v>554</c:v>
                      </c:pt>
                      <c:pt idx="32">
                        <c:v>562</c:v>
                      </c:pt>
                      <c:pt idx="33">
                        <c:v>570</c:v>
                      </c:pt>
                      <c:pt idx="34">
                        <c:v>578</c:v>
                      </c:pt>
                      <c:pt idx="35">
                        <c:v>586</c:v>
                      </c:pt>
                      <c:pt idx="36">
                        <c:v>594</c:v>
                      </c:pt>
                      <c:pt idx="37">
                        <c:v>602</c:v>
                      </c:pt>
                      <c:pt idx="38">
                        <c:v>610</c:v>
                      </c:pt>
                      <c:pt idx="39">
                        <c:v>618</c:v>
                      </c:pt>
                      <c:pt idx="40">
                        <c:v>626</c:v>
                      </c:pt>
                      <c:pt idx="41">
                        <c:v>634</c:v>
                      </c:pt>
                      <c:pt idx="42">
                        <c:v>642</c:v>
                      </c:pt>
                      <c:pt idx="43">
                        <c:v>650</c:v>
                      </c:pt>
                      <c:pt idx="44">
                        <c:v>658</c:v>
                      </c:pt>
                      <c:pt idx="45">
                        <c:v>666</c:v>
                      </c:pt>
                      <c:pt idx="46">
                        <c:v>674</c:v>
                      </c:pt>
                      <c:pt idx="47">
                        <c:v>682</c:v>
                      </c:pt>
                      <c:pt idx="48">
                        <c:v>690</c:v>
                      </c:pt>
                      <c:pt idx="49">
                        <c:v>698</c:v>
                      </c:pt>
                      <c:pt idx="50">
                        <c:v>706</c:v>
                      </c:pt>
                      <c:pt idx="51">
                        <c:v>714</c:v>
                      </c:pt>
                      <c:pt idx="52">
                        <c:v>722</c:v>
                      </c:pt>
                      <c:pt idx="53">
                        <c:v>730</c:v>
                      </c:pt>
                      <c:pt idx="54">
                        <c:v>738</c:v>
                      </c:pt>
                      <c:pt idx="55">
                        <c:v>746</c:v>
                      </c:pt>
                      <c:pt idx="56">
                        <c:v>754</c:v>
                      </c:pt>
                      <c:pt idx="57">
                        <c:v>762</c:v>
                      </c:pt>
                      <c:pt idx="58">
                        <c:v>770</c:v>
                      </c:pt>
                      <c:pt idx="59">
                        <c:v>778</c:v>
                      </c:pt>
                      <c:pt idx="60">
                        <c:v>786</c:v>
                      </c:pt>
                      <c:pt idx="61">
                        <c:v>794</c:v>
                      </c:pt>
                      <c:pt idx="62">
                        <c:v>802</c:v>
                      </c:pt>
                      <c:pt idx="63">
                        <c:v>810</c:v>
                      </c:pt>
                      <c:pt idx="64">
                        <c:v>818</c:v>
                      </c:pt>
                      <c:pt idx="65">
                        <c:v>826</c:v>
                      </c:pt>
                      <c:pt idx="66">
                        <c:v>834</c:v>
                      </c:pt>
                      <c:pt idx="67">
                        <c:v>842</c:v>
                      </c:pt>
                      <c:pt idx="68">
                        <c:v>850</c:v>
                      </c:pt>
                      <c:pt idx="69">
                        <c:v>858</c:v>
                      </c:pt>
                      <c:pt idx="70">
                        <c:v>866</c:v>
                      </c:pt>
                      <c:pt idx="71">
                        <c:v>874</c:v>
                      </c:pt>
                      <c:pt idx="72">
                        <c:v>882</c:v>
                      </c:pt>
                      <c:pt idx="73">
                        <c:v>890</c:v>
                      </c:pt>
                      <c:pt idx="74">
                        <c:v>898</c:v>
                      </c:pt>
                      <c:pt idx="75">
                        <c:v>906</c:v>
                      </c:pt>
                      <c:pt idx="76">
                        <c:v>914</c:v>
                      </c:pt>
                      <c:pt idx="77">
                        <c:v>922</c:v>
                      </c:pt>
                      <c:pt idx="78">
                        <c:v>930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EVALUATION!$B$152:$CP$152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6-27FC-4A9D-A437-1D0023828BE9}"/>
                  </c:ext>
                </c:extLst>
              </c15:ser>
            </c15:filteredScatterSeries>
            <c15:filteredScatterSeries>
              <c15:ser>
                <c:idx val="51"/>
                <c:order val="52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306</c:v>
                      </c:pt>
                      <c:pt idx="1">
                        <c:v>314</c:v>
                      </c:pt>
                      <c:pt idx="2">
                        <c:v>322</c:v>
                      </c:pt>
                      <c:pt idx="3">
                        <c:v>330</c:v>
                      </c:pt>
                      <c:pt idx="4">
                        <c:v>338</c:v>
                      </c:pt>
                      <c:pt idx="5">
                        <c:v>346</c:v>
                      </c:pt>
                      <c:pt idx="6">
                        <c:v>354</c:v>
                      </c:pt>
                      <c:pt idx="7">
                        <c:v>362</c:v>
                      </c:pt>
                      <c:pt idx="8">
                        <c:v>370</c:v>
                      </c:pt>
                      <c:pt idx="9">
                        <c:v>378</c:v>
                      </c:pt>
                      <c:pt idx="10">
                        <c:v>386</c:v>
                      </c:pt>
                      <c:pt idx="11">
                        <c:v>394</c:v>
                      </c:pt>
                      <c:pt idx="12">
                        <c:v>402</c:v>
                      </c:pt>
                      <c:pt idx="13">
                        <c:v>410</c:v>
                      </c:pt>
                      <c:pt idx="14">
                        <c:v>418</c:v>
                      </c:pt>
                      <c:pt idx="15">
                        <c:v>426</c:v>
                      </c:pt>
                      <c:pt idx="16">
                        <c:v>434</c:v>
                      </c:pt>
                      <c:pt idx="17">
                        <c:v>442</c:v>
                      </c:pt>
                      <c:pt idx="18">
                        <c:v>450</c:v>
                      </c:pt>
                      <c:pt idx="19">
                        <c:v>458</c:v>
                      </c:pt>
                      <c:pt idx="20">
                        <c:v>466</c:v>
                      </c:pt>
                      <c:pt idx="21">
                        <c:v>474</c:v>
                      </c:pt>
                      <c:pt idx="22">
                        <c:v>482</c:v>
                      </c:pt>
                      <c:pt idx="23">
                        <c:v>490</c:v>
                      </c:pt>
                      <c:pt idx="24">
                        <c:v>498</c:v>
                      </c:pt>
                      <c:pt idx="25">
                        <c:v>506</c:v>
                      </c:pt>
                      <c:pt idx="26">
                        <c:v>514</c:v>
                      </c:pt>
                      <c:pt idx="27">
                        <c:v>522</c:v>
                      </c:pt>
                      <c:pt idx="28">
                        <c:v>530</c:v>
                      </c:pt>
                      <c:pt idx="29">
                        <c:v>538</c:v>
                      </c:pt>
                      <c:pt idx="30">
                        <c:v>546</c:v>
                      </c:pt>
                      <c:pt idx="31">
                        <c:v>554</c:v>
                      </c:pt>
                      <c:pt idx="32">
                        <c:v>562</c:v>
                      </c:pt>
                      <c:pt idx="33">
                        <c:v>570</c:v>
                      </c:pt>
                      <c:pt idx="34">
                        <c:v>578</c:v>
                      </c:pt>
                      <c:pt idx="35">
                        <c:v>586</c:v>
                      </c:pt>
                      <c:pt idx="36">
                        <c:v>594</c:v>
                      </c:pt>
                      <c:pt idx="37">
                        <c:v>602</c:v>
                      </c:pt>
                      <c:pt idx="38">
                        <c:v>610</c:v>
                      </c:pt>
                      <c:pt idx="39">
                        <c:v>618</c:v>
                      </c:pt>
                      <c:pt idx="40">
                        <c:v>626</c:v>
                      </c:pt>
                      <c:pt idx="41">
                        <c:v>634</c:v>
                      </c:pt>
                      <c:pt idx="42">
                        <c:v>642</c:v>
                      </c:pt>
                      <c:pt idx="43">
                        <c:v>650</c:v>
                      </c:pt>
                      <c:pt idx="44">
                        <c:v>658</c:v>
                      </c:pt>
                      <c:pt idx="45">
                        <c:v>666</c:v>
                      </c:pt>
                      <c:pt idx="46">
                        <c:v>674</c:v>
                      </c:pt>
                      <c:pt idx="47">
                        <c:v>682</c:v>
                      </c:pt>
                      <c:pt idx="48">
                        <c:v>690</c:v>
                      </c:pt>
                      <c:pt idx="49">
                        <c:v>698</c:v>
                      </c:pt>
                      <c:pt idx="50">
                        <c:v>706</c:v>
                      </c:pt>
                      <c:pt idx="51">
                        <c:v>714</c:v>
                      </c:pt>
                      <c:pt idx="52">
                        <c:v>722</c:v>
                      </c:pt>
                      <c:pt idx="53">
                        <c:v>730</c:v>
                      </c:pt>
                      <c:pt idx="54">
                        <c:v>738</c:v>
                      </c:pt>
                      <c:pt idx="55">
                        <c:v>746</c:v>
                      </c:pt>
                      <c:pt idx="56">
                        <c:v>754</c:v>
                      </c:pt>
                      <c:pt idx="57">
                        <c:v>762</c:v>
                      </c:pt>
                      <c:pt idx="58">
                        <c:v>770</c:v>
                      </c:pt>
                      <c:pt idx="59">
                        <c:v>778</c:v>
                      </c:pt>
                      <c:pt idx="60">
                        <c:v>786</c:v>
                      </c:pt>
                      <c:pt idx="61">
                        <c:v>794</c:v>
                      </c:pt>
                      <c:pt idx="62">
                        <c:v>802</c:v>
                      </c:pt>
                      <c:pt idx="63">
                        <c:v>810</c:v>
                      </c:pt>
                      <c:pt idx="64">
                        <c:v>818</c:v>
                      </c:pt>
                      <c:pt idx="65">
                        <c:v>826</c:v>
                      </c:pt>
                      <c:pt idx="66">
                        <c:v>834</c:v>
                      </c:pt>
                      <c:pt idx="67">
                        <c:v>842</c:v>
                      </c:pt>
                      <c:pt idx="68">
                        <c:v>850</c:v>
                      </c:pt>
                      <c:pt idx="69">
                        <c:v>858</c:v>
                      </c:pt>
                      <c:pt idx="70">
                        <c:v>866</c:v>
                      </c:pt>
                      <c:pt idx="71">
                        <c:v>874</c:v>
                      </c:pt>
                      <c:pt idx="72">
                        <c:v>882</c:v>
                      </c:pt>
                      <c:pt idx="73">
                        <c:v>890</c:v>
                      </c:pt>
                      <c:pt idx="74">
                        <c:v>898</c:v>
                      </c:pt>
                      <c:pt idx="75">
                        <c:v>906</c:v>
                      </c:pt>
                      <c:pt idx="76">
                        <c:v>914</c:v>
                      </c:pt>
                      <c:pt idx="77">
                        <c:v>922</c:v>
                      </c:pt>
                      <c:pt idx="78">
                        <c:v>930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EVALUATION!$B$153:$CP$153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7-27FC-4A9D-A437-1D0023828BE9}"/>
                  </c:ext>
                </c:extLst>
              </c15:ser>
            </c15:filteredScatterSeries>
            <c15:filteredScatterSeries>
              <c15:ser>
                <c:idx val="52"/>
                <c:order val="53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306</c:v>
                      </c:pt>
                      <c:pt idx="1">
                        <c:v>314</c:v>
                      </c:pt>
                      <c:pt idx="2">
                        <c:v>322</c:v>
                      </c:pt>
                      <c:pt idx="3">
                        <c:v>330</c:v>
                      </c:pt>
                      <c:pt idx="4">
                        <c:v>338</c:v>
                      </c:pt>
                      <c:pt idx="5">
                        <c:v>346</c:v>
                      </c:pt>
                      <c:pt idx="6">
                        <c:v>354</c:v>
                      </c:pt>
                      <c:pt idx="7">
                        <c:v>362</c:v>
                      </c:pt>
                      <c:pt idx="8">
                        <c:v>370</c:v>
                      </c:pt>
                      <c:pt idx="9">
                        <c:v>378</c:v>
                      </c:pt>
                      <c:pt idx="10">
                        <c:v>386</c:v>
                      </c:pt>
                      <c:pt idx="11">
                        <c:v>394</c:v>
                      </c:pt>
                      <c:pt idx="12">
                        <c:v>402</c:v>
                      </c:pt>
                      <c:pt idx="13">
                        <c:v>410</c:v>
                      </c:pt>
                      <c:pt idx="14">
                        <c:v>418</c:v>
                      </c:pt>
                      <c:pt idx="15">
                        <c:v>426</c:v>
                      </c:pt>
                      <c:pt idx="16">
                        <c:v>434</c:v>
                      </c:pt>
                      <c:pt idx="17">
                        <c:v>442</c:v>
                      </c:pt>
                      <c:pt idx="18">
                        <c:v>450</c:v>
                      </c:pt>
                      <c:pt idx="19">
                        <c:v>458</c:v>
                      </c:pt>
                      <c:pt idx="20">
                        <c:v>466</c:v>
                      </c:pt>
                      <c:pt idx="21">
                        <c:v>474</c:v>
                      </c:pt>
                      <c:pt idx="22">
                        <c:v>482</c:v>
                      </c:pt>
                      <c:pt idx="23">
                        <c:v>490</c:v>
                      </c:pt>
                      <c:pt idx="24">
                        <c:v>498</c:v>
                      </c:pt>
                      <c:pt idx="25">
                        <c:v>506</c:v>
                      </c:pt>
                      <c:pt idx="26">
                        <c:v>514</c:v>
                      </c:pt>
                      <c:pt idx="27">
                        <c:v>522</c:v>
                      </c:pt>
                      <c:pt idx="28">
                        <c:v>530</c:v>
                      </c:pt>
                      <c:pt idx="29">
                        <c:v>538</c:v>
                      </c:pt>
                      <c:pt idx="30">
                        <c:v>546</c:v>
                      </c:pt>
                      <c:pt idx="31">
                        <c:v>554</c:v>
                      </c:pt>
                      <c:pt idx="32">
                        <c:v>562</c:v>
                      </c:pt>
                      <c:pt idx="33">
                        <c:v>570</c:v>
                      </c:pt>
                      <c:pt idx="34">
                        <c:v>578</c:v>
                      </c:pt>
                      <c:pt idx="35">
                        <c:v>586</c:v>
                      </c:pt>
                      <c:pt idx="36">
                        <c:v>594</c:v>
                      </c:pt>
                      <c:pt idx="37">
                        <c:v>602</c:v>
                      </c:pt>
                      <c:pt idx="38">
                        <c:v>610</c:v>
                      </c:pt>
                      <c:pt idx="39">
                        <c:v>618</c:v>
                      </c:pt>
                      <c:pt idx="40">
                        <c:v>626</c:v>
                      </c:pt>
                      <c:pt idx="41">
                        <c:v>634</c:v>
                      </c:pt>
                      <c:pt idx="42">
                        <c:v>642</c:v>
                      </c:pt>
                      <c:pt idx="43">
                        <c:v>650</c:v>
                      </c:pt>
                      <c:pt idx="44">
                        <c:v>658</c:v>
                      </c:pt>
                      <c:pt idx="45">
                        <c:v>666</c:v>
                      </c:pt>
                      <c:pt idx="46">
                        <c:v>674</c:v>
                      </c:pt>
                      <c:pt idx="47">
                        <c:v>682</c:v>
                      </c:pt>
                      <c:pt idx="48">
                        <c:v>690</c:v>
                      </c:pt>
                      <c:pt idx="49">
                        <c:v>698</c:v>
                      </c:pt>
                      <c:pt idx="50">
                        <c:v>706</c:v>
                      </c:pt>
                      <c:pt idx="51">
                        <c:v>714</c:v>
                      </c:pt>
                      <c:pt idx="52">
                        <c:v>722</c:v>
                      </c:pt>
                      <c:pt idx="53">
                        <c:v>730</c:v>
                      </c:pt>
                      <c:pt idx="54">
                        <c:v>738</c:v>
                      </c:pt>
                      <c:pt idx="55">
                        <c:v>746</c:v>
                      </c:pt>
                      <c:pt idx="56">
                        <c:v>754</c:v>
                      </c:pt>
                      <c:pt idx="57">
                        <c:v>762</c:v>
                      </c:pt>
                      <c:pt idx="58">
                        <c:v>770</c:v>
                      </c:pt>
                      <c:pt idx="59">
                        <c:v>778</c:v>
                      </c:pt>
                      <c:pt idx="60">
                        <c:v>786</c:v>
                      </c:pt>
                      <c:pt idx="61">
                        <c:v>794</c:v>
                      </c:pt>
                      <c:pt idx="62">
                        <c:v>802</c:v>
                      </c:pt>
                      <c:pt idx="63">
                        <c:v>810</c:v>
                      </c:pt>
                      <c:pt idx="64">
                        <c:v>818</c:v>
                      </c:pt>
                      <c:pt idx="65">
                        <c:v>826</c:v>
                      </c:pt>
                      <c:pt idx="66">
                        <c:v>834</c:v>
                      </c:pt>
                      <c:pt idx="67">
                        <c:v>842</c:v>
                      </c:pt>
                      <c:pt idx="68">
                        <c:v>850</c:v>
                      </c:pt>
                      <c:pt idx="69">
                        <c:v>858</c:v>
                      </c:pt>
                      <c:pt idx="70">
                        <c:v>866</c:v>
                      </c:pt>
                      <c:pt idx="71">
                        <c:v>874</c:v>
                      </c:pt>
                      <c:pt idx="72">
                        <c:v>882</c:v>
                      </c:pt>
                      <c:pt idx="73">
                        <c:v>890</c:v>
                      </c:pt>
                      <c:pt idx="74">
                        <c:v>898</c:v>
                      </c:pt>
                      <c:pt idx="75">
                        <c:v>906</c:v>
                      </c:pt>
                      <c:pt idx="76">
                        <c:v>914</c:v>
                      </c:pt>
                      <c:pt idx="77">
                        <c:v>922</c:v>
                      </c:pt>
                      <c:pt idx="78">
                        <c:v>930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EVALUATION!$B$154:$CP$154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8-27FC-4A9D-A437-1D0023828BE9}"/>
                  </c:ext>
                </c:extLst>
              </c15:ser>
            </c15:filteredScatterSeries>
          </c:ext>
        </c:extLst>
      </c:scatterChart>
      <c:valAx>
        <c:axId val="938785983"/>
        <c:scaling>
          <c:orientation val="minMax"/>
          <c:max val="1000"/>
          <c:min val="3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38775583"/>
        <c:crosses val="autoZero"/>
        <c:crossBetween val="midCat"/>
        <c:majorUnit val="100"/>
      </c:valAx>
      <c:valAx>
        <c:axId val="938775583"/>
        <c:scaling>
          <c:orientation val="minMax"/>
          <c:min val="-7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38785983"/>
        <c:crosses val="autoZero"/>
        <c:crossBetween val="midCat"/>
      </c:valAx>
    </c:plotArea>
    <c:plotVisOnly val="0"/>
    <c:dispBlanksAs val="gap"/>
    <c:showDLblsOverMax val="0"/>
    <c:extLst/>
  </c:chart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Relationship Id="rId4" Type="http://schemas.openxmlformats.org/officeDocument/2006/relationships/chart" Target="../charts/chart8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.xml"/><Relationship Id="rId2" Type="http://schemas.openxmlformats.org/officeDocument/2006/relationships/chart" Target="../charts/chart10.xml"/><Relationship Id="rId1" Type="http://schemas.openxmlformats.org/officeDocument/2006/relationships/chart" Target="../charts/chart9.xml"/><Relationship Id="rId4" Type="http://schemas.openxmlformats.org/officeDocument/2006/relationships/chart" Target="../charts/chart12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.xml"/><Relationship Id="rId7" Type="http://schemas.openxmlformats.org/officeDocument/2006/relationships/chart" Target="../charts/chart19.xml"/><Relationship Id="rId2" Type="http://schemas.openxmlformats.org/officeDocument/2006/relationships/chart" Target="../charts/chart14.xml"/><Relationship Id="rId1" Type="http://schemas.openxmlformats.org/officeDocument/2006/relationships/chart" Target="../charts/chart13.xml"/><Relationship Id="rId6" Type="http://schemas.openxmlformats.org/officeDocument/2006/relationships/chart" Target="../charts/chart18.xml"/><Relationship Id="rId5" Type="http://schemas.openxmlformats.org/officeDocument/2006/relationships/chart" Target="../charts/chart17.xml"/><Relationship Id="rId4" Type="http://schemas.openxmlformats.org/officeDocument/2006/relationships/chart" Target="../charts/chart16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38</xdr:col>
      <xdr:colOff>7385</xdr:colOff>
      <xdr:row>39</xdr:row>
      <xdr:rowOff>33617</xdr:rowOff>
    </xdr:from>
    <xdr:to>
      <xdr:col>44</xdr:col>
      <xdr:colOff>168088</xdr:colOff>
      <xdr:row>41</xdr:row>
      <xdr:rowOff>2196354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38</xdr:col>
      <xdr:colOff>44904</xdr:colOff>
      <xdr:row>2</xdr:row>
      <xdr:rowOff>37142</xdr:rowOff>
    </xdr:from>
    <xdr:to>
      <xdr:col>49</xdr:col>
      <xdr:colOff>773206</xdr:colOff>
      <xdr:row>18</xdr:row>
      <xdr:rowOff>11206</xdr:rowOff>
    </xdr:to>
    <xdr:graphicFrame macro="">
      <xdr:nvGraphicFramePr>
        <xdr:cNvPr id="3" name="Диаграмма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38</xdr:col>
      <xdr:colOff>86369</xdr:colOff>
      <xdr:row>112</xdr:row>
      <xdr:rowOff>75906</xdr:rowOff>
    </xdr:from>
    <xdr:to>
      <xdr:col>49</xdr:col>
      <xdr:colOff>836263</xdr:colOff>
      <xdr:row>130</xdr:row>
      <xdr:rowOff>177765</xdr:rowOff>
    </xdr:to>
    <xdr:graphicFrame macro="">
      <xdr:nvGraphicFramePr>
        <xdr:cNvPr id="6" name="Диаграмма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38</xdr:col>
      <xdr:colOff>78441</xdr:colOff>
      <xdr:row>18</xdr:row>
      <xdr:rowOff>89647</xdr:rowOff>
    </xdr:from>
    <xdr:to>
      <xdr:col>49</xdr:col>
      <xdr:colOff>829235</xdr:colOff>
      <xdr:row>36</xdr:row>
      <xdr:rowOff>190500</xdr:rowOff>
    </xdr:to>
    <xdr:graphicFrame macro="">
      <xdr:nvGraphicFramePr>
        <xdr:cNvPr id="7" name="Диаграмма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38</xdr:col>
      <xdr:colOff>7385</xdr:colOff>
      <xdr:row>39</xdr:row>
      <xdr:rowOff>33617</xdr:rowOff>
    </xdr:from>
    <xdr:to>
      <xdr:col>44</xdr:col>
      <xdr:colOff>168088</xdr:colOff>
      <xdr:row>41</xdr:row>
      <xdr:rowOff>2196354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38</xdr:col>
      <xdr:colOff>44904</xdr:colOff>
      <xdr:row>2</xdr:row>
      <xdr:rowOff>37142</xdr:rowOff>
    </xdr:from>
    <xdr:to>
      <xdr:col>49</xdr:col>
      <xdr:colOff>773206</xdr:colOff>
      <xdr:row>18</xdr:row>
      <xdr:rowOff>11206</xdr:rowOff>
    </xdr:to>
    <xdr:graphicFrame macro="">
      <xdr:nvGraphicFramePr>
        <xdr:cNvPr id="3" name="Диаграмма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38</xdr:col>
      <xdr:colOff>86369</xdr:colOff>
      <xdr:row>112</xdr:row>
      <xdr:rowOff>75906</xdr:rowOff>
    </xdr:from>
    <xdr:to>
      <xdr:col>49</xdr:col>
      <xdr:colOff>836263</xdr:colOff>
      <xdr:row>130</xdr:row>
      <xdr:rowOff>177765</xdr:rowOff>
    </xdr:to>
    <xdr:graphicFrame macro="">
      <xdr:nvGraphicFramePr>
        <xdr:cNvPr id="4" name="Диаграмма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38</xdr:col>
      <xdr:colOff>78441</xdr:colOff>
      <xdr:row>18</xdr:row>
      <xdr:rowOff>89647</xdr:rowOff>
    </xdr:from>
    <xdr:to>
      <xdr:col>49</xdr:col>
      <xdr:colOff>829235</xdr:colOff>
      <xdr:row>36</xdr:row>
      <xdr:rowOff>190500</xdr:rowOff>
    </xdr:to>
    <xdr:graphicFrame macro="">
      <xdr:nvGraphicFramePr>
        <xdr:cNvPr id="5" name="Диаграмма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38</xdr:col>
      <xdr:colOff>7385</xdr:colOff>
      <xdr:row>39</xdr:row>
      <xdr:rowOff>33617</xdr:rowOff>
    </xdr:from>
    <xdr:to>
      <xdr:col>44</xdr:col>
      <xdr:colOff>168088</xdr:colOff>
      <xdr:row>41</xdr:row>
      <xdr:rowOff>2196354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38</xdr:col>
      <xdr:colOff>44904</xdr:colOff>
      <xdr:row>2</xdr:row>
      <xdr:rowOff>37142</xdr:rowOff>
    </xdr:from>
    <xdr:to>
      <xdr:col>49</xdr:col>
      <xdr:colOff>773206</xdr:colOff>
      <xdr:row>18</xdr:row>
      <xdr:rowOff>11206</xdr:rowOff>
    </xdr:to>
    <xdr:graphicFrame macro="">
      <xdr:nvGraphicFramePr>
        <xdr:cNvPr id="3" name="Диаграмма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38</xdr:col>
      <xdr:colOff>86369</xdr:colOff>
      <xdr:row>112</xdr:row>
      <xdr:rowOff>75906</xdr:rowOff>
    </xdr:from>
    <xdr:to>
      <xdr:col>49</xdr:col>
      <xdr:colOff>836263</xdr:colOff>
      <xdr:row>130</xdr:row>
      <xdr:rowOff>177765</xdr:rowOff>
    </xdr:to>
    <xdr:graphicFrame macro="">
      <xdr:nvGraphicFramePr>
        <xdr:cNvPr id="4" name="Диаграмма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38</xdr:col>
      <xdr:colOff>78441</xdr:colOff>
      <xdr:row>18</xdr:row>
      <xdr:rowOff>89647</xdr:rowOff>
    </xdr:from>
    <xdr:to>
      <xdr:col>49</xdr:col>
      <xdr:colOff>829235</xdr:colOff>
      <xdr:row>36</xdr:row>
      <xdr:rowOff>190500</xdr:rowOff>
    </xdr:to>
    <xdr:graphicFrame macro="">
      <xdr:nvGraphicFramePr>
        <xdr:cNvPr id="5" name="Диаграмма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447675</xdr:colOff>
          <xdr:row>0</xdr:row>
          <xdr:rowOff>47625</xdr:rowOff>
        </xdr:from>
        <xdr:to>
          <xdr:col>95</xdr:col>
          <xdr:colOff>676275</xdr:colOff>
          <xdr:row>0</xdr:row>
          <xdr:rowOff>180975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4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ru-RU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Привести</a:t>
              </a:r>
            </a:p>
            <a:p>
              <a:pPr algn="ctr" rtl="0">
                <a:defRPr sz="1000"/>
              </a:pPr>
              <a:r>
                <a:rPr lang="ru-RU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ghbdtcnb</a:t>
              </a:r>
            </a:p>
            <a:p>
              <a:pPr algn="ctr" rtl="0">
                <a:defRPr sz="1000"/>
              </a:pPr>
              <a:endParaRPr lang="ru-RU" sz="16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xdr:twoCellAnchor>
    <xdr:from>
      <xdr:col>95</xdr:col>
      <xdr:colOff>0</xdr:colOff>
      <xdr:row>99</xdr:row>
      <xdr:rowOff>0</xdr:rowOff>
    </xdr:from>
    <xdr:to>
      <xdr:col>98</xdr:col>
      <xdr:colOff>843353</xdr:colOff>
      <xdr:row>111</xdr:row>
      <xdr:rowOff>215824</xdr:rowOff>
    </xdr:to>
    <xdr:graphicFrame macro="">
      <xdr:nvGraphicFramePr>
        <xdr:cNvPr id="12" name="Диаграмма 11">
          <a:extLst>
            <a:ext uri="{FF2B5EF4-FFF2-40B4-BE49-F238E27FC236}">
              <a16:creationId xmlns:a16="http://schemas.microsoft.com/office/drawing/2014/main" id="{00000000-0008-0000-04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99</xdr:col>
      <xdr:colOff>0</xdr:colOff>
      <xdr:row>99</xdr:row>
      <xdr:rowOff>0</xdr:rowOff>
    </xdr:from>
    <xdr:to>
      <xdr:col>102</xdr:col>
      <xdr:colOff>843353</xdr:colOff>
      <xdr:row>111</xdr:row>
      <xdr:rowOff>215823</xdr:rowOff>
    </xdr:to>
    <xdr:graphicFrame macro="">
      <xdr:nvGraphicFramePr>
        <xdr:cNvPr id="13" name="Диаграмма 12">
          <a:extLst>
            <a:ext uri="{FF2B5EF4-FFF2-40B4-BE49-F238E27FC236}">
              <a16:creationId xmlns:a16="http://schemas.microsoft.com/office/drawing/2014/main" id="{00000000-0008-0000-04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103</xdr:col>
      <xdr:colOff>0</xdr:colOff>
      <xdr:row>99</xdr:row>
      <xdr:rowOff>0</xdr:rowOff>
    </xdr:from>
    <xdr:to>
      <xdr:col>106</xdr:col>
      <xdr:colOff>843353</xdr:colOff>
      <xdr:row>111</xdr:row>
      <xdr:rowOff>215824</xdr:rowOff>
    </xdr:to>
    <xdr:graphicFrame macro="">
      <xdr:nvGraphicFramePr>
        <xdr:cNvPr id="14" name="Диаграмма 13">
          <a:extLst>
            <a:ext uri="{FF2B5EF4-FFF2-40B4-BE49-F238E27FC236}">
              <a16:creationId xmlns:a16="http://schemas.microsoft.com/office/drawing/2014/main" id="{00000000-0008-0000-04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95</xdr:col>
      <xdr:colOff>0</xdr:colOff>
      <xdr:row>112</xdr:row>
      <xdr:rowOff>0</xdr:rowOff>
    </xdr:from>
    <xdr:to>
      <xdr:col>98</xdr:col>
      <xdr:colOff>843353</xdr:colOff>
      <xdr:row>142</xdr:row>
      <xdr:rowOff>238236</xdr:rowOff>
    </xdr:to>
    <xdr:graphicFrame macro="">
      <xdr:nvGraphicFramePr>
        <xdr:cNvPr id="15" name="Диаграмма 14">
          <a:extLst>
            <a:ext uri="{FF2B5EF4-FFF2-40B4-BE49-F238E27FC236}">
              <a16:creationId xmlns:a16="http://schemas.microsoft.com/office/drawing/2014/main" id="{00000000-0008-0000-04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99</xdr:col>
      <xdr:colOff>0</xdr:colOff>
      <xdr:row>112</xdr:row>
      <xdr:rowOff>0</xdr:rowOff>
    </xdr:from>
    <xdr:to>
      <xdr:col>102</xdr:col>
      <xdr:colOff>843353</xdr:colOff>
      <xdr:row>142</xdr:row>
      <xdr:rowOff>238236</xdr:rowOff>
    </xdr:to>
    <xdr:graphicFrame macro="">
      <xdr:nvGraphicFramePr>
        <xdr:cNvPr id="16" name="Диаграмма 15">
          <a:extLst>
            <a:ext uri="{FF2B5EF4-FFF2-40B4-BE49-F238E27FC236}">
              <a16:creationId xmlns:a16="http://schemas.microsoft.com/office/drawing/2014/main" id="{00000000-0008-0000-04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103</xdr:col>
      <xdr:colOff>0</xdr:colOff>
      <xdr:row>112</xdr:row>
      <xdr:rowOff>0</xdr:rowOff>
    </xdr:from>
    <xdr:to>
      <xdr:col>106</xdr:col>
      <xdr:colOff>843353</xdr:colOff>
      <xdr:row>142</xdr:row>
      <xdr:rowOff>238236</xdr:rowOff>
    </xdr:to>
    <xdr:graphicFrame macro="">
      <xdr:nvGraphicFramePr>
        <xdr:cNvPr id="19" name="Диаграмма 18">
          <a:extLst>
            <a:ext uri="{FF2B5EF4-FFF2-40B4-BE49-F238E27FC236}">
              <a16:creationId xmlns:a16="http://schemas.microsoft.com/office/drawing/2014/main" id="{00000000-0008-0000-04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95</xdr:col>
      <xdr:colOff>0</xdr:colOff>
      <xdr:row>143</xdr:row>
      <xdr:rowOff>0</xdr:rowOff>
    </xdr:from>
    <xdr:to>
      <xdr:col>98</xdr:col>
      <xdr:colOff>731294</xdr:colOff>
      <xdr:row>155</xdr:row>
      <xdr:rowOff>238235</xdr:rowOff>
    </xdr:to>
    <xdr:graphicFrame macro="">
      <xdr:nvGraphicFramePr>
        <xdr:cNvPr id="20" name="Диаграмма 19">
          <a:extLst>
            <a:ext uri="{FF2B5EF4-FFF2-40B4-BE49-F238E27FC236}">
              <a16:creationId xmlns:a16="http://schemas.microsoft.com/office/drawing/2014/main" id="{00000000-0008-0000-0400-00001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2</xdr:row>
          <xdr:rowOff>47625</xdr:rowOff>
        </xdr:from>
        <xdr:to>
          <xdr:col>0</xdr:col>
          <xdr:colOff>419100</xdr:colOff>
          <xdr:row>9</xdr:row>
          <xdr:rowOff>66675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5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ru-RU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Сортировка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&#1043;&#1088;&#1072;&#1092;&#1080;&#1082;&#1080;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Данные"/>
      <sheetName val="Графики"/>
    </sheetNames>
    <sheetDataSet>
      <sheetData sheetId="0">
        <row r="1">
          <cell r="B1">
            <v>700</v>
          </cell>
        </row>
      </sheetData>
      <sheetData sheetId="1"/>
    </sheetDataSet>
  </externalBook>
</externalLink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0A0BBA-9B15-410E-AA48-90254DD9ED69}">
  <sheetPr codeName="Лист1">
    <tabColor theme="0"/>
  </sheetPr>
  <dimension ref="A1:G3"/>
  <sheetViews>
    <sheetView zoomScale="115" zoomScaleNormal="115" workbookViewId="0">
      <selection activeCell="B14" sqref="B14"/>
    </sheetView>
  </sheetViews>
  <sheetFormatPr defaultRowHeight="21" x14ac:dyDescent="0.35"/>
  <cols>
    <col min="1" max="1" width="17.54296875" customWidth="1"/>
  </cols>
  <sheetData>
    <row r="1" spans="1:7" ht="30" thickTop="1" thickBot="1" x14ac:dyDescent="0.4">
      <c r="A1" s="19" t="s">
        <v>27</v>
      </c>
      <c r="B1" s="40">
        <f>B2</f>
        <v>700</v>
      </c>
      <c r="D1" s="90" t="s">
        <v>72</v>
      </c>
      <c r="E1" s="91"/>
      <c r="F1" s="91"/>
      <c r="G1" s="91"/>
    </row>
    <row r="2" spans="1:7" ht="21.75" thickTop="1" x14ac:dyDescent="0.35">
      <c r="A2" s="11" t="s">
        <v>71</v>
      </c>
      <c r="B2" s="11">
        <f>[1]Данные!$B$1</f>
        <v>700</v>
      </c>
      <c r="D2" s="7" t="s">
        <v>1</v>
      </c>
      <c r="E2" s="73" t="s">
        <v>3</v>
      </c>
      <c r="F2" s="7" t="s">
        <v>4</v>
      </c>
      <c r="G2" s="7" t="s">
        <v>2</v>
      </c>
    </row>
    <row r="3" spans="1:7" ht="27.75" customHeight="1" x14ac:dyDescent="0.35">
      <c r="D3" s="40">
        <v>25</v>
      </c>
      <c r="E3" s="40">
        <v>15</v>
      </c>
      <c r="F3" s="40">
        <v>25</v>
      </c>
      <c r="G3" s="40">
        <v>60</v>
      </c>
    </row>
  </sheetData>
  <mergeCells count="1">
    <mergeCell ref="D1:G1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28CB25-3131-467D-93BB-0DFC06C5A37F}">
  <sheetPr codeName="Лист2">
    <tabColor rgb="FFFF0000"/>
  </sheetPr>
  <dimension ref="A1:BB136"/>
  <sheetViews>
    <sheetView topLeftCell="A114" zoomScale="85" zoomScaleNormal="85" zoomScaleSheetLayoutView="25" workbookViewId="0">
      <selection activeCell="AZ127" sqref="AZ127"/>
    </sheetView>
  </sheetViews>
  <sheetFormatPr defaultRowHeight="21" customHeight="1" outlineLevelRow="1" x14ac:dyDescent="0.35"/>
  <cols>
    <col min="1" max="4" width="5.6328125" customWidth="1"/>
    <col min="5" max="5" width="11.6328125" customWidth="1"/>
    <col min="6" max="6" width="8.90625" customWidth="1"/>
    <col min="7" max="20" width="8.6328125" hidden="1" customWidth="1"/>
    <col min="21" max="21" width="8.6328125" style="28" hidden="1" customWidth="1"/>
    <col min="22" max="22" width="8.6328125" style="29" hidden="1" customWidth="1"/>
    <col min="23" max="23" width="8.6328125" style="67" hidden="1" customWidth="1"/>
    <col min="24" max="37" width="8.6328125" hidden="1" customWidth="1"/>
    <col min="38" max="38" width="3" customWidth="1"/>
  </cols>
  <sheetData>
    <row r="1" spans="1:54" ht="29.25" customHeight="1" thickBot="1" x14ac:dyDescent="0.4">
      <c r="A1" s="94" t="s">
        <v>25</v>
      </c>
      <c r="B1" s="94"/>
      <c r="C1" s="94"/>
      <c r="D1" s="94"/>
      <c r="E1" s="94"/>
      <c r="F1" s="94"/>
      <c r="G1" s="94"/>
      <c r="H1" s="94"/>
      <c r="I1" s="94"/>
      <c r="J1" s="94"/>
      <c r="K1" s="94"/>
      <c r="L1" s="94"/>
      <c r="M1" s="94"/>
      <c r="N1" s="94"/>
      <c r="O1" s="94"/>
      <c r="P1" s="94"/>
      <c r="Q1" s="94"/>
      <c r="R1" s="94"/>
      <c r="S1" s="94"/>
      <c r="T1" s="94"/>
      <c r="U1" s="94"/>
      <c r="V1" s="94"/>
      <c r="W1" s="94"/>
      <c r="X1" s="94"/>
      <c r="Y1" s="94"/>
      <c r="Z1" s="94"/>
      <c r="AA1" s="94"/>
      <c r="AB1" s="94"/>
      <c r="AC1" s="94"/>
      <c r="AD1" s="94"/>
      <c r="AE1" s="94"/>
      <c r="AF1" s="94"/>
      <c r="AG1" s="94"/>
      <c r="AH1" s="94"/>
      <c r="AI1" s="94"/>
      <c r="AJ1" s="94"/>
      <c r="AK1" s="94"/>
      <c r="AL1" s="94"/>
      <c r="AM1" s="94"/>
      <c r="AN1" s="94"/>
      <c r="AO1" s="94"/>
      <c r="AP1" s="94"/>
      <c r="AQ1" s="94"/>
      <c r="AR1" s="94"/>
      <c r="AS1" s="94"/>
      <c r="AT1" s="94"/>
      <c r="AU1" s="94"/>
      <c r="AV1" s="94"/>
      <c r="AW1" s="94"/>
      <c r="AX1" s="94"/>
      <c r="AY1" s="94"/>
      <c r="AZ1" s="94"/>
      <c r="BA1" s="94"/>
      <c r="BB1" s="94"/>
    </row>
    <row r="2" spans="1:54" ht="21" customHeight="1" thickBot="1" x14ac:dyDescent="0.45">
      <c r="A2" s="85">
        <f>Values!B1</f>
        <v>700</v>
      </c>
      <c r="B2" s="86">
        <v>8.3145000000000007</v>
      </c>
      <c r="C2" s="75"/>
      <c r="D2" s="75"/>
      <c r="E2" s="74" t="s">
        <v>20</v>
      </c>
      <c r="F2" s="75"/>
      <c r="G2" s="74"/>
      <c r="H2" s="74"/>
      <c r="I2" s="74"/>
      <c r="J2" s="74"/>
      <c r="K2" s="76"/>
      <c r="L2" s="76"/>
      <c r="M2" s="76"/>
      <c r="N2" s="76"/>
      <c r="O2" s="76"/>
      <c r="P2" s="76"/>
      <c r="Q2" s="76"/>
      <c r="R2" s="76"/>
      <c r="S2" s="76"/>
      <c r="T2" s="76"/>
      <c r="U2" s="77"/>
      <c r="V2" s="78"/>
      <c r="W2" s="79"/>
      <c r="X2" s="76"/>
      <c r="Y2" s="76"/>
      <c r="Z2" s="76"/>
      <c r="AA2" s="76"/>
      <c r="AB2" s="76"/>
      <c r="AC2" s="76"/>
      <c r="AD2" s="76"/>
      <c r="AE2" s="76"/>
      <c r="AF2" s="76"/>
      <c r="AG2" s="76"/>
      <c r="AH2" s="76"/>
      <c r="AI2" s="76"/>
      <c r="AJ2" s="76"/>
      <c r="AK2" s="76"/>
      <c r="AL2" s="76"/>
      <c r="AM2" s="80"/>
      <c r="AN2" s="84"/>
      <c r="AO2" s="84"/>
      <c r="AP2" s="84"/>
      <c r="AQ2" s="84"/>
      <c r="AR2" s="84"/>
      <c r="AS2" s="84"/>
      <c r="AT2" s="84"/>
      <c r="AU2" s="84"/>
      <c r="AV2" s="84"/>
      <c r="AW2" s="84"/>
      <c r="AX2" s="84"/>
      <c r="AY2" s="84"/>
      <c r="AZ2" s="84"/>
      <c r="BA2" s="84"/>
      <c r="BB2" s="87"/>
    </row>
    <row r="3" spans="1:54" ht="21" customHeight="1" outlineLevel="1" thickTop="1" thickBot="1" x14ac:dyDescent="0.4">
      <c r="A3" s="42" t="s">
        <v>1</v>
      </c>
      <c r="B3" s="42" t="s">
        <v>2</v>
      </c>
      <c r="C3" s="42" t="s">
        <v>3</v>
      </c>
      <c r="D3" s="43" t="s">
        <v>4</v>
      </c>
      <c r="E3" s="4"/>
      <c r="F3" s="3">
        <v>298.2</v>
      </c>
      <c r="G3" s="3">
        <v>331.5</v>
      </c>
      <c r="H3" s="3">
        <v>364.9</v>
      </c>
      <c r="I3" s="3">
        <v>398.3</v>
      </c>
      <c r="J3" s="3">
        <v>431.7</v>
      </c>
      <c r="K3" s="3">
        <v>465.1</v>
      </c>
      <c r="L3" s="3">
        <v>498.5</v>
      </c>
      <c r="M3" s="3">
        <v>531.79999999999995</v>
      </c>
      <c r="N3" s="3">
        <v>565.20000000000005</v>
      </c>
      <c r="O3" s="3">
        <v>598.6</v>
      </c>
      <c r="P3" s="3">
        <v>632</v>
      </c>
      <c r="Q3" s="3">
        <v>665.4</v>
      </c>
      <c r="R3" s="3">
        <v>698.8</v>
      </c>
      <c r="S3" s="3">
        <v>832.3</v>
      </c>
      <c r="T3" s="60">
        <v>965.8</v>
      </c>
      <c r="U3" s="63">
        <v>1099</v>
      </c>
      <c r="V3" s="64">
        <v>1133</v>
      </c>
      <c r="W3" s="1">
        <v>1166</v>
      </c>
      <c r="X3" s="61">
        <v>1200</v>
      </c>
      <c r="Y3" s="3">
        <v>1233</v>
      </c>
      <c r="Z3" s="3">
        <v>1366</v>
      </c>
      <c r="AA3" s="3">
        <v>1500</v>
      </c>
      <c r="AB3" s="4"/>
      <c r="AC3" s="4"/>
      <c r="AD3" s="4"/>
      <c r="AE3" s="4"/>
      <c r="AF3" s="4"/>
      <c r="AG3" s="4"/>
      <c r="AH3" s="4"/>
      <c r="AI3" s="4"/>
      <c r="AJ3" s="4"/>
      <c r="AK3" s="4"/>
      <c r="AL3" s="20"/>
      <c r="AM3" s="28"/>
      <c r="AN3" s="29"/>
      <c r="AO3" s="29"/>
      <c r="AP3" s="29"/>
      <c r="AQ3" s="29"/>
      <c r="AR3" s="29"/>
      <c r="AS3" s="29"/>
      <c r="AT3" s="29"/>
      <c r="AU3" s="29"/>
      <c r="AV3" s="29"/>
      <c r="AW3" s="29"/>
      <c r="AX3" s="29"/>
      <c r="AY3" s="29"/>
      <c r="AZ3" s="29"/>
      <c r="BA3" s="26">
        <f>$A$2</f>
        <v>700</v>
      </c>
      <c r="BB3" s="27">
        <v>0</v>
      </c>
    </row>
    <row r="4" spans="1:54" ht="21" customHeight="1" outlineLevel="1" thickTop="1" thickBot="1" x14ac:dyDescent="0.4">
      <c r="A4" s="44">
        <f>IF( ISNUMBER( FIND(A$3,$E4,1)),   IF( ISNUMBER( VALUE(MID($E4,FIND(A$3,$E4,1)+2,1)) ), VALUE( MID($E4,FIND(A$3,$E4,1)+2,1) ),1),0)</f>
        <v>0</v>
      </c>
      <c r="B4" s="44">
        <f t="shared" ref="B4:D19" si="0">IF( ISNUMBER( FIND(B$3,$E4,1)),   IF( ISNUMBER( VALUE(MID($E4,FIND(B$3,$E4,1)+2,1)) ), VALUE( MID($E4,FIND(B$3,$E4,1)+2,1) ),1),0)</f>
        <v>1</v>
      </c>
      <c r="C4" s="44">
        <f t="shared" si="0"/>
        <v>1</v>
      </c>
      <c r="D4" s="44">
        <f t="shared" si="0"/>
        <v>0</v>
      </c>
      <c r="E4" s="48" t="s">
        <v>41</v>
      </c>
      <c r="F4" s="49">
        <v>3.4126E-9</v>
      </c>
      <c r="G4" s="49">
        <v>6.8971000000000001E-9</v>
      </c>
      <c r="H4" s="49">
        <v>1.2251999999999999E-8</v>
      </c>
      <c r="I4" s="49">
        <v>9.8437000000000007E-9</v>
      </c>
      <c r="J4" s="49">
        <v>7.0928999999999998E-9</v>
      </c>
      <c r="K4" s="49">
        <v>1.4511000000000001E-11</v>
      </c>
      <c r="L4" s="49">
        <v>7.7667000000000001E-23</v>
      </c>
      <c r="M4" s="49">
        <v>0</v>
      </c>
      <c r="N4" s="49">
        <v>0</v>
      </c>
      <c r="O4" s="49">
        <v>0</v>
      </c>
      <c r="P4" s="49">
        <v>0</v>
      </c>
      <c r="Q4" s="49">
        <v>0</v>
      </c>
      <c r="R4" s="49">
        <v>0</v>
      </c>
      <c r="S4" s="49">
        <v>0</v>
      </c>
      <c r="T4" s="49">
        <v>0</v>
      </c>
      <c r="U4" s="49">
        <v>0</v>
      </c>
      <c r="V4" s="49">
        <v>0</v>
      </c>
      <c r="W4" s="49">
        <v>0</v>
      </c>
      <c r="X4" s="49">
        <v>0</v>
      </c>
      <c r="Y4" s="49">
        <v>0</v>
      </c>
      <c r="Z4" s="49">
        <v>0</v>
      </c>
      <c r="AA4" s="49">
        <v>0</v>
      </c>
      <c r="AB4" s="49"/>
      <c r="AC4" s="49"/>
      <c r="AD4" s="49"/>
      <c r="AE4" s="49"/>
      <c r="AF4" s="49"/>
      <c r="AG4" s="49"/>
      <c r="AH4" s="49"/>
      <c r="AI4" s="49"/>
      <c r="AJ4" s="49"/>
      <c r="AK4" s="49"/>
      <c r="AL4" s="49"/>
      <c r="AM4" s="28"/>
      <c r="AN4" s="29"/>
      <c r="AO4" s="29"/>
      <c r="AP4" s="29"/>
      <c r="AQ4" s="29"/>
      <c r="AR4" s="29"/>
      <c r="AS4" s="29"/>
      <c r="AT4" s="29"/>
      <c r="AU4" s="29"/>
      <c r="AV4" s="29"/>
      <c r="AW4" s="29"/>
      <c r="AX4" s="29"/>
      <c r="AY4" s="29"/>
      <c r="AZ4" s="29"/>
      <c r="BA4" s="31">
        <f>$A$2</f>
        <v>700</v>
      </c>
      <c r="BB4" s="59">
        <v>1</v>
      </c>
    </row>
    <row r="5" spans="1:54" ht="21" customHeight="1" outlineLevel="1" thickBot="1" x14ac:dyDescent="0.4">
      <c r="A5" s="44">
        <f t="shared" ref="A5:D27" si="1">IF( ISNUMBER( FIND(A$3,$E5,1)),   IF( ISNUMBER( VALUE(MID($E5,FIND(A$3,$E5,1)+2,1)) ), VALUE( MID($E5,FIND(A$3,$E5,1)+2,1) ),1),0)</f>
        <v>0</v>
      </c>
      <c r="B5" s="44">
        <f t="shared" si="0"/>
        <v>1</v>
      </c>
      <c r="C5" s="44">
        <f t="shared" si="0"/>
        <v>0</v>
      </c>
      <c r="D5" s="44">
        <f t="shared" si="0"/>
        <v>0</v>
      </c>
      <c r="E5" s="48" t="s">
        <v>39</v>
      </c>
      <c r="F5" s="49">
        <v>7.6016999999999998E-31</v>
      </c>
      <c r="G5" s="49">
        <v>2.9062E-21</v>
      </c>
      <c r="H5" s="49">
        <v>1.2167E-17</v>
      </c>
      <c r="I5" s="49">
        <v>3.46E-16</v>
      </c>
      <c r="J5" s="49">
        <v>7.1997000000000001E-13</v>
      </c>
      <c r="K5" s="49">
        <v>1.5125000000000001E-9</v>
      </c>
      <c r="L5" s="49">
        <v>7.1831999999999998E-9</v>
      </c>
      <c r="M5" s="49">
        <v>2.7564000000000001E-8</v>
      </c>
      <c r="N5" s="49">
        <v>2.1766000000000001E-8</v>
      </c>
      <c r="O5" s="49">
        <v>2.3666000000000002E-8</v>
      </c>
      <c r="P5" s="49">
        <v>2.4103000000000001E-8</v>
      </c>
      <c r="Q5" s="49">
        <v>2.3997E-8</v>
      </c>
      <c r="R5" s="49">
        <v>2.3738999999999998E-8</v>
      </c>
      <c r="S5" s="49">
        <v>2.1979000000000001E-8</v>
      </c>
      <c r="T5" s="49">
        <v>2.1196E-8</v>
      </c>
      <c r="U5" s="49">
        <v>2.1174999999999999E-8</v>
      </c>
      <c r="V5" s="49">
        <v>2.1165999999999999E-8</v>
      </c>
      <c r="W5" s="49">
        <v>2.1155E-8</v>
      </c>
      <c r="X5" s="49">
        <v>2.1212999999999999E-8</v>
      </c>
      <c r="Y5" s="49">
        <v>2.1276999999999999E-8</v>
      </c>
      <c r="Z5" s="49">
        <v>2.1562000000000001E-8</v>
      </c>
      <c r="AA5" s="49">
        <v>2.1891000000000001E-8</v>
      </c>
      <c r="AB5" s="49"/>
      <c r="AC5" s="49"/>
      <c r="AD5" s="49"/>
      <c r="AE5" s="49"/>
      <c r="AF5" s="49"/>
      <c r="AG5" s="49"/>
      <c r="AH5" s="49"/>
      <c r="AI5" s="49"/>
      <c r="AJ5" s="49"/>
      <c r="AK5" s="49"/>
      <c r="AL5" s="49"/>
      <c r="AM5" s="28"/>
      <c r="AN5" s="29"/>
      <c r="AO5" s="29"/>
      <c r="AP5" s="29"/>
      <c r="AQ5" s="29"/>
      <c r="AR5" s="29"/>
      <c r="AS5" s="29"/>
      <c r="AT5" s="29"/>
      <c r="AU5" s="29"/>
      <c r="AV5" s="29"/>
      <c r="AW5" s="29"/>
      <c r="AX5" s="29"/>
      <c r="AY5" s="29"/>
      <c r="AZ5" s="29"/>
      <c r="BA5" s="29"/>
      <c r="BB5" s="30"/>
    </row>
    <row r="6" spans="1:54" ht="21" customHeight="1" outlineLevel="1" thickBot="1" x14ac:dyDescent="0.4">
      <c r="A6" s="44">
        <f t="shared" si="1"/>
        <v>0</v>
      </c>
      <c r="B6" s="44">
        <f t="shared" si="0"/>
        <v>3</v>
      </c>
      <c r="C6" s="44">
        <f t="shared" si="0"/>
        <v>0</v>
      </c>
      <c r="D6" s="44">
        <f t="shared" si="0"/>
        <v>2</v>
      </c>
      <c r="E6" s="48" t="s">
        <v>49</v>
      </c>
      <c r="F6" s="49">
        <v>6.1059000000000002E-2</v>
      </c>
      <c r="G6" s="49">
        <v>5.6835999999999998E-2</v>
      </c>
      <c r="H6" s="49">
        <v>5.3668E-2</v>
      </c>
      <c r="I6" s="49">
        <v>5.2597999999999999E-2</v>
      </c>
      <c r="J6" s="49">
        <v>5.1083000000000003E-2</v>
      </c>
      <c r="K6" s="49">
        <v>4.7363000000000002E-2</v>
      </c>
      <c r="L6" s="49">
        <v>3.9135999999999997E-2</v>
      </c>
      <c r="M6" s="49">
        <v>2.6801E-4</v>
      </c>
      <c r="N6" s="49">
        <v>2.7487E-8</v>
      </c>
      <c r="O6" s="49">
        <v>5.4257999999999998E-12</v>
      </c>
      <c r="P6" s="49">
        <v>1.9164999999999999E-15</v>
      </c>
      <c r="Q6" s="49">
        <v>1.1293999999999999E-18</v>
      </c>
      <c r="R6" s="49">
        <v>1.0498000000000001E-21</v>
      </c>
      <c r="S6" s="49">
        <v>3.3894E-32</v>
      </c>
      <c r="T6" s="49">
        <v>0</v>
      </c>
      <c r="U6" s="49">
        <v>0</v>
      </c>
      <c r="V6" s="49">
        <v>0</v>
      </c>
      <c r="W6" s="49">
        <v>0</v>
      </c>
      <c r="X6" s="49">
        <v>0</v>
      </c>
      <c r="Y6" s="49">
        <v>0</v>
      </c>
      <c r="Z6" s="49">
        <v>0</v>
      </c>
      <c r="AA6" s="49">
        <v>0</v>
      </c>
      <c r="AB6" s="49"/>
      <c r="AC6" s="49"/>
      <c r="AD6" s="49"/>
      <c r="AE6" s="49"/>
      <c r="AF6" s="49"/>
      <c r="AG6" s="49"/>
      <c r="AH6" s="49"/>
      <c r="AI6" s="49"/>
      <c r="AJ6" s="49"/>
      <c r="AK6" s="49"/>
      <c r="AL6" s="49"/>
      <c r="AM6" s="28"/>
      <c r="AN6" s="29"/>
      <c r="AO6" s="29"/>
      <c r="AP6" s="29"/>
      <c r="AQ6" s="29"/>
      <c r="AR6" s="29"/>
      <c r="AS6" s="29"/>
      <c r="AT6" s="29"/>
      <c r="AU6" s="29"/>
      <c r="AV6" s="29"/>
      <c r="AW6" s="29"/>
      <c r="AX6" s="29"/>
      <c r="AY6" s="29"/>
      <c r="AZ6" s="29"/>
      <c r="BA6" s="29"/>
      <c r="BB6" s="30"/>
    </row>
    <row r="7" spans="1:54" ht="21" customHeight="1" outlineLevel="1" thickBot="1" x14ac:dyDescent="0.4">
      <c r="A7" s="44">
        <f t="shared" si="1"/>
        <v>0</v>
      </c>
      <c r="B7" s="44">
        <f t="shared" si="0"/>
        <v>0</v>
      </c>
      <c r="C7" s="44">
        <f t="shared" si="0"/>
        <v>1</v>
      </c>
      <c r="D7" s="44">
        <f t="shared" si="0"/>
        <v>0</v>
      </c>
      <c r="E7" s="48" t="s">
        <v>3</v>
      </c>
      <c r="F7" s="49">
        <v>0</v>
      </c>
      <c r="G7" s="49">
        <v>0</v>
      </c>
      <c r="H7" s="49">
        <v>0</v>
      </c>
      <c r="I7" s="49">
        <v>0</v>
      </c>
      <c r="J7" s="49">
        <v>0</v>
      </c>
      <c r="K7" s="49">
        <v>0</v>
      </c>
      <c r="L7" s="49">
        <v>4.7876999999999999E-34</v>
      </c>
      <c r="M7" s="49">
        <v>6.4196999999999995E-32</v>
      </c>
      <c r="N7" s="49">
        <v>1.0090000000000001E-29</v>
      </c>
      <c r="O7" s="49">
        <v>8.6744000000000001E-28</v>
      </c>
      <c r="P7" s="49">
        <v>4.6054000000000001E-26</v>
      </c>
      <c r="Q7" s="49">
        <v>1.6372E-24</v>
      </c>
      <c r="R7" s="49">
        <v>4.1365000000000001E-23</v>
      </c>
      <c r="S7" s="49">
        <v>1.2665E-18</v>
      </c>
      <c r="T7" s="49">
        <v>2.2310000000000002E-15</v>
      </c>
      <c r="U7" s="49">
        <v>6.3804999999999999E-13</v>
      </c>
      <c r="V7" s="49">
        <v>2.1290999999999999E-12</v>
      </c>
      <c r="W7" s="49">
        <v>6.6288000000000002E-12</v>
      </c>
      <c r="X7" s="49">
        <v>1.9369000000000001E-11</v>
      </c>
      <c r="Y7" s="49">
        <v>5.3384000000000003E-11</v>
      </c>
      <c r="Z7" s="49">
        <v>1.8718000000000001E-9</v>
      </c>
      <c r="AA7" s="49">
        <v>3.4675999999999999E-8</v>
      </c>
      <c r="AB7" s="49"/>
      <c r="AC7" s="49"/>
      <c r="AD7" s="49"/>
      <c r="AE7" s="49"/>
      <c r="AF7" s="49"/>
      <c r="AG7" s="49"/>
      <c r="AH7" s="49"/>
      <c r="AI7" s="49"/>
      <c r="AJ7" s="49"/>
      <c r="AK7" s="49"/>
      <c r="AL7" s="49"/>
      <c r="AM7" s="28"/>
      <c r="AN7" s="29"/>
      <c r="AO7" s="29"/>
      <c r="AP7" s="29"/>
      <c r="AQ7" s="29"/>
      <c r="AR7" s="29"/>
      <c r="AS7" s="29"/>
      <c r="AT7" s="29"/>
      <c r="AU7" s="29"/>
      <c r="AV7" s="29"/>
      <c r="AW7" s="29"/>
      <c r="AX7" s="29"/>
      <c r="AY7" s="29"/>
      <c r="AZ7" s="29"/>
      <c r="BA7" s="29"/>
      <c r="BB7" s="30"/>
    </row>
    <row r="8" spans="1:54" ht="21" customHeight="1" outlineLevel="1" thickBot="1" x14ac:dyDescent="0.4">
      <c r="A8" s="44">
        <f t="shared" si="1"/>
        <v>1</v>
      </c>
      <c r="B8" s="44">
        <f t="shared" si="0"/>
        <v>0</v>
      </c>
      <c r="C8" s="44">
        <f t="shared" si="0"/>
        <v>0</v>
      </c>
      <c r="D8" s="44">
        <f t="shared" si="0"/>
        <v>0</v>
      </c>
      <c r="E8" s="48" t="s">
        <v>1</v>
      </c>
      <c r="F8" s="49">
        <v>0.2</v>
      </c>
      <c r="G8" s="49">
        <v>0.2</v>
      </c>
      <c r="H8" s="49">
        <v>0.2</v>
      </c>
      <c r="I8" s="49">
        <v>0.2</v>
      </c>
      <c r="J8" s="49">
        <v>0.2</v>
      </c>
      <c r="K8" s="49">
        <v>0.2</v>
      </c>
      <c r="L8" s="49">
        <v>0.2</v>
      </c>
      <c r="M8" s="49">
        <v>0.2</v>
      </c>
      <c r="N8" s="49">
        <v>0.2</v>
      </c>
      <c r="O8" s="49">
        <v>0.2</v>
      </c>
      <c r="P8" s="49">
        <v>0.2</v>
      </c>
      <c r="Q8" s="49">
        <v>0.2</v>
      </c>
      <c r="R8" s="49">
        <v>0.2</v>
      </c>
      <c r="S8" s="49">
        <v>0.2</v>
      </c>
      <c r="T8" s="49">
        <v>0.2</v>
      </c>
      <c r="U8" s="49">
        <v>0.2</v>
      </c>
      <c r="V8" s="49">
        <v>0.2</v>
      </c>
      <c r="W8" s="49">
        <v>0.2</v>
      </c>
      <c r="X8" s="49">
        <v>0.2</v>
      </c>
      <c r="Y8" s="49">
        <v>0.2</v>
      </c>
      <c r="Z8" s="49">
        <v>0.2</v>
      </c>
      <c r="AA8" s="49">
        <v>0.2</v>
      </c>
      <c r="AB8" s="49"/>
      <c r="AC8" s="49"/>
      <c r="AD8" s="49"/>
      <c r="AE8" s="49"/>
      <c r="AF8" s="49"/>
      <c r="AG8" s="49"/>
      <c r="AH8" s="49"/>
      <c r="AI8" s="49"/>
      <c r="AJ8" s="49"/>
      <c r="AK8" s="49"/>
      <c r="AL8" s="49"/>
      <c r="AM8" s="28"/>
      <c r="AN8" s="29"/>
      <c r="AO8" s="29"/>
      <c r="AP8" s="29"/>
      <c r="AQ8" s="29"/>
      <c r="AR8" s="29"/>
      <c r="AS8" s="29"/>
      <c r="AT8" s="29"/>
      <c r="AU8" s="29"/>
      <c r="AV8" s="29"/>
      <c r="AW8" s="29"/>
      <c r="AX8" s="29"/>
      <c r="AY8" s="29"/>
      <c r="AZ8" s="29"/>
      <c r="BA8" s="29"/>
      <c r="BB8" s="30"/>
    </row>
    <row r="9" spans="1:54" ht="21" customHeight="1" outlineLevel="1" thickBot="1" x14ac:dyDescent="0.4">
      <c r="A9" s="44">
        <f t="shared" si="1"/>
        <v>0</v>
      </c>
      <c r="B9" s="44">
        <f t="shared" si="0"/>
        <v>2</v>
      </c>
      <c r="C9" s="44">
        <f t="shared" si="0"/>
        <v>1</v>
      </c>
      <c r="D9" s="44">
        <f t="shared" si="0"/>
        <v>0</v>
      </c>
      <c r="E9" s="48" t="s">
        <v>62</v>
      </c>
      <c r="F9" s="49">
        <v>5.2450999999999998E-2</v>
      </c>
      <c r="G9" s="49">
        <v>2.8126000000000002E-2</v>
      </c>
      <c r="H9" s="49">
        <v>7.5303999999999996E-3</v>
      </c>
      <c r="I9" s="49">
        <v>1.6239E-3</v>
      </c>
      <c r="J9" s="49">
        <v>3.8434999999999999E-4</v>
      </c>
      <c r="K9" s="49">
        <v>9.1833E-5</v>
      </c>
      <c r="L9" s="49">
        <v>1.6246999999999999E-5</v>
      </c>
      <c r="M9" s="49">
        <v>2.6618999999999999E-6</v>
      </c>
      <c r="N9" s="49">
        <v>2.8435999999999999E-7</v>
      </c>
      <c r="O9" s="49">
        <v>3.3676999999999998E-8</v>
      </c>
      <c r="P9" s="49">
        <v>4.5736E-9</v>
      </c>
      <c r="Q9" s="49">
        <v>7.0760000000000002E-10</v>
      </c>
      <c r="R9" s="49">
        <v>1.2301E-10</v>
      </c>
      <c r="S9" s="49">
        <v>2.8091000000000001E-13</v>
      </c>
      <c r="T9" s="49">
        <v>1.8204000000000002E-15</v>
      </c>
      <c r="U9" s="49">
        <v>2.3338E-17</v>
      </c>
      <c r="V9" s="49">
        <v>8.4999999999999995E-18</v>
      </c>
      <c r="W9" s="49">
        <v>3.1781000000000001E-18</v>
      </c>
      <c r="X9" s="49">
        <v>1.2172E-18</v>
      </c>
      <c r="Y9" s="49">
        <v>4.7653000000000002E-19</v>
      </c>
      <c r="Z9" s="49">
        <v>1.3479000000000001E-20</v>
      </c>
      <c r="AA9" s="49">
        <v>4.8049000000000002E-22</v>
      </c>
      <c r="AB9" s="49"/>
      <c r="AC9" s="49"/>
      <c r="AD9" s="49"/>
      <c r="AE9" s="49"/>
      <c r="AF9" s="49"/>
      <c r="AG9" s="49"/>
      <c r="AH9" s="49"/>
      <c r="AI9" s="49"/>
      <c r="AJ9" s="49"/>
      <c r="AK9" s="49"/>
      <c r="AL9" s="49"/>
      <c r="AM9" s="28"/>
      <c r="AN9" s="29"/>
      <c r="AO9" s="29"/>
      <c r="AP9" s="29"/>
      <c r="AQ9" s="29"/>
      <c r="AR9" s="29"/>
      <c r="AS9" s="29"/>
      <c r="AT9" s="29"/>
      <c r="AU9" s="29"/>
      <c r="AV9" s="29"/>
      <c r="AW9" s="29"/>
      <c r="AX9" s="29"/>
      <c r="AY9" s="29"/>
      <c r="AZ9" s="29"/>
      <c r="BA9" s="29"/>
      <c r="BB9" s="30"/>
    </row>
    <row r="10" spans="1:54" ht="21" customHeight="1" outlineLevel="1" thickBot="1" x14ac:dyDescent="0.4">
      <c r="A10" s="44">
        <f t="shared" si="1"/>
        <v>0</v>
      </c>
      <c r="B10" s="44">
        <f t="shared" si="0"/>
        <v>1</v>
      </c>
      <c r="C10" s="44">
        <f t="shared" si="0"/>
        <v>1</v>
      </c>
      <c r="D10" s="44">
        <f t="shared" si="0"/>
        <v>0</v>
      </c>
      <c r="E10" s="48" t="s">
        <v>48</v>
      </c>
      <c r="F10" s="49">
        <v>6.7547999999999997E-2</v>
      </c>
      <c r="G10" s="49">
        <v>9.1858999999999996E-2</v>
      </c>
      <c r="H10" s="49">
        <v>0.11228</v>
      </c>
      <c r="I10" s="49">
        <v>0.11651</v>
      </c>
      <c r="J10" s="49">
        <v>0.10771</v>
      </c>
      <c r="K10" s="49">
        <v>7.7765000000000001E-2</v>
      </c>
      <c r="L10" s="49">
        <v>3.7217E-2</v>
      </c>
      <c r="M10" s="49">
        <v>1.4212000000000001E-2</v>
      </c>
      <c r="N10" s="49">
        <v>4.1484E-3</v>
      </c>
      <c r="O10" s="49">
        <v>1.2566999999999999E-3</v>
      </c>
      <c r="P10" s="49">
        <v>4.1047000000000002E-4</v>
      </c>
      <c r="Q10" s="49">
        <v>1.4464999999999999E-4</v>
      </c>
      <c r="R10" s="49">
        <v>5.4611999999999998E-5</v>
      </c>
      <c r="S10" s="49">
        <v>1.9085999999999998E-6</v>
      </c>
      <c r="T10" s="49">
        <v>1.2335E-7</v>
      </c>
      <c r="U10" s="49">
        <v>1.1891E-8</v>
      </c>
      <c r="V10" s="49">
        <v>6.9399E-9</v>
      </c>
      <c r="W10" s="49">
        <v>4.1128000000000001E-9</v>
      </c>
      <c r="X10" s="49">
        <v>2.4718000000000001E-9</v>
      </c>
      <c r="Y10" s="49">
        <v>1.5047E-9</v>
      </c>
      <c r="Z10" s="49">
        <v>2.3035999999999999E-10</v>
      </c>
      <c r="AA10" s="49">
        <v>4.0387000000000002E-11</v>
      </c>
      <c r="AB10" s="49"/>
      <c r="AC10" s="49"/>
      <c r="AD10" s="49"/>
      <c r="AE10" s="49"/>
      <c r="AF10" s="49"/>
      <c r="AG10" s="49"/>
      <c r="AH10" s="49"/>
      <c r="AI10" s="49"/>
      <c r="AJ10" s="49"/>
      <c r="AK10" s="49"/>
      <c r="AL10" s="49"/>
      <c r="AM10" s="28"/>
      <c r="AN10" s="29"/>
      <c r="AO10" s="29"/>
      <c r="AP10" s="29"/>
      <c r="AQ10" s="29"/>
      <c r="AR10" s="29"/>
      <c r="AS10" s="29"/>
      <c r="AT10" s="29"/>
      <c r="AU10" s="29"/>
      <c r="AV10" s="29"/>
      <c r="AW10" s="29"/>
      <c r="AX10" s="29"/>
      <c r="AY10" s="29"/>
      <c r="AZ10" s="29"/>
      <c r="BA10" s="29"/>
      <c r="BB10" s="30"/>
    </row>
    <row r="11" spans="1:54" ht="21" customHeight="1" outlineLevel="1" thickBot="1" x14ac:dyDescent="0.4">
      <c r="A11" s="44">
        <f t="shared" si="1"/>
        <v>0</v>
      </c>
      <c r="B11" s="44">
        <f t="shared" si="0"/>
        <v>3</v>
      </c>
      <c r="C11" s="44">
        <f t="shared" si="0"/>
        <v>0</v>
      </c>
      <c r="D11" s="44">
        <f t="shared" si="0"/>
        <v>2</v>
      </c>
      <c r="E11" s="48" t="s">
        <v>63</v>
      </c>
      <c r="F11" s="49">
        <v>3.8941000000000003E-2</v>
      </c>
      <c r="G11" s="49">
        <v>4.3164000000000001E-2</v>
      </c>
      <c r="H11" s="49">
        <v>4.6331999999999998E-2</v>
      </c>
      <c r="I11" s="49">
        <v>4.7402E-2</v>
      </c>
      <c r="J11" s="49">
        <v>4.8917000000000002E-2</v>
      </c>
      <c r="K11" s="49">
        <v>5.2613E-2</v>
      </c>
      <c r="L11" s="49">
        <v>5.6087999999999999E-2</v>
      </c>
      <c r="M11" s="49">
        <v>1.0441999999999999E-3</v>
      </c>
      <c r="N11" s="49">
        <v>1.0938E-7</v>
      </c>
      <c r="O11" s="49">
        <v>2.1668999999999999E-11</v>
      </c>
      <c r="P11" s="49">
        <v>7.6620999999999996E-15</v>
      </c>
      <c r="Q11" s="49">
        <v>4.5167E-18</v>
      </c>
      <c r="R11" s="49">
        <v>4.1988000000000002E-21</v>
      </c>
      <c r="S11" s="49">
        <v>1.3557999999999999E-31</v>
      </c>
      <c r="T11" s="49">
        <v>0</v>
      </c>
      <c r="U11" s="49">
        <v>0</v>
      </c>
      <c r="V11" s="49">
        <v>0</v>
      </c>
      <c r="W11" s="49">
        <v>0</v>
      </c>
      <c r="X11" s="49">
        <v>0</v>
      </c>
      <c r="Y11" s="49">
        <v>0</v>
      </c>
      <c r="Z11" s="49">
        <v>0</v>
      </c>
      <c r="AA11" s="49">
        <v>0</v>
      </c>
      <c r="AB11" s="49"/>
      <c r="AC11" s="49"/>
      <c r="AD11" s="49"/>
      <c r="AE11" s="49"/>
      <c r="AF11" s="49"/>
      <c r="AG11" s="49"/>
      <c r="AH11" s="49"/>
      <c r="AI11" s="49"/>
      <c r="AJ11" s="49"/>
      <c r="AK11" s="49"/>
      <c r="AL11" s="49"/>
      <c r="AM11" s="28"/>
      <c r="AN11" s="29"/>
      <c r="AO11" s="29"/>
      <c r="AP11" s="29"/>
      <c r="AQ11" s="29"/>
      <c r="AR11" s="29"/>
      <c r="AS11" s="29"/>
      <c r="AT11" s="29"/>
      <c r="AU11" s="29"/>
      <c r="AV11" s="29"/>
      <c r="AW11" s="29"/>
      <c r="AX11" s="29"/>
      <c r="AY11" s="29"/>
      <c r="AZ11" s="29"/>
      <c r="BA11" s="29"/>
      <c r="BB11" s="30"/>
    </row>
    <row r="12" spans="1:54" ht="21" customHeight="1" outlineLevel="1" thickBot="1" x14ac:dyDescent="0.4">
      <c r="A12" s="44">
        <f t="shared" si="1"/>
        <v>0</v>
      </c>
      <c r="B12" s="44">
        <f t="shared" si="0"/>
        <v>0</v>
      </c>
      <c r="C12" s="44">
        <f t="shared" si="0"/>
        <v>1</v>
      </c>
      <c r="D12" s="44">
        <f t="shared" si="0"/>
        <v>0</v>
      </c>
      <c r="E12" s="48" t="s">
        <v>47</v>
      </c>
      <c r="F12" s="49">
        <v>7.8764000000000003E-7</v>
      </c>
      <c r="G12" s="49">
        <v>7.4715999999999998E-6</v>
      </c>
      <c r="H12" s="49">
        <v>9.4738E-5</v>
      </c>
      <c r="I12" s="49">
        <v>9.3227000000000002E-4</v>
      </c>
      <c r="J12" s="49">
        <v>5.9503999999999998E-3</v>
      </c>
      <c r="K12" s="49">
        <v>2.1070999999999999E-2</v>
      </c>
      <c r="L12" s="49">
        <v>4.1383000000000003E-2</v>
      </c>
      <c r="M12" s="49">
        <v>5.2893000000000003E-2</v>
      </c>
      <c r="N12" s="49">
        <v>5.7925999999999998E-2</v>
      </c>
      <c r="O12" s="49">
        <v>5.9372000000000001E-2</v>
      </c>
      <c r="P12" s="49">
        <v>5.9795000000000001E-2</v>
      </c>
      <c r="Q12" s="49">
        <v>5.9928000000000002E-2</v>
      </c>
      <c r="R12" s="49">
        <v>5.9972999999999999E-2</v>
      </c>
      <c r="S12" s="49">
        <v>5.9998999999999997E-2</v>
      </c>
      <c r="T12" s="49">
        <v>0.06</v>
      </c>
      <c r="U12" s="49">
        <v>0.06</v>
      </c>
      <c r="V12" s="49">
        <v>0.06</v>
      </c>
      <c r="W12" s="49">
        <v>0.06</v>
      </c>
      <c r="X12" s="49">
        <v>0.06</v>
      </c>
      <c r="Y12" s="49">
        <v>0.06</v>
      </c>
      <c r="Z12" s="49">
        <v>0.06</v>
      </c>
      <c r="AA12" s="49">
        <v>0.06</v>
      </c>
      <c r="AB12" s="49"/>
      <c r="AC12" s="49"/>
      <c r="AD12" s="49"/>
      <c r="AE12" s="49"/>
      <c r="AF12" s="49"/>
      <c r="AG12" s="49"/>
      <c r="AH12" s="49"/>
      <c r="AI12" s="49"/>
      <c r="AJ12" s="49"/>
      <c r="AK12" s="49"/>
      <c r="AL12" s="49"/>
      <c r="AM12" s="28"/>
      <c r="AN12" s="29"/>
      <c r="AO12" s="29"/>
      <c r="AP12" s="29"/>
      <c r="AQ12" s="29"/>
      <c r="AR12" s="29"/>
      <c r="AS12" s="29"/>
      <c r="AT12" s="29"/>
      <c r="AU12" s="29"/>
      <c r="AV12" s="29"/>
      <c r="AW12" s="29"/>
      <c r="AX12" s="29"/>
      <c r="AY12" s="29"/>
      <c r="AZ12" s="29"/>
      <c r="BA12" s="29"/>
      <c r="BB12" s="30"/>
    </row>
    <row r="13" spans="1:54" ht="21" customHeight="1" outlineLevel="1" thickBot="1" x14ac:dyDescent="0.4">
      <c r="A13" s="44">
        <f t="shared" si="1"/>
        <v>0</v>
      </c>
      <c r="B13" s="44">
        <f t="shared" si="0"/>
        <v>0</v>
      </c>
      <c r="C13" s="44">
        <f t="shared" si="0"/>
        <v>0</v>
      </c>
      <c r="D13" s="44">
        <f t="shared" si="0"/>
        <v>1</v>
      </c>
      <c r="E13" s="48" t="s">
        <v>46</v>
      </c>
      <c r="F13" s="49">
        <v>6.9119E-21</v>
      </c>
      <c r="G13" s="49">
        <v>3.1046E-17</v>
      </c>
      <c r="H13" s="49">
        <v>1.1613000000000001E-13</v>
      </c>
      <c r="I13" s="49">
        <v>2.0468999999999999E-10</v>
      </c>
      <c r="J13" s="49">
        <v>1.4782000000000001E-7</v>
      </c>
      <c r="K13" s="49">
        <v>4.8347000000000003E-5</v>
      </c>
      <c r="L13" s="49">
        <v>9.5520999999999991E-3</v>
      </c>
      <c r="M13" s="49">
        <v>0.19738</v>
      </c>
      <c r="N13" s="49">
        <v>0.2</v>
      </c>
      <c r="O13" s="49">
        <v>0.2</v>
      </c>
      <c r="P13" s="49">
        <v>0.2</v>
      </c>
      <c r="Q13" s="49">
        <v>0.2</v>
      </c>
      <c r="R13" s="49">
        <v>0.2</v>
      </c>
      <c r="S13" s="49">
        <v>0.2</v>
      </c>
      <c r="T13" s="49">
        <v>0.2</v>
      </c>
      <c r="U13" s="49">
        <v>0.2</v>
      </c>
      <c r="V13" s="49">
        <v>0.2</v>
      </c>
      <c r="W13" s="49">
        <v>0.2</v>
      </c>
      <c r="X13" s="49">
        <v>0.2</v>
      </c>
      <c r="Y13" s="49">
        <v>0.2</v>
      </c>
      <c r="Z13" s="49">
        <v>0.2</v>
      </c>
      <c r="AA13" s="49">
        <v>0.2</v>
      </c>
      <c r="AB13" s="49"/>
      <c r="AC13" s="49"/>
      <c r="AD13" s="49"/>
      <c r="AE13" s="49"/>
      <c r="AF13" s="49"/>
      <c r="AG13" s="49"/>
      <c r="AH13" s="49"/>
      <c r="AI13" s="49"/>
      <c r="AJ13" s="49"/>
      <c r="AK13" s="49"/>
      <c r="AL13" s="49"/>
      <c r="AM13" s="28"/>
      <c r="AN13" s="29"/>
      <c r="AO13" s="29"/>
      <c r="AP13" s="29"/>
      <c r="AQ13" s="29"/>
      <c r="AR13" s="29"/>
      <c r="AS13" s="29"/>
      <c r="AT13" s="29"/>
      <c r="AU13" s="29"/>
      <c r="AV13" s="29"/>
      <c r="AW13" s="29"/>
      <c r="AX13" s="29"/>
      <c r="AY13" s="29"/>
      <c r="BB13" s="30"/>
    </row>
    <row r="14" spans="1:54" ht="21" customHeight="1" outlineLevel="1" thickBot="1" x14ac:dyDescent="0.4">
      <c r="A14" s="44">
        <f t="shared" si="1"/>
        <v>0</v>
      </c>
      <c r="B14" s="44">
        <f t="shared" si="0"/>
        <v>1</v>
      </c>
      <c r="C14" s="44">
        <f t="shared" si="0"/>
        <v>0</v>
      </c>
      <c r="D14" s="44">
        <f t="shared" si="0"/>
        <v>0</v>
      </c>
      <c r="E14" s="48" t="s">
        <v>45</v>
      </c>
      <c r="F14" s="49">
        <v>6.5137E-9</v>
      </c>
      <c r="G14" s="49">
        <v>1.8022999999999999E-8</v>
      </c>
      <c r="H14" s="49">
        <v>1.9216000000000001E-8</v>
      </c>
      <c r="I14" s="49">
        <v>1.4127999999999999E-8</v>
      </c>
      <c r="J14" s="49">
        <v>1.0792E-8</v>
      </c>
      <c r="K14" s="49">
        <v>9.9617999999999992E-9</v>
      </c>
      <c r="L14" s="49">
        <v>1.0096E-8</v>
      </c>
      <c r="M14" s="49">
        <v>2.1419000000000001E-8</v>
      </c>
      <c r="N14" s="49">
        <v>1.5926E-8</v>
      </c>
      <c r="O14" s="49">
        <v>1.1574E-8</v>
      </c>
      <c r="P14" s="49">
        <v>8.3898000000000001E-9</v>
      </c>
      <c r="Q14" s="49">
        <v>6.0866000000000001E-9</v>
      </c>
      <c r="R14" s="49">
        <v>4.4243000000000001E-9</v>
      </c>
      <c r="S14" s="49">
        <v>1.2651999999999999E-9</v>
      </c>
      <c r="T14" s="49">
        <v>3.7555000000000001E-10</v>
      </c>
      <c r="U14" s="49">
        <v>1.1495E-10</v>
      </c>
      <c r="V14" s="49">
        <v>8.5818999999999999E-11</v>
      </c>
      <c r="W14" s="49">
        <v>6.4141000000000006E-11</v>
      </c>
      <c r="X14" s="49">
        <v>4.7985000000000003E-11</v>
      </c>
      <c r="Y14" s="49">
        <v>3.5928000000000001E-11</v>
      </c>
      <c r="Z14" s="49">
        <v>1.135E-11</v>
      </c>
      <c r="AA14" s="49">
        <v>3.5938999999999999E-12</v>
      </c>
      <c r="AB14" s="49"/>
      <c r="AC14" s="49"/>
      <c r="AD14" s="49"/>
      <c r="AE14" s="49"/>
      <c r="AF14" s="49"/>
      <c r="AG14" s="49"/>
      <c r="AH14" s="49"/>
      <c r="AI14" s="49"/>
      <c r="AJ14" s="49"/>
      <c r="AK14" s="49"/>
      <c r="AL14" s="49"/>
      <c r="AM14" s="28"/>
      <c r="AN14" s="29"/>
      <c r="AO14" s="29"/>
      <c r="AP14" s="29"/>
      <c r="AQ14" s="29"/>
      <c r="AR14" s="29"/>
      <c r="AS14" s="29"/>
      <c r="AT14" s="29"/>
      <c r="AU14" s="29"/>
      <c r="AV14" s="29"/>
      <c r="AW14" s="29"/>
      <c r="AX14" s="29"/>
      <c r="AY14" s="29"/>
      <c r="BB14" s="30"/>
    </row>
    <row r="15" spans="1:54" ht="21" customHeight="1" outlineLevel="1" thickBot="1" x14ac:dyDescent="0.4">
      <c r="A15" s="44">
        <f t="shared" si="1"/>
        <v>0</v>
      </c>
      <c r="B15" s="44">
        <f t="shared" si="0"/>
        <v>1</v>
      </c>
      <c r="C15" s="44">
        <f t="shared" si="0"/>
        <v>0</v>
      </c>
      <c r="D15" s="44">
        <f t="shared" si="0"/>
        <v>0</v>
      </c>
      <c r="E15" s="48" t="s">
        <v>44</v>
      </c>
      <c r="F15" s="49">
        <v>1.8050999999999999E-9</v>
      </c>
      <c r="G15" s="49">
        <v>6.1321000000000004E-9</v>
      </c>
      <c r="H15" s="49">
        <v>7.7454999999999998E-9</v>
      </c>
      <c r="I15" s="49">
        <v>6.5640999999999997E-9</v>
      </c>
      <c r="J15" s="49">
        <v>5.6573000000000003E-9</v>
      </c>
      <c r="K15" s="49">
        <v>5.7921000000000003E-9</v>
      </c>
      <c r="L15" s="49">
        <v>6.3408999999999999E-9</v>
      </c>
      <c r="M15" s="49">
        <v>1.3219000000000001E-8</v>
      </c>
      <c r="N15" s="49">
        <v>9.6430000000000007E-9</v>
      </c>
      <c r="O15" s="49">
        <v>6.8697E-9</v>
      </c>
      <c r="P15" s="49">
        <v>4.8790000000000002E-9</v>
      </c>
      <c r="Q15" s="49">
        <v>3.4675999999999999E-9</v>
      </c>
      <c r="R15" s="49">
        <v>2.4694000000000002E-9</v>
      </c>
      <c r="S15" s="49">
        <v>6.5206000000000002E-10</v>
      </c>
      <c r="T15" s="49">
        <v>1.7954999999999999E-10</v>
      </c>
      <c r="U15" s="49">
        <v>5.1136000000000002E-11</v>
      </c>
      <c r="V15" s="49">
        <v>3.7508999999999999E-11</v>
      </c>
      <c r="W15" s="49">
        <v>2.7548999999999999E-11</v>
      </c>
      <c r="X15" s="49">
        <v>2.0257999999999999E-11</v>
      </c>
      <c r="Y15" s="49">
        <v>1.4910999999999999E-11</v>
      </c>
      <c r="Z15" s="49">
        <v>4.4090000000000003E-12</v>
      </c>
      <c r="AA15" s="49">
        <v>1.311E-12</v>
      </c>
      <c r="AB15" s="49"/>
      <c r="AC15" s="49"/>
      <c r="AD15" s="49"/>
      <c r="AE15" s="49"/>
      <c r="AF15" s="49"/>
      <c r="AG15" s="49"/>
      <c r="AH15" s="49"/>
      <c r="AI15" s="49"/>
      <c r="AJ15" s="49"/>
      <c r="AK15" s="49"/>
      <c r="AL15" s="49"/>
      <c r="AM15" s="28"/>
      <c r="AN15" s="29"/>
      <c r="AO15" s="29"/>
      <c r="AP15" s="29"/>
      <c r="AQ15" s="29"/>
      <c r="AR15" s="29"/>
      <c r="AS15" s="29"/>
      <c r="AT15" s="29"/>
      <c r="AU15" s="29"/>
      <c r="AV15" s="29"/>
      <c r="AW15" s="29"/>
      <c r="AX15" s="29"/>
      <c r="AY15" s="29"/>
      <c r="AZ15" s="29"/>
      <c r="BA15" s="29"/>
      <c r="BB15" s="30"/>
    </row>
    <row r="16" spans="1:54" ht="21" customHeight="1" outlineLevel="1" thickBot="1" x14ac:dyDescent="0.4">
      <c r="A16" s="44">
        <f t="shared" si="1"/>
        <v>0</v>
      </c>
      <c r="B16" s="44">
        <f t="shared" si="0"/>
        <v>1</v>
      </c>
      <c r="C16" s="44">
        <f t="shared" si="0"/>
        <v>0</v>
      </c>
      <c r="D16" s="44">
        <f t="shared" si="0"/>
        <v>0</v>
      </c>
      <c r="E16" s="48" t="s">
        <v>51</v>
      </c>
      <c r="F16" s="49">
        <v>7.5507999999999999E-3</v>
      </c>
      <c r="G16" s="49">
        <v>3.1889000000000001E-2</v>
      </c>
      <c r="H16" s="49">
        <v>5.2658999999999997E-2</v>
      </c>
      <c r="I16" s="49">
        <v>6.0241000000000003E-2</v>
      </c>
      <c r="J16" s="49">
        <v>7.1516999999999997E-2</v>
      </c>
      <c r="K16" s="49">
        <v>0.10212</v>
      </c>
      <c r="L16" s="49">
        <v>0.15708</v>
      </c>
      <c r="M16" s="49">
        <v>0.46184999999999998</v>
      </c>
      <c r="N16" s="49">
        <v>0.47585</v>
      </c>
      <c r="O16" s="49">
        <v>0.47874</v>
      </c>
      <c r="P16" s="49">
        <v>0.47959000000000002</v>
      </c>
      <c r="Q16" s="49">
        <v>0.47986000000000001</v>
      </c>
      <c r="R16" s="49">
        <v>0.47994999999999999</v>
      </c>
      <c r="S16" s="49">
        <v>0.48</v>
      </c>
      <c r="T16" s="49">
        <v>0.48</v>
      </c>
      <c r="U16" s="49">
        <v>0.48</v>
      </c>
      <c r="V16" s="49">
        <v>0.48</v>
      </c>
      <c r="W16" s="49">
        <v>0.48</v>
      </c>
      <c r="X16" s="49">
        <v>0.48</v>
      </c>
      <c r="Y16" s="49">
        <v>0.48</v>
      </c>
      <c r="Z16" s="49">
        <v>0.48</v>
      </c>
      <c r="AA16" s="49">
        <v>0.48</v>
      </c>
      <c r="AB16" s="49"/>
      <c r="AC16" s="49"/>
      <c r="AD16" s="49"/>
      <c r="AE16" s="49"/>
      <c r="AF16" s="49"/>
      <c r="AG16" s="49"/>
      <c r="AH16" s="49"/>
      <c r="AI16" s="49"/>
      <c r="AJ16" s="49"/>
      <c r="AK16" s="49"/>
      <c r="AL16" s="49"/>
      <c r="AM16" s="28"/>
      <c r="AN16" s="29"/>
      <c r="AO16" s="29"/>
      <c r="AP16" s="29"/>
      <c r="AQ16" s="29"/>
      <c r="AR16" s="29"/>
      <c r="AS16" s="29"/>
      <c r="AT16" s="29"/>
      <c r="AU16" s="29"/>
      <c r="AV16" s="29"/>
      <c r="AW16" s="29"/>
      <c r="AX16" s="29"/>
      <c r="AY16" s="29"/>
      <c r="AZ16" s="29"/>
      <c r="BA16" s="29"/>
      <c r="BB16" s="30"/>
    </row>
    <row r="17" spans="1:54" ht="21" customHeight="1" outlineLevel="1" thickBot="1" x14ac:dyDescent="0.4">
      <c r="A17" s="44">
        <f t="shared" si="1"/>
        <v>0</v>
      </c>
      <c r="B17" s="44">
        <f t="shared" si="0"/>
        <v>1</v>
      </c>
      <c r="C17" s="44">
        <f t="shared" si="0"/>
        <v>0</v>
      </c>
      <c r="D17" s="44">
        <f t="shared" si="0"/>
        <v>0</v>
      </c>
      <c r="E17" s="48" t="s">
        <v>43</v>
      </c>
      <c r="F17" s="49">
        <v>3.0203999999999999E-11</v>
      </c>
      <c r="G17" s="49">
        <v>1.6382999999999999E-10</v>
      </c>
      <c r="H17" s="49">
        <v>3.0786000000000001E-10</v>
      </c>
      <c r="I17" s="49">
        <v>3.6768000000000002E-10</v>
      </c>
      <c r="J17" s="49">
        <v>4.2795999999999999E-10</v>
      </c>
      <c r="K17" s="49">
        <v>5.7186000000000003E-10</v>
      </c>
      <c r="L17" s="49">
        <v>7.9461000000000001E-10</v>
      </c>
      <c r="M17" s="49">
        <v>2.0544999999999999E-9</v>
      </c>
      <c r="N17" s="49">
        <v>1.8229E-9</v>
      </c>
      <c r="O17" s="49">
        <v>1.5537999999999999E-9</v>
      </c>
      <c r="P17" s="49">
        <v>1.3017E-9</v>
      </c>
      <c r="Q17" s="49">
        <v>1.0779E-9</v>
      </c>
      <c r="R17" s="49">
        <v>8.8486999999999996E-10</v>
      </c>
      <c r="S17" s="49">
        <v>3.7916999999999999E-10</v>
      </c>
      <c r="T17" s="49">
        <v>1.5362999999999999E-10</v>
      </c>
      <c r="U17" s="49">
        <v>6.0235999999999995E-11</v>
      </c>
      <c r="V17" s="49">
        <v>4.7475999999999998E-11</v>
      </c>
      <c r="W17" s="49">
        <v>3.7364999999999998E-11</v>
      </c>
      <c r="X17" s="49">
        <v>2.9366999999999998E-11</v>
      </c>
      <c r="Y17" s="49">
        <v>2.3048E-11</v>
      </c>
      <c r="Z17" s="49">
        <v>8.6270000000000003E-12</v>
      </c>
      <c r="AA17" s="49">
        <v>3.1578000000000001E-12</v>
      </c>
      <c r="AB17" s="49"/>
      <c r="AC17" s="49"/>
      <c r="AD17" s="49"/>
      <c r="AE17" s="49"/>
      <c r="AF17" s="49"/>
      <c r="AG17" s="49"/>
      <c r="AH17" s="49"/>
      <c r="AI17" s="49"/>
      <c r="AJ17" s="49"/>
      <c r="AK17" s="49"/>
      <c r="AL17" s="49"/>
      <c r="AM17" s="28"/>
      <c r="AN17" s="29"/>
      <c r="AO17" s="29"/>
      <c r="AP17" s="29"/>
      <c r="AQ17" s="29"/>
      <c r="AR17" s="29"/>
      <c r="AS17" s="29"/>
      <c r="AT17" s="29"/>
      <c r="AU17" s="29"/>
      <c r="AV17" s="29"/>
      <c r="AW17" s="29"/>
      <c r="AX17" s="29"/>
      <c r="AY17" s="29"/>
      <c r="AZ17" s="29"/>
      <c r="BA17" s="29"/>
      <c r="BB17" s="30"/>
    </row>
    <row r="18" spans="1:54" ht="21" customHeight="1" outlineLevel="1" thickBot="1" x14ac:dyDescent="0.4">
      <c r="A18" s="44">
        <f t="shared" si="1"/>
        <v>0</v>
      </c>
      <c r="B18" s="44">
        <f t="shared" si="0"/>
        <v>0</v>
      </c>
      <c r="C18" s="44">
        <f t="shared" si="0"/>
        <v>1</v>
      </c>
      <c r="D18" s="44">
        <f t="shared" si="0"/>
        <v>0</v>
      </c>
      <c r="E18" s="48" t="s">
        <v>61</v>
      </c>
      <c r="F18" s="49">
        <v>7.8764000000000003E-7</v>
      </c>
      <c r="G18" s="49">
        <v>7.4715999999999998E-6</v>
      </c>
      <c r="H18" s="49">
        <v>9.4738E-5</v>
      </c>
      <c r="I18" s="49">
        <v>9.3227000000000002E-4</v>
      </c>
      <c r="J18" s="49">
        <v>5.9503999999999998E-3</v>
      </c>
      <c r="K18" s="49">
        <v>2.1070999999999999E-2</v>
      </c>
      <c r="L18" s="49">
        <v>4.1383000000000003E-2</v>
      </c>
      <c r="M18" s="49">
        <v>5.2893000000000003E-2</v>
      </c>
      <c r="N18" s="49">
        <v>5.7925999999999998E-2</v>
      </c>
      <c r="O18" s="49">
        <v>5.9372000000000001E-2</v>
      </c>
      <c r="P18" s="49">
        <v>5.9795000000000001E-2</v>
      </c>
      <c r="Q18" s="49">
        <v>5.9928000000000002E-2</v>
      </c>
      <c r="R18" s="49">
        <v>5.9972999999999999E-2</v>
      </c>
      <c r="S18" s="49">
        <v>5.9998999999999997E-2</v>
      </c>
      <c r="T18" s="49">
        <v>0.06</v>
      </c>
      <c r="U18" s="49">
        <v>0.06</v>
      </c>
      <c r="V18" s="49">
        <v>0.06</v>
      </c>
      <c r="W18" s="49">
        <v>0.06</v>
      </c>
      <c r="X18" s="49">
        <v>0.06</v>
      </c>
      <c r="Y18" s="49">
        <v>0.06</v>
      </c>
      <c r="Z18" s="49">
        <v>0.06</v>
      </c>
      <c r="AA18" s="49">
        <v>0.06</v>
      </c>
      <c r="AB18" s="49"/>
      <c r="AC18" s="49"/>
      <c r="AD18" s="49"/>
      <c r="AE18" s="49"/>
      <c r="AF18" s="49"/>
      <c r="AG18" s="49"/>
      <c r="AH18" s="49"/>
      <c r="AI18" s="49"/>
      <c r="AJ18" s="49"/>
      <c r="AK18" s="49"/>
      <c r="AL18" s="49"/>
      <c r="AM18" s="28"/>
      <c r="AN18" s="29"/>
      <c r="AO18" s="29"/>
      <c r="AP18" s="29"/>
      <c r="AQ18" s="29"/>
      <c r="AR18" s="29"/>
      <c r="AS18" s="29"/>
      <c r="AT18" s="29"/>
      <c r="AU18" s="29"/>
      <c r="AV18" s="29"/>
      <c r="AW18" s="29"/>
      <c r="AX18" s="29"/>
      <c r="AY18" s="29"/>
      <c r="AZ18" s="29"/>
      <c r="BA18" s="29"/>
      <c r="BB18" s="30"/>
    </row>
    <row r="19" spans="1:54" ht="21" customHeight="1" outlineLevel="1" thickBot="1" x14ac:dyDescent="0.4">
      <c r="A19" s="44">
        <f t="shared" si="1"/>
        <v>1</v>
      </c>
      <c r="B19" s="44">
        <f t="shared" si="0"/>
        <v>0</v>
      </c>
      <c r="C19" s="44">
        <f t="shared" si="0"/>
        <v>0</v>
      </c>
      <c r="D19" s="44">
        <f t="shared" si="0"/>
        <v>0</v>
      </c>
      <c r="E19" s="48" t="s">
        <v>28</v>
      </c>
      <c r="F19" s="49">
        <v>-18.88</v>
      </c>
      <c r="G19" s="49">
        <v>-18.87</v>
      </c>
      <c r="H19" s="49">
        <v>-18.899999999999999</v>
      </c>
      <c r="I19" s="49">
        <v>-18.940000000000001</v>
      </c>
      <c r="J19" s="49">
        <v>-18.989999999999998</v>
      </c>
      <c r="K19" s="49">
        <v>-19.04</v>
      </c>
      <c r="L19" s="49">
        <v>-19.07</v>
      </c>
      <c r="M19" s="49">
        <v>-18.96</v>
      </c>
      <c r="N19" s="49">
        <v>-19.03</v>
      </c>
      <c r="O19" s="49">
        <v>-19.100000000000001</v>
      </c>
      <c r="P19" s="49">
        <v>-19.170000000000002</v>
      </c>
      <c r="Q19" s="49">
        <v>-19.239999999999998</v>
      </c>
      <c r="R19" s="49">
        <v>-19.309999999999999</v>
      </c>
      <c r="S19" s="49">
        <v>-19.57</v>
      </c>
      <c r="T19" s="49">
        <v>-19.82</v>
      </c>
      <c r="U19" s="49">
        <v>-20.05</v>
      </c>
      <c r="V19" s="49">
        <v>-20.11</v>
      </c>
      <c r="W19" s="49">
        <v>-20.16</v>
      </c>
      <c r="X19" s="49">
        <v>-20.21</v>
      </c>
      <c r="Y19" s="49">
        <v>-20.260000000000002</v>
      </c>
      <c r="Z19" s="49">
        <v>-20.46</v>
      </c>
      <c r="AA19" s="49">
        <v>-20.65</v>
      </c>
      <c r="AB19" s="49"/>
      <c r="AC19" s="49"/>
      <c r="AD19" s="49"/>
      <c r="AE19" s="49"/>
      <c r="AF19" s="49"/>
      <c r="AG19" s="49"/>
      <c r="AH19" s="49"/>
      <c r="AI19" s="49"/>
      <c r="AJ19" s="49"/>
      <c r="AK19" s="49"/>
      <c r="AL19" s="49"/>
      <c r="AM19" s="28"/>
      <c r="AN19" s="29"/>
      <c r="AO19" s="29"/>
      <c r="AP19" s="29"/>
      <c r="AQ19" s="29"/>
      <c r="AR19" s="29"/>
      <c r="AS19" s="29"/>
      <c r="AT19" s="29"/>
      <c r="AU19" s="29"/>
      <c r="AV19" s="29"/>
      <c r="AW19" s="29"/>
      <c r="AX19" s="29"/>
      <c r="AY19" s="29"/>
      <c r="AZ19" s="29"/>
      <c r="BA19" s="29"/>
      <c r="BB19" s="30"/>
    </row>
    <row r="20" spans="1:54" ht="21" customHeight="1" outlineLevel="1" thickBot="1" x14ac:dyDescent="0.4">
      <c r="A20" s="44">
        <f t="shared" si="1"/>
        <v>0</v>
      </c>
      <c r="B20" s="44">
        <f t="shared" si="1"/>
        <v>0</v>
      </c>
      <c r="C20" s="44">
        <f t="shared" si="1"/>
        <v>0</v>
      </c>
      <c r="D20" s="44">
        <f t="shared" si="1"/>
        <v>1</v>
      </c>
      <c r="E20" s="48" t="s">
        <v>5</v>
      </c>
      <c r="F20" s="49">
        <v>-60.79</v>
      </c>
      <c r="G20" s="49">
        <v>-53.82</v>
      </c>
      <c r="H20" s="49">
        <v>-47.01</v>
      </c>
      <c r="I20" s="49">
        <v>-40.9</v>
      </c>
      <c r="J20" s="49">
        <v>-35.71</v>
      </c>
      <c r="K20" s="49">
        <v>-31.39</v>
      </c>
      <c r="L20" s="49">
        <v>-27.66</v>
      </c>
      <c r="M20" s="49">
        <v>-26.79</v>
      </c>
      <c r="N20" s="49">
        <v>-28.11</v>
      </c>
      <c r="O20" s="49">
        <v>-29.41</v>
      </c>
      <c r="P20" s="49">
        <v>-30.69</v>
      </c>
      <c r="Q20" s="49">
        <v>-31.94</v>
      </c>
      <c r="R20" s="49">
        <v>-33.159999999999997</v>
      </c>
      <c r="S20" s="49">
        <v>-37.67</v>
      </c>
      <c r="T20" s="49">
        <v>-41.43</v>
      </c>
      <c r="U20" s="49">
        <v>-44.33</v>
      </c>
      <c r="V20" s="49">
        <v>-44.9</v>
      </c>
      <c r="W20" s="49">
        <v>-45.42</v>
      </c>
      <c r="X20" s="49">
        <v>-45.86</v>
      </c>
      <c r="Y20" s="49">
        <v>-46.25</v>
      </c>
      <c r="Z20" s="49">
        <v>-47.11</v>
      </c>
      <c r="AA20" s="49">
        <v>-46.85</v>
      </c>
      <c r="AB20" s="49"/>
      <c r="AC20" s="49"/>
      <c r="AD20" s="49"/>
      <c r="AE20" s="49"/>
      <c r="AF20" s="49"/>
      <c r="AG20" s="49"/>
      <c r="AH20" s="49"/>
      <c r="AI20" s="49"/>
      <c r="AJ20" s="49"/>
      <c r="AK20" s="49"/>
      <c r="AL20" s="49"/>
      <c r="AM20" s="28"/>
      <c r="AN20" s="29"/>
      <c r="AO20" s="29"/>
      <c r="AP20" s="29"/>
      <c r="AQ20" s="29"/>
      <c r="AR20" s="29"/>
      <c r="AS20" s="29"/>
      <c r="AT20" s="29"/>
      <c r="AU20" s="29"/>
      <c r="AV20" s="29"/>
      <c r="AW20" s="29"/>
      <c r="AX20" s="29"/>
      <c r="AY20" s="29"/>
      <c r="AZ20" s="29"/>
      <c r="BA20" s="29"/>
      <c r="BB20" s="30"/>
    </row>
    <row r="21" spans="1:54" ht="21" customHeight="1" outlineLevel="1" thickBot="1" x14ac:dyDescent="0.4">
      <c r="A21" s="44">
        <f t="shared" si="1"/>
        <v>0</v>
      </c>
      <c r="B21" s="44">
        <f t="shared" si="1"/>
        <v>0</v>
      </c>
      <c r="C21" s="44">
        <f t="shared" si="1"/>
        <v>1</v>
      </c>
      <c r="D21" s="44">
        <f t="shared" si="1"/>
        <v>0</v>
      </c>
      <c r="E21" s="48" t="s">
        <v>6</v>
      </c>
      <c r="F21" s="49">
        <v>-16</v>
      </c>
      <c r="G21" s="49">
        <v>-13.92</v>
      </c>
      <c r="H21" s="49">
        <v>-11.54</v>
      </c>
      <c r="I21" s="49">
        <v>-9.3460000000000001</v>
      </c>
      <c r="J21" s="49">
        <v>-7.6120000000000001</v>
      </c>
      <c r="K21" s="49">
        <v>-6.5529999999999999</v>
      </c>
      <c r="L21" s="49">
        <v>-6.1760000000000002</v>
      </c>
      <c r="M21" s="49">
        <v>-6.8330000000000002</v>
      </c>
      <c r="N21" s="49">
        <v>-6.843</v>
      </c>
      <c r="O21" s="49">
        <v>-6.9039999999999999</v>
      </c>
      <c r="P21" s="49">
        <v>-6.9809999999999999</v>
      </c>
      <c r="Q21" s="49">
        <v>-7.0620000000000003</v>
      </c>
      <c r="R21" s="49">
        <v>-7.1429999999999998</v>
      </c>
      <c r="S21" s="49">
        <v>-7.4630000000000001</v>
      </c>
      <c r="T21" s="49">
        <v>-7.7649999999999997</v>
      </c>
      <c r="U21" s="49">
        <v>-8.048</v>
      </c>
      <c r="V21" s="49">
        <v>-8.1159999999999997</v>
      </c>
      <c r="W21" s="49">
        <v>-8.1820000000000004</v>
      </c>
      <c r="X21" s="49">
        <v>-8.2479999999999993</v>
      </c>
      <c r="Y21" s="49">
        <v>-8.3130000000000006</v>
      </c>
      <c r="Z21" s="49">
        <v>-8.5609999999999999</v>
      </c>
      <c r="AA21" s="49">
        <v>-8.7949999999999999</v>
      </c>
      <c r="AB21" s="49"/>
      <c r="AC21" s="49"/>
      <c r="AD21" s="49"/>
      <c r="AE21" s="49"/>
      <c r="AF21" s="49"/>
      <c r="AG21" s="49"/>
      <c r="AH21" s="49"/>
      <c r="AI21" s="49"/>
      <c r="AJ21" s="49"/>
      <c r="AK21" s="49"/>
      <c r="AL21" s="49"/>
      <c r="AM21" s="28"/>
      <c r="AN21" s="29"/>
      <c r="AO21" s="29"/>
      <c r="AP21" s="29"/>
      <c r="AQ21" s="29"/>
      <c r="AR21" s="29"/>
      <c r="AS21" s="29"/>
      <c r="AT21" s="29"/>
      <c r="AU21" s="29"/>
      <c r="AV21" s="29"/>
      <c r="AW21" s="29"/>
      <c r="AX21" s="29"/>
      <c r="AY21" s="29"/>
      <c r="AZ21" s="29"/>
      <c r="BA21" s="29"/>
      <c r="BB21" s="30"/>
    </row>
    <row r="22" spans="1:54" ht="21" customHeight="1" outlineLevel="1" thickBot="1" x14ac:dyDescent="0.4">
      <c r="A22" s="44">
        <f t="shared" si="1"/>
        <v>0</v>
      </c>
      <c r="B22" s="44">
        <f t="shared" si="1"/>
        <v>1</v>
      </c>
      <c r="C22" s="44">
        <f t="shared" si="1"/>
        <v>0</v>
      </c>
      <c r="D22" s="44">
        <f t="shared" si="1"/>
        <v>0</v>
      </c>
      <c r="E22" s="48" t="s">
        <v>7</v>
      </c>
      <c r="F22" s="49">
        <v>-22.14</v>
      </c>
      <c r="G22" s="49">
        <v>-21.3</v>
      </c>
      <c r="H22" s="49">
        <v>-21.39</v>
      </c>
      <c r="I22" s="49">
        <v>-21.8</v>
      </c>
      <c r="J22" s="49">
        <v>-22.19</v>
      </c>
      <c r="K22" s="49">
        <v>-22.48</v>
      </c>
      <c r="L22" s="49">
        <v>-22.79</v>
      </c>
      <c r="M22" s="49">
        <v>-23.04</v>
      </c>
      <c r="N22" s="49">
        <v>-23.53</v>
      </c>
      <c r="O22" s="49">
        <v>-24.03</v>
      </c>
      <c r="P22" s="49">
        <v>-24.51</v>
      </c>
      <c r="Q22" s="49">
        <v>-24.99</v>
      </c>
      <c r="R22" s="49">
        <v>-25.47</v>
      </c>
      <c r="S22" s="49">
        <v>-27.28</v>
      </c>
      <c r="T22" s="49">
        <v>-29</v>
      </c>
      <c r="U22" s="49">
        <v>-30.63</v>
      </c>
      <c r="V22" s="49">
        <v>-31.03</v>
      </c>
      <c r="W22" s="49">
        <v>-31.42</v>
      </c>
      <c r="X22" s="49">
        <v>-31.81</v>
      </c>
      <c r="Y22" s="49">
        <v>-32.200000000000003</v>
      </c>
      <c r="Z22" s="49">
        <v>-33.729999999999997</v>
      </c>
      <c r="AA22" s="49">
        <v>-35.22</v>
      </c>
      <c r="AB22" s="49"/>
      <c r="AC22" s="49"/>
      <c r="AD22" s="49"/>
      <c r="AE22" s="49"/>
      <c r="AF22" s="49"/>
      <c r="AG22" s="49"/>
      <c r="AH22" s="49"/>
      <c r="AI22" s="49"/>
      <c r="AJ22" s="49"/>
      <c r="AK22" s="49"/>
      <c r="AL22" s="49"/>
      <c r="AM22" s="28"/>
      <c r="AN22" s="29"/>
      <c r="AO22" s="29"/>
      <c r="AP22" s="29"/>
      <c r="AQ22" s="29"/>
      <c r="AR22" s="29"/>
      <c r="AS22" s="29"/>
      <c r="AT22" s="29"/>
      <c r="AU22" s="29"/>
      <c r="AV22" s="29"/>
      <c r="AW22" s="29"/>
      <c r="AX22" s="29"/>
      <c r="AY22" s="29"/>
      <c r="AZ22" s="29"/>
      <c r="BA22" s="29"/>
      <c r="BB22" s="30"/>
    </row>
    <row r="23" spans="1:54" ht="21" customHeight="1" outlineLevel="1" thickBot="1" x14ac:dyDescent="0.4">
      <c r="A23" s="44">
        <f t="shared" si="1"/>
        <v>0</v>
      </c>
      <c r="B23" s="44">
        <f t="shared" si="1"/>
        <v>0</v>
      </c>
      <c r="C23" s="44">
        <f t="shared" si="1"/>
        <v>0</v>
      </c>
      <c r="D23" s="44">
        <f t="shared" si="1"/>
        <v>0</v>
      </c>
      <c r="E23" s="41"/>
      <c r="F23" s="49"/>
      <c r="G23" s="49"/>
      <c r="H23" s="49"/>
      <c r="I23" s="49"/>
      <c r="J23" s="49"/>
      <c r="K23" s="49"/>
      <c r="L23" s="49"/>
      <c r="M23" s="49"/>
      <c r="N23" s="49"/>
      <c r="O23" s="49"/>
      <c r="P23" s="49"/>
      <c r="Q23" s="49"/>
      <c r="R23" s="49"/>
      <c r="S23" s="49"/>
      <c r="T23" s="49"/>
      <c r="U23" s="49"/>
      <c r="V23" s="49"/>
      <c r="W23" s="49"/>
      <c r="X23" s="49"/>
      <c r="Y23" s="49"/>
      <c r="Z23" s="49"/>
      <c r="AA23" s="49"/>
      <c r="AB23" s="49"/>
      <c r="AC23" s="49"/>
      <c r="AD23" s="49"/>
      <c r="AE23" s="49"/>
      <c r="AF23" s="49"/>
      <c r="AG23" s="49"/>
      <c r="AH23" s="49"/>
      <c r="AI23" s="49"/>
      <c r="AJ23" s="49"/>
      <c r="AK23" s="49"/>
      <c r="AL23" s="49"/>
      <c r="AM23" s="28"/>
      <c r="AN23" s="29"/>
      <c r="AO23" s="29"/>
      <c r="AP23" s="29"/>
      <c r="AQ23" s="29"/>
      <c r="AR23" s="29"/>
      <c r="AS23" s="29"/>
      <c r="AT23" s="29"/>
      <c r="AU23" s="29"/>
      <c r="AV23" s="29"/>
      <c r="AW23" s="29"/>
      <c r="AX23" s="29"/>
      <c r="AY23" s="29"/>
      <c r="AZ23" s="29"/>
      <c r="BA23" s="29"/>
      <c r="BB23" s="30"/>
    </row>
    <row r="24" spans="1:54" ht="21" customHeight="1" outlineLevel="1" thickBot="1" x14ac:dyDescent="0.4">
      <c r="A24" s="44">
        <f t="shared" si="1"/>
        <v>0</v>
      </c>
      <c r="B24" s="44">
        <f t="shared" si="1"/>
        <v>0</v>
      </c>
      <c r="C24" s="44">
        <f t="shared" si="1"/>
        <v>0</v>
      </c>
      <c r="D24" s="44">
        <f t="shared" si="1"/>
        <v>0</v>
      </c>
      <c r="E24" s="41"/>
      <c r="F24" s="49"/>
      <c r="G24" s="49"/>
      <c r="H24" s="49"/>
      <c r="I24" s="49"/>
      <c r="J24" s="49"/>
      <c r="K24" s="49"/>
      <c r="L24" s="49"/>
      <c r="M24" s="49"/>
      <c r="N24" s="49"/>
      <c r="O24" s="49"/>
      <c r="P24" s="49"/>
      <c r="Q24" s="49"/>
      <c r="R24" s="49"/>
      <c r="S24" s="49"/>
      <c r="T24" s="49"/>
      <c r="U24" s="49"/>
      <c r="V24" s="49"/>
      <c r="W24" s="49"/>
      <c r="X24" s="49"/>
      <c r="Y24" s="49"/>
      <c r="Z24" s="49"/>
      <c r="AA24" s="49"/>
      <c r="AB24" s="49"/>
      <c r="AC24" s="49"/>
      <c r="AD24" s="49"/>
      <c r="AE24" s="49"/>
      <c r="AF24" s="49"/>
      <c r="AG24" s="49"/>
      <c r="AH24" s="49"/>
      <c r="AI24" s="49"/>
      <c r="AJ24" s="49"/>
      <c r="AK24" s="49"/>
      <c r="AL24" s="49"/>
      <c r="AM24" s="28"/>
      <c r="AN24" s="29"/>
      <c r="AO24" s="29"/>
      <c r="AP24" s="29"/>
      <c r="AQ24" s="29"/>
      <c r="AR24" s="29"/>
      <c r="AS24" s="29"/>
      <c r="AT24" s="29"/>
      <c r="AU24" s="29"/>
      <c r="AV24" s="29"/>
      <c r="AW24" s="29"/>
      <c r="AX24" s="29"/>
      <c r="AY24" s="29"/>
      <c r="AZ24" s="29"/>
      <c r="BA24" s="29"/>
      <c r="BB24" s="30"/>
    </row>
    <row r="25" spans="1:54" ht="21" customHeight="1" outlineLevel="1" thickBot="1" x14ac:dyDescent="0.4">
      <c r="A25" s="44">
        <f t="shared" si="1"/>
        <v>0</v>
      </c>
      <c r="B25" s="44">
        <f t="shared" si="1"/>
        <v>0</v>
      </c>
      <c r="C25" s="44">
        <f t="shared" si="1"/>
        <v>0</v>
      </c>
      <c r="D25" s="44">
        <f t="shared" si="1"/>
        <v>0</v>
      </c>
      <c r="E25" s="41"/>
      <c r="F25" s="49"/>
      <c r="G25" s="49"/>
      <c r="H25" s="49"/>
      <c r="I25" s="49"/>
      <c r="J25" s="49"/>
      <c r="K25" s="49"/>
      <c r="L25" s="49"/>
      <c r="M25" s="49"/>
      <c r="N25" s="49"/>
      <c r="O25" s="49"/>
      <c r="P25" s="49"/>
      <c r="Q25" s="49"/>
      <c r="R25" s="49"/>
      <c r="S25" s="49"/>
      <c r="T25" s="49"/>
      <c r="U25" s="49"/>
      <c r="V25" s="49"/>
      <c r="W25" s="49"/>
      <c r="X25" s="49"/>
      <c r="Y25" s="49"/>
      <c r="Z25" s="49"/>
      <c r="AA25" s="49"/>
      <c r="AB25" s="49"/>
      <c r="AC25" s="49"/>
      <c r="AD25" s="49"/>
      <c r="AE25" s="49"/>
      <c r="AF25" s="49"/>
      <c r="AG25" s="49"/>
      <c r="AH25" s="49"/>
      <c r="AI25" s="49"/>
      <c r="AJ25" s="49"/>
      <c r="AK25" s="49"/>
      <c r="AL25" s="49"/>
      <c r="AM25" s="28"/>
      <c r="AN25" s="29"/>
      <c r="AO25" s="29"/>
      <c r="AP25" s="29"/>
      <c r="AQ25" s="29"/>
      <c r="AR25" s="29"/>
      <c r="AS25" s="29"/>
      <c r="AT25" s="29"/>
      <c r="AU25" s="29"/>
      <c r="AV25" s="29"/>
      <c r="AW25" s="29"/>
      <c r="AX25" s="29"/>
      <c r="AY25" s="29"/>
      <c r="AZ25" s="29"/>
      <c r="BA25" s="29"/>
      <c r="BB25" s="30"/>
    </row>
    <row r="26" spans="1:54" ht="21" customHeight="1" outlineLevel="1" thickBot="1" x14ac:dyDescent="0.4">
      <c r="A26" s="44">
        <f t="shared" si="1"/>
        <v>0</v>
      </c>
      <c r="B26" s="44">
        <f t="shared" si="1"/>
        <v>0</v>
      </c>
      <c r="C26" s="44">
        <f t="shared" si="1"/>
        <v>0</v>
      </c>
      <c r="D26" s="44">
        <f t="shared" si="1"/>
        <v>0</v>
      </c>
      <c r="E26" s="41"/>
      <c r="F26" s="49"/>
      <c r="G26" s="49"/>
      <c r="H26" s="49"/>
      <c r="I26" s="49"/>
      <c r="J26" s="49"/>
      <c r="K26" s="49"/>
      <c r="L26" s="49"/>
      <c r="M26" s="49"/>
      <c r="N26" s="49"/>
      <c r="O26" s="49"/>
      <c r="P26" s="49"/>
      <c r="Q26" s="49"/>
      <c r="R26" s="49"/>
      <c r="S26" s="49"/>
      <c r="T26" s="49"/>
      <c r="U26" s="49"/>
      <c r="V26" s="49"/>
      <c r="W26" s="49"/>
      <c r="X26" s="49"/>
      <c r="Y26" s="49"/>
      <c r="Z26" s="49"/>
      <c r="AA26" s="49"/>
      <c r="AB26" s="49"/>
      <c r="AC26" s="49"/>
      <c r="AD26" s="49"/>
      <c r="AE26" s="49"/>
      <c r="AF26" s="49"/>
      <c r="AG26" s="49"/>
      <c r="AH26" s="49"/>
      <c r="AI26" s="49"/>
      <c r="AJ26" s="49"/>
      <c r="AK26" s="49"/>
      <c r="AL26" s="49"/>
      <c r="AM26" s="28"/>
      <c r="AN26" s="29"/>
      <c r="AO26" s="29"/>
      <c r="AP26" s="29"/>
      <c r="AQ26" s="29"/>
      <c r="AR26" s="29"/>
      <c r="AS26" s="29"/>
      <c r="AT26" s="29"/>
      <c r="AU26" s="29"/>
      <c r="AV26" s="29"/>
      <c r="AW26" s="29"/>
      <c r="AX26" s="29"/>
      <c r="AY26" s="29"/>
      <c r="AZ26" s="29"/>
      <c r="BA26" s="29"/>
      <c r="BB26" s="30"/>
    </row>
    <row r="27" spans="1:54" ht="21" customHeight="1" outlineLevel="1" thickBot="1" x14ac:dyDescent="0.4">
      <c r="A27" s="44">
        <f t="shared" si="1"/>
        <v>0</v>
      </c>
      <c r="B27" s="44">
        <f t="shared" si="1"/>
        <v>0</v>
      </c>
      <c r="C27" s="44">
        <f t="shared" si="1"/>
        <v>0</v>
      </c>
      <c r="D27" s="44">
        <f t="shared" si="1"/>
        <v>0</v>
      </c>
      <c r="E27" s="41"/>
      <c r="F27" s="49"/>
      <c r="G27" s="49"/>
      <c r="H27" s="49"/>
      <c r="I27" s="49"/>
      <c r="J27" s="49"/>
      <c r="K27" s="49"/>
      <c r="L27" s="49"/>
      <c r="M27" s="49"/>
      <c r="N27" s="49"/>
      <c r="O27" s="49"/>
      <c r="P27" s="49"/>
      <c r="Q27" s="49"/>
      <c r="R27" s="49"/>
      <c r="S27" s="49"/>
      <c r="T27" s="49"/>
      <c r="U27" s="49"/>
      <c r="V27" s="49"/>
      <c r="W27" s="49"/>
      <c r="X27" s="49"/>
      <c r="Y27" s="49"/>
      <c r="Z27" s="49"/>
      <c r="AA27" s="49"/>
      <c r="AB27" s="49"/>
      <c r="AC27" s="49"/>
      <c r="AD27" s="49"/>
      <c r="AE27" s="49"/>
      <c r="AF27" s="49"/>
      <c r="AG27" s="49"/>
      <c r="AH27" s="49"/>
      <c r="AI27" s="49"/>
      <c r="AJ27" s="49"/>
      <c r="AK27" s="49"/>
      <c r="AL27" s="49"/>
      <c r="AM27" s="28"/>
      <c r="AN27" s="29"/>
      <c r="AO27" s="29"/>
      <c r="AP27" s="29"/>
      <c r="AQ27" s="29"/>
      <c r="AR27" s="29"/>
      <c r="AS27" s="29"/>
      <c r="AT27" s="29"/>
      <c r="AU27" s="29"/>
      <c r="AV27" s="29"/>
      <c r="AW27" s="29"/>
      <c r="AX27" s="29"/>
      <c r="AY27" s="29"/>
      <c r="AZ27" s="29"/>
      <c r="BA27" s="29"/>
      <c r="BB27" s="30"/>
    </row>
    <row r="28" spans="1:54" ht="21" customHeight="1" outlineLevel="1" thickBot="1" x14ac:dyDescent="0.4">
      <c r="A28" s="44">
        <f t="shared" ref="A28:D32" si="2">IF( ISNUMBER( FIND(A$3,$E28,1)),   IF( ISNUMBER( VALUE(MID($E28,FIND(A$3,$E28,1)+2,1)) ), VALUE( MID($E28,FIND(A$3,$E28,1)+2,1) ),1),0)</f>
        <v>0</v>
      </c>
      <c r="B28" s="44">
        <f t="shared" si="2"/>
        <v>0</v>
      </c>
      <c r="C28" s="44">
        <f t="shared" si="2"/>
        <v>0</v>
      </c>
      <c r="D28" s="44">
        <f t="shared" si="2"/>
        <v>0</v>
      </c>
      <c r="E28" s="41"/>
      <c r="F28" s="49"/>
      <c r="G28" s="49"/>
      <c r="H28" s="49"/>
      <c r="I28" s="49"/>
      <c r="J28" s="49"/>
      <c r="K28" s="49"/>
      <c r="L28" s="49"/>
      <c r="M28" s="49"/>
      <c r="N28" s="49"/>
      <c r="O28" s="49"/>
      <c r="P28" s="49"/>
      <c r="Q28" s="49"/>
      <c r="R28" s="49"/>
      <c r="S28" s="49"/>
      <c r="T28" s="49"/>
      <c r="U28" s="49"/>
      <c r="V28" s="49"/>
      <c r="W28" s="49"/>
      <c r="X28" s="49"/>
      <c r="Y28" s="49"/>
      <c r="Z28" s="49"/>
      <c r="AA28" s="49"/>
      <c r="AB28" s="49"/>
      <c r="AC28" s="49"/>
      <c r="AD28" s="49"/>
      <c r="AE28" s="49"/>
      <c r="AF28" s="49"/>
      <c r="AG28" s="49"/>
      <c r="AH28" s="49"/>
      <c r="AI28" s="49"/>
      <c r="AJ28" s="49"/>
      <c r="AK28" s="49"/>
      <c r="AL28" s="49"/>
      <c r="AM28" s="28"/>
      <c r="AN28" s="29"/>
      <c r="AO28" s="29"/>
      <c r="AP28" s="29"/>
      <c r="AQ28" s="29"/>
      <c r="AR28" s="29"/>
      <c r="AS28" s="29"/>
      <c r="AT28" s="29"/>
      <c r="AU28" s="29"/>
      <c r="AV28" s="29"/>
      <c r="AW28" s="29"/>
      <c r="AX28" s="29"/>
      <c r="AY28" s="29"/>
      <c r="AZ28" s="29"/>
      <c r="BA28" s="29"/>
      <c r="BB28" s="30"/>
    </row>
    <row r="29" spans="1:54" ht="21" customHeight="1" outlineLevel="1" thickBot="1" x14ac:dyDescent="0.4">
      <c r="A29" s="44">
        <f t="shared" si="2"/>
        <v>0</v>
      </c>
      <c r="B29" s="44">
        <f t="shared" si="2"/>
        <v>0</v>
      </c>
      <c r="C29" s="44">
        <f t="shared" si="2"/>
        <v>0</v>
      </c>
      <c r="D29" s="44">
        <f t="shared" si="2"/>
        <v>0</v>
      </c>
      <c r="E29" s="41"/>
      <c r="F29" s="49"/>
      <c r="G29" s="49"/>
      <c r="H29" s="49"/>
      <c r="I29" s="49"/>
      <c r="J29" s="49"/>
      <c r="K29" s="49"/>
      <c r="L29" s="49"/>
      <c r="M29" s="49"/>
      <c r="N29" s="49"/>
      <c r="O29" s="49"/>
      <c r="P29" s="49"/>
      <c r="Q29" s="49"/>
      <c r="R29" s="49"/>
      <c r="S29" s="49"/>
      <c r="T29" s="49"/>
      <c r="U29" s="49"/>
      <c r="V29" s="49"/>
      <c r="W29" s="49"/>
      <c r="X29" s="49"/>
      <c r="Y29" s="49"/>
      <c r="Z29" s="49"/>
      <c r="AA29" s="49"/>
      <c r="AB29" s="49"/>
      <c r="AC29" s="49"/>
      <c r="AD29" s="49"/>
      <c r="AE29" s="49"/>
      <c r="AF29" s="49"/>
      <c r="AG29" s="49"/>
      <c r="AH29" s="49"/>
      <c r="AI29" s="49"/>
      <c r="AJ29" s="49"/>
      <c r="AK29" s="49"/>
      <c r="AL29" s="49"/>
      <c r="AM29" s="28"/>
      <c r="AN29" s="29"/>
      <c r="AO29" s="29"/>
      <c r="AP29" s="29"/>
      <c r="AQ29" s="29"/>
      <c r="AR29" s="29"/>
      <c r="AS29" s="29"/>
      <c r="AT29" s="29"/>
      <c r="AU29" s="29"/>
      <c r="AV29" s="29"/>
      <c r="AW29" s="29"/>
      <c r="AX29" s="29"/>
      <c r="AY29" s="29"/>
      <c r="AZ29" s="29"/>
      <c r="BA29" s="29"/>
      <c r="BB29" s="30"/>
    </row>
    <row r="30" spans="1:54" ht="21" customHeight="1" outlineLevel="1" thickBot="1" x14ac:dyDescent="0.4">
      <c r="A30" s="44">
        <f t="shared" si="2"/>
        <v>0</v>
      </c>
      <c r="B30" s="44">
        <f t="shared" si="2"/>
        <v>0</v>
      </c>
      <c r="C30" s="44">
        <f t="shared" si="2"/>
        <v>0</v>
      </c>
      <c r="D30" s="44">
        <f t="shared" si="2"/>
        <v>0</v>
      </c>
      <c r="E30" s="41"/>
      <c r="F30" s="49"/>
      <c r="G30" s="49"/>
      <c r="H30" s="49"/>
      <c r="I30" s="49"/>
      <c r="J30" s="49"/>
      <c r="K30" s="49"/>
      <c r="L30" s="49"/>
      <c r="M30" s="49"/>
      <c r="N30" s="49"/>
      <c r="O30" s="49"/>
      <c r="P30" s="49"/>
      <c r="Q30" s="49"/>
      <c r="R30" s="49"/>
      <c r="S30" s="49"/>
      <c r="T30" s="49"/>
      <c r="U30" s="49"/>
      <c r="V30" s="49"/>
      <c r="W30" s="49"/>
      <c r="X30" s="49"/>
      <c r="Y30" s="49"/>
      <c r="Z30" s="49"/>
      <c r="AA30" s="49"/>
      <c r="AB30" s="49"/>
      <c r="AC30" s="49"/>
      <c r="AD30" s="49"/>
      <c r="AE30" s="49"/>
      <c r="AF30" s="49"/>
      <c r="AG30" s="49"/>
      <c r="AH30" s="49"/>
      <c r="AI30" s="49"/>
      <c r="AJ30" s="49"/>
      <c r="AK30" s="49"/>
      <c r="AL30" s="49"/>
      <c r="AM30" s="28"/>
      <c r="AN30" s="29"/>
      <c r="AO30" s="29"/>
      <c r="AP30" s="29"/>
      <c r="AQ30" s="29"/>
      <c r="AR30" s="29"/>
      <c r="AS30" s="29"/>
      <c r="AT30" s="29"/>
      <c r="AU30" s="29"/>
      <c r="AV30" s="29"/>
      <c r="AW30" s="29"/>
      <c r="AX30" s="29"/>
      <c r="AY30" s="29"/>
      <c r="AZ30" s="29"/>
      <c r="BA30" s="29"/>
      <c r="BB30" s="30"/>
    </row>
    <row r="31" spans="1:54" ht="21" customHeight="1" outlineLevel="1" thickBot="1" x14ac:dyDescent="0.4">
      <c r="A31" s="44">
        <f t="shared" si="2"/>
        <v>0</v>
      </c>
      <c r="B31" s="44">
        <f t="shared" si="2"/>
        <v>0</v>
      </c>
      <c r="C31" s="44">
        <f t="shared" si="2"/>
        <v>0</v>
      </c>
      <c r="D31" s="44">
        <f t="shared" si="2"/>
        <v>0</v>
      </c>
      <c r="E31" s="41"/>
      <c r="F31" s="49"/>
      <c r="G31" s="49"/>
      <c r="H31" s="49"/>
      <c r="I31" s="49"/>
      <c r="J31" s="49"/>
      <c r="K31" s="49"/>
      <c r="L31" s="49"/>
      <c r="M31" s="49"/>
      <c r="N31" s="49"/>
      <c r="O31" s="49"/>
      <c r="P31" s="49"/>
      <c r="Q31" s="49"/>
      <c r="R31" s="49"/>
      <c r="S31" s="49"/>
      <c r="T31" s="49"/>
      <c r="U31" s="49"/>
      <c r="V31" s="49"/>
      <c r="W31" s="49"/>
      <c r="X31" s="49"/>
      <c r="Y31" s="49"/>
      <c r="Z31" s="49"/>
      <c r="AA31" s="49"/>
      <c r="AB31" s="49"/>
      <c r="AC31" s="49"/>
      <c r="AD31" s="49"/>
      <c r="AE31" s="49"/>
      <c r="AF31" s="49"/>
      <c r="AG31" s="49"/>
      <c r="AH31" s="49"/>
      <c r="AI31" s="49"/>
      <c r="AJ31" s="49"/>
      <c r="AK31" s="49"/>
      <c r="AL31" s="49"/>
      <c r="AM31" s="28"/>
      <c r="AN31" s="29"/>
      <c r="AO31" s="29"/>
      <c r="AP31" s="29"/>
      <c r="AQ31" s="29"/>
      <c r="AR31" s="29"/>
      <c r="AS31" s="29"/>
      <c r="AT31" s="29"/>
      <c r="AU31" s="29"/>
      <c r="AV31" s="29"/>
      <c r="AW31" s="29"/>
      <c r="AX31" s="29"/>
      <c r="AY31" s="29"/>
      <c r="AZ31" s="29"/>
      <c r="BA31" s="29"/>
      <c r="BB31" s="30"/>
    </row>
    <row r="32" spans="1:54" ht="21" customHeight="1" outlineLevel="1" thickBot="1" x14ac:dyDescent="0.4">
      <c r="A32" s="44">
        <f t="shared" si="2"/>
        <v>0</v>
      </c>
      <c r="B32" s="44">
        <f t="shared" si="2"/>
        <v>0</v>
      </c>
      <c r="C32" s="44">
        <f t="shared" si="2"/>
        <v>0</v>
      </c>
      <c r="D32" s="44">
        <f t="shared" si="2"/>
        <v>0</v>
      </c>
      <c r="E32" s="41"/>
      <c r="F32" s="49"/>
      <c r="G32" s="49"/>
      <c r="H32" s="49"/>
      <c r="I32" s="49"/>
      <c r="J32" s="49"/>
      <c r="K32" s="49"/>
      <c r="L32" s="49"/>
      <c r="M32" s="49"/>
      <c r="N32" s="49"/>
      <c r="O32" s="49"/>
      <c r="P32" s="49"/>
      <c r="Q32" s="49"/>
      <c r="R32" s="49"/>
      <c r="S32" s="49"/>
      <c r="T32" s="49"/>
      <c r="U32" s="49"/>
      <c r="V32" s="49"/>
      <c r="W32" s="49"/>
      <c r="X32" s="49"/>
      <c r="Y32" s="49"/>
      <c r="Z32" s="49"/>
      <c r="AA32" s="49"/>
      <c r="AB32" s="49"/>
      <c r="AC32" s="49"/>
      <c r="AD32" s="49"/>
      <c r="AE32" s="49"/>
      <c r="AF32" s="49"/>
      <c r="AG32" s="49"/>
      <c r="AH32" s="49"/>
      <c r="AI32" s="49"/>
      <c r="AJ32" s="49"/>
      <c r="AK32" s="49"/>
      <c r="AL32" s="49"/>
      <c r="AM32" s="28"/>
      <c r="AN32" s="29"/>
      <c r="AO32" s="29"/>
      <c r="AP32" s="29"/>
      <c r="AQ32" s="29"/>
      <c r="AR32" s="29"/>
      <c r="AS32" s="29"/>
      <c r="AT32" s="29"/>
      <c r="AU32" s="29"/>
      <c r="AV32" s="29"/>
      <c r="AW32" s="29"/>
      <c r="AX32" s="29"/>
      <c r="AY32" s="29"/>
      <c r="AZ32" s="29"/>
      <c r="BA32" s="29"/>
      <c r="BB32" s="30"/>
    </row>
    <row r="33" spans="1:54" ht="21" customHeight="1" outlineLevel="1" thickBot="1" x14ac:dyDescent="0.4">
      <c r="A33" s="44">
        <f t="shared" ref="A33:D33" si="3">IF( ISNUMBER( FIND(A$3,$E33,1)),   IF( ISNUMBER( VALUE(MID($E33,FIND(A$3,$E33,1)+2,1)) ), VALUE( MID($E33,FIND(A$3,$E33,1)+2,1) ),1),0)</f>
        <v>0</v>
      </c>
      <c r="B33" s="44">
        <f t="shared" si="3"/>
        <v>0</v>
      </c>
      <c r="C33" s="44">
        <f t="shared" si="3"/>
        <v>0</v>
      </c>
      <c r="D33" s="44">
        <f t="shared" si="3"/>
        <v>0</v>
      </c>
      <c r="E33" s="41">
        <v>1</v>
      </c>
      <c r="G33" s="55"/>
      <c r="H33" s="55"/>
      <c r="I33" s="55"/>
      <c r="J33" s="55"/>
      <c r="K33" s="55"/>
      <c r="L33" s="55"/>
      <c r="M33" s="55"/>
      <c r="N33" s="55"/>
      <c r="O33" s="55"/>
      <c r="P33" s="55"/>
      <c r="Q33" s="55"/>
      <c r="R33" s="55"/>
      <c r="S33" s="55"/>
      <c r="T33" s="55"/>
      <c r="U33" s="55"/>
      <c r="V33" s="55"/>
      <c r="W33" s="55"/>
      <c r="X33" s="55"/>
      <c r="Y33" s="55"/>
      <c r="Z33" s="55"/>
      <c r="AA33" s="55"/>
      <c r="AB33" s="55"/>
      <c r="AC33" s="55"/>
      <c r="AD33" s="55"/>
      <c r="AE33" s="55"/>
      <c r="AF33" s="55"/>
      <c r="AG33" s="55"/>
      <c r="AH33" s="55"/>
      <c r="AI33" s="55"/>
      <c r="AJ33" s="55"/>
      <c r="AK33" s="55"/>
      <c r="AL33" s="55"/>
      <c r="AM33" s="28"/>
      <c r="AN33" s="29"/>
      <c r="AO33" s="29"/>
      <c r="AP33" s="29"/>
      <c r="AQ33" s="29"/>
      <c r="AR33" s="29"/>
      <c r="AS33" s="29"/>
      <c r="AT33" s="29"/>
      <c r="AU33" s="29"/>
      <c r="AV33" s="29"/>
      <c r="AW33" s="29"/>
      <c r="AX33" s="29"/>
      <c r="AY33" s="29"/>
      <c r="AZ33" s="29"/>
      <c r="BA33" s="29"/>
      <c r="BB33" s="30"/>
    </row>
    <row r="34" spans="1:54" ht="21" customHeight="1" outlineLevel="1" x14ac:dyDescent="0.35">
      <c r="C34" s="11" t="s">
        <v>28</v>
      </c>
      <c r="D34" s="47">
        <f>MATCH(C34,$E$4:$E$33)</f>
        <v>16</v>
      </c>
      <c r="E34" s="11" t="str">
        <f ca="1">OFFSET($E$3:$AL$3,$D34,0)</f>
        <v>H (Ar)</v>
      </c>
      <c r="F34" s="14">
        <f t="shared" ref="F34:AL37" ca="1" si="4">OFFSET($E$3:$AL$3,$D34,0)</f>
        <v>-18.88</v>
      </c>
      <c r="G34" s="14">
        <f t="shared" ca="1" si="4"/>
        <v>-18.87</v>
      </c>
      <c r="H34" s="14">
        <f t="shared" ca="1" si="4"/>
        <v>-18.899999999999999</v>
      </c>
      <c r="I34" s="14">
        <f t="shared" ca="1" si="4"/>
        <v>-18.940000000000001</v>
      </c>
      <c r="J34" s="14">
        <f t="shared" ca="1" si="4"/>
        <v>-18.989999999999998</v>
      </c>
      <c r="K34" s="14">
        <f t="shared" ca="1" si="4"/>
        <v>-19.04</v>
      </c>
      <c r="L34" s="14">
        <f t="shared" ca="1" si="4"/>
        <v>-19.07</v>
      </c>
      <c r="M34" s="14">
        <f t="shared" ca="1" si="4"/>
        <v>-18.96</v>
      </c>
      <c r="N34" s="14">
        <f t="shared" ca="1" si="4"/>
        <v>-19.03</v>
      </c>
      <c r="O34" s="14">
        <f t="shared" ca="1" si="4"/>
        <v>-19.100000000000001</v>
      </c>
      <c r="P34" s="14">
        <f t="shared" ca="1" si="4"/>
        <v>-19.170000000000002</v>
      </c>
      <c r="Q34" s="14">
        <f t="shared" ca="1" si="4"/>
        <v>-19.239999999999998</v>
      </c>
      <c r="R34" s="14">
        <f t="shared" ca="1" si="4"/>
        <v>-19.309999999999999</v>
      </c>
      <c r="S34" s="14">
        <f t="shared" ca="1" si="4"/>
        <v>-19.57</v>
      </c>
      <c r="T34" s="14">
        <f t="shared" ca="1" si="4"/>
        <v>-19.82</v>
      </c>
      <c r="U34" s="14">
        <f t="shared" ca="1" si="4"/>
        <v>-20.05</v>
      </c>
      <c r="V34" s="14">
        <f t="shared" ca="1" si="4"/>
        <v>-20.11</v>
      </c>
      <c r="W34" s="14">
        <f t="shared" ca="1" si="4"/>
        <v>-20.16</v>
      </c>
      <c r="X34" s="14">
        <f t="shared" ca="1" si="4"/>
        <v>-20.21</v>
      </c>
      <c r="Y34" s="14">
        <f t="shared" ca="1" si="4"/>
        <v>-20.260000000000002</v>
      </c>
      <c r="Z34" s="14">
        <f t="shared" ca="1" si="4"/>
        <v>-20.46</v>
      </c>
      <c r="AA34" s="14">
        <f t="shared" ca="1" si="4"/>
        <v>-20.65</v>
      </c>
      <c r="AB34" s="14">
        <f t="shared" ca="1" si="4"/>
        <v>0</v>
      </c>
      <c r="AC34" s="14">
        <f t="shared" ca="1" si="4"/>
        <v>0</v>
      </c>
      <c r="AD34" s="14">
        <f t="shared" ca="1" si="4"/>
        <v>0</v>
      </c>
      <c r="AE34" s="14">
        <f t="shared" ca="1" si="4"/>
        <v>0</v>
      </c>
      <c r="AF34" s="14">
        <f t="shared" ca="1" si="4"/>
        <v>0</v>
      </c>
      <c r="AG34" s="14">
        <f t="shared" ca="1" si="4"/>
        <v>0</v>
      </c>
      <c r="AH34" s="14">
        <f t="shared" ca="1" si="4"/>
        <v>0</v>
      </c>
      <c r="AI34" s="14">
        <f t="shared" ca="1" si="4"/>
        <v>0</v>
      </c>
      <c r="AJ34" s="14">
        <f t="shared" ca="1" si="4"/>
        <v>0</v>
      </c>
      <c r="AK34" s="14">
        <f t="shared" ca="1" si="4"/>
        <v>0</v>
      </c>
      <c r="AL34" s="14">
        <f t="shared" ca="1" si="4"/>
        <v>0</v>
      </c>
      <c r="AM34" s="28"/>
      <c r="AN34" s="29"/>
      <c r="AO34" s="29"/>
      <c r="AP34" s="29"/>
      <c r="AQ34" s="29"/>
      <c r="AR34" s="29"/>
      <c r="AS34" s="29"/>
      <c r="AT34" s="29"/>
      <c r="AU34" s="29"/>
      <c r="AV34" s="29"/>
      <c r="AW34" s="29"/>
      <c r="AX34" s="29"/>
      <c r="AY34" s="29"/>
      <c r="AZ34" s="29"/>
      <c r="BA34" s="29"/>
      <c r="BB34" s="30"/>
    </row>
    <row r="35" spans="1:54" s="37" customFormat="1" ht="21" customHeight="1" outlineLevel="1" x14ac:dyDescent="0.35">
      <c r="C35" s="11" t="s">
        <v>5</v>
      </c>
      <c r="D35" s="47">
        <f t="shared" ref="D35:D37" si="5">MATCH(C35,$E$4:$E$33)</f>
        <v>17</v>
      </c>
      <c r="E35" s="11" t="str">
        <f t="shared" ref="E35:E37" ca="1" si="6">OFFSET($E$3:$AL$3,$D35,0)</f>
        <v>H (Ga)</v>
      </c>
      <c r="F35" s="14">
        <f t="shared" ca="1" si="4"/>
        <v>-60.79</v>
      </c>
      <c r="G35" s="14">
        <f t="shared" ca="1" si="4"/>
        <v>-53.82</v>
      </c>
      <c r="H35" s="14">
        <f t="shared" ca="1" si="4"/>
        <v>-47.01</v>
      </c>
      <c r="I35" s="14">
        <f t="shared" ca="1" si="4"/>
        <v>-40.9</v>
      </c>
      <c r="J35" s="14">
        <f t="shared" ca="1" si="4"/>
        <v>-35.71</v>
      </c>
      <c r="K35" s="14">
        <f t="shared" ca="1" si="4"/>
        <v>-31.39</v>
      </c>
      <c r="L35" s="14">
        <f t="shared" ca="1" si="4"/>
        <v>-27.66</v>
      </c>
      <c r="M35" s="14">
        <f t="shared" ca="1" si="4"/>
        <v>-26.79</v>
      </c>
      <c r="N35" s="14">
        <f t="shared" ca="1" si="4"/>
        <v>-28.11</v>
      </c>
      <c r="O35" s="14">
        <f t="shared" ca="1" si="4"/>
        <v>-29.41</v>
      </c>
      <c r="P35" s="14">
        <f t="shared" ca="1" si="4"/>
        <v>-30.69</v>
      </c>
      <c r="Q35" s="14">
        <f t="shared" ca="1" si="4"/>
        <v>-31.94</v>
      </c>
      <c r="R35" s="14">
        <f t="shared" ca="1" si="4"/>
        <v>-33.159999999999997</v>
      </c>
      <c r="S35" s="14">
        <f t="shared" ca="1" si="4"/>
        <v>-37.67</v>
      </c>
      <c r="T35" s="14">
        <f t="shared" ca="1" si="4"/>
        <v>-41.43</v>
      </c>
      <c r="U35" s="14">
        <f t="shared" ca="1" si="4"/>
        <v>-44.33</v>
      </c>
      <c r="V35" s="14">
        <f t="shared" ca="1" si="4"/>
        <v>-44.9</v>
      </c>
      <c r="W35" s="14">
        <f t="shared" ca="1" si="4"/>
        <v>-45.42</v>
      </c>
      <c r="X35" s="14">
        <f t="shared" ca="1" si="4"/>
        <v>-45.86</v>
      </c>
      <c r="Y35" s="14">
        <f t="shared" ca="1" si="4"/>
        <v>-46.25</v>
      </c>
      <c r="Z35" s="14">
        <f t="shared" ca="1" si="4"/>
        <v>-47.11</v>
      </c>
      <c r="AA35" s="14">
        <f t="shared" ca="1" si="4"/>
        <v>-46.85</v>
      </c>
      <c r="AB35" s="14">
        <f t="shared" ca="1" si="4"/>
        <v>0</v>
      </c>
      <c r="AC35" s="14">
        <f t="shared" ca="1" si="4"/>
        <v>0</v>
      </c>
      <c r="AD35" s="14">
        <f t="shared" ca="1" si="4"/>
        <v>0</v>
      </c>
      <c r="AE35" s="14">
        <f t="shared" ca="1" si="4"/>
        <v>0</v>
      </c>
      <c r="AF35" s="14">
        <f t="shared" ca="1" si="4"/>
        <v>0</v>
      </c>
      <c r="AG35" s="14">
        <f t="shared" ca="1" si="4"/>
        <v>0</v>
      </c>
      <c r="AH35" s="14">
        <f t="shared" ca="1" si="4"/>
        <v>0</v>
      </c>
      <c r="AI35" s="14">
        <f t="shared" ca="1" si="4"/>
        <v>0</v>
      </c>
      <c r="AJ35" s="14">
        <f t="shared" ca="1" si="4"/>
        <v>0</v>
      </c>
      <c r="AK35" s="14">
        <f t="shared" ca="1" si="4"/>
        <v>0</v>
      </c>
      <c r="AL35" s="14">
        <f t="shared" ca="1" si="4"/>
        <v>0</v>
      </c>
      <c r="AM35" s="28"/>
      <c r="AN35" s="29"/>
      <c r="AO35" s="29"/>
      <c r="AP35" s="29"/>
      <c r="AQ35" s="29"/>
      <c r="AR35" s="29"/>
      <c r="AS35" s="29"/>
      <c r="AT35" s="29"/>
      <c r="AU35" s="29"/>
      <c r="AV35" s="29"/>
      <c r="AW35" s="29"/>
      <c r="AX35" s="29"/>
      <c r="AY35" s="29"/>
      <c r="AZ35" s="29"/>
      <c r="BA35" s="29"/>
      <c r="BB35" s="30"/>
    </row>
    <row r="36" spans="1:54" s="37" customFormat="1" ht="21" customHeight="1" outlineLevel="1" x14ac:dyDescent="0.35">
      <c r="C36" s="11" t="s">
        <v>6</v>
      </c>
      <c r="D36" s="47">
        <f t="shared" si="5"/>
        <v>18</v>
      </c>
      <c r="E36" s="11" t="str">
        <f t="shared" ca="1" si="6"/>
        <v>H (Ge)</v>
      </c>
      <c r="F36" s="14">
        <f t="shared" ca="1" si="4"/>
        <v>-16</v>
      </c>
      <c r="G36" s="14">
        <f t="shared" ca="1" si="4"/>
        <v>-13.92</v>
      </c>
      <c r="H36" s="14">
        <f t="shared" ca="1" si="4"/>
        <v>-11.54</v>
      </c>
      <c r="I36" s="14">
        <f t="shared" ca="1" si="4"/>
        <v>-9.3460000000000001</v>
      </c>
      <c r="J36" s="14">
        <f t="shared" ca="1" si="4"/>
        <v>-7.6120000000000001</v>
      </c>
      <c r="K36" s="14">
        <f t="shared" ca="1" si="4"/>
        <v>-6.5529999999999999</v>
      </c>
      <c r="L36" s="14">
        <f t="shared" ca="1" si="4"/>
        <v>-6.1760000000000002</v>
      </c>
      <c r="M36" s="14">
        <f t="shared" ca="1" si="4"/>
        <v>-6.8330000000000002</v>
      </c>
      <c r="N36" s="14">
        <f t="shared" ca="1" si="4"/>
        <v>-6.843</v>
      </c>
      <c r="O36" s="14">
        <f t="shared" ca="1" si="4"/>
        <v>-6.9039999999999999</v>
      </c>
      <c r="P36" s="14">
        <f t="shared" ca="1" si="4"/>
        <v>-6.9809999999999999</v>
      </c>
      <c r="Q36" s="14">
        <f t="shared" ca="1" si="4"/>
        <v>-7.0620000000000003</v>
      </c>
      <c r="R36" s="14">
        <f t="shared" ca="1" si="4"/>
        <v>-7.1429999999999998</v>
      </c>
      <c r="S36" s="14">
        <f t="shared" ca="1" si="4"/>
        <v>-7.4630000000000001</v>
      </c>
      <c r="T36" s="14">
        <f t="shared" ca="1" si="4"/>
        <v>-7.7649999999999997</v>
      </c>
      <c r="U36" s="14">
        <f t="shared" ca="1" si="4"/>
        <v>-8.048</v>
      </c>
      <c r="V36" s="14">
        <f t="shared" ca="1" si="4"/>
        <v>-8.1159999999999997</v>
      </c>
      <c r="W36" s="14">
        <f t="shared" ca="1" si="4"/>
        <v>-8.1820000000000004</v>
      </c>
      <c r="X36" s="14">
        <f t="shared" ca="1" si="4"/>
        <v>-8.2479999999999993</v>
      </c>
      <c r="Y36" s="14">
        <f t="shared" ca="1" si="4"/>
        <v>-8.3130000000000006</v>
      </c>
      <c r="Z36" s="14">
        <f t="shared" ca="1" si="4"/>
        <v>-8.5609999999999999</v>
      </c>
      <c r="AA36" s="14">
        <f t="shared" ca="1" si="4"/>
        <v>-8.7949999999999999</v>
      </c>
      <c r="AB36" s="14">
        <f t="shared" ca="1" si="4"/>
        <v>0</v>
      </c>
      <c r="AC36" s="14">
        <f t="shared" ca="1" si="4"/>
        <v>0</v>
      </c>
      <c r="AD36" s="14">
        <f t="shared" ca="1" si="4"/>
        <v>0</v>
      </c>
      <c r="AE36" s="14">
        <f t="shared" ca="1" si="4"/>
        <v>0</v>
      </c>
      <c r="AF36" s="14">
        <f t="shared" ca="1" si="4"/>
        <v>0</v>
      </c>
      <c r="AG36" s="14">
        <f t="shared" ca="1" si="4"/>
        <v>0</v>
      </c>
      <c r="AH36" s="14">
        <f t="shared" ca="1" si="4"/>
        <v>0</v>
      </c>
      <c r="AI36" s="14">
        <f t="shared" ca="1" si="4"/>
        <v>0</v>
      </c>
      <c r="AJ36" s="14">
        <f t="shared" ca="1" si="4"/>
        <v>0</v>
      </c>
      <c r="AK36" s="14">
        <f t="shared" ca="1" si="4"/>
        <v>0</v>
      </c>
      <c r="AL36" s="14">
        <f t="shared" ca="1" si="4"/>
        <v>0</v>
      </c>
      <c r="AM36" s="28"/>
      <c r="AN36" s="29"/>
      <c r="AO36" s="29"/>
      <c r="AP36" s="29"/>
      <c r="AQ36" s="29"/>
      <c r="AR36" s="29"/>
      <c r="AS36" s="29"/>
      <c r="AT36" s="29"/>
      <c r="AU36" s="29"/>
      <c r="AV36" s="29"/>
      <c r="AW36" s="29"/>
      <c r="AX36" s="29"/>
      <c r="AY36" s="29"/>
      <c r="AZ36" s="29"/>
      <c r="BA36" s="29"/>
      <c r="BB36" s="30"/>
    </row>
    <row r="37" spans="1:54" ht="21" customHeight="1" outlineLevel="1" thickBot="1" x14ac:dyDescent="0.4">
      <c r="C37" s="11" t="s">
        <v>7</v>
      </c>
      <c r="D37" s="47">
        <f t="shared" si="5"/>
        <v>19</v>
      </c>
      <c r="E37" s="11" t="str">
        <f t="shared" ca="1" si="6"/>
        <v>H (Se)</v>
      </c>
      <c r="F37" s="14">
        <f t="shared" ca="1" si="4"/>
        <v>-22.14</v>
      </c>
      <c r="G37" s="14">
        <f t="shared" ca="1" si="4"/>
        <v>-21.3</v>
      </c>
      <c r="H37" s="14">
        <f t="shared" ca="1" si="4"/>
        <v>-21.39</v>
      </c>
      <c r="I37" s="14">
        <f t="shared" ca="1" si="4"/>
        <v>-21.8</v>
      </c>
      <c r="J37" s="14">
        <f t="shared" ca="1" si="4"/>
        <v>-22.19</v>
      </c>
      <c r="K37" s="14">
        <f t="shared" ca="1" si="4"/>
        <v>-22.48</v>
      </c>
      <c r="L37" s="14">
        <f t="shared" ca="1" si="4"/>
        <v>-22.79</v>
      </c>
      <c r="M37" s="14">
        <f t="shared" ca="1" si="4"/>
        <v>-23.04</v>
      </c>
      <c r="N37" s="14">
        <f t="shared" ca="1" si="4"/>
        <v>-23.53</v>
      </c>
      <c r="O37" s="14">
        <f t="shared" ca="1" si="4"/>
        <v>-24.03</v>
      </c>
      <c r="P37" s="14">
        <f t="shared" ca="1" si="4"/>
        <v>-24.51</v>
      </c>
      <c r="Q37" s="14">
        <f t="shared" ca="1" si="4"/>
        <v>-24.99</v>
      </c>
      <c r="R37" s="14">
        <f t="shared" ca="1" si="4"/>
        <v>-25.47</v>
      </c>
      <c r="S37" s="14">
        <f t="shared" ca="1" si="4"/>
        <v>-27.28</v>
      </c>
      <c r="T37" s="14">
        <f t="shared" ca="1" si="4"/>
        <v>-29</v>
      </c>
      <c r="U37" s="14">
        <f t="shared" ca="1" si="4"/>
        <v>-30.63</v>
      </c>
      <c r="V37" s="14">
        <f t="shared" ca="1" si="4"/>
        <v>-31.03</v>
      </c>
      <c r="W37" s="14">
        <f t="shared" ca="1" si="4"/>
        <v>-31.42</v>
      </c>
      <c r="X37" s="14">
        <f t="shared" ca="1" si="4"/>
        <v>-31.81</v>
      </c>
      <c r="Y37" s="14">
        <f t="shared" ca="1" si="4"/>
        <v>-32.200000000000003</v>
      </c>
      <c r="Z37" s="14">
        <f t="shared" ca="1" si="4"/>
        <v>-33.729999999999997</v>
      </c>
      <c r="AA37" s="14">
        <f t="shared" ca="1" si="4"/>
        <v>-35.22</v>
      </c>
      <c r="AB37" s="14">
        <f t="shared" ca="1" si="4"/>
        <v>0</v>
      </c>
      <c r="AC37" s="14">
        <f t="shared" ca="1" si="4"/>
        <v>0</v>
      </c>
      <c r="AD37" s="14">
        <f t="shared" ca="1" si="4"/>
        <v>0</v>
      </c>
      <c r="AE37" s="14">
        <f t="shared" ca="1" si="4"/>
        <v>0</v>
      </c>
      <c r="AF37" s="14">
        <f t="shared" ca="1" si="4"/>
        <v>0</v>
      </c>
      <c r="AG37" s="14">
        <f t="shared" ca="1" si="4"/>
        <v>0</v>
      </c>
      <c r="AH37" s="14">
        <f t="shared" ref="AH37:AL37" ca="1" si="7">OFFSET($E$3:$AL$3,$D37,0)</f>
        <v>0</v>
      </c>
      <c r="AI37" s="14">
        <f t="shared" ca="1" si="7"/>
        <v>0</v>
      </c>
      <c r="AJ37" s="14">
        <f t="shared" ca="1" si="7"/>
        <v>0</v>
      </c>
      <c r="AK37" s="14">
        <f t="shared" ca="1" si="7"/>
        <v>0</v>
      </c>
      <c r="AL37" s="14">
        <f t="shared" ca="1" si="7"/>
        <v>0</v>
      </c>
      <c r="AM37" s="31"/>
      <c r="AN37" s="32"/>
      <c r="AO37" s="32"/>
      <c r="AP37" s="32"/>
      <c r="AQ37" s="32"/>
      <c r="AR37" s="32"/>
      <c r="AS37" s="32"/>
      <c r="AT37" s="32"/>
      <c r="AU37" s="32"/>
      <c r="AV37" s="32"/>
      <c r="AW37" s="32"/>
      <c r="AX37" s="32"/>
      <c r="AY37" s="32"/>
      <c r="AZ37" s="32"/>
      <c r="BA37" s="32"/>
      <c r="BB37" s="33"/>
    </row>
    <row r="38" spans="1:54" s="37" customFormat="1" ht="21" customHeight="1" thickBot="1" x14ac:dyDescent="0.4">
      <c r="G38" s="55"/>
      <c r="H38" s="55"/>
      <c r="I38" s="55"/>
      <c r="J38" s="55"/>
      <c r="K38" s="55"/>
      <c r="L38" s="55"/>
      <c r="M38" s="55"/>
      <c r="N38" s="55"/>
      <c r="O38" s="55"/>
      <c r="P38" s="55"/>
      <c r="Q38" s="55"/>
      <c r="R38" s="55"/>
      <c r="S38" s="55"/>
      <c r="T38" s="55"/>
      <c r="U38" s="55"/>
      <c r="V38" s="55"/>
      <c r="W38" s="55"/>
      <c r="X38" s="55"/>
      <c r="Y38" s="55"/>
      <c r="Z38" s="55"/>
      <c r="AA38" s="55"/>
      <c r="AB38" s="55"/>
      <c r="AC38" s="55"/>
      <c r="AD38" s="55"/>
      <c r="AE38" s="55"/>
      <c r="AF38" s="55"/>
      <c r="AG38" s="55"/>
      <c r="AH38" s="55"/>
      <c r="AI38" s="55"/>
      <c r="AJ38" s="55"/>
      <c r="AK38" s="55"/>
      <c r="AL38" s="55"/>
      <c r="AO38" s="29"/>
      <c r="AP38" s="29"/>
      <c r="AQ38" s="29"/>
      <c r="AR38" s="29"/>
      <c r="AS38" s="29"/>
      <c r="AT38" s="29"/>
      <c r="AU38" s="29"/>
      <c r="AV38" s="29"/>
      <c r="AW38" s="29"/>
      <c r="AX38" s="29"/>
      <c r="AY38" s="29"/>
      <c r="AZ38" s="29"/>
      <c r="BA38" s="29"/>
      <c r="BB38" s="29"/>
    </row>
    <row r="39" spans="1:54" ht="21" customHeight="1" thickTop="1" thickBot="1" x14ac:dyDescent="0.45">
      <c r="A39" s="81" t="s">
        <v>8</v>
      </c>
      <c r="B39" s="82"/>
      <c r="C39" s="82"/>
      <c r="D39" s="83"/>
      <c r="E39" s="74" t="s">
        <v>21</v>
      </c>
      <c r="F39" s="75"/>
      <c r="G39" s="75"/>
      <c r="H39" s="75"/>
      <c r="I39" s="75"/>
      <c r="J39" s="75"/>
      <c r="K39" s="75"/>
      <c r="L39" s="75"/>
      <c r="M39" s="75"/>
      <c r="N39" s="75"/>
      <c r="O39" s="75"/>
      <c r="P39" s="75"/>
      <c r="Q39" s="75"/>
      <c r="R39" s="75"/>
      <c r="S39" s="75"/>
      <c r="T39" s="75"/>
      <c r="U39" s="75"/>
      <c r="V39" s="75"/>
      <c r="W39" s="75"/>
      <c r="X39" s="75"/>
      <c r="Y39" s="75"/>
      <c r="Z39" s="75"/>
      <c r="AA39" s="75"/>
      <c r="AB39" s="75"/>
      <c r="AC39" s="75"/>
      <c r="AD39" s="75"/>
      <c r="AE39" s="75"/>
      <c r="AF39" s="75"/>
      <c r="AG39" s="75"/>
      <c r="AH39" s="75"/>
      <c r="AI39" s="75"/>
      <c r="AJ39" s="75"/>
      <c r="AK39" s="75"/>
      <c r="AL39" s="75"/>
      <c r="AM39" s="75"/>
      <c r="AN39" s="75"/>
      <c r="AO39" s="75"/>
      <c r="AP39" s="75"/>
      <c r="AQ39" s="75"/>
      <c r="AR39" s="75"/>
      <c r="AS39" s="75"/>
      <c r="AT39" s="75"/>
      <c r="AU39" s="75"/>
      <c r="AV39" s="75"/>
      <c r="AW39" s="75"/>
      <c r="AX39" s="75"/>
      <c r="AY39" s="75"/>
      <c r="AZ39" s="75"/>
      <c r="BA39" s="75"/>
      <c r="BB39" s="75"/>
    </row>
    <row r="40" spans="1:54" ht="21" hidden="1" customHeight="1" outlineLevel="1" thickTop="1" thickBot="1" x14ac:dyDescent="0.4">
      <c r="A40" s="7" t="s">
        <v>1</v>
      </c>
      <c r="B40" s="7" t="s">
        <v>3</v>
      </c>
      <c r="C40" s="7" t="s">
        <v>4</v>
      </c>
      <c r="D40" s="7" t="s">
        <v>2</v>
      </c>
      <c r="E40" s="7" t="s">
        <v>9</v>
      </c>
      <c r="F40" s="8">
        <f>F3</f>
        <v>298.2</v>
      </c>
      <c r="G40" s="8">
        <f t="shared" ref="G40:AL40" si="8">G3</f>
        <v>331.5</v>
      </c>
      <c r="H40" s="8">
        <f t="shared" si="8"/>
        <v>364.9</v>
      </c>
      <c r="I40" s="8">
        <f t="shared" si="8"/>
        <v>398.3</v>
      </c>
      <c r="J40" s="8">
        <f t="shared" si="8"/>
        <v>431.7</v>
      </c>
      <c r="K40" s="8">
        <f t="shared" si="8"/>
        <v>465.1</v>
      </c>
      <c r="L40" s="8">
        <f t="shared" si="8"/>
        <v>498.5</v>
      </c>
      <c r="M40" s="8">
        <f t="shared" si="8"/>
        <v>531.79999999999995</v>
      </c>
      <c r="N40" s="8">
        <f t="shared" si="8"/>
        <v>565.20000000000005</v>
      </c>
      <c r="O40" s="8">
        <f t="shared" si="8"/>
        <v>598.6</v>
      </c>
      <c r="P40" s="8">
        <f t="shared" si="8"/>
        <v>632</v>
      </c>
      <c r="Q40" s="8">
        <f t="shared" si="8"/>
        <v>665.4</v>
      </c>
      <c r="R40" s="8">
        <f t="shared" si="8"/>
        <v>698.8</v>
      </c>
      <c r="S40" s="8">
        <f t="shared" si="8"/>
        <v>832.3</v>
      </c>
      <c r="T40" s="8">
        <f t="shared" si="8"/>
        <v>965.8</v>
      </c>
      <c r="U40" s="8">
        <f t="shared" si="8"/>
        <v>1099</v>
      </c>
      <c r="V40" s="8">
        <f t="shared" si="8"/>
        <v>1133</v>
      </c>
      <c r="W40" s="8">
        <f t="shared" si="8"/>
        <v>1166</v>
      </c>
      <c r="X40" s="8">
        <f t="shared" si="8"/>
        <v>1200</v>
      </c>
      <c r="Y40" s="8">
        <f t="shared" si="8"/>
        <v>1233</v>
      </c>
      <c r="Z40" s="8">
        <f t="shared" si="8"/>
        <v>1366</v>
      </c>
      <c r="AA40" s="8">
        <f t="shared" si="8"/>
        <v>1500</v>
      </c>
      <c r="AB40" s="8">
        <f t="shared" si="8"/>
        <v>0</v>
      </c>
      <c r="AC40" s="8">
        <f t="shared" si="8"/>
        <v>0</v>
      </c>
      <c r="AD40" s="8">
        <f t="shared" si="8"/>
        <v>0</v>
      </c>
      <c r="AE40" s="8">
        <f t="shared" si="8"/>
        <v>0</v>
      </c>
      <c r="AF40" s="8">
        <f t="shared" si="8"/>
        <v>0</v>
      </c>
      <c r="AG40" s="8">
        <f t="shared" si="8"/>
        <v>0</v>
      </c>
      <c r="AH40" s="8">
        <f t="shared" si="8"/>
        <v>0</v>
      </c>
      <c r="AI40" s="8">
        <f t="shared" si="8"/>
        <v>0</v>
      </c>
      <c r="AJ40" s="8">
        <f t="shared" si="8"/>
        <v>0</v>
      </c>
      <c r="AK40" s="8">
        <f t="shared" si="8"/>
        <v>0</v>
      </c>
      <c r="AL40" s="8">
        <f t="shared" si="8"/>
        <v>0</v>
      </c>
    </row>
    <row r="41" spans="1:54" ht="21" hidden="1" customHeight="1" outlineLevel="1" thickTop="1" x14ac:dyDescent="0.35">
      <c r="A41" s="9">
        <f t="array" ref="A41">Values!D3:G3/Values!$E$3</f>
        <v>1.6666666666666667</v>
      </c>
      <c r="B41" s="9">
        <f t="array" ref="B41">Values!E3:H3/Values!$E$3</f>
        <v>1</v>
      </c>
      <c r="C41" s="9">
        <f t="array" ref="C41">Values!F3:I3/Values!$E$3</f>
        <v>1.6666666666666667</v>
      </c>
      <c r="D41" s="9">
        <f t="array" ref="D41">Values!G3:J3/Values!$E$3</f>
        <v>4</v>
      </c>
      <c r="E41" s="9">
        <f>SUM(A41:D41)</f>
        <v>8.3333333333333339</v>
      </c>
      <c r="F41" s="10">
        <f t="shared" ref="F41:AL41" ca="1" si="9">($B$41*H.Ge+$C$41*H.Ga+$D$41*H.Se)*F$40*$B$2/1000</f>
        <v>-510.44729271900002</v>
      </c>
      <c r="G41" s="10">
        <f t="shared" ca="1" si="9"/>
        <v>-520.43639953499996</v>
      </c>
      <c r="H41" s="10">
        <f t="shared" ca="1" si="9"/>
        <v>-532.30846622249999</v>
      </c>
      <c r="I41" s="10">
        <f t="shared" ca="1" si="9"/>
        <v>-545.47323090610018</v>
      </c>
      <c r="J41" s="10">
        <f t="shared" ca="1" si="9"/>
        <v>-559.54204891230006</v>
      </c>
      <c r="K41" s="10">
        <f t="shared" ca="1" si="9"/>
        <v>-575.38064399585016</v>
      </c>
      <c r="L41" s="10">
        <f t="shared" ca="1" si="9"/>
        <v>-594.51041306700006</v>
      </c>
      <c r="M41" s="10">
        <f t="shared" ca="1" si="9"/>
        <v>-635.13922895730002</v>
      </c>
      <c r="N41" s="10">
        <f t="shared" ca="1" si="9"/>
        <v>-694.62581974020009</v>
      </c>
      <c r="O41" s="10">
        <f t="shared" ca="1" si="9"/>
        <v>-756.71547482780011</v>
      </c>
      <c r="P41" s="10">
        <f t="shared" ca="1" si="9"/>
        <v>-820.64174864400013</v>
      </c>
      <c r="Q41" s="10">
        <f t="shared" ca="1" si="9"/>
        <v>-886.60755157260007</v>
      </c>
      <c r="R41" s="10">
        <f t="shared" ca="1" si="9"/>
        <v>-954.55131972980007</v>
      </c>
      <c r="S41" s="10">
        <f t="shared" ca="1" si="9"/>
        <v>-1241.2434293255499</v>
      </c>
      <c r="T41" s="10">
        <f t="shared" ca="1" si="9"/>
        <v>-1548.3322346415</v>
      </c>
      <c r="U41" s="10">
        <f t="shared" ca="1" si="9"/>
        <v>-1868.2017614890001</v>
      </c>
      <c r="V41" s="10">
        <f t="shared" ca="1" si="9"/>
        <v>-1950.6611422760002</v>
      </c>
      <c r="W41" s="10">
        <f t="shared" ca="1" si="9"/>
        <v>-2031.6421883340004</v>
      </c>
      <c r="X41" s="10">
        <f t="shared" ca="1" si="9"/>
        <v>-2114.4239112000005</v>
      </c>
      <c r="Y41" s="10">
        <f t="shared" ca="1" si="9"/>
        <v>-2195.8933648455004</v>
      </c>
      <c r="Z41" s="10">
        <f t="shared" ca="1" si="9"/>
        <v>-2521.3622529170002</v>
      </c>
      <c r="AA41" s="10">
        <f t="shared" ca="1" si="9"/>
        <v>-2840.5449937500002</v>
      </c>
      <c r="AB41" s="10">
        <f t="shared" ca="1" si="9"/>
        <v>0</v>
      </c>
      <c r="AC41" s="10">
        <f t="shared" ca="1" si="9"/>
        <v>0</v>
      </c>
      <c r="AD41" s="10">
        <f t="shared" ca="1" si="9"/>
        <v>0</v>
      </c>
      <c r="AE41" s="10">
        <f t="shared" ca="1" si="9"/>
        <v>0</v>
      </c>
      <c r="AF41" s="10">
        <f t="shared" ca="1" si="9"/>
        <v>0</v>
      </c>
      <c r="AG41" s="10">
        <f t="shared" ca="1" si="9"/>
        <v>0</v>
      </c>
      <c r="AH41" s="10">
        <f t="shared" ca="1" si="9"/>
        <v>0</v>
      </c>
      <c r="AI41" s="10">
        <f t="shared" ca="1" si="9"/>
        <v>0</v>
      </c>
      <c r="AJ41" s="10">
        <f t="shared" ca="1" si="9"/>
        <v>0</v>
      </c>
      <c r="AK41" s="10">
        <f t="shared" ca="1" si="9"/>
        <v>0</v>
      </c>
      <c r="AL41" s="10">
        <f t="shared" ca="1" si="9"/>
        <v>0</v>
      </c>
    </row>
    <row r="42" spans="1:54" ht="176.25" hidden="1" customHeight="1" outlineLevel="1" x14ac:dyDescent="0.35">
      <c r="G42" s="55"/>
      <c r="H42" s="55"/>
      <c r="I42" s="55"/>
      <c r="J42" s="55"/>
      <c r="K42" s="55"/>
      <c r="L42" s="55"/>
      <c r="M42" s="55"/>
      <c r="N42" s="55"/>
      <c r="O42" s="55"/>
      <c r="P42" s="55"/>
      <c r="Q42" s="55"/>
      <c r="R42" s="55"/>
      <c r="S42" s="55"/>
      <c r="T42" s="55"/>
      <c r="U42" s="55"/>
      <c r="V42" s="55"/>
      <c r="W42" s="55"/>
      <c r="X42" s="55"/>
      <c r="Y42" s="55"/>
      <c r="Z42" s="55"/>
      <c r="AA42" s="55"/>
      <c r="AB42" s="55"/>
      <c r="AC42" s="55"/>
      <c r="AD42" s="55"/>
      <c r="AE42" s="55"/>
      <c r="AF42" s="55"/>
      <c r="AG42" s="55"/>
      <c r="AH42" s="55"/>
      <c r="AI42" s="55"/>
      <c r="AJ42" s="55"/>
      <c r="AK42" s="55"/>
      <c r="AL42" s="55"/>
    </row>
    <row r="43" spans="1:54" ht="21" customHeight="1" collapsed="1" thickTop="1" x14ac:dyDescent="0.35">
      <c r="G43" s="55"/>
      <c r="H43" s="55"/>
      <c r="I43" s="55"/>
      <c r="J43" s="55"/>
      <c r="K43" s="55"/>
      <c r="L43" s="55"/>
      <c r="M43" s="55"/>
      <c r="N43" s="55"/>
      <c r="O43" s="55"/>
      <c r="P43" s="55"/>
      <c r="Q43" s="55"/>
      <c r="R43" s="55"/>
      <c r="S43" s="55"/>
      <c r="T43" s="55"/>
      <c r="U43" s="55"/>
      <c r="V43" s="55"/>
      <c r="W43" s="55"/>
      <c r="X43" s="55"/>
      <c r="Y43" s="55"/>
      <c r="Z43" s="55"/>
      <c r="AA43" s="55"/>
      <c r="AB43" s="55"/>
      <c r="AC43" s="55"/>
      <c r="AD43" s="55"/>
      <c r="AE43" s="55"/>
      <c r="AF43" s="55"/>
      <c r="AG43" s="55"/>
      <c r="AH43" s="55"/>
      <c r="AI43" s="55"/>
      <c r="AJ43" s="55"/>
      <c r="AK43" s="55"/>
      <c r="AL43" s="55"/>
    </row>
    <row r="44" spans="1:54" ht="21" customHeight="1" x14ac:dyDescent="0.4">
      <c r="A44" s="75"/>
      <c r="B44" s="75"/>
      <c r="C44" s="75"/>
      <c r="D44" s="75"/>
      <c r="E44" s="74" t="s">
        <v>22</v>
      </c>
      <c r="F44" s="75"/>
      <c r="G44" s="75"/>
      <c r="H44" s="75"/>
      <c r="I44" s="75"/>
      <c r="J44" s="75"/>
      <c r="K44" s="75"/>
      <c r="L44" s="75"/>
      <c r="M44" s="75"/>
      <c r="N44" s="75"/>
      <c r="O44" s="75"/>
      <c r="P44" s="75"/>
      <c r="Q44" s="75"/>
      <c r="R44" s="75"/>
      <c r="S44" s="75"/>
      <c r="T44" s="75"/>
      <c r="U44" s="75"/>
      <c r="V44" s="75"/>
      <c r="W44" s="75"/>
      <c r="X44" s="75"/>
      <c r="Y44" s="75"/>
      <c r="Z44" s="75"/>
      <c r="AA44" s="75"/>
      <c r="AB44" s="75"/>
      <c r="AC44" s="75"/>
      <c r="AD44" s="75"/>
      <c r="AE44" s="75"/>
      <c r="AF44" s="75"/>
      <c r="AG44" s="75"/>
      <c r="AH44" s="75"/>
      <c r="AI44" s="75"/>
      <c r="AJ44" s="75"/>
      <c r="AK44" s="75"/>
      <c r="AL44" s="75"/>
      <c r="AM44" s="75"/>
      <c r="AN44" s="75"/>
      <c r="AO44" s="75"/>
      <c r="AP44" s="75"/>
      <c r="AQ44" s="75"/>
      <c r="AR44" s="75"/>
      <c r="AS44" s="75"/>
      <c r="AT44" s="75"/>
      <c r="AU44" s="75"/>
      <c r="AV44" s="75"/>
      <c r="AW44" s="75"/>
      <c r="AX44" s="75"/>
      <c r="AY44" s="75"/>
      <c r="AZ44" s="75"/>
      <c r="BA44" s="75"/>
      <c r="BB44" s="75"/>
    </row>
    <row r="45" spans="1:54" ht="21" hidden="1" customHeight="1" outlineLevel="1" thickTop="1" thickBot="1" x14ac:dyDescent="0.4">
      <c r="A45" s="12" t="s">
        <v>1</v>
      </c>
      <c r="B45" s="12" t="s">
        <v>2</v>
      </c>
      <c r="C45" s="12" t="s">
        <v>3</v>
      </c>
      <c r="D45" s="13" t="s">
        <v>4</v>
      </c>
      <c r="E45" s="3">
        <f t="shared" ref="E45:AL45" si="10">E3</f>
        <v>0</v>
      </c>
      <c r="F45" s="3">
        <f t="shared" si="10"/>
        <v>298.2</v>
      </c>
      <c r="G45" s="3">
        <f t="shared" si="10"/>
        <v>331.5</v>
      </c>
      <c r="H45" s="3">
        <f t="shared" si="10"/>
        <v>364.9</v>
      </c>
      <c r="I45" s="3">
        <f t="shared" si="10"/>
        <v>398.3</v>
      </c>
      <c r="J45" s="3">
        <f t="shared" si="10"/>
        <v>431.7</v>
      </c>
      <c r="K45" s="3">
        <f t="shared" si="10"/>
        <v>465.1</v>
      </c>
      <c r="L45" s="3">
        <f t="shared" si="10"/>
        <v>498.5</v>
      </c>
      <c r="M45" s="3">
        <f t="shared" si="10"/>
        <v>531.79999999999995</v>
      </c>
      <c r="N45" s="3">
        <f t="shared" si="10"/>
        <v>565.20000000000005</v>
      </c>
      <c r="O45" s="3">
        <f t="shared" si="10"/>
        <v>598.6</v>
      </c>
      <c r="P45" s="3">
        <f t="shared" si="10"/>
        <v>632</v>
      </c>
      <c r="Q45" s="3">
        <f t="shared" si="10"/>
        <v>665.4</v>
      </c>
      <c r="R45" s="3">
        <f t="shared" si="10"/>
        <v>698.8</v>
      </c>
      <c r="S45" s="3">
        <f t="shared" si="10"/>
        <v>832.3</v>
      </c>
      <c r="T45" s="3">
        <f t="shared" si="10"/>
        <v>965.8</v>
      </c>
      <c r="U45" s="3">
        <f t="shared" si="10"/>
        <v>1099</v>
      </c>
      <c r="V45" s="3">
        <f t="shared" si="10"/>
        <v>1133</v>
      </c>
      <c r="W45" s="3">
        <f t="shared" si="10"/>
        <v>1166</v>
      </c>
      <c r="X45" s="3">
        <f t="shared" si="10"/>
        <v>1200</v>
      </c>
      <c r="Y45" s="3">
        <f t="shared" si="10"/>
        <v>1233</v>
      </c>
      <c r="Z45" s="3">
        <f t="shared" si="10"/>
        <v>1366</v>
      </c>
      <c r="AA45" s="3">
        <f t="shared" si="10"/>
        <v>1500</v>
      </c>
      <c r="AB45" s="3">
        <f t="shared" si="10"/>
        <v>0</v>
      </c>
      <c r="AC45" s="3">
        <f t="shared" si="10"/>
        <v>0</v>
      </c>
      <c r="AD45" s="3">
        <f t="shared" si="10"/>
        <v>0</v>
      </c>
      <c r="AE45" s="3">
        <f t="shared" si="10"/>
        <v>0</v>
      </c>
      <c r="AF45" s="3">
        <f t="shared" si="10"/>
        <v>0</v>
      </c>
      <c r="AG45" s="3">
        <f t="shared" si="10"/>
        <v>0</v>
      </c>
      <c r="AH45" s="3">
        <f t="shared" si="10"/>
        <v>0</v>
      </c>
      <c r="AI45" s="3">
        <f t="shared" si="10"/>
        <v>0</v>
      </c>
      <c r="AJ45" s="3">
        <f t="shared" si="10"/>
        <v>0</v>
      </c>
      <c r="AK45" s="3">
        <f t="shared" si="10"/>
        <v>0</v>
      </c>
      <c r="AL45" s="3">
        <f t="shared" si="10"/>
        <v>0</v>
      </c>
    </row>
    <row r="46" spans="1:54" ht="21" hidden="1" customHeight="1" outlineLevel="1" thickTop="1" thickBot="1" x14ac:dyDescent="0.4">
      <c r="A46" s="5">
        <f t="shared" ref="A46:E55" si="11">A4</f>
        <v>0</v>
      </c>
      <c r="B46" s="5">
        <f t="shared" si="11"/>
        <v>1</v>
      </c>
      <c r="C46" s="5">
        <f t="shared" si="11"/>
        <v>1</v>
      </c>
      <c r="D46" s="5">
        <f t="shared" si="11"/>
        <v>0</v>
      </c>
      <c r="E46" s="6" t="str">
        <f t="shared" si="11"/>
        <v>*GeSe</v>
      </c>
      <c r="F46" s="14">
        <f t="shared" ref="F46:U55" ca="1" si="12">$A46*H.Ar + $B46*H.Se + $C46*H.Ge + $D46*H.Ga</f>
        <v>-38.14</v>
      </c>
      <c r="G46" s="14">
        <f t="shared" ca="1" si="12"/>
        <v>-35.22</v>
      </c>
      <c r="H46" s="14">
        <f t="shared" ca="1" si="12"/>
        <v>-32.93</v>
      </c>
      <c r="I46" s="14">
        <f t="shared" ca="1" si="12"/>
        <v>-31.146000000000001</v>
      </c>
      <c r="J46" s="14">
        <f t="shared" ca="1" si="12"/>
        <v>-29.802</v>
      </c>
      <c r="K46" s="14">
        <f t="shared" ca="1" si="12"/>
        <v>-29.033000000000001</v>
      </c>
      <c r="L46" s="14">
        <f t="shared" ca="1" si="12"/>
        <v>-28.966000000000001</v>
      </c>
      <c r="M46" s="14">
        <f t="shared" ca="1" si="12"/>
        <v>-29.872999999999998</v>
      </c>
      <c r="N46" s="14">
        <f t="shared" ca="1" si="12"/>
        <v>-30.373000000000001</v>
      </c>
      <c r="O46" s="14">
        <f t="shared" ca="1" si="12"/>
        <v>-30.934000000000001</v>
      </c>
      <c r="P46" s="14">
        <f t="shared" ca="1" si="12"/>
        <v>-31.491</v>
      </c>
      <c r="Q46" s="14">
        <f t="shared" ca="1" si="12"/>
        <v>-32.052</v>
      </c>
      <c r="R46" s="14">
        <f t="shared" ca="1" si="12"/>
        <v>-32.613</v>
      </c>
      <c r="S46" s="14">
        <f t="shared" ca="1" si="12"/>
        <v>-34.743000000000002</v>
      </c>
      <c r="T46" s="14">
        <f t="shared" ca="1" si="12"/>
        <v>-36.765000000000001</v>
      </c>
      <c r="U46" s="14">
        <f t="shared" ca="1" si="12"/>
        <v>-38.677999999999997</v>
      </c>
      <c r="V46" s="14">
        <f t="shared" ref="G46:AL54" ca="1" si="13">$A46*H.Ar + $B46*H.Se + $C46*H.Ge + $D46*H.Ga</f>
        <v>-39.146000000000001</v>
      </c>
      <c r="W46" s="14">
        <f t="shared" ca="1" si="13"/>
        <v>-39.602000000000004</v>
      </c>
      <c r="X46" s="14">
        <f t="shared" ca="1" si="13"/>
        <v>-40.058</v>
      </c>
      <c r="Y46" s="14">
        <f t="shared" ca="1" si="13"/>
        <v>-40.513000000000005</v>
      </c>
      <c r="Z46" s="14">
        <f t="shared" ca="1" si="13"/>
        <v>-42.290999999999997</v>
      </c>
      <c r="AA46" s="14">
        <f t="shared" ca="1" si="13"/>
        <v>-44.015000000000001</v>
      </c>
      <c r="AB46" s="14">
        <f t="shared" ca="1" si="13"/>
        <v>0</v>
      </c>
      <c r="AC46" s="14">
        <f t="shared" ca="1" si="13"/>
        <v>0</v>
      </c>
      <c r="AD46" s="14">
        <f t="shared" ca="1" si="13"/>
        <v>0</v>
      </c>
      <c r="AE46" s="14">
        <f t="shared" ca="1" si="13"/>
        <v>0</v>
      </c>
      <c r="AF46" s="14">
        <f t="shared" ca="1" si="13"/>
        <v>0</v>
      </c>
      <c r="AG46" s="14">
        <f t="shared" ca="1" si="13"/>
        <v>0</v>
      </c>
      <c r="AH46" s="14">
        <f t="shared" ca="1" si="13"/>
        <v>0</v>
      </c>
      <c r="AI46" s="14">
        <f t="shared" ca="1" si="13"/>
        <v>0</v>
      </c>
      <c r="AJ46" s="14">
        <f t="shared" ca="1" si="13"/>
        <v>0</v>
      </c>
      <c r="AK46" s="14">
        <f t="shared" ca="1" si="13"/>
        <v>0</v>
      </c>
      <c r="AL46" s="14">
        <f t="shared" ca="1" si="13"/>
        <v>0</v>
      </c>
    </row>
    <row r="47" spans="1:54" ht="21" hidden="1" customHeight="1" outlineLevel="1" thickBot="1" x14ac:dyDescent="0.4">
      <c r="A47" s="5">
        <f t="shared" si="11"/>
        <v>0</v>
      </c>
      <c r="B47" s="5">
        <f t="shared" si="11"/>
        <v>1</v>
      </c>
      <c r="C47" s="5">
        <f t="shared" si="11"/>
        <v>0</v>
      </c>
      <c r="D47" s="5">
        <f t="shared" si="11"/>
        <v>0</v>
      </c>
      <c r="E47" s="6" t="str">
        <f t="shared" si="11"/>
        <v>*Se[m]</v>
      </c>
      <c r="F47" s="14">
        <f t="shared" ca="1" si="12"/>
        <v>-22.14</v>
      </c>
      <c r="G47" s="14">
        <f t="shared" ca="1" si="13"/>
        <v>-21.3</v>
      </c>
      <c r="H47" s="14">
        <f t="shared" ca="1" si="13"/>
        <v>-21.39</v>
      </c>
      <c r="I47" s="14">
        <f t="shared" ca="1" si="13"/>
        <v>-21.8</v>
      </c>
      <c r="J47" s="14">
        <f t="shared" ca="1" si="13"/>
        <v>-22.19</v>
      </c>
      <c r="K47" s="14">
        <f t="shared" ca="1" si="13"/>
        <v>-22.48</v>
      </c>
      <c r="L47" s="14">
        <f t="shared" ca="1" si="13"/>
        <v>-22.79</v>
      </c>
      <c r="M47" s="14">
        <f t="shared" ca="1" si="13"/>
        <v>-23.04</v>
      </c>
      <c r="N47" s="14">
        <f t="shared" ca="1" si="13"/>
        <v>-23.53</v>
      </c>
      <c r="O47" s="14">
        <f t="shared" ca="1" si="13"/>
        <v>-24.03</v>
      </c>
      <c r="P47" s="14">
        <f t="shared" ca="1" si="13"/>
        <v>-24.51</v>
      </c>
      <c r="Q47" s="14">
        <f t="shared" ca="1" si="13"/>
        <v>-24.99</v>
      </c>
      <c r="R47" s="14">
        <f t="shared" ca="1" si="13"/>
        <v>-25.47</v>
      </c>
      <c r="S47" s="14">
        <f t="shared" ca="1" si="13"/>
        <v>-27.28</v>
      </c>
      <c r="T47" s="14">
        <f t="shared" ca="1" si="13"/>
        <v>-29</v>
      </c>
      <c r="U47" s="14">
        <f t="shared" ca="1" si="13"/>
        <v>-30.63</v>
      </c>
      <c r="V47" s="14">
        <f t="shared" ca="1" si="13"/>
        <v>-31.03</v>
      </c>
      <c r="W47" s="14">
        <f t="shared" ca="1" si="13"/>
        <v>-31.42</v>
      </c>
      <c r="X47" s="14">
        <f t="shared" ca="1" si="13"/>
        <v>-31.81</v>
      </c>
      <c r="Y47" s="14">
        <f t="shared" ca="1" si="13"/>
        <v>-32.200000000000003</v>
      </c>
      <c r="Z47" s="14">
        <f t="shared" ca="1" si="13"/>
        <v>-33.729999999999997</v>
      </c>
      <c r="AA47" s="14">
        <f t="shared" ca="1" si="13"/>
        <v>-35.22</v>
      </c>
      <c r="AB47" s="14">
        <f t="shared" ca="1" si="13"/>
        <v>0</v>
      </c>
      <c r="AC47" s="14">
        <f t="shared" ca="1" si="13"/>
        <v>0</v>
      </c>
      <c r="AD47" s="14">
        <f t="shared" ca="1" si="13"/>
        <v>0</v>
      </c>
      <c r="AE47" s="14">
        <f t="shared" ca="1" si="13"/>
        <v>0</v>
      </c>
      <c r="AF47" s="14">
        <f t="shared" ca="1" si="13"/>
        <v>0</v>
      </c>
      <c r="AG47" s="14">
        <f t="shared" ca="1" si="13"/>
        <v>0</v>
      </c>
      <c r="AH47" s="14">
        <f t="shared" ca="1" si="13"/>
        <v>0</v>
      </c>
      <c r="AI47" s="14">
        <f t="shared" ca="1" si="13"/>
        <v>0</v>
      </c>
      <c r="AJ47" s="14">
        <f t="shared" ca="1" si="13"/>
        <v>0</v>
      </c>
      <c r="AK47" s="14">
        <f t="shared" ca="1" si="13"/>
        <v>0</v>
      </c>
      <c r="AL47" s="14">
        <f t="shared" ca="1" si="13"/>
        <v>0</v>
      </c>
    </row>
    <row r="48" spans="1:54" ht="21" hidden="1" customHeight="1" outlineLevel="1" thickBot="1" x14ac:dyDescent="0.4">
      <c r="A48" s="5">
        <f t="shared" si="11"/>
        <v>0</v>
      </c>
      <c r="B48" s="5">
        <f t="shared" si="11"/>
        <v>3</v>
      </c>
      <c r="C48" s="5">
        <f t="shared" si="11"/>
        <v>0</v>
      </c>
      <c r="D48" s="5">
        <f t="shared" si="11"/>
        <v>2</v>
      </c>
      <c r="E48" s="6" t="str">
        <f t="shared" si="11"/>
        <v>Ga2Se3</v>
      </c>
      <c r="F48" s="14">
        <f t="shared" ca="1" si="12"/>
        <v>-188</v>
      </c>
      <c r="G48" s="14">
        <f t="shared" ca="1" si="13"/>
        <v>-171.54000000000002</v>
      </c>
      <c r="H48" s="14">
        <f t="shared" ca="1" si="13"/>
        <v>-158.19</v>
      </c>
      <c r="I48" s="14">
        <f t="shared" ca="1" si="13"/>
        <v>-147.19999999999999</v>
      </c>
      <c r="J48" s="14">
        <f t="shared" ca="1" si="13"/>
        <v>-137.99</v>
      </c>
      <c r="K48" s="14">
        <f t="shared" ca="1" si="13"/>
        <v>-130.22</v>
      </c>
      <c r="L48" s="14">
        <f t="shared" ca="1" si="13"/>
        <v>-123.69</v>
      </c>
      <c r="M48" s="14">
        <f t="shared" ca="1" si="13"/>
        <v>-122.7</v>
      </c>
      <c r="N48" s="14">
        <f t="shared" ca="1" si="13"/>
        <v>-126.81</v>
      </c>
      <c r="O48" s="14">
        <f t="shared" ca="1" si="13"/>
        <v>-130.91</v>
      </c>
      <c r="P48" s="14">
        <f t="shared" ca="1" si="13"/>
        <v>-134.91</v>
      </c>
      <c r="Q48" s="14">
        <f t="shared" ca="1" si="13"/>
        <v>-138.85</v>
      </c>
      <c r="R48" s="14">
        <f t="shared" ca="1" si="13"/>
        <v>-142.72999999999999</v>
      </c>
      <c r="S48" s="14">
        <f t="shared" ca="1" si="13"/>
        <v>-157.18</v>
      </c>
      <c r="T48" s="14">
        <f t="shared" ca="1" si="13"/>
        <v>-169.86</v>
      </c>
      <c r="U48" s="14">
        <f t="shared" ca="1" si="13"/>
        <v>-180.55</v>
      </c>
      <c r="V48" s="14">
        <f t="shared" ca="1" si="13"/>
        <v>-182.89</v>
      </c>
      <c r="W48" s="14">
        <f t="shared" ca="1" si="13"/>
        <v>-185.10000000000002</v>
      </c>
      <c r="X48" s="14">
        <f t="shared" ca="1" si="13"/>
        <v>-187.14999999999998</v>
      </c>
      <c r="Y48" s="14">
        <f t="shared" ca="1" si="13"/>
        <v>-189.10000000000002</v>
      </c>
      <c r="Z48" s="14">
        <f t="shared" ca="1" si="13"/>
        <v>-195.41</v>
      </c>
      <c r="AA48" s="14">
        <f t="shared" ca="1" si="13"/>
        <v>-199.36</v>
      </c>
      <c r="AB48" s="14">
        <f t="shared" ca="1" si="13"/>
        <v>0</v>
      </c>
      <c r="AC48" s="14">
        <f t="shared" ca="1" si="13"/>
        <v>0</v>
      </c>
      <c r="AD48" s="14">
        <f t="shared" ca="1" si="13"/>
        <v>0</v>
      </c>
      <c r="AE48" s="14">
        <f t="shared" ca="1" si="13"/>
        <v>0</v>
      </c>
      <c r="AF48" s="14">
        <f t="shared" ca="1" si="13"/>
        <v>0</v>
      </c>
      <c r="AG48" s="14">
        <f t="shared" ca="1" si="13"/>
        <v>0</v>
      </c>
      <c r="AH48" s="14">
        <f t="shared" ca="1" si="13"/>
        <v>0</v>
      </c>
      <c r="AI48" s="14">
        <f t="shared" ca="1" si="13"/>
        <v>0</v>
      </c>
      <c r="AJ48" s="14">
        <f t="shared" ca="1" si="13"/>
        <v>0</v>
      </c>
      <c r="AK48" s="14">
        <f t="shared" ca="1" si="13"/>
        <v>0</v>
      </c>
      <c r="AL48" s="14">
        <f t="shared" ca="1" si="13"/>
        <v>0</v>
      </c>
    </row>
    <row r="49" spans="1:38" ht="21" hidden="1" customHeight="1" outlineLevel="1" thickBot="1" x14ac:dyDescent="0.4">
      <c r="A49" s="5">
        <f t="shared" si="11"/>
        <v>0</v>
      </c>
      <c r="B49" s="5">
        <f t="shared" si="11"/>
        <v>0</v>
      </c>
      <c r="C49" s="5">
        <f t="shared" si="11"/>
        <v>1</v>
      </c>
      <c r="D49" s="5">
        <f t="shared" si="11"/>
        <v>0</v>
      </c>
      <c r="E49" s="6" t="str">
        <f t="shared" si="11"/>
        <v>Ge</v>
      </c>
      <c r="F49" s="14">
        <f t="shared" ca="1" si="12"/>
        <v>-16</v>
      </c>
      <c r="G49" s="14">
        <f t="shared" ca="1" si="13"/>
        <v>-13.92</v>
      </c>
      <c r="H49" s="14">
        <f t="shared" ca="1" si="13"/>
        <v>-11.54</v>
      </c>
      <c r="I49" s="14">
        <f t="shared" ca="1" si="13"/>
        <v>-9.3460000000000001</v>
      </c>
      <c r="J49" s="14">
        <f t="shared" ca="1" si="13"/>
        <v>-7.6120000000000001</v>
      </c>
      <c r="K49" s="14">
        <f t="shared" ca="1" si="13"/>
        <v>-6.5529999999999999</v>
      </c>
      <c r="L49" s="14">
        <f t="shared" ca="1" si="13"/>
        <v>-6.1760000000000002</v>
      </c>
      <c r="M49" s="14">
        <f t="shared" ca="1" si="13"/>
        <v>-6.8330000000000002</v>
      </c>
      <c r="N49" s="14">
        <f t="shared" ca="1" si="13"/>
        <v>-6.843</v>
      </c>
      <c r="O49" s="14">
        <f t="shared" ca="1" si="13"/>
        <v>-6.9039999999999999</v>
      </c>
      <c r="P49" s="14">
        <f t="shared" ca="1" si="13"/>
        <v>-6.9809999999999999</v>
      </c>
      <c r="Q49" s="14">
        <f t="shared" ca="1" si="13"/>
        <v>-7.0620000000000003</v>
      </c>
      <c r="R49" s="14">
        <f t="shared" ca="1" si="13"/>
        <v>-7.1429999999999998</v>
      </c>
      <c r="S49" s="14">
        <f t="shared" ca="1" si="13"/>
        <v>-7.4630000000000001</v>
      </c>
      <c r="T49" s="14">
        <f t="shared" ca="1" si="13"/>
        <v>-7.7649999999999997</v>
      </c>
      <c r="U49" s="14">
        <f t="shared" ca="1" si="13"/>
        <v>-8.048</v>
      </c>
      <c r="V49" s="14">
        <f t="shared" ca="1" si="13"/>
        <v>-8.1159999999999997</v>
      </c>
      <c r="W49" s="14">
        <f t="shared" ca="1" si="13"/>
        <v>-8.1820000000000004</v>
      </c>
      <c r="X49" s="14">
        <f t="shared" ca="1" si="13"/>
        <v>-8.2479999999999993</v>
      </c>
      <c r="Y49" s="14">
        <f t="shared" ca="1" si="13"/>
        <v>-8.3130000000000006</v>
      </c>
      <c r="Z49" s="14">
        <f t="shared" ca="1" si="13"/>
        <v>-8.5609999999999999</v>
      </c>
      <c r="AA49" s="14">
        <f t="shared" ca="1" si="13"/>
        <v>-8.7949999999999999</v>
      </c>
      <c r="AB49" s="14">
        <f t="shared" ca="1" si="13"/>
        <v>0</v>
      </c>
      <c r="AC49" s="14">
        <f t="shared" ca="1" si="13"/>
        <v>0</v>
      </c>
      <c r="AD49" s="14">
        <f t="shared" ca="1" si="13"/>
        <v>0</v>
      </c>
      <c r="AE49" s="14">
        <f t="shared" ca="1" si="13"/>
        <v>0</v>
      </c>
      <c r="AF49" s="14">
        <f t="shared" ca="1" si="13"/>
        <v>0</v>
      </c>
      <c r="AG49" s="14">
        <f t="shared" ca="1" si="13"/>
        <v>0</v>
      </c>
      <c r="AH49" s="14">
        <f t="shared" ca="1" si="13"/>
        <v>0</v>
      </c>
      <c r="AI49" s="14">
        <f t="shared" ca="1" si="13"/>
        <v>0</v>
      </c>
      <c r="AJ49" s="14">
        <f t="shared" ca="1" si="13"/>
        <v>0</v>
      </c>
      <c r="AK49" s="14">
        <f t="shared" ca="1" si="13"/>
        <v>0</v>
      </c>
      <c r="AL49" s="14">
        <f t="shared" ca="1" si="13"/>
        <v>0</v>
      </c>
    </row>
    <row r="50" spans="1:38" ht="21" hidden="1" customHeight="1" outlineLevel="1" thickBot="1" x14ac:dyDescent="0.4">
      <c r="A50" s="5">
        <f t="shared" si="11"/>
        <v>1</v>
      </c>
      <c r="B50" s="5">
        <f t="shared" si="11"/>
        <v>0</v>
      </c>
      <c r="C50" s="5">
        <f t="shared" si="11"/>
        <v>0</v>
      </c>
      <c r="D50" s="5">
        <f t="shared" si="11"/>
        <v>0</v>
      </c>
      <c r="E50" s="6" t="str">
        <f t="shared" si="11"/>
        <v>Ar</v>
      </c>
      <c r="F50" s="14">
        <f t="shared" ca="1" si="12"/>
        <v>-18.88</v>
      </c>
      <c r="G50" s="14">
        <f t="shared" ca="1" si="13"/>
        <v>-18.87</v>
      </c>
      <c r="H50" s="14">
        <f t="shared" ca="1" si="13"/>
        <v>-18.899999999999999</v>
      </c>
      <c r="I50" s="14">
        <f t="shared" ca="1" si="13"/>
        <v>-18.940000000000001</v>
      </c>
      <c r="J50" s="14">
        <f t="shared" ca="1" si="13"/>
        <v>-18.989999999999998</v>
      </c>
      <c r="K50" s="14">
        <f t="shared" ca="1" si="13"/>
        <v>-19.04</v>
      </c>
      <c r="L50" s="14">
        <f t="shared" ca="1" si="13"/>
        <v>-19.07</v>
      </c>
      <c r="M50" s="14">
        <f t="shared" ca="1" si="13"/>
        <v>-18.96</v>
      </c>
      <c r="N50" s="14">
        <f t="shared" ca="1" si="13"/>
        <v>-19.03</v>
      </c>
      <c r="O50" s="14">
        <f t="shared" ca="1" si="13"/>
        <v>-19.100000000000001</v>
      </c>
      <c r="P50" s="14">
        <f t="shared" ca="1" si="13"/>
        <v>-19.170000000000002</v>
      </c>
      <c r="Q50" s="14">
        <f t="shared" ca="1" si="13"/>
        <v>-19.239999999999998</v>
      </c>
      <c r="R50" s="14">
        <f t="shared" ca="1" si="13"/>
        <v>-19.309999999999999</v>
      </c>
      <c r="S50" s="14">
        <f t="shared" ca="1" si="13"/>
        <v>-19.57</v>
      </c>
      <c r="T50" s="14">
        <f t="shared" ca="1" si="13"/>
        <v>-19.82</v>
      </c>
      <c r="U50" s="14">
        <f t="shared" ca="1" si="13"/>
        <v>-20.05</v>
      </c>
      <c r="V50" s="14">
        <f t="shared" ca="1" si="13"/>
        <v>-20.11</v>
      </c>
      <c r="W50" s="14">
        <f t="shared" ca="1" si="13"/>
        <v>-20.16</v>
      </c>
      <c r="X50" s="14">
        <f t="shared" ca="1" si="13"/>
        <v>-20.21</v>
      </c>
      <c r="Y50" s="14">
        <f t="shared" ca="1" si="13"/>
        <v>-20.260000000000002</v>
      </c>
      <c r="Z50" s="14">
        <f t="shared" ca="1" si="13"/>
        <v>-20.46</v>
      </c>
      <c r="AA50" s="14">
        <f t="shared" ca="1" si="13"/>
        <v>-20.65</v>
      </c>
      <c r="AB50" s="14">
        <f t="shared" ca="1" si="13"/>
        <v>0</v>
      </c>
      <c r="AC50" s="14">
        <f t="shared" ca="1" si="13"/>
        <v>0</v>
      </c>
      <c r="AD50" s="14">
        <f t="shared" ca="1" si="13"/>
        <v>0</v>
      </c>
      <c r="AE50" s="14">
        <f t="shared" ca="1" si="13"/>
        <v>0</v>
      </c>
      <c r="AF50" s="14">
        <f t="shared" ca="1" si="13"/>
        <v>0</v>
      </c>
      <c r="AG50" s="14">
        <f t="shared" ca="1" si="13"/>
        <v>0</v>
      </c>
      <c r="AH50" s="14">
        <f t="shared" ca="1" si="13"/>
        <v>0</v>
      </c>
      <c r="AI50" s="14">
        <f t="shared" ca="1" si="13"/>
        <v>0</v>
      </c>
      <c r="AJ50" s="14">
        <f t="shared" ca="1" si="13"/>
        <v>0</v>
      </c>
      <c r="AK50" s="14">
        <f t="shared" ca="1" si="13"/>
        <v>0</v>
      </c>
      <c r="AL50" s="14">
        <f t="shared" ca="1" si="13"/>
        <v>0</v>
      </c>
    </row>
    <row r="51" spans="1:38" ht="21" hidden="1" customHeight="1" outlineLevel="1" thickBot="1" x14ac:dyDescent="0.4">
      <c r="A51" s="5">
        <f t="shared" si="11"/>
        <v>0</v>
      </c>
      <c r="B51" s="5">
        <f t="shared" si="11"/>
        <v>2</v>
      </c>
      <c r="C51" s="5">
        <f t="shared" si="11"/>
        <v>1</v>
      </c>
      <c r="D51" s="5">
        <f t="shared" si="11"/>
        <v>0</v>
      </c>
      <c r="E51" s="6" t="str">
        <f t="shared" si="11"/>
        <v>(l)GeSe2</v>
      </c>
      <c r="F51" s="14">
        <f t="shared" ca="1" si="12"/>
        <v>-60.28</v>
      </c>
      <c r="G51" s="14">
        <f t="shared" ca="1" si="13"/>
        <v>-56.52</v>
      </c>
      <c r="H51" s="14">
        <f t="shared" ca="1" si="13"/>
        <v>-54.32</v>
      </c>
      <c r="I51" s="14">
        <f t="shared" ca="1" si="13"/>
        <v>-52.945999999999998</v>
      </c>
      <c r="J51" s="14">
        <f t="shared" ca="1" si="13"/>
        <v>-51.992000000000004</v>
      </c>
      <c r="K51" s="14">
        <f t="shared" ca="1" si="13"/>
        <v>-51.512999999999998</v>
      </c>
      <c r="L51" s="14">
        <f t="shared" ca="1" si="13"/>
        <v>-51.756</v>
      </c>
      <c r="M51" s="14">
        <f t="shared" ca="1" si="13"/>
        <v>-52.912999999999997</v>
      </c>
      <c r="N51" s="14">
        <f t="shared" ca="1" si="13"/>
        <v>-53.903000000000006</v>
      </c>
      <c r="O51" s="14">
        <f t="shared" ca="1" si="13"/>
        <v>-54.963999999999999</v>
      </c>
      <c r="P51" s="14">
        <f t="shared" ca="1" si="13"/>
        <v>-56.001000000000005</v>
      </c>
      <c r="Q51" s="14">
        <f t="shared" ca="1" si="13"/>
        <v>-57.041999999999994</v>
      </c>
      <c r="R51" s="14">
        <f t="shared" ca="1" si="13"/>
        <v>-58.082999999999998</v>
      </c>
      <c r="S51" s="14">
        <f t="shared" ca="1" si="13"/>
        <v>-62.023000000000003</v>
      </c>
      <c r="T51" s="14">
        <f t="shared" ca="1" si="13"/>
        <v>-65.765000000000001</v>
      </c>
      <c r="U51" s="14">
        <f t="shared" ca="1" si="13"/>
        <v>-69.307999999999993</v>
      </c>
      <c r="V51" s="14">
        <f t="shared" ca="1" si="13"/>
        <v>-70.176000000000002</v>
      </c>
      <c r="W51" s="14">
        <f t="shared" ca="1" si="13"/>
        <v>-71.022000000000006</v>
      </c>
      <c r="X51" s="14">
        <f t="shared" ca="1" si="13"/>
        <v>-71.867999999999995</v>
      </c>
      <c r="Y51" s="14">
        <f t="shared" ca="1" si="13"/>
        <v>-72.713000000000008</v>
      </c>
      <c r="Z51" s="14">
        <f t="shared" ca="1" si="13"/>
        <v>-76.020999999999987</v>
      </c>
      <c r="AA51" s="14">
        <f t="shared" ca="1" si="13"/>
        <v>-79.234999999999999</v>
      </c>
      <c r="AB51" s="14">
        <f t="shared" ca="1" si="13"/>
        <v>0</v>
      </c>
      <c r="AC51" s="14">
        <f t="shared" ca="1" si="13"/>
        <v>0</v>
      </c>
      <c r="AD51" s="14">
        <f t="shared" ca="1" si="13"/>
        <v>0</v>
      </c>
      <c r="AE51" s="14">
        <f t="shared" ca="1" si="13"/>
        <v>0</v>
      </c>
      <c r="AF51" s="14">
        <f t="shared" ca="1" si="13"/>
        <v>0</v>
      </c>
      <c r="AG51" s="14">
        <f t="shared" ca="1" si="13"/>
        <v>0</v>
      </c>
      <c r="AH51" s="14">
        <f t="shared" ca="1" si="13"/>
        <v>0</v>
      </c>
      <c r="AI51" s="14">
        <f t="shared" ca="1" si="13"/>
        <v>0</v>
      </c>
      <c r="AJ51" s="14">
        <f t="shared" ca="1" si="13"/>
        <v>0</v>
      </c>
      <c r="AK51" s="14">
        <f t="shared" ca="1" si="13"/>
        <v>0</v>
      </c>
      <c r="AL51" s="14">
        <f t="shared" ca="1" si="13"/>
        <v>0</v>
      </c>
    </row>
    <row r="52" spans="1:38" ht="21" hidden="1" customHeight="1" outlineLevel="1" thickBot="1" x14ac:dyDescent="0.4">
      <c r="A52" s="5">
        <f t="shared" si="11"/>
        <v>0</v>
      </c>
      <c r="B52" s="5">
        <f t="shared" si="11"/>
        <v>1</v>
      </c>
      <c r="C52" s="5">
        <f t="shared" si="11"/>
        <v>1</v>
      </c>
      <c r="D52" s="5">
        <f t="shared" si="11"/>
        <v>0</v>
      </c>
      <c r="E52" s="6" t="str">
        <f t="shared" si="11"/>
        <v>(l)GeSe</v>
      </c>
      <c r="F52" s="14">
        <f t="shared" ca="1" si="12"/>
        <v>-38.14</v>
      </c>
      <c r="G52" s="14">
        <f t="shared" ca="1" si="13"/>
        <v>-35.22</v>
      </c>
      <c r="H52" s="14">
        <f t="shared" ca="1" si="13"/>
        <v>-32.93</v>
      </c>
      <c r="I52" s="14">
        <f t="shared" ca="1" si="13"/>
        <v>-31.146000000000001</v>
      </c>
      <c r="J52" s="14">
        <f t="shared" ca="1" si="13"/>
        <v>-29.802</v>
      </c>
      <c r="K52" s="14">
        <f t="shared" ca="1" si="13"/>
        <v>-29.033000000000001</v>
      </c>
      <c r="L52" s="14">
        <f t="shared" ca="1" si="13"/>
        <v>-28.966000000000001</v>
      </c>
      <c r="M52" s="14">
        <f t="shared" ca="1" si="13"/>
        <v>-29.872999999999998</v>
      </c>
      <c r="N52" s="14">
        <f t="shared" ca="1" si="13"/>
        <v>-30.373000000000001</v>
      </c>
      <c r="O52" s="14">
        <f t="shared" ca="1" si="13"/>
        <v>-30.934000000000001</v>
      </c>
      <c r="P52" s="14">
        <f t="shared" ca="1" si="13"/>
        <v>-31.491</v>
      </c>
      <c r="Q52" s="14">
        <f t="shared" ca="1" si="13"/>
        <v>-32.052</v>
      </c>
      <c r="R52" s="14">
        <f t="shared" ca="1" si="13"/>
        <v>-32.613</v>
      </c>
      <c r="S52" s="14">
        <f t="shared" ca="1" si="13"/>
        <v>-34.743000000000002</v>
      </c>
      <c r="T52" s="14">
        <f t="shared" ca="1" si="13"/>
        <v>-36.765000000000001</v>
      </c>
      <c r="U52" s="14">
        <f t="shared" ca="1" si="13"/>
        <v>-38.677999999999997</v>
      </c>
      <c r="V52" s="14">
        <f t="shared" ca="1" si="13"/>
        <v>-39.146000000000001</v>
      </c>
      <c r="W52" s="14">
        <f t="shared" ca="1" si="13"/>
        <v>-39.602000000000004</v>
      </c>
      <c r="X52" s="14">
        <f t="shared" ca="1" si="13"/>
        <v>-40.058</v>
      </c>
      <c r="Y52" s="14">
        <f t="shared" ca="1" si="13"/>
        <v>-40.513000000000005</v>
      </c>
      <c r="Z52" s="14">
        <f t="shared" ca="1" si="13"/>
        <v>-42.290999999999997</v>
      </c>
      <c r="AA52" s="14">
        <f t="shared" ca="1" si="13"/>
        <v>-44.015000000000001</v>
      </c>
      <c r="AB52" s="14">
        <f t="shared" ca="1" si="13"/>
        <v>0</v>
      </c>
      <c r="AC52" s="14">
        <f t="shared" ca="1" si="13"/>
        <v>0</v>
      </c>
      <c r="AD52" s="14">
        <f t="shared" ca="1" si="13"/>
        <v>0</v>
      </c>
      <c r="AE52" s="14">
        <f t="shared" ca="1" si="13"/>
        <v>0</v>
      </c>
      <c r="AF52" s="14">
        <f t="shared" ca="1" si="13"/>
        <v>0</v>
      </c>
      <c r="AG52" s="14">
        <f t="shared" ca="1" si="13"/>
        <v>0</v>
      </c>
      <c r="AH52" s="14">
        <f t="shared" ca="1" si="13"/>
        <v>0</v>
      </c>
      <c r="AI52" s="14">
        <f t="shared" ca="1" si="13"/>
        <v>0</v>
      </c>
      <c r="AJ52" s="14">
        <f t="shared" ca="1" si="13"/>
        <v>0</v>
      </c>
      <c r="AK52" s="14">
        <f t="shared" ca="1" si="13"/>
        <v>0</v>
      </c>
      <c r="AL52" s="14">
        <f t="shared" ca="1" si="13"/>
        <v>0</v>
      </c>
    </row>
    <row r="53" spans="1:38" ht="21" hidden="1" customHeight="1" outlineLevel="1" thickBot="1" x14ac:dyDescent="0.4">
      <c r="A53" s="5">
        <f t="shared" si="11"/>
        <v>0</v>
      </c>
      <c r="B53" s="5">
        <f t="shared" si="11"/>
        <v>3</v>
      </c>
      <c r="C53" s="5">
        <f t="shared" si="11"/>
        <v>0</v>
      </c>
      <c r="D53" s="5">
        <f t="shared" si="11"/>
        <v>2</v>
      </c>
      <c r="E53" s="6" t="str">
        <f t="shared" si="11"/>
        <v>(l)Ga2Se3</v>
      </c>
      <c r="F53" s="14">
        <f t="shared" ca="1" si="12"/>
        <v>-188</v>
      </c>
      <c r="G53" s="14">
        <f t="shared" ca="1" si="13"/>
        <v>-171.54000000000002</v>
      </c>
      <c r="H53" s="14">
        <f t="shared" ca="1" si="13"/>
        <v>-158.19</v>
      </c>
      <c r="I53" s="14">
        <f t="shared" ca="1" si="13"/>
        <v>-147.19999999999999</v>
      </c>
      <c r="J53" s="14">
        <f t="shared" ca="1" si="13"/>
        <v>-137.99</v>
      </c>
      <c r="K53" s="14">
        <f t="shared" ca="1" si="13"/>
        <v>-130.22</v>
      </c>
      <c r="L53" s="14">
        <f t="shared" ca="1" si="13"/>
        <v>-123.69</v>
      </c>
      <c r="M53" s="14">
        <f t="shared" ca="1" si="13"/>
        <v>-122.7</v>
      </c>
      <c r="N53" s="14">
        <f t="shared" ca="1" si="13"/>
        <v>-126.81</v>
      </c>
      <c r="O53" s="14">
        <f t="shared" ca="1" si="13"/>
        <v>-130.91</v>
      </c>
      <c r="P53" s="14">
        <f t="shared" ca="1" si="13"/>
        <v>-134.91</v>
      </c>
      <c r="Q53" s="14">
        <f t="shared" ca="1" si="13"/>
        <v>-138.85</v>
      </c>
      <c r="R53" s="14">
        <f t="shared" ca="1" si="13"/>
        <v>-142.72999999999999</v>
      </c>
      <c r="S53" s="14">
        <f t="shared" ca="1" si="13"/>
        <v>-157.18</v>
      </c>
      <c r="T53" s="14">
        <f t="shared" ca="1" si="13"/>
        <v>-169.86</v>
      </c>
      <c r="U53" s="14">
        <f t="shared" ca="1" si="13"/>
        <v>-180.55</v>
      </c>
      <c r="V53" s="14">
        <f t="shared" ca="1" si="13"/>
        <v>-182.89</v>
      </c>
      <c r="W53" s="14">
        <f t="shared" ca="1" si="13"/>
        <v>-185.10000000000002</v>
      </c>
      <c r="X53" s="14">
        <f t="shared" ca="1" si="13"/>
        <v>-187.14999999999998</v>
      </c>
      <c r="Y53" s="14">
        <f t="shared" ca="1" si="13"/>
        <v>-189.10000000000002</v>
      </c>
      <c r="Z53" s="14">
        <f t="shared" ca="1" si="13"/>
        <v>-195.41</v>
      </c>
      <c r="AA53" s="14">
        <f t="shared" ca="1" si="13"/>
        <v>-199.36</v>
      </c>
      <c r="AB53" s="14">
        <f t="shared" ca="1" si="13"/>
        <v>0</v>
      </c>
      <c r="AC53" s="14">
        <f t="shared" ca="1" si="13"/>
        <v>0</v>
      </c>
      <c r="AD53" s="14">
        <f t="shared" ca="1" si="13"/>
        <v>0</v>
      </c>
      <c r="AE53" s="14">
        <f t="shared" ca="1" si="13"/>
        <v>0</v>
      </c>
      <c r="AF53" s="14">
        <f t="shared" ca="1" si="13"/>
        <v>0</v>
      </c>
      <c r="AG53" s="14">
        <f t="shared" ca="1" si="13"/>
        <v>0</v>
      </c>
      <c r="AH53" s="14">
        <f t="shared" ca="1" si="13"/>
        <v>0</v>
      </c>
      <c r="AI53" s="14">
        <f t="shared" ca="1" si="13"/>
        <v>0</v>
      </c>
      <c r="AJ53" s="14">
        <f t="shared" ca="1" si="13"/>
        <v>0</v>
      </c>
      <c r="AK53" s="14">
        <f t="shared" ca="1" si="13"/>
        <v>0</v>
      </c>
      <c r="AL53" s="14">
        <f t="shared" ca="1" si="13"/>
        <v>0</v>
      </c>
    </row>
    <row r="54" spans="1:38" ht="21" hidden="1" customHeight="1" outlineLevel="1" thickBot="1" x14ac:dyDescent="0.4">
      <c r="A54" s="5">
        <f t="shared" si="11"/>
        <v>0</v>
      </c>
      <c r="B54" s="5">
        <f t="shared" si="11"/>
        <v>0</v>
      </c>
      <c r="C54" s="5">
        <f t="shared" si="11"/>
        <v>1</v>
      </c>
      <c r="D54" s="5">
        <f t="shared" si="11"/>
        <v>0</v>
      </c>
      <c r="E54" s="6" t="str">
        <f t="shared" si="11"/>
        <v>(l)Ge</v>
      </c>
      <c r="F54" s="14">
        <f t="shared" ca="1" si="12"/>
        <v>-16</v>
      </c>
      <c r="G54" s="14">
        <f t="shared" ca="1" si="13"/>
        <v>-13.92</v>
      </c>
      <c r="H54" s="14">
        <f t="shared" ca="1" si="13"/>
        <v>-11.54</v>
      </c>
      <c r="I54" s="14">
        <f t="shared" ca="1" si="13"/>
        <v>-9.3460000000000001</v>
      </c>
      <c r="J54" s="14">
        <f t="shared" ca="1" si="13"/>
        <v>-7.6120000000000001</v>
      </c>
      <c r="K54" s="14">
        <f t="shared" ca="1" si="13"/>
        <v>-6.5529999999999999</v>
      </c>
      <c r="L54" s="14">
        <f t="shared" ca="1" si="13"/>
        <v>-6.1760000000000002</v>
      </c>
      <c r="M54" s="14">
        <f t="shared" ca="1" si="13"/>
        <v>-6.8330000000000002</v>
      </c>
      <c r="N54" s="14">
        <f t="shared" ca="1" si="13"/>
        <v>-6.843</v>
      </c>
      <c r="O54" s="14">
        <f t="shared" ca="1" si="13"/>
        <v>-6.9039999999999999</v>
      </c>
      <c r="P54" s="14">
        <f t="shared" ca="1" si="13"/>
        <v>-6.9809999999999999</v>
      </c>
      <c r="Q54" s="14">
        <f t="shared" ca="1" si="13"/>
        <v>-7.0620000000000003</v>
      </c>
      <c r="R54" s="14">
        <f t="shared" ca="1" si="13"/>
        <v>-7.1429999999999998</v>
      </c>
      <c r="S54" s="14">
        <f t="shared" ca="1" si="13"/>
        <v>-7.4630000000000001</v>
      </c>
      <c r="T54" s="14">
        <f t="shared" ca="1" si="13"/>
        <v>-7.7649999999999997</v>
      </c>
      <c r="U54" s="14">
        <f t="shared" ref="G54:AL62" ca="1" si="14">$A54*H.Ar + $B54*H.Se + $C54*H.Ge + $D54*H.Ga</f>
        <v>-8.048</v>
      </c>
      <c r="V54" s="14">
        <f t="shared" ca="1" si="14"/>
        <v>-8.1159999999999997</v>
      </c>
      <c r="W54" s="14">
        <f t="shared" ca="1" si="14"/>
        <v>-8.1820000000000004</v>
      </c>
      <c r="X54" s="14">
        <f t="shared" ca="1" si="14"/>
        <v>-8.2479999999999993</v>
      </c>
      <c r="Y54" s="14">
        <f t="shared" ca="1" si="14"/>
        <v>-8.3130000000000006</v>
      </c>
      <c r="Z54" s="14">
        <f t="shared" ca="1" si="14"/>
        <v>-8.5609999999999999</v>
      </c>
      <c r="AA54" s="14">
        <f t="shared" ca="1" si="14"/>
        <v>-8.7949999999999999</v>
      </c>
      <c r="AB54" s="14">
        <f t="shared" ca="1" si="14"/>
        <v>0</v>
      </c>
      <c r="AC54" s="14">
        <f t="shared" ca="1" si="14"/>
        <v>0</v>
      </c>
      <c r="AD54" s="14">
        <f t="shared" ca="1" si="14"/>
        <v>0</v>
      </c>
      <c r="AE54" s="14">
        <f t="shared" ca="1" si="14"/>
        <v>0</v>
      </c>
      <c r="AF54" s="14">
        <f t="shared" ca="1" si="14"/>
        <v>0</v>
      </c>
      <c r="AG54" s="14">
        <f t="shared" ca="1" si="14"/>
        <v>0</v>
      </c>
      <c r="AH54" s="14">
        <f t="shared" ca="1" si="14"/>
        <v>0</v>
      </c>
      <c r="AI54" s="14">
        <f t="shared" ca="1" si="14"/>
        <v>0</v>
      </c>
      <c r="AJ54" s="14">
        <f t="shared" ca="1" si="14"/>
        <v>0</v>
      </c>
      <c r="AK54" s="14">
        <f t="shared" ca="1" si="14"/>
        <v>0</v>
      </c>
      <c r="AL54" s="14">
        <f t="shared" ca="1" si="14"/>
        <v>0</v>
      </c>
    </row>
    <row r="55" spans="1:38" ht="21" hidden="1" customHeight="1" outlineLevel="1" thickBot="1" x14ac:dyDescent="0.4">
      <c r="A55" s="5">
        <f t="shared" si="11"/>
        <v>0</v>
      </c>
      <c r="B55" s="5">
        <f t="shared" si="11"/>
        <v>0</v>
      </c>
      <c r="C55" s="5">
        <f t="shared" si="11"/>
        <v>0</v>
      </c>
      <c r="D55" s="5">
        <f t="shared" si="11"/>
        <v>1</v>
      </c>
      <c r="E55" s="6" t="str">
        <f t="shared" si="11"/>
        <v>(l)Ga</v>
      </c>
      <c r="F55" s="14">
        <f t="shared" ca="1" si="12"/>
        <v>-60.79</v>
      </c>
      <c r="G55" s="14">
        <f t="shared" ca="1" si="14"/>
        <v>-53.82</v>
      </c>
      <c r="H55" s="14">
        <f t="shared" ca="1" si="14"/>
        <v>-47.01</v>
      </c>
      <c r="I55" s="14">
        <f t="shared" ca="1" si="14"/>
        <v>-40.9</v>
      </c>
      <c r="J55" s="14">
        <f t="shared" ca="1" si="14"/>
        <v>-35.71</v>
      </c>
      <c r="K55" s="14">
        <f t="shared" ca="1" si="14"/>
        <v>-31.39</v>
      </c>
      <c r="L55" s="14">
        <f t="shared" ca="1" si="14"/>
        <v>-27.66</v>
      </c>
      <c r="M55" s="14">
        <f t="shared" ca="1" si="14"/>
        <v>-26.79</v>
      </c>
      <c r="N55" s="14">
        <f t="shared" ca="1" si="14"/>
        <v>-28.11</v>
      </c>
      <c r="O55" s="14">
        <f t="shared" ca="1" si="14"/>
        <v>-29.41</v>
      </c>
      <c r="P55" s="14">
        <f t="shared" ca="1" si="14"/>
        <v>-30.69</v>
      </c>
      <c r="Q55" s="14">
        <f t="shared" ca="1" si="14"/>
        <v>-31.94</v>
      </c>
      <c r="R55" s="14">
        <f t="shared" ca="1" si="14"/>
        <v>-33.159999999999997</v>
      </c>
      <c r="S55" s="14">
        <f t="shared" ca="1" si="14"/>
        <v>-37.67</v>
      </c>
      <c r="T55" s="14">
        <f t="shared" ca="1" si="14"/>
        <v>-41.43</v>
      </c>
      <c r="U55" s="14">
        <f t="shared" ca="1" si="14"/>
        <v>-44.33</v>
      </c>
      <c r="V55" s="14">
        <f t="shared" ca="1" si="14"/>
        <v>-44.9</v>
      </c>
      <c r="W55" s="14">
        <f t="shared" ca="1" si="14"/>
        <v>-45.42</v>
      </c>
      <c r="X55" s="14">
        <f t="shared" ca="1" si="14"/>
        <v>-45.86</v>
      </c>
      <c r="Y55" s="14">
        <f t="shared" ca="1" si="14"/>
        <v>-46.25</v>
      </c>
      <c r="Z55" s="14">
        <f t="shared" ca="1" si="14"/>
        <v>-47.11</v>
      </c>
      <c r="AA55" s="14">
        <f t="shared" ca="1" si="14"/>
        <v>-46.85</v>
      </c>
      <c r="AB55" s="14">
        <f t="shared" ca="1" si="14"/>
        <v>0</v>
      </c>
      <c r="AC55" s="14">
        <f t="shared" ca="1" si="14"/>
        <v>0</v>
      </c>
      <c r="AD55" s="14">
        <f t="shared" ca="1" si="14"/>
        <v>0</v>
      </c>
      <c r="AE55" s="14">
        <f t="shared" ca="1" si="14"/>
        <v>0</v>
      </c>
      <c r="AF55" s="14">
        <f t="shared" ca="1" si="14"/>
        <v>0</v>
      </c>
      <c r="AG55" s="14">
        <f t="shared" ca="1" si="14"/>
        <v>0</v>
      </c>
      <c r="AH55" s="14">
        <f t="shared" ca="1" si="14"/>
        <v>0</v>
      </c>
      <c r="AI55" s="14">
        <f t="shared" ca="1" si="14"/>
        <v>0</v>
      </c>
      <c r="AJ55" s="14">
        <f t="shared" ca="1" si="14"/>
        <v>0</v>
      </c>
      <c r="AK55" s="14">
        <f t="shared" ca="1" si="14"/>
        <v>0</v>
      </c>
      <c r="AL55" s="14">
        <f t="shared" ca="1" si="14"/>
        <v>0</v>
      </c>
    </row>
    <row r="56" spans="1:38" ht="21" hidden="1" customHeight="1" outlineLevel="1" thickBot="1" x14ac:dyDescent="0.4">
      <c r="A56" s="5">
        <f t="shared" ref="A56:E65" si="15">A14</f>
        <v>0</v>
      </c>
      <c r="B56" s="5">
        <f t="shared" si="15"/>
        <v>1</v>
      </c>
      <c r="C56" s="5">
        <f t="shared" si="15"/>
        <v>0</v>
      </c>
      <c r="D56" s="5">
        <f t="shared" si="15"/>
        <v>0</v>
      </c>
      <c r="E56" s="6" t="str">
        <f t="shared" si="15"/>
        <v>(l)Se</v>
      </c>
      <c r="F56" s="14">
        <f t="shared" ref="F56:U65" ca="1" si="16">$A56*H.Ar + $B56*H.Se + $C56*H.Ge + $D56*H.Ga</f>
        <v>-22.14</v>
      </c>
      <c r="G56" s="14">
        <f t="shared" ca="1" si="16"/>
        <v>-21.3</v>
      </c>
      <c r="H56" s="14">
        <f t="shared" ca="1" si="16"/>
        <v>-21.39</v>
      </c>
      <c r="I56" s="14">
        <f t="shared" ca="1" si="16"/>
        <v>-21.8</v>
      </c>
      <c r="J56" s="14">
        <f t="shared" ca="1" si="16"/>
        <v>-22.19</v>
      </c>
      <c r="K56" s="14">
        <f t="shared" ca="1" si="16"/>
        <v>-22.48</v>
      </c>
      <c r="L56" s="14">
        <f t="shared" ca="1" si="16"/>
        <v>-22.79</v>
      </c>
      <c r="M56" s="14">
        <f t="shared" ca="1" si="16"/>
        <v>-23.04</v>
      </c>
      <c r="N56" s="14">
        <f t="shared" ca="1" si="16"/>
        <v>-23.53</v>
      </c>
      <c r="O56" s="14">
        <f t="shared" ca="1" si="16"/>
        <v>-24.03</v>
      </c>
      <c r="P56" s="14">
        <f t="shared" ca="1" si="16"/>
        <v>-24.51</v>
      </c>
      <c r="Q56" s="14">
        <f t="shared" ca="1" si="16"/>
        <v>-24.99</v>
      </c>
      <c r="R56" s="14">
        <f t="shared" ca="1" si="16"/>
        <v>-25.47</v>
      </c>
      <c r="S56" s="14">
        <f t="shared" ca="1" si="16"/>
        <v>-27.28</v>
      </c>
      <c r="T56" s="14">
        <f t="shared" ca="1" si="16"/>
        <v>-29</v>
      </c>
      <c r="U56" s="14">
        <f t="shared" ca="1" si="16"/>
        <v>-30.63</v>
      </c>
      <c r="V56" s="14">
        <f t="shared" ca="1" si="14"/>
        <v>-31.03</v>
      </c>
      <c r="W56" s="14">
        <f t="shared" ca="1" si="14"/>
        <v>-31.42</v>
      </c>
      <c r="X56" s="14">
        <f t="shared" ca="1" si="14"/>
        <v>-31.81</v>
      </c>
      <c r="Y56" s="14">
        <f t="shared" ca="1" si="14"/>
        <v>-32.200000000000003</v>
      </c>
      <c r="Z56" s="14">
        <f t="shared" ca="1" si="14"/>
        <v>-33.729999999999997</v>
      </c>
      <c r="AA56" s="14">
        <f t="shared" ca="1" si="14"/>
        <v>-35.22</v>
      </c>
      <c r="AB56" s="14">
        <f t="shared" ca="1" si="14"/>
        <v>0</v>
      </c>
      <c r="AC56" s="14">
        <f t="shared" ca="1" si="14"/>
        <v>0</v>
      </c>
      <c r="AD56" s="14">
        <f t="shared" ca="1" si="14"/>
        <v>0</v>
      </c>
      <c r="AE56" s="14">
        <f t="shared" ca="1" si="14"/>
        <v>0</v>
      </c>
      <c r="AF56" s="14">
        <f t="shared" ca="1" si="14"/>
        <v>0</v>
      </c>
      <c r="AG56" s="14">
        <f t="shared" ca="1" si="14"/>
        <v>0</v>
      </c>
      <c r="AH56" s="14">
        <f t="shared" ca="1" si="14"/>
        <v>0</v>
      </c>
      <c r="AI56" s="14">
        <f t="shared" ca="1" si="14"/>
        <v>0</v>
      </c>
      <c r="AJ56" s="14">
        <f t="shared" ca="1" si="14"/>
        <v>0</v>
      </c>
      <c r="AK56" s="14">
        <f t="shared" ca="1" si="14"/>
        <v>0</v>
      </c>
      <c r="AL56" s="14">
        <f t="shared" ca="1" si="14"/>
        <v>0</v>
      </c>
    </row>
    <row r="57" spans="1:38" ht="21" hidden="1" customHeight="1" outlineLevel="1" thickBot="1" x14ac:dyDescent="0.4">
      <c r="A57" s="5">
        <f t="shared" si="15"/>
        <v>0</v>
      </c>
      <c r="B57" s="5">
        <f t="shared" si="15"/>
        <v>1</v>
      </c>
      <c r="C57" s="5">
        <f t="shared" si="15"/>
        <v>0</v>
      </c>
      <c r="D57" s="5">
        <f t="shared" si="15"/>
        <v>0</v>
      </c>
      <c r="E57" s="6" t="str">
        <f t="shared" si="15"/>
        <v>(l)Se[a]</v>
      </c>
      <c r="F57" s="14">
        <f t="shared" ca="1" si="16"/>
        <v>-22.14</v>
      </c>
      <c r="G57" s="14">
        <f t="shared" ca="1" si="14"/>
        <v>-21.3</v>
      </c>
      <c r="H57" s="14">
        <f t="shared" ca="1" si="14"/>
        <v>-21.39</v>
      </c>
      <c r="I57" s="14">
        <f t="shared" ca="1" si="14"/>
        <v>-21.8</v>
      </c>
      <c r="J57" s="14">
        <f t="shared" ca="1" si="14"/>
        <v>-22.19</v>
      </c>
      <c r="K57" s="14">
        <f t="shared" ca="1" si="14"/>
        <v>-22.48</v>
      </c>
      <c r="L57" s="14">
        <f t="shared" ca="1" si="14"/>
        <v>-22.79</v>
      </c>
      <c r="M57" s="14">
        <f t="shared" ca="1" si="14"/>
        <v>-23.04</v>
      </c>
      <c r="N57" s="14">
        <f t="shared" ca="1" si="14"/>
        <v>-23.53</v>
      </c>
      <c r="O57" s="14">
        <f t="shared" ca="1" si="14"/>
        <v>-24.03</v>
      </c>
      <c r="P57" s="14">
        <f t="shared" ca="1" si="14"/>
        <v>-24.51</v>
      </c>
      <c r="Q57" s="14">
        <f t="shared" ca="1" si="14"/>
        <v>-24.99</v>
      </c>
      <c r="R57" s="14">
        <f t="shared" ca="1" si="14"/>
        <v>-25.47</v>
      </c>
      <c r="S57" s="14">
        <f t="shared" ca="1" si="14"/>
        <v>-27.28</v>
      </c>
      <c r="T57" s="14">
        <f t="shared" ca="1" si="14"/>
        <v>-29</v>
      </c>
      <c r="U57" s="14">
        <f t="shared" ca="1" si="14"/>
        <v>-30.63</v>
      </c>
      <c r="V57" s="14">
        <f t="shared" ca="1" si="14"/>
        <v>-31.03</v>
      </c>
      <c r="W57" s="14">
        <f t="shared" ca="1" si="14"/>
        <v>-31.42</v>
      </c>
      <c r="X57" s="14">
        <f t="shared" ca="1" si="14"/>
        <v>-31.81</v>
      </c>
      <c r="Y57" s="14">
        <f t="shared" ca="1" si="14"/>
        <v>-32.200000000000003</v>
      </c>
      <c r="Z57" s="14">
        <f t="shared" ca="1" si="14"/>
        <v>-33.729999999999997</v>
      </c>
      <c r="AA57" s="14">
        <f t="shared" ca="1" si="14"/>
        <v>-35.22</v>
      </c>
      <c r="AB57" s="14">
        <f t="shared" ca="1" si="14"/>
        <v>0</v>
      </c>
      <c r="AC57" s="14">
        <f t="shared" ca="1" si="14"/>
        <v>0</v>
      </c>
      <c r="AD57" s="14">
        <f t="shared" ca="1" si="14"/>
        <v>0</v>
      </c>
      <c r="AE57" s="14">
        <f t="shared" ca="1" si="14"/>
        <v>0</v>
      </c>
      <c r="AF57" s="14">
        <f t="shared" ca="1" si="14"/>
        <v>0</v>
      </c>
      <c r="AG57" s="14">
        <f t="shared" ca="1" si="14"/>
        <v>0</v>
      </c>
      <c r="AH57" s="14">
        <f t="shared" ca="1" si="14"/>
        <v>0</v>
      </c>
      <c r="AI57" s="14">
        <f t="shared" ca="1" si="14"/>
        <v>0</v>
      </c>
      <c r="AJ57" s="14">
        <f t="shared" ca="1" si="14"/>
        <v>0</v>
      </c>
      <c r="AK57" s="14">
        <f t="shared" ca="1" si="14"/>
        <v>0</v>
      </c>
      <c r="AL57" s="14">
        <f t="shared" ca="1" si="14"/>
        <v>0</v>
      </c>
    </row>
    <row r="58" spans="1:38" ht="21" hidden="1" customHeight="1" outlineLevel="1" thickBot="1" x14ac:dyDescent="0.4">
      <c r="A58" s="5">
        <f t="shared" si="15"/>
        <v>0</v>
      </c>
      <c r="B58" s="5">
        <f t="shared" si="15"/>
        <v>1</v>
      </c>
      <c r="C58" s="5">
        <f t="shared" si="15"/>
        <v>0</v>
      </c>
      <c r="D58" s="5">
        <f t="shared" si="15"/>
        <v>0</v>
      </c>
      <c r="E58" s="6" t="str">
        <f t="shared" si="15"/>
        <v>(l)Se[m]</v>
      </c>
      <c r="F58" s="14">
        <f t="shared" ca="1" si="16"/>
        <v>-22.14</v>
      </c>
      <c r="G58" s="14">
        <f t="shared" ca="1" si="14"/>
        <v>-21.3</v>
      </c>
      <c r="H58" s="14">
        <f t="shared" ca="1" si="14"/>
        <v>-21.39</v>
      </c>
      <c r="I58" s="14">
        <f t="shared" ca="1" si="14"/>
        <v>-21.8</v>
      </c>
      <c r="J58" s="14">
        <f t="shared" ca="1" si="14"/>
        <v>-22.19</v>
      </c>
      <c r="K58" s="14">
        <f t="shared" ca="1" si="14"/>
        <v>-22.48</v>
      </c>
      <c r="L58" s="14">
        <f t="shared" ca="1" si="14"/>
        <v>-22.79</v>
      </c>
      <c r="M58" s="14">
        <f t="shared" ca="1" si="14"/>
        <v>-23.04</v>
      </c>
      <c r="N58" s="14">
        <f t="shared" ca="1" si="14"/>
        <v>-23.53</v>
      </c>
      <c r="O58" s="14">
        <f t="shared" ca="1" si="14"/>
        <v>-24.03</v>
      </c>
      <c r="P58" s="14">
        <f t="shared" ca="1" si="14"/>
        <v>-24.51</v>
      </c>
      <c r="Q58" s="14">
        <f t="shared" ca="1" si="14"/>
        <v>-24.99</v>
      </c>
      <c r="R58" s="14">
        <f t="shared" ca="1" si="14"/>
        <v>-25.47</v>
      </c>
      <c r="S58" s="14">
        <f t="shared" ca="1" si="14"/>
        <v>-27.28</v>
      </c>
      <c r="T58" s="14">
        <f t="shared" ca="1" si="14"/>
        <v>-29</v>
      </c>
      <c r="U58" s="14">
        <f t="shared" ca="1" si="14"/>
        <v>-30.63</v>
      </c>
      <c r="V58" s="14">
        <f t="shared" ca="1" si="14"/>
        <v>-31.03</v>
      </c>
      <c r="W58" s="14">
        <f t="shared" ca="1" si="14"/>
        <v>-31.42</v>
      </c>
      <c r="X58" s="14">
        <f t="shared" ca="1" si="14"/>
        <v>-31.81</v>
      </c>
      <c r="Y58" s="14">
        <f t="shared" ca="1" si="14"/>
        <v>-32.200000000000003</v>
      </c>
      <c r="Z58" s="14">
        <f t="shared" ca="1" si="14"/>
        <v>-33.729999999999997</v>
      </c>
      <c r="AA58" s="14">
        <f t="shared" ca="1" si="14"/>
        <v>-35.22</v>
      </c>
      <c r="AB58" s="14">
        <f t="shared" ca="1" si="14"/>
        <v>0</v>
      </c>
      <c r="AC58" s="14">
        <f t="shared" ca="1" si="14"/>
        <v>0</v>
      </c>
      <c r="AD58" s="14">
        <f t="shared" ca="1" si="14"/>
        <v>0</v>
      </c>
      <c r="AE58" s="14">
        <f t="shared" ca="1" si="14"/>
        <v>0</v>
      </c>
      <c r="AF58" s="14">
        <f t="shared" ca="1" si="14"/>
        <v>0</v>
      </c>
      <c r="AG58" s="14">
        <f t="shared" ca="1" si="14"/>
        <v>0</v>
      </c>
      <c r="AH58" s="14">
        <f t="shared" ca="1" si="14"/>
        <v>0</v>
      </c>
      <c r="AI58" s="14">
        <f t="shared" ca="1" si="14"/>
        <v>0</v>
      </c>
      <c r="AJ58" s="14">
        <f t="shared" ca="1" si="14"/>
        <v>0</v>
      </c>
      <c r="AK58" s="14">
        <f t="shared" ca="1" si="14"/>
        <v>0</v>
      </c>
      <c r="AL58" s="14">
        <f t="shared" ca="1" si="14"/>
        <v>0</v>
      </c>
    </row>
    <row r="59" spans="1:38" ht="21" hidden="1" customHeight="1" outlineLevel="1" thickBot="1" x14ac:dyDescent="0.4">
      <c r="A59" s="5">
        <f t="shared" si="15"/>
        <v>0</v>
      </c>
      <c r="B59" s="5">
        <f t="shared" si="15"/>
        <v>1</v>
      </c>
      <c r="C59" s="5">
        <f t="shared" si="15"/>
        <v>0</v>
      </c>
      <c r="D59" s="5">
        <f t="shared" si="15"/>
        <v>0</v>
      </c>
      <c r="E59" s="6" t="str">
        <f t="shared" si="15"/>
        <v>(l)Se[r]</v>
      </c>
      <c r="F59" s="14">
        <f t="shared" ca="1" si="16"/>
        <v>-22.14</v>
      </c>
      <c r="G59" s="14">
        <f t="shared" ca="1" si="14"/>
        <v>-21.3</v>
      </c>
      <c r="H59" s="14">
        <f t="shared" ca="1" si="14"/>
        <v>-21.39</v>
      </c>
      <c r="I59" s="14">
        <f t="shared" ca="1" si="14"/>
        <v>-21.8</v>
      </c>
      <c r="J59" s="14">
        <f t="shared" ca="1" si="14"/>
        <v>-22.19</v>
      </c>
      <c r="K59" s="14">
        <f t="shared" ca="1" si="14"/>
        <v>-22.48</v>
      </c>
      <c r="L59" s="14">
        <f t="shared" ca="1" si="14"/>
        <v>-22.79</v>
      </c>
      <c r="M59" s="14">
        <f t="shared" ca="1" si="14"/>
        <v>-23.04</v>
      </c>
      <c r="N59" s="14">
        <f t="shared" ca="1" si="14"/>
        <v>-23.53</v>
      </c>
      <c r="O59" s="14">
        <f t="shared" ca="1" si="14"/>
        <v>-24.03</v>
      </c>
      <c r="P59" s="14">
        <f t="shared" ca="1" si="14"/>
        <v>-24.51</v>
      </c>
      <c r="Q59" s="14">
        <f t="shared" ca="1" si="14"/>
        <v>-24.99</v>
      </c>
      <c r="R59" s="14">
        <f t="shared" ca="1" si="14"/>
        <v>-25.47</v>
      </c>
      <c r="S59" s="14">
        <f t="shared" ca="1" si="14"/>
        <v>-27.28</v>
      </c>
      <c r="T59" s="14">
        <f t="shared" ca="1" si="14"/>
        <v>-29</v>
      </c>
      <c r="U59" s="14">
        <f t="shared" ca="1" si="14"/>
        <v>-30.63</v>
      </c>
      <c r="V59" s="14">
        <f t="shared" ca="1" si="14"/>
        <v>-31.03</v>
      </c>
      <c r="W59" s="14">
        <f t="shared" ca="1" si="14"/>
        <v>-31.42</v>
      </c>
      <c r="X59" s="14">
        <f t="shared" ca="1" si="14"/>
        <v>-31.81</v>
      </c>
      <c r="Y59" s="14">
        <f t="shared" ca="1" si="14"/>
        <v>-32.200000000000003</v>
      </c>
      <c r="Z59" s="14">
        <f t="shared" ca="1" si="14"/>
        <v>-33.729999999999997</v>
      </c>
      <c r="AA59" s="14">
        <f t="shared" ca="1" si="14"/>
        <v>-35.22</v>
      </c>
      <c r="AB59" s="14">
        <f t="shared" ca="1" si="14"/>
        <v>0</v>
      </c>
      <c r="AC59" s="14">
        <f t="shared" ca="1" si="14"/>
        <v>0</v>
      </c>
      <c r="AD59" s="14">
        <f t="shared" ca="1" si="14"/>
        <v>0</v>
      </c>
      <c r="AE59" s="14">
        <f t="shared" ca="1" si="14"/>
        <v>0</v>
      </c>
      <c r="AF59" s="14">
        <f t="shared" ca="1" si="14"/>
        <v>0</v>
      </c>
      <c r="AG59" s="14">
        <f t="shared" ca="1" si="14"/>
        <v>0</v>
      </c>
      <c r="AH59" s="14">
        <f t="shared" ca="1" si="14"/>
        <v>0</v>
      </c>
      <c r="AI59" s="14">
        <f t="shared" ca="1" si="14"/>
        <v>0</v>
      </c>
      <c r="AJ59" s="14">
        <f t="shared" ca="1" si="14"/>
        <v>0</v>
      </c>
      <c r="AK59" s="14">
        <f t="shared" ca="1" si="14"/>
        <v>0</v>
      </c>
      <c r="AL59" s="14">
        <f t="shared" ca="1" si="14"/>
        <v>0</v>
      </c>
    </row>
    <row r="60" spans="1:38" ht="21" hidden="1" customHeight="1" outlineLevel="1" thickBot="1" x14ac:dyDescent="0.4">
      <c r="A60" s="5">
        <f t="shared" si="15"/>
        <v>0</v>
      </c>
      <c r="B60" s="5">
        <f t="shared" si="15"/>
        <v>0</v>
      </c>
      <c r="C60" s="5">
        <f t="shared" si="15"/>
        <v>1</v>
      </c>
      <c r="D60" s="5">
        <f t="shared" si="15"/>
        <v>0</v>
      </c>
      <c r="E60" s="6" t="str">
        <f t="shared" si="15"/>
        <v>(l)Ge[c]</v>
      </c>
      <c r="F60" s="14">
        <f t="shared" ca="1" si="16"/>
        <v>-16</v>
      </c>
      <c r="G60" s="14">
        <f t="shared" ca="1" si="14"/>
        <v>-13.92</v>
      </c>
      <c r="H60" s="14">
        <f t="shared" ca="1" si="14"/>
        <v>-11.54</v>
      </c>
      <c r="I60" s="14">
        <f t="shared" ca="1" si="14"/>
        <v>-9.3460000000000001</v>
      </c>
      <c r="J60" s="14">
        <f t="shared" ca="1" si="14"/>
        <v>-7.6120000000000001</v>
      </c>
      <c r="K60" s="14">
        <f t="shared" ca="1" si="14"/>
        <v>-6.5529999999999999</v>
      </c>
      <c r="L60" s="14">
        <f t="shared" ca="1" si="14"/>
        <v>-6.1760000000000002</v>
      </c>
      <c r="M60" s="14">
        <f t="shared" ca="1" si="14"/>
        <v>-6.8330000000000002</v>
      </c>
      <c r="N60" s="14">
        <f t="shared" ca="1" si="14"/>
        <v>-6.843</v>
      </c>
      <c r="O60" s="14">
        <f t="shared" ca="1" si="14"/>
        <v>-6.9039999999999999</v>
      </c>
      <c r="P60" s="14">
        <f t="shared" ca="1" si="14"/>
        <v>-6.9809999999999999</v>
      </c>
      <c r="Q60" s="14">
        <f t="shared" ca="1" si="14"/>
        <v>-7.0620000000000003</v>
      </c>
      <c r="R60" s="14">
        <f t="shared" ca="1" si="14"/>
        <v>-7.1429999999999998</v>
      </c>
      <c r="S60" s="14">
        <f t="shared" ca="1" si="14"/>
        <v>-7.4630000000000001</v>
      </c>
      <c r="T60" s="14">
        <f t="shared" ca="1" si="14"/>
        <v>-7.7649999999999997</v>
      </c>
      <c r="U60" s="14">
        <f t="shared" ca="1" si="14"/>
        <v>-8.048</v>
      </c>
      <c r="V60" s="14">
        <f t="shared" ca="1" si="14"/>
        <v>-8.1159999999999997</v>
      </c>
      <c r="W60" s="14">
        <f t="shared" ca="1" si="14"/>
        <v>-8.1820000000000004</v>
      </c>
      <c r="X60" s="14">
        <f t="shared" ca="1" si="14"/>
        <v>-8.2479999999999993</v>
      </c>
      <c r="Y60" s="14">
        <f t="shared" ca="1" si="14"/>
        <v>-8.3130000000000006</v>
      </c>
      <c r="Z60" s="14">
        <f t="shared" ca="1" si="14"/>
        <v>-8.5609999999999999</v>
      </c>
      <c r="AA60" s="14">
        <f t="shared" ca="1" si="14"/>
        <v>-8.7949999999999999</v>
      </c>
      <c r="AB60" s="14">
        <f t="shared" ca="1" si="14"/>
        <v>0</v>
      </c>
      <c r="AC60" s="14">
        <f t="shared" ca="1" si="14"/>
        <v>0</v>
      </c>
      <c r="AD60" s="14">
        <f t="shared" ca="1" si="14"/>
        <v>0</v>
      </c>
      <c r="AE60" s="14">
        <f t="shared" ca="1" si="14"/>
        <v>0</v>
      </c>
      <c r="AF60" s="14">
        <f t="shared" ca="1" si="14"/>
        <v>0</v>
      </c>
      <c r="AG60" s="14">
        <f t="shared" ca="1" si="14"/>
        <v>0</v>
      </c>
      <c r="AH60" s="14">
        <f t="shared" ca="1" si="14"/>
        <v>0</v>
      </c>
      <c r="AI60" s="14">
        <f t="shared" ca="1" si="14"/>
        <v>0</v>
      </c>
      <c r="AJ60" s="14">
        <f t="shared" ca="1" si="14"/>
        <v>0</v>
      </c>
      <c r="AK60" s="14">
        <f t="shared" ca="1" si="14"/>
        <v>0</v>
      </c>
      <c r="AL60" s="14">
        <f t="shared" ca="1" si="14"/>
        <v>0</v>
      </c>
    </row>
    <row r="61" spans="1:38" ht="21" hidden="1" customHeight="1" outlineLevel="1" thickBot="1" x14ac:dyDescent="0.4">
      <c r="A61" s="5">
        <f t="shared" si="15"/>
        <v>1</v>
      </c>
      <c r="B61" s="5">
        <f t="shared" si="15"/>
        <v>0</v>
      </c>
      <c r="C61" s="5">
        <f t="shared" si="15"/>
        <v>0</v>
      </c>
      <c r="D61" s="5">
        <f t="shared" si="15"/>
        <v>0</v>
      </c>
      <c r="E61" s="6" t="str">
        <f t="shared" si="15"/>
        <v>H (Ar)</v>
      </c>
      <c r="F61" s="14">
        <f t="shared" ca="1" si="16"/>
        <v>-18.88</v>
      </c>
      <c r="G61" s="14">
        <f t="shared" ca="1" si="14"/>
        <v>-18.87</v>
      </c>
      <c r="H61" s="14">
        <f t="shared" ca="1" si="14"/>
        <v>-18.899999999999999</v>
      </c>
      <c r="I61" s="14">
        <f t="shared" ca="1" si="14"/>
        <v>-18.940000000000001</v>
      </c>
      <c r="J61" s="14">
        <f t="shared" ca="1" si="14"/>
        <v>-18.989999999999998</v>
      </c>
      <c r="K61" s="14">
        <f t="shared" ca="1" si="14"/>
        <v>-19.04</v>
      </c>
      <c r="L61" s="14">
        <f t="shared" ca="1" si="14"/>
        <v>-19.07</v>
      </c>
      <c r="M61" s="14">
        <f t="shared" ca="1" si="14"/>
        <v>-18.96</v>
      </c>
      <c r="N61" s="14">
        <f t="shared" ca="1" si="14"/>
        <v>-19.03</v>
      </c>
      <c r="O61" s="14">
        <f t="shared" ca="1" si="14"/>
        <v>-19.100000000000001</v>
      </c>
      <c r="P61" s="14">
        <f t="shared" ca="1" si="14"/>
        <v>-19.170000000000002</v>
      </c>
      <c r="Q61" s="14">
        <f t="shared" ca="1" si="14"/>
        <v>-19.239999999999998</v>
      </c>
      <c r="R61" s="14">
        <f t="shared" ca="1" si="14"/>
        <v>-19.309999999999999</v>
      </c>
      <c r="S61" s="14">
        <f t="shared" ca="1" si="14"/>
        <v>-19.57</v>
      </c>
      <c r="T61" s="14">
        <f t="shared" ca="1" si="14"/>
        <v>-19.82</v>
      </c>
      <c r="U61" s="14">
        <f t="shared" ca="1" si="14"/>
        <v>-20.05</v>
      </c>
      <c r="V61" s="14">
        <f t="shared" ca="1" si="14"/>
        <v>-20.11</v>
      </c>
      <c r="W61" s="14">
        <f t="shared" ca="1" si="14"/>
        <v>-20.16</v>
      </c>
      <c r="X61" s="14">
        <f t="shared" ca="1" si="14"/>
        <v>-20.21</v>
      </c>
      <c r="Y61" s="14">
        <f t="shared" ca="1" si="14"/>
        <v>-20.260000000000002</v>
      </c>
      <c r="Z61" s="14">
        <f t="shared" ca="1" si="14"/>
        <v>-20.46</v>
      </c>
      <c r="AA61" s="14">
        <f t="shared" ca="1" si="14"/>
        <v>-20.65</v>
      </c>
      <c r="AB61" s="14">
        <f t="shared" ca="1" si="14"/>
        <v>0</v>
      </c>
      <c r="AC61" s="14">
        <f t="shared" ca="1" si="14"/>
        <v>0</v>
      </c>
      <c r="AD61" s="14">
        <f t="shared" ca="1" si="14"/>
        <v>0</v>
      </c>
      <c r="AE61" s="14">
        <f t="shared" ca="1" si="14"/>
        <v>0</v>
      </c>
      <c r="AF61" s="14">
        <f t="shared" ca="1" si="14"/>
        <v>0</v>
      </c>
      <c r="AG61" s="14">
        <f t="shared" ca="1" si="14"/>
        <v>0</v>
      </c>
      <c r="AH61" s="14">
        <f t="shared" ca="1" si="14"/>
        <v>0</v>
      </c>
      <c r="AI61" s="14">
        <f t="shared" ca="1" si="14"/>
        <v>0</v>
      </c>
      <c r="AJ61" s="14">
        <f t="shared" ca="1" si="14"/>
        <v>0</v>
      </c>
      <c r="AK61" s="14">
        <f t="shared" ca="1" si="14"/>
        <v>0</v>
      </c>
      <c r="AL61" s="14">
        <f t="shared" ca="1" si="14"/>
        <v>0</v>
      </c>
    </row>
    <row r="62" spans="1:38" ht="21" hidden="1" customHeight="1" outlineLevel="1" thickBot="1" x14ac:dyDescent="0.4">
      <c r="A62" s="5">
        <f t="shared" si="15"/>
        <v>0</v>
      </c>
      <c r="B62" s="5">
        <f t="shared" si="15"/>
        <v>0</v>
      </c>
      <c r="C62" s="5">
        <f t="shared" si="15"/>
        <v>0</v>
      </c>
      <c r="D62" s="5">
        <f t="shared" si="15"/>
        <v>1</v>
      </c>
      <c r="E62" s="6" t="str">
        <f t="shared" si="15"/>
        <v>H (Ga)</v>
      </c>
      <c r="F62" s="14">
        <f t="shared" ca="1" si="16"/>
        <v>-60.79</v>
      </c>
      <c r="G62" s="14">
        <f t="shared" ca="1" si="14"/>
        <v>-53.82</v>
      </c>
      <c r="H62" s="14">
        <f t="shared" ca="1" si="14"/>
        <v>-47.01</v>
      </c>
      <c r="I62" s="14">
        <f t="shared" ca="1" si="14"/>
        <v>-40.9</v>
      </c>
      <c r="J62" s="14">
        <f t="shared" ca="1" si="14"/>
        <v>-35.71</v>
      </c>
      <c r="K62" s="14">
        <f t="shared" ca="1" si="14"/>
        <v>-31.39</v>
      </c>
      <c r="L62" s="14">
        <f t="shared" ca="1" si="14"/>
        <v>-27.66</v>
      </c>
      <c r="M62" s="14">
        <f t="shared" ca="1" si="14"/>
        <v>-26.79</v>
      </c>
      <c r="N62" s="14">
        <f t="shared" ca="1" si="14"/>
        <v>-28.11</v>
      </c>
      <c r="O62" s="14">
        <f t="shared" ca="1" si="14"/>
        <v>-29.41</v>
      </c>
      <c r="P62" s="14">
        <f t="shared" ca="1" si="14"/>
        <v>-30.69</v>
      </c>
      <c r="Q62" s="14">
        <f t="shared" ca="1" si="14"/>
        <v>-31.94</v>
      </c>
      <c r="R62" s="14">
        <f t="shared" ca="1" si="14"/>
        <v>-33.159999999999997</v>
      </c>
      <c r="S62" s="14">
        <f t="shared" ca="1" si="14"/>
        <v>-37.67</v>
      </c>
      <c r="T62" s="14">
        <f t="shared" ca="1" si="14"/>
        <v>-41.43</v>
      </c>
      <c r="U62" s="14">
        <f t="shared" ca="1" si="14"/>
        <v>-44.33</v>
      </c>
      <c r="V62" s="14">
        <f t="shared" ca="1" si="14"/>
        <v>-44.9</v>
      </c>
      <c r="W62" s="14">
        <f t="shared" ca="1" si="14"/>
        <v>-45.42</v>
      </c>
      <c r="X62" s="14">
        <f t="shared" ca="1" si="14"/>
        <v>-45.86</v>
      </c>
      <c r="Y62" s="14">
        <f t="shared" ca="1" si="14"/>
        <v>-46.25</v>
      </c>
      <c r="Z62" s="14">
        <f t="shared" ca="1" si="14"/>
        <v>-47.11</v>
      </c>
      <c r="AA62" s="14">
        <f t="shared" ca="1" si="14"/>
        <v>-46.85</v>
      </c>
      <c r="AB62" s="14">
        <f t="shared" ca="1" si="14"/>
        <v>0</v>
      </c>
      <c r="AC62" s="14">
        <f t="shared" ca="1" si="14"/>
        <v>0</v>
      </c>
      <c r="AD62" s="14">
        <f t="shared" ca="1" si="14"/>
        <v>0</v>
      </c>
      <c r="AE62" s="14">
        <f t="shared" ca="1" si="14"/>
        <v>0</v>
      </c>
      <c r="AF62" s="14">
        <f t="shared" ca="1" si="14"/>
        <v>0</v>
      </c>
      <c r="AG62" s="14">
        <f t="shared" ca="1" si="14"/>
        <v>0</v>
      </c>
      <c r="AH62" s="14">
        <f t="shared" ca="1" si="14"/>
        <v>0</v>
      </c>
      <c r="AI62" s="14">
        <f t="shared" ref="G62:AL71" ca="1" si="17">$A62*H.Ar + $B62*H.Se + $C62*H.Ge + $D62*H.Ga</f>
        <v>0</v>
      </c>
      <c r="AJ62" s="14">
        <f t="shared" ca="1" si="17"/>
        <v>0</v>
      </c>
      <c r="AK62" s="14">
        <f t="shared" ca="1" si="17"/>
        <v>0</v>
      </c>
      <c r="AL62" s="14">
        <f t="shared" ca="1" si="17"/>
        <v>0</v>
      </c>
    </row>
    <row r="63" spans="1:38" ht="21" hidden="1" customHeight="1" outlineLevel="1" thickBot="1" x14ac:dyDescent="0.4">
      <c r="A63" s="5">
        <f t="shared" si="15"/>
        <v>0</v>
      </c>
      <c r="B63" s="5">
        <f t="shared" si="15"/>
        <v>0</v>
      </c>
      <c r="C63" s="5">
        <f t="shared" si="15"/>
        <v>1</v>
      </c>
      <c r="D63" s="5">
        <f t="shared" si="15"/>
        <v>0</v>
      </c>
      <c r="E63" s="6" t="str">
        <f t="shared" si="15"/>
        <v>H (Ge)</v>
      </c>
      <c r="F63" s="14">
        <f t="shared" ca="1" si="16"/>
        <v>-16</v>
      </c>
      <c r="G63" s="14">
        <f t="shared" ca="1" si="17"/>
        <v>-13.92</v>
      </c>
      <c r="H63" s="14">
        <f t="shared" ca="1" si="17"/>
        <v>-11.54</v>
      </c>
      <c r="I63" s="14">
        <f t="shared" ca="1" si="17"/>
        <v>-9.3460000000000001</v>
      </c>
      <c r="J63" s="14">
        <f t="shared" ca="1" si="17"/>
        <v>-7.6120000000000001</v>
      </c>
      <c r="K63" s="14">
        <f t="shared" ca="1" si="17"/>
        <v>-6.5529999999999999</v>
      </c>
      <c r="L63" s="14">
        <f t="shared" ca="1" si="17"/>
        <v>-6.1760000000000002</v>
      </c>
      <c r="M63" s="14">
        <f t="shared" ca="1" si="17"/>
        <v>-6.8330000000000002</v>
      </c>
      <c r="N63" s="14">
        <f t="shared" ca="1" si="17"/>
        <v>-6.843</v>
      </c>
      <c r="O63" s="14">
        <f t="shared" ca="1" si="17"/>
        <v>-6.9039999999999999</v>
      </c>
      <c r="P63" s="14">
        <f t="shared" ca="1" si="17"/>
        <v>-6.9809999999999999</v>
      </c>
      <c r="Q63" s="14">
        <f t="shared" ca="1" si="17"/>
        <v>-7.0620000000000003</v>
      </c>
      <c r="R63" s="14">
        <f t="shared" ca="1" si="17"/>
        <v>-7.1429999999999998</v>
      </c>
      <c r="S63" s="14">
        <f t="shared" ca="1" si="17"/>
        <v>-7.4630000000000001</v>
      </c>
      <c r="T63" s="14">
        <f t="shared" ca="1" si="17"/>
        <v>-7.7649999999999997</v>
      </c>
      <c r="U63" s="14">
        <f t="shared" ca="1" si="17"/>
        <v>-8.048</v>
      </c>
      <c r="V63" s="14">
        <f t="shared" ca="1" si="17"/>
        <v>-8.1159999999999997</v>
      </c>
      <c r="W63" s="14">
        <f t="shared" ca="1" si="17"/>
        <v>-8.1820000000000004</v>
      </c>
      <c r="X63" s="14">
        <f t="shared" ca="1" si="17"/>
        <v>-8.2479999999999993</v>
      </c>
      <c r="Y63" s="14">
        <f t="shared" ca="1" si="17"/>
        <v>-8.3130000000000006</v>
      </c>
      <c r="Z63" s="14">
        <f t="shared" ca="1" si="17"/>
        <v>-8.5609999999999999</v>
      </c>
      <c r="AA63" s="14">
        <f t="shared" ca="1" si="17"/>
        <v>-8.7949999999999999</v>
      </c>
      <c r="AB63" s="14">
        <f t="shared" ca="1" si="17"/>
        <v>0</v>
      </c>
      <c r="AC63" s="14">
        <f t="shared" ca="1" si="17"/>
        <v>0</v>
      </c>
      <c r="AD63" s="14">
        <f t="shared" ca="1" si="17"/>
        <v>0</v>
      </c>
      <c r="AE63" s="14">
        <f t="shared" ca="1" si="17"/>
        <v>0</v>
      </c>
      <c r="AF63" s="14">
        <f t="shared" ca="1" si="17"/>
        <v>0</v>
      </c>
      <c r="AG63" s="14">
        <f t="shared" ca="1" si="17"/>
        <v>0</v>
      </c>
      <c r="AH63" s="14">
        <f t="shared" ca="1" si="17"/>
        <v>0</v>
      </c>
      <c r="AI63" s="14">
        <f t="shared" ca="1" si="17"/>
        <v>0</v>
      </c>
      <c r="AJ63" s="14">
        <f t="shared" ca="1" si="17"/>
        <v>0</v>
      </c>
      <c r="AK63" s="14">
        <f t="shared" ca="1" si="17"/>
        <v>0</v>
      </c>
      <c r="AL63" s="14">
        <f t="shared" ca="1" si="17"/>
        <v>0</v>
      </c>
    </row>
    <row r="64" spans="1:38" ht="21" hidden="1" customHeight="1" outlineLevel="1" thickBot="1" x14ac:dyDescent="0.4">
      <c r="A64" s="5">
        <f t="shared" si="15"/>
        <v>0</v>
      </c>
      <c r="B64" s="5">
        <f t="shared" si="15"/>
        <v>1</v>
      </c>
      <c r="C64" s="5">
        <f t="shared" si="15"/>
        <v>0</v>
      </c>
      <c r="D64" s="5">
        <f t="shared" si="15"/>
        <v>0</v>
      </c>
      <c r="E64" s="6" t="str">
        <f t="shared" si="15"/>
        <v>H (Se)</v>
      </c>
      <c r="F64" s="14">
        <f t="shared" ca="1" si="16"/>
        <v>-22.14</v>
      </c>
      <c r="G64" s="14">
        <f t="shared" ca="1" si="17"/>
        <v>-21.3</v>
      </c>
      <c r="H64" s="14">
        <f t="shared" ca="1" si="17"/>
        <v>-21.39</v>
      </c>
      <c r="I64" s="14">
        <f t="shared" ca="1" si="17"/>
        <v>-21.8</v>
      </c>
      <c r="J64" s="14">
        <f t="shared" ca="1" si="17"/>
        <v>-22.19</v>
      </c>
      <c r="K64" s="14">
        <f t="shared" ca="1" si="17"/>
        <v>-22.48</v>
      </c>
      <c r="L64" s="14">
        <f t="shared" ca="1" si="17"/>
        <v>-22.79</v>
      </c>
      <c r="M64" s="14">
        <f t="shared" ca="1" si="17"/>
        <v>-23.04</v>
      </c>
      <c r="N64" s="14">
        <f t="shared" ca="1" si="17"/>
        <v>-23.53</v>
      </c>
      <c r="O64" s="14">
        <f t="shared" ca="1" si="17"/>
        <v>-24.03</v>
      </c>
      <c r="P64" s="14">
        <f t="shared" ca="1" si="17"/>
        <v>-24.51</v>
      </c>
      <c r="Q64" s="14">
        <f t="shared" ca="1" si="17"/>
        <v>-24.99</v>
      </c>
      <c r="R64" s="14">
        <f t="shared" ca="1" si="17"/>
        <v>-25.47</v>
      </c>
      <c r="S64" s="14">
        <f t="shared" ca="1" si="17"/>
        <v>-27.28</v>
      </c>
      <c r="T64" s="14">
        <f t="shared" ca="1" si="17"/>
        <v>-29</v>
      </c>
      <c r="U64" s="14">
        <f t="shared" ca="1" si="17"/>
        <v>-30.63</v>
      </c>
      <c r="V64" s="14">
        <f t="shared" ca="1" si="17"/>
        <v>-31.03</v>
      </c>
      <c r="W64" s="14">
        <f t="shared" ca="1" si="17"/>
        <v>-31.42</v>
      </c>
      <c r="X64" s="14">
        <f t="shared" ca="1" si="17"/>
        <v>-31.81</v>
      </c>
      <c r="Y64" s="14">
        <f t="shared" ca="1" si="17"/>
        <v>-32.200000000000003</v>
      </c>
      <c r="Z64" s="14">
        <f t="shared" ca="1" si="17"/>
        <v>-33.729999999999997</v>
      </c>
      <c r="AA64" s="14">
        <f t="shared" ca="1" si="17"/>
        <v>-35.22</v>
      </c>
      <c r="AB64" s="14">
        <f t="shared" ca="1" si="17"/>
        <v>0</v>
      </c>
      <c r="AC64" s="14">
        <f t="shared" ca="1" si="17"/>
        <v>0</v>
      </c>
      <c r="AD64" s="14">
        <f t="shared" ca="1" si="17"/>
        <v>0</v>
      </c>
      <c r="AE64" s="14">
        <f t="shared" ca="1" si="17"/>
        <v>0</v>
      </c>
      <c r="AF64" s="14">
        <f t="shared" ca="1" si="17"/>
        <v>0</v>
      </c>
      <c r="AG64" s="14">
        <f t="shared" ca="1" si="17"/>
        <v>0</v>
      </c>
      <c r="AH64" s="14">
        <f t="shared" ca="1" si="17"/>
        <v>0</v>
      </c>
      <c r="AI64" s="14">
        <f t="shared" ca="1" si="17"/>
        <v>0</v>
      </c>
      <c r="AJ64" s="14">
        <f t="shared" ca="1" si="17"/>
        <v>0</v>
      </c>
      <c r="AK64" s="14">
        <f t="shared" ca="1" si="17"/>
        <v>0</v>
      </c>
      <c r="AL64" s="14">
        <f t="shared" ca="1" si="17"/>
        <v>0</v>
      </c>
    </row>
    <row r="65" spans="1:54" ht="21" hidden="1" customHeight="1" outlineLevel="1" thickBot="1" x14ac:dyDescent="0.4">
      <c r="A65" s="5">
        <f t="shared" si="15"/>
        <v>0</v>
      </c>
      <c r="B65" s="5">
        <f t="shared" si="15"/>
        <v>0</v>
      </c>
      <c r="C65" s="5">
        <f t="shared" si="15"/>
        <v>0</v>
      </c>
      <c r="D65" s="5">
        <f t="shared" si="15"/>
        <v>0</v>
      </c>
      <c r="E65" s="6">
        <f t="shared" si="15"/>
        <v>0</v>
      </c>
      <c r="F65" s="14">
        <f t="shared" ca="1" si="16"/>
        <v>0</v>
      </c>
      <c r="G65" s="14">
        <f t="shared" ca="1" si="17"/>
        <v>0</v>
      </c>
      <c r="H65" s="14">
        <f t="shared" ca="1" si="17"/>
        <v>0</v>
      </c>
      <c r="I65" s="14">
        <f t="shared" ca="1" si="17"/>
        <v>0</v>
      </c>
      <c r="J65" s="14">
        <f t="shared" ca="1" si="17"/>
        <v>0</v>
      </c>
      <c r="K65" s="14">
        <f t="shared" ca="1" si="17"/>
        <v>0</v>
      </c>
      <c r="L65" s="14">
        <f t="shared" ca="1" si="17"/>
        <v>0</v>
      </c>
      <c r="M65" s="14">
        <f t="shared" ca="1" si="17"/>
        <v>0</v>
      </c>
      <c r="N65" s="14">
        <f t="shared" ca="1" si="17"/>
        <v>0</v>
      </c>
      <c r="O65" s="14">
        <f t="shared" ca="1" si="17"/>
        <v>0</v>
      </c>
      <c r="P65" s="14">
        <f t="shared" ca="1" si="17"/>
        <v>0</v>
      </c>
      <c r="Q65" s="14">
        <f t="shared" ca="1" si="17"/>
        <v>0</v>
      </c>
      <c r="R65" s="14">
        <f t="shared" ca="1" si="17"/>
        <v>0</v>
      </c>
      <c r="S65" s="14">
        <f t="shared" ca="1" si="17"/>
        <v>0</v>
      </c>
      <c r="T65" s="14">
        <f t="shared" ca="1" si="17"/>
        <v>0</v>
      </c>
      <c r="U65" s="14">
        <f t="shared" ca="1" si="17"/>
        <v>0</v>
      </c>
      <c r="V65" s="14">
        <f t="shared" ca="1" si="17"/>
        <v>0</v>
      </c>
      <c r="W65" s="14">
        <f t="shared" ca="1" si="17"/>
        <v>0</v>
      </c>
      <c r="X65" s="14">
        <f t="shared" ca="1" si="17"/>
        <v>0</v>
      </c>
      <c r="Y65" s="14">
        <f t="shared" ca="1" si="17"/>
        <v>0</v>
      </c>
      <c r="Z65" s="14">
        <f t="shared" ca="1" si="17"/>
        <v>0</v>
      </c>
      <c r="AA65" s="14">
        <f t="shared" ca="1" si="17"/>
        <v>0</v>
      </c>
      <c r="AB65" s="14">
        <f t="shared" ca="1" si="17"/>
        <v>0</v>
      </c>
      <c r="AC65" s="14">
        <f t="shared" ca="1" si="17"/>
        <v>0</v>
      </c>
      <c r="AD65" s="14">
        <f t="shared" ca="1" si="17"/>
        <v>0</v>
      </c>
      <c r="AE65" s="14">
        <f t="shared" ca="1" si="17"/>
        <v>0</v>
      </c>
      <c r="AF65" s="14">
        <f t="shared" ca="1" si="17"/>
        <v>0</v>
      </c>
      <c r="AG65" s="14">
        <f t="shared" ca="1" si="17"/>
        <v>0</v>
      </c>
      <c r="AH65" s="14">
        <f t="shared" ca="1" si="17"/>
        <v>0</v>
      </c>
      <c r="AI65" s="14">
        <f t="shared" ca="1" si="17"/>
        <v>0</v>
      </c>
      <c r="AJ65" s="14">
        <f t="shared" ca="1" si="17"/>
        <v>0</v>
      </c>
      <c r="AK65" s="14">
        <f t="shared" ca="1" si="17"/>
        <v>0</v>
      </c>
      <c r="AL65" s="14">
        <f t="shared" ca="1" si="17"/>
        <v>0</v>
      </c>
    </row>
    <row r="66" spans="1:54" ht="21" hidden="1" customHeight="1" outlineLevel="1" thickBot="1" x14ac:dyDescent="0.4">
      <c r="A66" s="5">
        <f t="shared" ref="A66:E75" si="18">A24</f>
        <v>0</v>
      </c>
      <c r="B66" s="5">
        <f t="shared" si="18"/>
        <v>0</v>
      </c>
      <c r="C66" s="5">
        <f t="shared" si="18"/>
        <v>0</v>
      </c>
      <c r="D66" s="5">
        <f t="shared" si="18"/>
        <v>0</v>
      </c>
      <c r="E66" s="6">
        <f t="shared" si="18"/>
        <v>0</v>
      </c>
      <c r="F66" s="14">
        <f t="shared" ref="F66:U74" ca="1" si="19">$A66*H.Ar + $B66*H.Se + $C66*H.Ge + $D66*H.Ga</f>
        <v>0</v>
      </c>
      <c r="G66" s="14">
        <f t="shared" ca="1" si="19"/>
        <v>0</v>
      </c>
      <c r="H66" s="14">
        <f t="shared" ca="1" si="19"/>
        <v>0</v>
      </c>
      <c r="I66" s="14">
        <f t="shared" ca="1" si="19"/>
        <v>0</v>
      </c>
      <c r="J66" s="14">
        <f t="shared" ca="1" si="19"/>
        <v>0</v>
      </c>
      <c r="K66" s="14">
        <f t="shared" ca="1" si="19"/>
        <v>0</v>
      </c>
      <c r="L66" s="14">
        <f t="shared" ca="1" si="19"/>
        <v>0</v>
      </c>
      <c r="M66" s="14">
        <f t="shared" ca="1" si="19"/>
        <v>0</v>
      </c>
      <c r="N66" s="14">
        <f t="shared" ca="1" si="19"/>
        <v>0</v>
      </c>
      <c r="O66" s="14">
        <f t="shared" ca="1" si="19"/>
        <v>0</v>
      </c>
      <c r="P66" s="14">
        <f t="shared" ca="1" si="19"/>
        <v>0</v>
      </c>
      <c r="Q66" s="14">
        <f t="shared" ca="1" si="19"/>
        <v>0</v>
      </c>
      <c r="R66" s="14">
        <f t="shared" ca="1" si="19"/>
        <v>0</v>
      </c>
      <c r="S66" s="14">
        <f t="shared" ca="1" si="19"/>
        <v>0</v>
      </c>
      <c r="T66" s="14">
        <f t="shared" ca="1" si="19"/>
        <v>0</v>
      </c>
      <c r="U66" s="14">
        <f t="shared" ca="1" si="19"/>
        <v>0</v>
      </c>
      <c r="V66" s="14">
        <f t="shared" ca="1" si="17"/>
        <v>0</v>
      </c>
      <c r="W66" s="14">
        <f t="shared" ca="1" si="17"/>
        <v>0</v>
      </c>
      <c r="X66" s="14">
        <f t="shared" ca="1" si="17"/>
        <v>0</v>
      </c>
      <c r="Y66" s="14">
        <f t="shared" ca="1" si="17"/>
        <v>0</v>
      </c>
      <c r="Z66" s="14">
        <f t="shared" ca="1" si="17"/>
        <v>0</v>
      </c>
      <c r="AA66" s="14">
        <f t="shared" ca="1" si="17"/>
        <v>0</v>
      </c>
      <c r="AB66" s="14">
        <f t="shared" ca="1" si="17"/>
        <v>0</v>
      </c>
      <c r="AC66" s="14">
        <f t="shared" ca="1" si="17"/>
        <v>0</v>
      </c>
      <c r="AD66" s="14">
        <f t="shared" ca="1" si="17"/>
        <v>0</v>
      </c>
      <c r="AE66" s="14">
        <f t="shared" ca="1" si="17"/>
        <v>0</v>
      </c>
      <c r="AF66" s="14">
        <f t="shared" ca="1" si="17"/>
        <v>0</v>
      </c>
      <c r="AG66" s="14">
        <f t="shared" ca="1" si="17"/>
        <v>0</v>
      </c>
      <c r="AH66" s="14">
        <f t="shared" ca="1" si="17"/>
        <v>0</v>
      </c>
      <c r="AI66" s="14">
        <f t="shared" ca="1" si="17"/>
        <v>0</v>
      </c>
      <c r="AJ66" s="14">
        <f t="shared" ca="1" si="17"/>
        <v>0</v>
      </c>
      <c r="AK66" s="14">
        <f t="shared" ca="1" si="17"/>
        <v>0</v>
      </c>
      <c r="AL66" s="14">
        <f t="shared" ca="1" si="17"/>
        <v>0</v>
      </c>
    </row>
    <row r="67" spans="1:54" ht="21" hidden="1" customHeight="1" outlineLevel="1" thickBot="1" x14ac:dyDescent="0.4">
      <c r="A67" s="5">
        <f t="shared" si="18"/>
        <v>0</v>
      </c>
      <c r="B67" s="5">
        <f t="shared" si="18"/>
        <v>0</v>
      </c>
      <c r="C67" s="5">
        <f t="shared" si="18"/>
        <v>0</v>
      </c>
      <c r="D67" s="5">
        <f t="shared" si="18"/>
        <v>0</v>
      </c>
      <c r="E67" s="6">
        <f t="shared" si="18"/>
        <v>0</v>
      </c>
      <c r="F67" s="14">
        <f t="shared" ca="1" si="19"/>
        <v>0</v>
      </c>
      <c r="G67" s="14">
        <f t="shared" ca="1" si="17"/>
        <v>0</v>
      </c>
      <c r="H67" s="14">
        <f t="shared" ca="1" si="17"/>
        <v>0</v>
      </c>
      <c r="I67" s="14">
        <f t="shared" ca="1" si="17"/>
        <v>0</v>
      </c>
      <c r="J67" s="14">
        <f t="shared" ca="1" si="17"/>
        <v>0</v>
      </c>
      <c r="K67" s="14">
        <f t="shared" ca="1" si="17"/>
        <v>0</v>
      </c>
      <c r="L67" s="14">
        <f t="shared" ca="1" si="17"/>
        <v>0</v>
      </c>
      <c r="M67" s="14">
        <f t="shared" ca="1" si="17"/>
        <v>0</v>
      </c>
      <c r="N67" s="14">
        <f t="shared" ca="1" si="17"/>
        <v>0</v>
      </c>
      <c r="O67" s="14">
        <f t="shared" ca="1" si="17"/>
        <v>0</v>
      </c>
      <c r="P67" s="14">
        <f t="shared" ca="1" si="17"/>
        <v>0</v>
      </c>
      <c r="Q67" s="14">
        <f t="shared" ca="1" si="17"/>
        <v>0</v>
      </c>
      <c r="R67" s="14">
        <f t="shared" ca="1" si="17"/>
        <v>0</v>
      </c>
      <c r="S67" s="14">
        <f t="shared" ca="1" si="17"/>
        <v>0</v>
      </c>
      <c r="T67" s="14">
        <f t="shared" ca="1" si="17"/>
        <v>0</v>
      </c>
      <c r="U67" s="14">
        <f t="shared" ca="1" si="17"/>
        <v>0</v>
      </c>
      <c r="V67" s="14">
        <f t="shared" ca="1" si="17"/>
        <v>0</v>
      </c>
      <c r="W67" s="14">
        <f t="shared" ca="1" si="17"/>
        <v>0</v>
      </c>
      <c r="X67" s="14">
        <f t="shared" ca="1" si="17"/>
        <v>0</v>
      </c>
      <c r="Y67" s="14">
        <f t="shared" ca="1" si="17"/>
        <v>0</v>
      </c>
      <c r="Z67" s="14">
        <f t="shared" ca="1" si="17"/>
        <v>0</v>
      </c>
      <c r="AA67" s="14">
        <f t="shared" ca="1" si="17"/>
        <v>0</v>
      </c>
      <c r="AB67" s="14">
        <f t="shared" ca="1" si="17"/>
        <v>0</v>
      </c>
      <c r="AC67" s="14">
        <f t="shared" ca="1" si="17"/>
        <v>0</v>
      </c>
      <c r="AD67" s="14">
        <f t="shared" ca="1" si="17"/>
        <v>0</v>
      </c>
      <c r="AE67" s="14">
        <f t="shared" ca="1" si="17"/>
        <v>0</v>
      </c>
      <c r="AF67" s="14">
        <f t="shared" ca="1" si="17"/>
        <v>0</v>
      </c>
      <c r="AG67" s="14">
        <f t="shared" ca="1" si="17"/>
        <v>0</v>
      </c>
      <c r="AH67" s="14">
        <f t="shared" ca="1" si="17"/>
        <v>0</v>
      </c>
      <c r="AI67" s="14">
        <f t="shared" ca="1" si="17"/>
        <v>0</v>
      </c>
      <c r="AJ67" s="14">
        <f t="shared" ca="1" si="17"/>
        <v>0</v>
      </c>
      <c r="AK67" s="14">
        <f t="shared" ca="1" si="17"/>
        <v>0</v>
      </c>
      <c r="AL67" s="14">
        <f t="shared" ca="1" si="17"/>
        <v>0</v>
      </c>
    </row>
    <row r="68" spans="1:54" ht="21" hidden="1" customHeight="1" outlineLevel="1" thickBot="1" x14ac:dyDescent="0.4">
      <c r="A68" s="5">
        <f t="shared" si="18"/>
        <v>0</v>
      </c>
      <c r="B68" s="5">
        <f t="shared" si="18"/>
        <v>0</v>
      </c>
      <c r="C68" s="5">
        <f t="shared" si="18"/>
        <v>0</v>
      </c>
      <c r="D68" s="5">
        <f t="shared" si="18"/>
        <v>0</v>
      </c>
      <c r="E68" s="6">
        <f t="shared" si="18"/>
        <v>0</v>
      </c>
      <c r="F68" s="14">
        <f t="shared" ca="1" si="19"/>
        <v>0</v>
      </c>
      <c r="G68" s="14">
        <f t="shared" ca="1" si="17"/>
        <v>0</v>
      </c>
      <c r="H68" s="14">
        <f t="shared" ca="1" si="17"/>
        <v>0</v>
      </c>
      <c r="I68" s="14">
        <f t="shared" ca="1" si="17"/>
        <v>0</v>
      </c>
      <c r="J68" s="14">
        <f t="shared" ca="1" si="17"/>
        <v>0</v>
      </c>
      <c r="K68" s="14">
        <f t="shared" ca="1" si="17"/>
        <v>0</v>
      </c>
      <c r="L68" s="14">
        <f t="shared" ca="1" si="17"/>
        <v>0</v>
      </c>
      <c r="M68" s="14">
        <f t="shared" ca="1" si="17"/>
        <v>0</v>
      </c>
      <c r="N68" s="14">
        <f t="shared" ca="1" si="17"/>
        <v>0</v>
      </c>
      <c r="O68" s="14">
        <f t="shared" ca="1" si="17"/>
        <v>0</v>
      </c>
      <c r="P68" s="14">
        <f t="shared" ca="1" si="17"/>
        <v>0</v>
      </c>
      <c r="Q68" s="14">
        <f t="shared" ca="1" si="17"/>
        <v>0</v>
      </c>
      <c r="R68" s="14">
        <f t="shared" ca="1" si="17"/>
        <v>0</v>
      </c>
      <c r="S68" s="14">
        <f t="shared" ca="1" si="17"/>
        <v>0</v>
      </c>
      <c r="T68" s="14">
        <f t="shared" ca="1" si="17"/>
        <v>0</v>
      </c>
      <c r="U68" s="14">
        <f t="shared" ca="1" si="17"/>
        <v>0</v>
      </c>
      <c r="V68" s="14">
        <f t="shared" ca="1" si="17"/>
        <v>0</v>
      </c>
      <c r="W68" s="14">
        <f t="shared" ca="1" si="17"/>
        <v>0</v>
      </c>
      <c r="X68" s="14">
        <f t="shared" ca="1" si="17"/>
        <v>0</v>
      </c>
      <c r="Y68" s="14">
        <f t="shared" ca="1" si="17"/>
        <v>0</v>
      </c>
      <c r="Z68" s="14">
        <f t="shared" ca="1" si="17"/>
        <v>0</v>
      </c>
      <c r="AA68" s="14">
        <f t="shared" ca="1" si="17"/>
        <v>0</v>
      </c>
      <c r="AB68" s="14">
        <f t="shared" ca="1" si="17"/>
        <v>0</v>
      </c>
      <c r="AC68" s="14">
        <f t="shared" ca="1" si="17"/>
        <v>0</v>
      </c>
      <c r="AD68" s="14">
        <f t="shared" ca="1" si="17"/>
        <v>0</v>
      </c>
      <c r="AE68" s="14">
        <f t="shared" ca="1" si="17"/>
        <v>0</v>
      </c>
      <c r="AF68" s="14">
        <f t="shared" ca="1" si="17"/>
        <v>0</v>
      </c>
      <c r="AG68" s="14">
        <f t="shared" ca="1" si="17"/>
        <v>0</v>
      </c>
      <c r="AH68" s="14">
        <f t="shared" ca="1" si="17"/>
        <v>0</v>
      </c>
      <c r="AI68" s="14">
        <f t="shared" ca="1" si="17"/>
        <v>0</v>
      </c>
      <c r="AJ68" s="14">
        <f t="shared" ca="1" si="17"/>
        <v>0</v>
      </c>
      <c r="AK68" s="14">
        <f t="shared" ca="1" si="17"/>
        <v>0</v>
      </c>
      <c r="AL68" s="14">
        <f t="shared" ca="1" si="17"/>
        <v>0</v>
      </c>
    </row>
    <row r="69" spans="1:54" ht="21" hidden="1" customHeight="1" outlineLevel="1" thickBot="1" x14ac:dyDescent="0.4">
      <c r="A69" s="5">
        <f t="shared" si="18"/>
        <v>0</v>
      </c>
      <c r="B69" s="5">
        <f t="shared" si="18"/>
        <v>0</v>
      </c>
      <c r="C69" s="5">
        <f t="shared" si="18"/>
        <v>0</v>
      </c>
      <c r="D69" s="5">
        <f t="shared" si="18"/>
        <v>0</v>
      </c>
      <c r="E69" s="6">
        <f t="shared" si="18"/>
        <v>0</v>
      </c>
      <c r="F69" s="14">
        <f t="shared" ca="1" si="19"/>
        <v>0</v>
      </c>
      <c r="G69" s="14">
        <f t="shared" ca="1" si="17"/>
        <v>0</v>
      </c>
      <c r="H69" s="14">
        <f t="shared" ca="1" si="17"/>
        <v>0</v>
      </c>
      <c r="I69" s="14">
        <f t="shared" ca="1" si="17"/>
        <v>0</v>
      </c>
      <c r="J69" s="14">
        <f t="shared" ca="1" si="17"/>
        <v>0</v>
      </c>
      <c r="K69" s="14">
        <f t="shared" ca="1" si="17"/>
        <v>0</v>
      </c>
      <c r="L69" s="14">
        <f t="shared" ca="1" si="17"/>
        <v>0</v>
      </c>
      <c r="M69" s="14">
        <f t="shared" ca="1" si="17"/>
        <v>0</v>
      </c>
      <c r="N69" s="14">
        <f t="shared" ca="1" si="17"/>
        <v>0</v>
      </c>
      <c r="O69" s="14">
        <f t="shared" ca="1" si="17"/>
        <v>0</v>
      </c>
      <c r="P69" s="14">
        <f t="shared" ca="1" si="17"/>
        <v>0</v>
      </c>
      <c r="Q69" s="14">
        <f t="shared" ca="1" si="17"/>
        <v>0</v>
      </c>
      <c r="R69" s="14">
        <f t="shared" ca="1" si="17"/>
        <v>0</v>
      </c>
      <c r="S69" s="14">
        <f t="shared" ca="1" si="17"/>
        <v>0</v>
      </c>
      <c r="T69" s="14">
        <f t="shared" ca="1" si="17"/>
        <v>0</v>
      </c>
      <c r="U69" s="14">
        <f t="shared" ca="1" si="17"/>
        <v>0</v>
      </c>
      <c r="V69" s="14">
        <f t="shared" ca="1" si="17"/>
        <v>0</v>
      </c>
      <c r="W69" s="14">
        <f t="shared" ca="1" si="17"/>
        <v>0</v>
      </c>
      <c r="X69" s="14">
        <f t="shared" ca="1" si="17"/>
        <v>0</v>
      </c>
      <c r="Y69" s="14">
        <f t="shared" ca="1" si="17"/>
        <v>0</v>
      </c>
      <c r="Z69" s="14">
        <f t="shared" ca="1" si="17"/>
        <v>0</v>
      </c>
      <c r="AA69" s="14">
        <f t="shared" ca="1" si="17"/>
        <v>0</v>
      </c>
      <c r="AB69" s="14">
        <f t="shared" ca="1" si="17"/>
        <v>0</v>
      </c>
      <c r="AC69" s="14">
        <f t="shared" ca="1" si="17"/>
        <v>0</v>
      </c>
      <c r="AD69" s="14">
        <f t="shared" ca="1" si="17"/>
        <v>0</v>
      </c>
      <c r="AE69" s="14">
        <f t="shared" ca="1" si="17"/>
        <v>0</v>
      </c>
      <c r="AF69" s="14">
        <f t="shared" ca="1" si="17"/>
        <v>0</v>
      </c>
      <c r="AG69" s="14">
        <f t="shared" ca="1" si="17"/>
        <v>0</v>
      </c>
      <c r="AH69" s="14">
        <f t="shared" ca="1" si="17"/>
        <v>0</v>
      </c>
      <c r="AI69" s="14">
        <f t="shared" ca="1" si="17"/>
        <v>0</v>
      </c>
      <c r="AJ69" s="14">
        <f t="shared" ca="1" si="17"/>
        <v>0</v>
      </c>
      <c r="AK69" s="14">
        <f t="shared" ca="1" si="17"/>
        <v>0</v>
      </c>
      <c r="AL69" s="14">
        <f t="shared" ca="1" si="17"/>
        <v>0</v>
      </c>
    </row>
    <row r="70" spans="1:54" ht="21" hidden="1" customHeight="1" outlineLevel="1" thickBot="1" x14ac:dyDescent="0.4">
      <c r="A70" s="5">
        <f t="shared" si="18"/>
        <v>0</v>
      </c>
      <c r="B70" s="5">
        <f t="shared" si="18"/>
        <v>0</v>
      </c>
      <c r="C70" s="5">
        <f t="shared" si="18"/>
        <v>0</v>
      </c>
      <c r="D70" s="5">
        <f t="shared" si="18"/>
        <v>0</v>
      </c>
      <c r="E70" s="6">
        <f t="shared" si="18"/>
        <v>0</v>
      </c>
      <c r="F70" s="14">
        <f t="shared" ca="1" si="19"/>
        <v>0</v>
      </c>
      <c r="G70" s="14">
        <f t="shared" ca="1" si="17"/>
        <v>0</v>
      </c>
      <c r="H70" s="14">
        <f t="shared" ca="1" si="17"/>
        <v>0</v>
      </c>
      <c r="I70" s="14">
        <f t="shared" ca="1" si="17"/>
        <v>0</v>
      </c>
      <c r="J70" s="14">
        <f t="shared" ca="1" si="17"/>
        <v>0</v>
      </c>
      <c r="K70" s="14">
        <f t="shared" ca="1" si="17"/>
        <v>0</v>
      </c>
      <c r="L70" s="14">
        <f t="shared" ca="1" si="17"/>
        <v>0</v>
      </c>
      <c r="M70" s="14">
        <f t="shared" ca="1" si="17"/>
        <v>0</v>
      </c>
      <c r="N70" s="14">
        <f t="shared" ca="1" si="17"/>
        <v>0</v>
      </c>
      <c r="O70" s="14">
        <f t="shared" ca="1" si="17"/>
        <v>0</v>
      </c>
      <c r="P70" s="14">
        <f t="shared" ca="1" si="17"/>
        <v>0</v>
      </c>
      <c r="Q70" s="14">
        <f t="shared" ca="1" si="17"/>
        <v>0</v>
      </c>
      <c r="R70" s="14">
        <f t="shared" ca="1" si="17"/>
        <v>0</v>
      </c>
      <c r="S70" s="14">
        <f t="shared" ca="1" si="17"/>
        <v>0</v>
      </c>
      <c r="T70" s="14">
        <f t="shared" ca="1" si="17"/>
        <v>0</v>
      </c>
      <c r="U70" s="14">
        <f t="shared" ca="1" si="17"/>
        <v>0</v>
      </c>
      <c r="V70" s="14">
        <f t="shared" ca="1" si="17"/>
        <v>0</v>
      </c>
      <c r="W70" s="14">
        <f t="shared" ca="1" si="17"/>
        <v>0</v>
      </c>
      <c r="X70" s="14">
        <f t="shared" ca="1" si="17"/>
        <v>0</v>
      </c>
      <c r="Y70" s="14">
        <f t="shared" ca="1" si="17"/>
        <v>0</v>
      </c>
      <c r="Z70" s="14">
        <f t="shared" ca="1" si="17"/>
        <v>0</v>
      </c>
      <c r="AA70" s="14">
        <f t="shared" ca="1" si="17"/>
        <v>0</v>
      </c>
      <c r="AB70" s="14">
        <f t="shared" ca="1" si="17"/>
        <v>0</v>
      </c>
      <c r="AC70" s="14">
        <f t="shared" ca="1" si="17"/>
        <v>0</v>
      </c>
      <c r="AD70" s="14">
        <f t="shared" ca="1" si="17"/>
        <v>0</v>
      </c>
      <c r="AE70" s="14">
        <f t="shared" ca="1" si="17"/>
        <v>0</v>
      </c>
      <c r="AF70" s="14">
        <f t="shared" ca="1" si="17"/>
        <v>0</v>
      </c>
      <c r="AG70" s="14">
        <f t="shared" ca="1" si="17"/>
        <v>0</v>
      </c>
      <c r="AH70" s="14">
        <f t="shared" ca="1" si="17"/>
        <v>0</v>
      </c>
      <c r="AI70" s="14">
        <f t="shared" ca="1" si="17"/>
        <v>0</v>
      </c>
      <c r="AJ70" s="14">
        <f t="shared" ca="1" si="17"/>
        <v>0</v>
      </c>
      <c r="AK70" s="14">
        <f t="shared" ca="1" si="17"/>
        <v>0</v>
      </c>
      <c r="AL70" s="14">
        <f t="shared" ca="1" si="17"/>
        <v>0</v>
      </c>
    </row>
    <row r="71" spans="1:54" ht="21" hidden="1" customHeight="1" outlineLevel="1" thickBot="1" x14ac:dyDescent="0.4">
      <c r="A71" s="5">
        <f t="shared" si="18"/>
        <v>0</v>
      </c>
      <c r="B71" s="5">
        <f t="shared" si="18"/>
        <v>0</v>
      </c>
      <c r="C71" s="5">
        <f t="shared" si="18"/>
        <v>0</v>
      </c>
      <c r="D71" s="5">
        <f t="shared" si="18"/>
        <v>0</v>
      </c>
      <c r="E71" s="6">
        <f t="shared" si="18"/>
        <v>0</v>
      </c>
      <c r="F71" s="14">
        <f t="shared" ca="1" si="19"/>
        <v>0</v>
      </c>
      <c r="G71" s="14">
        <f t="shared" ca="1" si="17"/>
        <v>0</v>
      </c>
      <c r="H71" s="14">
        <f t="shared" ca="1" si="17"/>
        <v>0</v>
      </c>
      <c r="I71" s="14">
        <f t="shared" ca="1" si="17"/>
        <v>0</v>
      </c>
      <c r="J71" s="14">
        <f t="shared" ca="1" si="17"/>
        <v>0</v>
      </c>
      <c r="K71" s="14">
        <f t="shared" ca="1" si="17"/>
        <v>0</v>
      </c>
      <c r="L71" s="14">
        <f t="shared" ca="1" si="17"/>
        <v>0</v>
      </c>
      <c r="M71" s="14">
        <f t="shared" ca="1" si="17"/>
        <v>0</v>
      </c>
      <c r="N71" s="14">
        <f t="shared" ca="1" si="17"/>
        <v>0</v>
      </c>
      <c r="O71" s="14">
        <f t="shared" ca="1" si="17"/>
        <v>0</v>
      </c>
      <c r="P71" s="14">
        <f t="shared" ca="1" si="17"/>
        <v>0</v>
      </c>
      <c r="Q71" s="14">
        <f t="shared" ref="G71:AL74" ca="1" si="20">$A71*H.Ar + $B71*H.Se + $C71*H.Ge + $D71*H.Ga</f>
        <v>0</v>
      </c>
      <c r="R71" s="14">
        <f t="shared" ca="1" si="20"/>
        <v>0</v>
      </c>
      <c r="S71" s="14">
        <f t="shared" ca="1" si="20"/>
        <v>0</v>
      </c>
      <c r="T71" s="14">
        <f t="shared" ca="1" si="20"/>
        <v>0</v>
      </c>
      <c r="U71" s="14">
        <f t="shared" ca="1" si="20"/>
        <v>0</v>
      </c>
      <c r="V71" s="14">
        <f t="shared" ca="1" si="20"/>
        <v>0</v>
      </c>
      <c r="W71" s="14">
        <f t="shared" ca="1" si="20"/>
        <v>0</v>
      </c>
      <c r="X71" s="14">
        <f t="shared" ca="1" si="20"/>
        <v>0</v>
      </c>
      <c r="Y71" s="14">
        <f t="shared" ca="1" si="20"/>
        <v>0</v>
      </c>
      <c r="Z71" s="14">
        <f t="shared" ca="1" si="20"/>
        <v>0</v>
      </c>
      <c r="AA71" s="14">
        <f t="shared" ca="1" si="20"/>
        <v>0</v>
      </c>
      <c r="AB71" s="14">
        <f t="shared" ca="1" si="20"/>
        <v>0</v>
      </c>
      <c r="AC71" s="14">
        <f t="shared" ca="1" si="20"/>
        <v>0</v>
      </c>
      <c r="AD71" s="14">
        <f t="shared" ca="1" si="20"/>
        <v>0</v>
      </c>
      <c r="AE71" s="14">
        <f t="shared" ca="1" si="20"/>
        <v>0</v>
      </c>
      <c r="AF71" s="14">
        <f t="shared" ca="1" si="20"/>
        <v>0</v>
      </c>
      <c r="AG71" s="14">
        <f t="shared" ca="1" si="20"/>
        <v>0</v>
      </c>
      <c r="AH71" s="14">
        <f t="shared" ca="1" si="20"/>
        <v>0</v>
      </c>
      <c r="AI71" s="14">
        <f t="shared" ca="1" si="20"/>
        <v>0</v>
      </c>
      <c r="AJ71" s="14">
        <f t="shared" ca="1" si="20"/>
        <v>0</v>
      </c>
      <c r="AK71" s="14">
        <f t="shared" ca="1" si="20"/>
        <v>0</v>
      </c>
      <c r="AL71" s="14">
        <f t="shared" ca="1" si="20"/>
        <v>0</v>
      </c>
    </row>
    <row r="72" spans="1:54" ht="21" hidden="1" customHeight="1" outlineLevel="1" thickBot="1" x14ac:dyDescent="0.4">
      <c r="A72" s="5">
        <f t="shared" si="18"/>
        <v>0</v>
      </c>
      <c r="B72" s="5">
        <f t="shared" si="18"/>
        <v>0</v>
      </c>
      <c r="C72" s="5">
        <f t="shared" si="18"/>
        <v>0</v>
      </c>
      <c r="D72" s="5">
        <f t="shared" si="18"/>
        <v>0</v>
      </c>
      <c r="E72" s="6">
        <f t="shared" si="18"/>
        <v>0</v>
      </c>
      <c r="F72" s="14">
        <f t="shared" ca="1" si="19"/>
        <v>0</v>
      </c>
      <c r="G72" s="14">
        <f t="shared" ca="1" si="20"/>
        <v>0</v>
      </c>
      <c r="H72" s="14">
        <f t="shared" ca="1" si="20"/>
        <v>0</v>
      </c>
      <c r="I72" s="14">
        <f t="shared" ca="1" si="20"/>
        <v>0</v>
      </c>
      <c r="J72" s="14">
        <f t="shared" ca="1" si="20"/>
        <v>0</v>
      </c>
      <c r="K72" s="14">
        <f t="shared" ca="1" si="20"/>
        <v>0</v>
      </c>
      <c r="L72" s="14">
        <f t="shared" ca="1" si="20"/>
        <v>0</v>
      </c>
      <c r="M72" s="14">
        <f t="shared" ca="1" si="20"/>
        <v>0</v>
      </c>
      <c r="N72" s="14">
        <f t="shared" ca="1" si="20"/>
        <v>0</v>
      </c>
      <c r="O72" s="14">
        <f t="shared" ca="1" si="20"/>
        <v>0</v>
      </c>
      <c r="P72" s="14">
        <f t="shared" ca="1" si="20"/>
        <v>0</v>
      </c>
      <c r="Q72" s="14">
        <f t="shared" ca="1" si="20"/>
        <v>0</v>
      </c>
      <c r="R72" s="14">
        <f t="shared" ca="1" si="20"/>
        <v>0</v>
      </c>
      <c r="S72" s="14">
        <f t="shared" ca="1" si="20"/>
        <v>0</v>
      </c>
      <c r="T72" s="14">
        <f t="shared" ca="1" si="20"/>
        <v>0</v>
      </c>
      <c r="U72" s="14">
        <f t="shared" ca="1" si="20"/>
        <v>0</v>
      </c>
      <c r="V72" s="14">
        <f t="shared" ca="1" si="20"/>
        <v>0</v>
      </c>
      <c r="W72" s="14">
        <f t="shared" ca="1" si="20"/>
        <v>0</v>
      </c>
      <c r="X72" s="14">
        <f t="shared" ca="1" si="20"/>
        <v>0</v>
      </c>
      <c r="Y72" s="14">
        <f t="shared" ca="1" si="20"/>
        <v>0</v>
      </c>
      <c r="Z72" s="14">
        <f t="shared" ca="1" si="20"/>
        <v>0</v>
      </c>
      <c r="AA72" s="14">
        <f t="shared" ca="1" si="20"/>
        <v>0</v>
      </c>
      <c r="AB72" s="14">
        <f t="shared" ca="1" si="20"/>
        <v>0</v>
      </c>
      <c r="AC72" s="14">
        <f t="shared" ca="1" si="20"/>
        <v>0</v>
      </c>
      <c r="AD72" s="14">
        <f t="shared" ca="1" si="20"/>
        <v>0</v>
      </c>
      <c r="AE72" s="14">
        <f t="shared" ca="1" si="20"/>
        <v>0</v>
      </c>
      <c r="AF72" s="14">
        <f t="shared" ca="1" si="20"/>
        <v>0</v>
      </c>
      <c r="AG72" s="14">
        <f t="shared" ca="1" si="20"/>
        <v>0</v>
      </c>
      <c r="AH72" s="14">
        <f t="shared" ca="1" si="20"/>
        <v>0</v>
      </c>
      <c r="AI72" s="14">
        <f t="shared" ca="1" si="20"/>
        <v>0</v>
      </c>
      <c r="AJ72" s="14">
        <f t="shared" ca="1" si="20"/>
        <v>0</v>
      </c>
      <c r="AK72" s="14">
        <f t="shared" ca="1" si="20"/>
        <v>0</v>
      </c>
      <c r="AL72" s="14">
        <f t="shared" ca="1" si="20"/>
        <v>0</v>
      </c>
    </row>
    <row r="73" spans="1:54" ht="21" hidden="1" customHeight="1" outlineLevel="1" thickBot="1" x14ac:dyDescent="0.4">
      <c r="A73" s="5">
        <f t="shared" si="18"/>
        <v>0</v>
      </c>
      <c r="B73" s="5">
        <f t="shared" si="18"/>
        <v>0</v>
      </c>
      <c r="C73" s="5">
        <f t="shared" si="18"/>
        <v>0</v>
      </c>
      <c r="D73" s="5">
        <f t="shared" si="18"/>
        <v>0</v>
      </c>
      <c r="E73" s="6">
        <f t="shared" si="18"/>
        <v>0</v>
      </c>
      <c r="F73" s="14">
        <f t="shared" ca="1" si="19"/>
        <v>0</v>
      </c>
      <c r="G73" s="14">
        <f t="shared" ca="1" si="20"/>
        <v>0</v>
      </c>
      <c r="H73" s="14">
        <f t="shared" ca="1" si="20"/>
        <v>0</v>
      </c>
      <c r="I73" s="14">
        <f t="shared" ca="1" si="20"/>
        <v>0</v>
      </c>
      <c r="J73" s="14">
        <f t="shared" ca="1" si="20"/>
        <v>0</v>
      </c>
      <c r="K73" s="14">
        <f t="shared" ca="1" si="20"/>
        <v>0</v>
      </c>
      <c r="L73" s="14">
        <f t="shared" ca="1" si="20"/>
        <v>0</v>
      </c>
      <c r="M73" s="14">
        <f t="shared" ca="1" si="20"/>
        <v>0</v>
      </c>
      <c r="N73" s="14">
        <f t="shared" ca="1" si="20"/>
        <v>0</v>
      </c>
      <c r="O73" s="14">
        <f t="shared" ca="1" si="20"/>
        <v>0</v>
      </c>
      <c r="P73" s="14">
        <f t="shared" ca="1" si="20"/>
        <v>0</v>
      </c>
      <c r="Q73" s="14">
        <f t="shared" ca="1" si="20"/>
        <v>0</v>
      </c>
      <c r="R73" s="14">
        <f t="shared" ca="1" si="20"/>
        <v>0</v>
      </c>
      <c r="S73" s="14">
        <f t="shared" ca="1" si="20"/>
        <v>0</v>
      </c>
      <c r="T73" s="14">
        <f t="shared" ca="1" si="20"/>
        <v>0</v>
      </c>
      <c r="U73" s="14">
        <f t="shared" ca="1" si="20"/>
        <v>0</v>
      </c>
      <c r="V73" s="14">
        <f t="shared" ca="1" si="20"/>
        <v>0</v>
      </c>
      <c r="W73" s="14">
        <f t="shared" ca="1" si="20"/>
        <v>0</v>
      </c>
      <c r="X73" s="14">
        <f t="shared" ca="1" si="20"/>
        <v>0</v>
      </c>
      <c r="Y73" s="14">
        <f t="shared" ca="1" si="20"/>
        <v>0</v>
      </c>
      <c r="Z73" s="14">
        <f t="shared" ca="1" si="20"/>
        <v>0</v>
      </c>
      <c r="AA73" s="14">
        <f t="shared" ca="1" si="20"/>
        <v>0</v>
      </c>
      <c r="AB73" s="14">
        <f t="shared" ca="1" si="20"/>
        <v>0</v>
      </c>
      <c r="AC73" s="14">
        <f t="shared" ca="1" si="20"/>
        <v>0</v>
      </c>
      <c r="AD73" s="14">
        <f t="shared" ca="1" si="20"/>
        <v>0</v>
      </c>
      <c r="AE73" s="14">
        <f t="shared" ca="1" si="20"/>
        <v>0</v>
      </c>
      <c r="AF73" s="14">
        <f t="shared" ca="1" si="20"/>
        <v>0</v>
      </c>
      <c r="AG73" s="14">
        <f t="shared" ca="1" si="20"/>
        <v>0</v>
      </c>
      <c r="AH73" s="14">
        <f t="shared" ca="1" si="20"/>
        <v>0</v>
      </c>
      <c r="AI73" s="14">
        <f t="shared" ca="1" si="20"/>
        <v>0</v>
      </c>
      <c r="AJ73" s="14">
        <f t="shared" ca="1" si="20"/>
        <v>0</v>
      </c>
      <c r="AK73" s="14">
        <f t="shared" ca="1" si="20"/>
        <v>0</v>
      </c>
      <c r="AL73" s="14">
        <f t="shared" ca="1" si="20"/>
        <v>0</v>
      </c>
    </row>
    <row r="74" spans="1:54" ht="21" hidden="1" customHeight="1" outlineLevel="1" thickBot="1" x14ac:dyDescent="0.4">
      <c r="A74" s="5">
        <f t="shared" si="18"/>
        <v>0</v>
      </c>
      <c r="B74" s="5">
        <f t="shared" si="18"/>
        <v>0</v>
      </c>
      <c r="C74" s="5">
        <f t="shared" si="18"/>
        <v>0</v>
      </c>
      <c r="D74" s="5">
        <f t="shared" si="18"/>
        <v>0</v>
      </c>
      <c r="E74" s="6">
        <f t="shared" si="18"/>
        <v>0</v>
      </c>
      <c r="F74" s="14">
        <f t="shared" ca="1" si="19"/>
        <v>0</v>
      </c>
      <c r="G74" s="14">
        <f t="shared" ca="1" si="20"/>
        <v>0</v>
      </c>
      <c r="H74" s="14">
        <f t="shared" ca="1" si="20"/>
        <v>0</v>
      </c>
      <c r="I74" s="14">
        <f t="shared" ca="1" si="20"/>
        <v>0</v>
      </c>
      <c r="J74" s="14">
        <f t="shared" ca="1" si="20"/>
        <v>0</v>
      </c>
      <c r="K74" s="14">
        <f t="shared" ca="1" si="20"/>
        <v>0</v>
      </c>
      <c r="L74" s="14">
        <f t="shared" ca="1" si="20"/>
        <v>0</v>
      </c>
      <c r="M74" s="14">
        <f t="shared" ca="1" si="20"/>
        <v>0</v>
      </c>
      <c r="N74" s="14">
        <f t="shared" ca="1" si="20"/>
        <v>0</v>
      </c>
      <c r="O74" s="14">
        <f t="shared" ca="1" si="20"/>
        <v>0</v>
      </c>
      <c r="P74" s="14">
        <f t="shared" ca="1" si="20"/>
        <v>0</v>
      </c>
      <c r="Q74" s="14">
        <f t="shared" ca="1" si="20"/>
        <v>0</v>
      </c>
      <c r="R74" s="14">
        <f t="shared" ca="1" si="20"/>
        <v>0</v>
      </c>
      <c r="S74" s="14">
        <f t="shared" ca="1" si="20"/>
        <v>0</v>
      </c>
      <c r="T74" s="14">
        <f t="shared" ca="1" si="20"/>
        <v>0</v>
      </c>
      <c r="U74" s="14">
        <f t="shared" ca="1" si="20"/>
        <v>0</v>
      </c>
      <c r="V74" s="14">
        <f t="shared" ca="1" si="20"/>
        <v>0</v>
      </c>
      <c r="W74" s="14">
        <f t="shared" ca="1" si="20"/>
        <v>0</v>
      </c>
      <c r="X74" s="14">
        <f t="shared" ca="1" si="20"/>
        <v>0</v>
      </c>
      <c r="Y74" s="14">
        <f t="shared" ca="1" si="20"/>
        <v>0</v>
      </c>
      <c r="Z74" s="14">
        <f t="shared" ca="1" si="20"/>
        <v>0</v>
      </c>
      <c r="AA74" s="14">
        <f t="shared" ca="1" si="20"/>
        <v>0</v>
      </c>
      <c r="AB74" s="14">
        <f t="shared" ca="1" si="20"/>
        <v>0</v>
      </c>
      <c r="AC74" s="14">
        <f t="shared" ca="1" si="20"/>
        <v>0</v>
      </c>
      <c r="AD74" s="14">
        <f t="shared" ca="1" si="20"/>
        <v>0</v>
      </c>
      <c r="AE74" s="14">
        <f t="shared" ca="1" si="20"/>
        <v>0</v>
      </c>
      <c r="AF74" s="14">
        <f t="shared" ca="1" si="20"/>
        <v>0</v>
      </c>
      <c r="AG74" s="14">
        <f t="shared" ca="1" si="20"/>
        <v>0</v>
      </c>
      <c r="AH74" s="14">
        <f t="shared" ca="1" si="20"/>
        <v>0</v>
      </c>
      <c r="AI74" s="14">
        <f t="shared" ca="1" si="20"/>
        <v>0</v>
      </c>
      <c r="AJ74" s="14">
        <f t="shared" ca="1" si="20"/>
        <v>0</v>
      </c>
      <c r="AK74" s="14">
        <f t="shared" ca="1" si="20"/>
        <v>0</v>
      </c>
      <c r="AL74" s="14">
        <f t="shared" ca="1" si="20"/>
        <v>0</v>
      </c>
    </row>
    <row r="75" spans="1:54" ht="21" hidden="1" customHeight="1" outlineLevel="1" thickBot="1" x14ac:dyDescent="0.4">
      <c r="A75" s="5">
        <f t="shared" si="18"/>
        <v>0</v>
      </c>
      <c r="B75" s="5">
        <f t="shared" si="18"/>
        <v>0</v>
      </c>
      <c r="C75" s="5">
        <f t="shared" si="18"/>
        <v>0</v>
      </c>
      <c r="D75" s="5">
        <f t="shared" si="18"/>
        <v>0</v>
      </c>
      <c r="E75" s="6">
        <f t="shared" si="18"/>
        <v>1</v>
      </c>
      <c r="F75" s="14"/>
      <c r="G75" s="14"/>
      <c r="H75" s="14"/>
      <c r="I75" s="14"/>
      <c r="J75" s="14"/>
      <c r="K75" s="14"/>
      <c r="L75" s="14"/>
      <c r="M75" s="14"/>
      <c r="N75" s="14"/>
      <c r="O75" s="14"/>
      <c r="P75" s="14"/>
      <c r="Q75" s="14"/>
      <c r="R75" s="14"/>
      <c r="S75" s="14"/>
      <c r="T75" s="14"/>
      <c r="U75" s="14"/>
      <c r="V75" s="14"/>
      <c r="W75" s="14"/>
      <c r="X75" s="14"/>
      <c r="Y75" s="14"/>
      <c r="Z75" s="14"/>
      <c r="AA75" s="14"/>
      <c r="AB75" s="14"/>
      <c r="AC75" s="14"/>
      <c r="AD75" s="14"/>
      <c r="AE75" s="14"/>
      <c r="AF75" s="14"/>
      <c r="AG75" s="14"/>
      <c r="AH75" s="14"/>
      <c r="AI75" s="14"/>
      <c r="AJ75" s="14"/>
      <c r="AK75" s="14"/>
      <c r="AL75" s="14"/>
    </row>
    <row r="76" spans="1:54" ht="21" hidden="1" customHeight="1" outlineLevel="1" x14ac:dyDescent="0.35">
      <c r="A76" s="55"/>
      <c r="B76" s="55"/>
      <c r="C76" s="55"/>
      <c r="D76" s="55"/>
      <c r="G76" s="55"/>
      <c r="H76" s="55"/>
      <c r="I76" s="55"/>
      <c r="J76" s="55"/>
      <c r="K76" s="55"/>
      <c r="L76" s="55"/>
      <c r="M76" s="55"/>
      <c r="N76" s="55"/>
      <c r="O76" s="55"/>
      <c r="P76" s="55"/>
      <c r="Q76" s="55"/>
      <c r="R76" s="55"/>
      <c r="S76" s="55"/>
      <c r="T76" s="55"/>
      <c r="U76" s="55"/>
      <c r="V76" s="55"/>
      <c r="W76" s="55"/>
      <c r="X76" s="55"/>
      <c r="Y76" s="55"/>
      <c r="Z76" s="55"/>
      <c r="AA76" s="55"/>
      <c r="AB76" s="55"/>
      <c r="AC76" s="55"/>
      <c r="AD76" s="55"/>
      <c r="AE76" s="55"/>
      <c r="AF76" s="55"/>
      <c r="AG76" s="55"/>
      <c r="AH76" s="55"/>
      <c r="AI76" s="55"/>
      <c r="AJ76" s="55"/>
      <c r="AK76" s="55"/>
      <c r="AL76" s="55"/>
    </row>
    <row r="77" spans="1:54" ht="21" customHeight="1" collapsed="1" x14ac:dyDescent="0.35">
      <c r="G77" s="55"/>
      <c r="H77" s="55"/>
      <c r="I77" s="55"/>
      <c r="J77" s="55"/>
      <c r="K77" s="55"/>
      <c r="L77" s="55"/>
      <c r="M77" s="55"/>
      <c r="N77" s="55"/>
      <c r="O77" s="55"/>
      <c r="P77" s="55"/>
      <c r="Q77" s="55"/>
      <c r="R77" s="55"/>
      <c r="S77" s="55"/>
      <c r="T77" s="55"/>
      <c r="U77" s="55"/>
      <c r="V77" s="55"/>
      <c r="W77" s="55"/>
      <c r="X77" s="55"/>
      <c r="Y77" s="55"/>
      <c r="Z77" s="55"/>
      <c r="AA77" s="55"/>
      <c r="AB77" s="55"/>
      <c r="AC77" s="55"/>
      <c r="AD77" s="55"/>
      <c r="AE77" s="55"/>
      <c r="AF77" s="55"/>
      <c r="AG77" s="55"/>
      <c r="AH77" s="55"/>
      <c r="AI77" s="55"/>
      <c r="AJ77" s="55"/>
      <c r="AK77" s="55"/>
      <c r="AL77" s="55"/>
    </row>
    <row r="78" spans="1:54" ht="21" customHeight="1" x14ac:dyDescent="0.4">
      <c r="A78" s="88"/>
      <c r="B78" s="88"/>
      <c r="C78" s="89">
        <f>E41</f>
        <v>8.3333333333333339</v>
      </c>
      <c r="D78" s="75"/>
      <c r="E78" s="74" t="s">
        <v>23</v>
      </c>
      <c r="F78" s="75"/>
      <c r="G78" s="75"/>
      <c r="H78" s="75"/>
      <c r="I78" s="75"/>
      <c r="J78" s="75"/>
      <c r="K78" s="75"/>
      <c r="L78" s="75"/>
      <c r="M78" s="75"/>
      <c r="N78" s="75"/>
      <c r="O78" s="75"/>
      <c r="P78" s="75"/>
      <c r="Q78" s="75"/>
      <c r="R78" s="75"/>
      <c r="S78" s="75"/>
      <c r="T78" s="75"/>
      <c r="U78" s="75"/>
      <c r="V78" s="75"/>
      <c r="W78" s="75"/>
      <c r="X78" s="75"/>
      <c r="Y78" s="75"/>
      <c r="Z78" s="75"/>
      <c r="AA78" s="75"/>
      <c r="AB78" s="75"/>
      <c r="AC78" s="75"/>
      <c r="AD78" s="75"/>
      <c r="AE78" s="75"/>
      <c r="AF78" s="75"/>
      <c r="AG78" s="75"/>
      <c r="AH78" s="75"/>
      <c r="AI78" s="75"/>
      <c r="AJ78" s="75"/>
      <c r="AK78" s="75"/>
      <c r="AL78" s="75"/>
      <c r="AM78" s="75"/>
      <c r="AN78" s="75"/>
      <c r="AO78" s="75"/>
      <c r="AP78" s="75"/>
      <c r="AQ78" s="75"/>
      <c r="AR78" s="75"/>
      <c r="AS78" s="75"/>
      <c r="AT78" s="75"/>
      <c r="AU78" s="75"/>
      <c r="AV78" s="75"/>
      <c r="AW78" s="75"/>
      <c r="AX78" s="75"/>
      <c r="AY78" s="75"/>
      <c r="AZ78" s="75"/>
      <c r="BA78" s="75"/>
      <c r="BB78" s="75"/>
    </row>
    <row r="79" spans="1:54" ht="21" hidden="1" customHeight="1" outlineLevel="1" thickTop="1" thickBot="1" x14ac:dyDescent="0.4">
      <c r="A79" s="12" t="s">
        <v>1</v>
      </c>
      <c r="B79" s="2" t="s">
        <v>2</v>
      </c>
      <c r="C79" s="2" t="s">
        <v>3</v>
      </c>
      <c r="D79" s="13" t="s">
        <v>4</v>
      </c>
      <c r="E79" s="3">
        <f t="shared" ref="E79:E109" si="21">E45</f>
        <v>0</v>
      </c>
      <c r="F79" s="3">
        <f t="shared" ref="F79:AL79" si="22">F3</f>
        <v>298.2</v>
      </c>
      <c r="G79" s="3">
        <f t="shared" si="22"/>
        <v>331.5</v>
      </c>
      <c r="H79" s="3">
        <f t="shared" si="22"/>
        <v>364.9</v>
      </c>
      <c r="I79" s="3">
        <f t="shared" si="22"/>
        <v>398.3</v>
      </c>
      <c r="J79" s="3">
        <f t="shared" si="22"/>
        <v>431.7</v>
      </c>
      <c r="K79" s="3">
        <f t="shared" si="22"/>
        <v>465.1</v>
      </c>
      <c r="L79" s="3">
        <f t="shared" si="22"/>
        <v>498.5</v>
      </c>
      <c r="M79" s="3">
        <f t="shared" si="22"/>
        <v>531.79999999999995</v>
      </c>
      <c r="N79" s="3">
        <f t="shared" si="22"/>
        <v>565.20000000000005</v>
      </c>
      <c r="O79" s="3">
        <f t="shared" si="22"/>
        <v>598.6</v>
      </c>
      <c r="P79" s="3">
        <f t="shared" si="22"/>
        <v>632</v>
      </c>
      <c r="Q79" s="3">
        <f t="shared" si="22"/>
        <v>665.4</v>
      </c>
      <c r="R79" s="3">
        <f t="shared" si="22"/>
        <v>698.8</v>
      </c>
      <c r="S79" s="3">
        <f t="shared" si="22"/>
        <v>832.3</v>
      </c>
      <c r="T79" s="3">
        <f t="shared" si="22"/>
        <v>965.8</v>
      </c>
      <c r="U79" s="3">
        <f t="shared" si="22"/>
        <v>1099</v>
      </c>
      <c r="V79" s="3">
        <f t="shared" si="22"/>
        <v>1133</v>
      </c>
      <c r="W79" s="3">
        <f t="shared" si="22"/>
        <v>1166</v>
      </c>
      <c r="X79" s="3">
        <f t="shared" si="22"/>
        <v>1200</v>
      </c>
      <c r="Y79" s="3">
        <f t="shared" si="22"/>
        <v>1233</v>
      </c>
      <c r="Z79" s="3">
        <f t="shared" si="22"/>
        <v>1366</v>
      </c>
      <c r="AA79" s="3">
        <f t="shared" si="22"/>
        <v>1500</v>
      </c>
      <c r="AB79" s="3">
        <f t="shared" si="22"/>
        <v>0</v>
      </c>
      <c r="AC79" s="3">
        <f t="shared" si="22"/>
        <v>0</v>
      </c>
      <c r="AD79" s="3">
        <f t="shared" si="22"/>
        <v>0</v>
      </c>
      <c r="AE79" s="3">
        <f t="shared" si="22"/>
        <v>0</v>
      </c>
      <c r="AF79" s="3">
        <f t="shared" si="22"/>
        <v>0</v>
      </c>
      <c r="AG79" s="3">
        <f t="shared" si="22"/>
        <v>0</v>
      </c>
      <c r="AH79" s="3">
        <f t="shared" si="22"/>
        <v>0</v>
      </c>
      <c r="AI79" s="3">
        <f t="shared" si="22"/>
        <v>0</v>
      </c>
      <c r="AJ79" s="3">
        <f t="shared" si="22"/>
        <v>0</v>
      </c>
      <c r="AK79" s="3">
        <f t="shared" si="22"/>
        <v>0</v>
      </c>
      <c r="AL79" s="3">
        <f t="shared" si="22"/>
        <v>0</v>
      </c>
    </row>
    <row r="80" spans="1:54" ht="21" hidden="1" customHeight="1" outlineLevel="1" thickTop="1" thickBot="1" x14ac:dyDescent="0.4">
      <c r="A80" s="5">
        <f>A46</f>
        <v>0</v>
      </c>
      <c r="B80" s="5">
        <f t="shared" ref="B80:D80" si="23">B46</f>
        <v>1</v>
      </c>
      <c r="C80" s="5">
        <f t="shared" si="23"/>
        <v>1</v>
      </c>
      <c r="D80" s="5">
        <f t="shared" si="23"/>
        <v>0</v>
      </c>
      <c r="E80" s="6" t="str">
        <f t="shared" si="21"/>
        <v>*GeSe</v>
      </c>
      <c r="F80" s="14">
        <f t="shared" ref="F80:AL80" si="24">F4*$C$78</f>
        <v>2.8438333333333336E-8</v>
      </c>
      <c r="G80" s="14">
        <f t="shared" si="24"/>
        <v>5.747583333333334E-8</v>
      </c>
      <c r="H80" s="14">
        <f t="shared" si="24"/>
        <v>1.0210000000000001E-7</v>
      </c>
      <c r="I80" s="14">
        <f t="shared" si="24"/>
        <v>8.2030833333333344E-8</v>
      </c>
      <c r="J80" s="14">
        <f t="shared" si="24"/>
        <v>5.9107500000000002E-8</v>
      </c>
      <c r="K80" s="14">
        <f t="shared" si="24"/>
        <v>1.2092500000000002E-10</v>
      </c>
      <c r="L80" s="14">
        <f t="shared" si="24"/>
        <v>6.4722500000000006E-22</v>
      </c>
      <c r="M80" s="14">
        <f t="shared" si="24"/>
        <v>0</v>
      </c>
      <c r="N80" s="14">
        <f t="shared" si="24"/>
        <v>0</v>
      </c>
      <c r="O80" s="14">
        <f t="shared" si="24"/>
        <v>0</v>
      </c>
      <c r="P80" s="14">
        <f t="shared" si="24"/>
        <v>0</v>
      </c>
      <c r="Q80" s="14">
        <f t="shared" si="24"/>
        <v>0</v>
      </c>
      <c r="R80" s="14">
        <f t="shared" si="24"/>
        <v>0</v>
      </c>
      <c r="S80" s="14">
        <f t="shared" si="24"/>
        <v>0</v>
      </c>
      <c r="T80" s="14">
        <f t="shared" si="24"/>
        <v>0</v>
      </c>
      <c r="U80" s="14">
        <f t="shared" si="24"/>
        <v>0</v>
      </c>
      <c r="V80" s="14">
        <f t="shared" si="24"/>
        <v>0</v>
      </c>
      <c r="W80" s="14">
        <f t="shared" si="24"/>
        <v>0</v>
      </c>
      <c r="X80" s="14">
        <f t="shared" si="24"/>
        <v>0</v>
      </c>
      <c r="Y80" s="14">
        <f t="shared" si="24"/>
        <v>0</v>
      </c>
      <c r="Z80" s="14">
        <f t="shared" si="24"/>
        <v>0</v>
      </c>
      <c r="AA80" s="14">
        <f t="shared" si="24"/>
        <v>0</v>
      </c>
      <c r="AB80" s="14">
        <f t="shared" si="24"/>
        <v>0</v>
      </c>
      <c r="AC80" s="14">
        <f t="shared" si="24"/>
        <v>0</v>
      </c>
      <c r="AD80" s="14">
        <f t="shared" si="24"/>
        <v>0</v>
      </c>
      <c r="AE80" s="14">
        <f t="shared" si="24"/>
        <v>0</v>
      </c>
      <c r="AF80" s="14">
        <f t="shared" si="24"/>
        <v>0</v>
      </c>
      <c r="AG80" s="14">
        <f t="shared" si="24"/>
        <v>0</v>
      </c>
      <c r="AH80" s="14">
        <f t="shared" si="24"/>
        <v>0</v>
      </c>
      <c r="AI80" s="14">
        <f t="shared" si="24"/>
        <v>0</v>
      </c>
      <c r="AJ80" s="14">
        <f t="shared" si="24"/>
        <v>0</v>
      </c>
      <c r="AK80" s="14">
        <f t="shared" si="24"/>
        <v>0</v>
      </c>
      <c r="AL80" s="14">
        <f t="shared" si="24"/>
        <v>0</v>
      </c>
    </row>
    <row r="81" spans="1:38" ht="21" hidden="1" customHeight="1" outlineLevel="1" thickBot="1" x14ac:dyDescent="0.4">
      <c r="A81" s="5">
        <f t="shared" ref="A81:D96" si="25">A47</f>
        <v>0</v>
      </c>
      <c r="B81" s="5">
        <f t="shared" si="25"/>
        <v>1</v>
      </c>
      <c r="C81" s="5">
        <f t="shared" si="25"/>
        <v>0</v>
      </c>
      <c r="D81" s="5">
        <f t="shared" si="25"/>
        <v>0</v>
      </c>
      <c r="E81" s="6" t="str">
        <f t="shared" si="21"/>
        <v>*Se[m]</v>
      </c>
      <c r="F81" s="14">
        <f t="shared" ref="F81:AL81" si="26">F5*$C$78</f>
        <v>6.3347500000000005E-30</v>
      </c>
      <c r="G81" s="14">
        <f t="shared" si="26"/>
        <v>2.4218333333333334E-20</v>
      </c>
      <c r="H81" s="14">
        <f t="shared" si="26"/>
        <v>1.0139166666666667E-16</v>
      </c>
      <c r="I81" s="14">
        <f t="shared" si="26"/>
        <v>2.8833333333333334E-15</v>
      </c>
      <c r="J81" s="14">
        <f t="shared" si="26"/>
        <v>5.9997500000000006E-12</v>
      </c>
      <c r="K81" s="14">
        <f t="shared" si="26"/>
        <v>1.2604166666666668E-8</v>
      </c>
      <c r="L81" s="14">
        <f t="shared" si="26"/>
        <v>5.9860000000000008E-8</v>
      </c>
      <c r="M81" s="14">
        <f t="shared" si="26"/>
        <v>2.2970000000000003E-7</v>
      </c>
      <c r="N81" s="14">
        <f t="shared" si="26"/>
        <v>1.8138333333333335E-7</v>
      </c>
      <c r="O81" s="14">
        <f t="shared" si="26"/>
        <v>1.972166666666667E-7</v>
      </c>
      <c r="P81" s="14">
        <f t="shared" si="26"/>
        <v>2.0085833333333335E-7</v>
      </c>
      <c r="Q81" s="14">
        <f t="shared" si="26"/>
        <v>1.9997500000000002E-7</v>
      </c>
      <c r="R81" s="14">
        <f t="shared" si="26"/>
        <v>1.9782500000000001E-7</v>
      </c>
      <c r="S81" s="14">
        <f t="shared" si="26"/>
        <v>1.8315833333333335E-7</v>
      </c>
      <c r="T81" s="14">
        <f t="shared" si="26"/>
        <v>1.7663333333333333E-7</v>
      </c>
      <c r="U81" s="14">
        <f t="shared" si="26"/>
        <v>1.7645833333333335E-7</v>
      </c>
      <c r="V81" s="14">
        <f t="shared" si="26"/>
        <v>1.7638333333333334E-7</v>
      </c>
      <c r="W81" s="14">
        <f t="shared" si="26"/>
        <v>1.7629166666666669E-7</v>
      </c>
      <c r="X81" s="14">
        <f t="shared" si="26"/>
        <v>1.7677500000000002E-7</v>
      </c>
      <c r="Y81" s="14">
        <f t="shared" si="26"/>
        <v>1.7730833333333333E-7</v>
      </c>
      <c r="Z81" s="14">
        <f t="shared" si="26"/>
        <v>1.7968333333333335E-7</v>
      </c>
      <c r="AA81" s="14">
        <f t="shared" si="26"/>
        <v>1.8242500000000002E-7</v>
      </c>
      <c r="AB81" s="14">
        <f t="shared" si="26"/>
        <v>0</v>
      </c>
      <c r="AC81" s="14">
        <f t="shared" si="26"/>
        <v>0</v>
      </c>
      <c r="AD81" s="14">
        <f t="shared" si="26"/>
        <v>0</v>
      </c>
      <c r="AE81" s="14">
        <f t="shared" si="26"/>
        <v>0</v>
      </c>
      <c r="AF81" s="14">
        <f t="shared" si="26"/>
        <v>0</v>
      </c>
      <c r="AG81" s="14">
        <f t="shared" si="26"/>
        <v>0</v>
      </c>
      <c r="AH81" s="14">
        <f t="shared" si="26"/>
        <v>0</v>
      </c>
      <c r="AI81" s="14">
        <f t="shared" si="26"/>
        <v>0</v>
      </c>
      <c r="AJ81" s="14">
        <f t="shared" si="26"/>
        <v>0</v>
      </c>
      <c r="AK81" s="14">
        <f t="shared" si="26"/>
        <v>0</v>
      </c>
      <c r="AL81" s="14">
        <f t="shared" si="26"/>
        <v>0</v>
      </c>
    </row>
    <row r="82" spans="1:38" ht="21" hidden="1" customHeight="1" outlineLevel="1" thickBot="1" x14ac:dyDescent="0.4">
      <c r="A82" s="5">
        <f t="shared" si="25"/>
        <v>0</v>
      </c>
      <c r="B82" s="5">
        <f t="shared" si="25"/>
        <v>3</v>
      </c>
      <c r="C82" s="5">
        <f t="shared" si="25"/>
        <v>0</v>
      </c>
      <c r="D82" s="5">
        <f t="shared" si="25"/>
        <v>2</v>
      </c>
      <c r="E82" s="6" t="str">
        <f t="shared" si="21"/>
        <v>Ga2Se3</v>
      </c>
      <c r="F82" s="14">
        <f t="shared" ref="F82:AL82" si="27">F6*$C$78</f>
        <v>0.50882500000000008</v>
      </c>
      <c r="G82" s="14">
        <f t="shared" si="27"/>
        <v>0.47363333333333335</v>
      </c>
      <c r="H82" s="14">
        <f t="shared" si="27"/>
        <v>0.44723333333333337</v>
      </c>
      <c r="I82" s="14">
        <f t="shared" si="27"/>
        <v>0.43831666666666669</v>
      </c>
      <c r="J82" s="14">
        <f t="shared" si="27"/>
        <v>0.42569166666666675</v>
      </c>
      <c r="K82" s="14">
        <f t="shared" si="27"/>
        <v>0.39469166666666672</v>
      </c>
      <c r="L82" s="14">
        <f t="shared" si="27"/>
        <v>0.32613333333333333</v>
      </c>
      <c r="M82" s="14">
        <f t="shared" si="27"/>
        <v>2.233416666666667E-3</v>
      </c>
      <c r="N82" s="14">
        <f t="shared" si="27"/>
        <v>2.2905833333333335E-7</v>
      </c>
      <c r="O82" s="14">
        <f t="shared" si="27"/>
        <v>4.5215000000000002E-11</v>
      </c>
      <c r="P82" s="14">
        <f t="shared" si="27"/>
        <v>1.5970833333333332E-14</v>
      </c>
      <c r="Q82" s="14">
        <f t="shared" si="27"/>
        <v>9.411666666666667E-18</v>
      </c>
      <c r="R82" s="14">
        <f t="shared" si="27"/>
        <v>8.7483333333333341E-21</v>
      </c>
      <c r="S82" s="14">
        <f t="shared" si="27"/>
        <v>2.8245E-31</v>
      </c>
      <c r="T82" s="14">
        <f t="shared" si="27"/>
        <v>0</v>
      </c>
      <c r="U82" s="14">
        <f t="shared" si="27"/>
        <v>0</v>
      </c>
      <c r="V82" s="14">
        <f t="shared" si="27"/>
        <v>0</v>
      </c>
      <c r="W82" s="14">
        <f t="shared" si="27"/>
        <v>0</v>
      </c>
      <c r="X82" s="14">
        <f t="shared" si="27"/>
        <v>0</v>
      </c>
      <c r="Y82" s="14">
        <f t="shared" si="27"/>
        <v>0</v>
      </c>
      <c r="Z82" s="14">
        <f t="shared" si="27"/>
        <v>0</v>
      </c>
      <c r="AA82" s="14">
        <f t="shared" si="27"/>
        <v>0</v>
      </c>
      <c r="AB82" s="14">
        <f t="shared" si="27"/>
        <v>0</v>
      </c>
      <c r="AC82" s="14">
        <f t="shared" si="27"/>
        <v>0</v>
      </c>
      <c r="AD82" s="14">
        <f t="shared" si="27"/>
        <v>0</v>
      </c>
      <c r="AE82" s="14">
        <f t="shared" si="27"/>
        <v>0</v>
      </c>
      <c r="AF82" s="14">
        <f t="shared" si="27"/>
        <v>0</v>
      </c>
      <c r="AG82" s="14">
        <f t="shared" si="27"/>
        <v>0</v>
      </c>
      <c r="AH82" s="14">
        <f t="shared" si="27"/>
        <v>0</v>
      </c>
      <c r="AI82" s="14">
        <f t="shared" si="27"/>
        <v>0</v>
      </c>
      <c r="AJ82" s="14">
        <f t="shared" si="27"/>
        <v>0</v>
      </c>
      <c r="AK82" s="14">
        <f t="shared" si="27"/>
        <v>0</v>
      </c>
      <c r="AL82" s="14">
        <f t="shared" si="27"/>
        <v>0</v>
      </c>
    </row>
    <row r="83" spans="1:38" ht="21" hidden="1" customHeight="1" outlineLevel="1" thickBot="1" x14ac:dyDescent="0.4">
      <c r="A83" s="5">
        <f t="shared" si="25"/>
        <v>0</v>
      </c>
      <c r="B83" s="5">
        <f t="shared" si="25"/>
        <v>0</v>
      </c>
      <c r="C83" s="5">
        <f t="shared" si="25"/>
        <v>1</v>
      </c>
      <c r="D83" s="5">
        <f t="shared" si="25"/>
        <v>0</v>
      </c>
      <c r="E83" s="6" t="str">
        <f t="shared" si="21"/>
        <v>Ge</v>
      </c>
      <c r="F83" s="14">
        <f t="shared" ref="F83:AL83" si="28">F7*$C$78</f>
        <v>0</v>
      </c>
      <c r="G83" s="14">
        <f t="shared" si="28"/>
        <v>0</v>
      </c>
      <c r="H83" s="14">
        <f t="shared" si="28"/>
        <v>0</v>
      </c>
      <c r="I83" s="14">
        <f t="shared" si="28"/>
        <v>0</v>
      </c>
      <c r="J83" s="14">
        <f t="shared" si="28"/>
        <v>0</v>
      </c>
      <c r="K83" s="14">
        <f t="shared" si="28"/>
        <v>0</v>
      </c>
      <c r="L83" s="14">
        <f t="shared" si="28"/>
        <v>3.9897500000000001E-33</v>
      </c>
      <c r="M83" s="14">
        <f t="shared" si="28"/>
        <v>5.3497499999999999E-31</v>
      </c>
      <c r="N83" s="14">
        <f t="shared" si="28"/>
        <v>8.4083333333333345E-29</v>
      </c>
      <c r="O83" s="14">
        <f t="shared" si="28"/>
        <v>7.2286666666666678E-27</v>
      </c>
      <c r="P83" s="14">
        <f t="shared" si="28"/>
        <v>3.8378333333333335E-25</v>
      </c>
      <c r="Q83" s="14">
        <f t="shared" si="28"/>
        <v>1.3643333333333334E-23</v>
      </c>
      <c r="R83" s="14">
        <f t="shared" si="28"/>
        <v>3.4470833333333338E-22</v>
      </c>
      <c r="S83" s="14">
        <f t="shared" si="28"/>
        <v>1.0554166666666667E-17</v>
      </c>
      <c r="T83" s="14">
        <f t="shared" si="28"/>
        <v>1.8591666666666669E-14</v>
      </c>
      <c r="U83" s="14">
        <f t="shared" si="28"/>
        <v>5.3170833333333338E-12</v>
      </c>
      <c r="V83" s="14">
        <f t="shared" si="28"/>
        <v>1.77425E-11</v>
      </c>
      <c r="W83" s="14">
        <f t="shared" si="28"/>
        <v>5.5240000000000008E-11</v>
      </c>
      <c r="X83" s="14">
        <f t="shared" si="28"/>
        <v>1.6140833333333334E-10</v>
      </c>
      <c r="Y83" s="14">
        <f t="shared" si="28"/>
        <v>4.4486666666666674E-10</v>
      </c>
      <c r="Z83" s="14">
        <f t="shared" si="28"/>
        <v>1.5598333333333334E-8</v>
      </c>
      <c r="AA83" s="14">
        <f t="shared" si="28"/>
        <v>2.8896666666666665E-7</v>
      </c>
      <c r="AB83" s="14">
        <f t="shared" si="28"/>
        <v>0</v>
      </c>
      <c r="AC83" s="14">
        <f t="shared" si="28"/>
        <v>0</v>
      </c>
      <c r="AD83" s="14">
        <f t="shared" si="28"/>
        <v>0</v>
      </c>
      <c r="AE83" s="14">
        <f t="shared" si="28"/>
        <v>0</v>
      </c>
      <c r="AF83" s="14">
        <f t="shared" si="28"/>
        <v>0</v>
      </c>
      <c r="AG83" s="14">
        <f t="shared" si="28"/>
        <v>0</v>
      </c>
      <c r="AH83" s="14">
        <f t="shared" si="28"/>
        <v>0</v>
      </c>
      <c r="AI83" s="14">
        <f t="shared" si="28"/>
        <v>0</v>
      </c>
      <c r="AJ83" s="14">
        <f t="shared" si="28"/>
        <v>0</v>
      </c>
      <c r="AK83" s="14">
        <f t="shared" si="28"/>
        <v>0</v>
      </c>
      <c r="AL83" s="14">
        <f t="shared" si="28"/>
        <v>0</v>
      </c>
    </row>
    <row r="84" spans="1:38" ht="21" hidden="1" customHeight="1" outlineLevel="1" thickBot="1" x14ac:dyDescent="0.4">
      <c r="A84" s="5">
        <f t="shared" si="25"/>
        <v>1</v>
      </c>
      <c r="B84" s="5">
        <f t="shared" si="25"/>
        <v>0</v>
      </c>
      <c r="C84" s="5">
        <f t="shared" si="25"/>
        <v>0</v>
      </c>
      <c r="D84" s="5">
        <f t="shared" si="25"/>
        <v>0</v>
      </c>
      <c r="E84" s="6" t="str">
        <f t="shared" si="21"/>
        <v>Ar</v>
      </c>
      <c r="F84" s="14">
        <f t="shared" ref="F84:AL84" si="29">F8*$C$78</f>
        <v>1.666666666666667</v>
      </c>
      <c r="G84" s="14">
        <f t="shared" si="29"/>
        <v>1.666666666666667</v>
      </c>
      <c r="H84" s="14">
        <f t="shared" si="29"/>
        <v>1.666666666666667</v>
      </c>
      <c r="I84" s="14">
        <f t="shared" si="29"/>
        <v>1.666666666666667</v>
      </c>
      <c r="J84" s="14">
        <f t="shared" si="29"/>
        <v>1.666666666666667</v>
      </c>
      <c r="K84" s="14">
        <f t="shared" si="29"/>
        <v>1.666666666666667</v>
      </c>
      <c r="L84" s="14">
        <f t="shared" si="29"/>
        <v>1.666666666666667</v>
      </c>
      <c r="M84" s="14">
        <f t="shared" si="29"/>
        <v>1.666666666666667</v>
      </c>
      <c r="N84" s="14">
        <f t="shared" si="29"/>
        <v>1.666666666666667</v>
      </c>
      <c r="O84" s="14">
        <f t="shared" si="29"/>
        <v>1.666666666666667</v>
      </c>
      <c r="P84" s="14">
        <f t="shared" si="29"/>
        <v>1.666666666666667</v>
      </c>
      <c r="Q84" s="14">
        <f t="shared" si="29"/>
        <v>1.666666666666667</v>
      </c>
      <c r="R84" s="14">
        <f t="shared" si="29"/>
        <v>1.666666666666667</v>
      </c>
      <c r="S84" s="14">
        <f t="shared" si="29"/>
        <v>1.666666666666667</v>
      </c>
      <c r="T84" s="14">
        <f t="shared" si="29"/>
        <v>1.666666666666667</v>
      </c>
      <c r="U84" s="14">
        <f t="shared" si="29"/>
        <v>1.666666666666667</v>
      </c>
      <c r="V84" s="14">
        <f t="shared" si="29"/>
        <v>1.666666666666667</v>
      </c>
      <c r="W84" s="14">
        <f t="shared" si="29"/>
        <v>1.666666666666667</v>
      </c>
      <c r="X84" s="14">
        <f t="shared" si="29"/>
        <v>1.666666666666667</v>
      </c>
      <c r="Y84" s="14">
        <f t="shared" si="29"/>
        <v>1.666666666666667</v>
      </c>
      <c r="Z84" s="14">
        <f t="shared" si="29"/>
        <v>1.666666666666667</v>
      </c>
      <c r="AA84" s="14">
        <f t="shared" si="29"/>
        <v>1.666666666666667</v>
      </c>
      <c r="AB84" s="14">
        <f t="shared" si="29"/>
        <v>0</v>
      </c>
      <c r="AC84" s="14">
        <f t="shared" si="29"/>
        <v>0</v>
      </c>
      <c r="AD84" s="14">
        <f t="shared" si="29"/>
        <v>0</v>
      </c>
      <c r="AE84" s="14">
        <f t="shared" si="29"/>
        <v>0</v>
      </c>
      <c r="AF84" s="14">
        <f t="shared" si="29"/>
        <v>0</v>
      </c>
      <c r="AG84" s="14">
        <f t="shared" si="29"/>
        <v>0</v>
      </c>
      <c r="AH84" s="14">
        <f t="shared" si="29"/>
        <v>0</v>
      </c>
      <c r="AI84" s="14">
        <f t="shared" si="29"/>
        <v>0</v>
      </c>
      <c r="AJ84" s="14">
        <f t="shared" si="29"/>
        <v>0</v>
      </c>
      <c r="AK84" s="14">
        <f t="shared" si="29"/>
        <v>0</v>
      </c>
      <c r="AL84" s="14">
        <f t="shared" si="29"/>
        <v>0</v>
      </c>
    </row>
    <row r="85" spans="1:38" ht="21" hidden="1" customHeight="1" outlineLevel="1" thickBot="1" x14ac:dyDescent="0.4">
      <c r="A85" s="5">
        <f t="shared" si="25"/>
        <v>0</v>
      </c>
      <c r="B85" s="5">
        <f t="shared" si="25"/>
        <v>2</v>
      </c>
      <c r="C85" s="5">
        <f t="shared" si="25"/>
        <v>1</v>
      </c>
      <c r="D85" s="5">
        <f t="shared" si="25"/>
        <v>0</v>
      </c>
      <c r="E85" s="6" t="str">
        <f t="shared" si="21"/>
        <v>(l)GeSe2</v>
      </c>
      <c r="F85" s="14">
        <f t="shared" ref="F85:AL85" si="30">F9*$C$78</f>
        <v>0.43709166666666666</v>
      </c>
      <c r="G85" s="14">
        <f t="shared" si="30"/>
        <v>0.23438333333333336</v>
      </c>
      <c r="H85" s="14">
        <f t="shared" si="30"/>
        <v>6.2753333333333328E-2</v>
      </c>
      <c r="I85" s="14">
        <f t="shared" si="30"/>
        <v>1.3532500000000001E-2</v>
      </c>
      <c r="J85" s="14">
        <f t="shared" si="30"/>
        <v>3.2029166666666668E-3</v>
      </c>
      <c r="K85" s="14">
        <f t="shared" si="30"/>
        <v>7.6527500000000005E-4</v>
      </c>
      <c r="L85" s="14">
        <f t="shared" si="30"/>
        <v>1.3539166666666667E-4</v>
      </c>
      <c r="M85" s="14">
        <f t="shared" si="30"/>
        <v>2.21825E-5</v>
      </c>
      <c r="N85" s="14">
        <f t="shared" si="30"/>
        <v>2.3696666666666665E-6</v>
      </c>
      <c r="O85" s="14">
        <f t="shared" si="30"/>
        <v>2.8064166666666666E-7</v>
      </c>
      <c r="P85" s="14">
        <f t="shared" si="30"/>
        <v>3.8113333333333334E-8</v>
      </c>
      <c r="Q85" s="14">
        <f t="shared" si="30"/>
        <v>5.8966666666666672E-9</v>
      </c>
      <c r="R85" s="14">
        <f t="shared" si="30"/>
        <v>1.0250833333333334E-9</v>
      </c>
      <c r="S85" s="14">
        <f t="shared" si="30"/>
        <v>2.3409166666666668E-12</v>
      </c>
      <c r="T85" s="14">
        <f t="shared" si="30"/>
        <v>1.5170000000000003E-14</v>
      </c>
      <c r="U85" s="14">
        <f t="shared" si="30"/>
        <v>1.9448333333333336E-16</v>
      </c>
      <c r="V85" s="14">
        <f t="shared" si="30"/>
        <v>7.0833333333333334E-17</v>
      </c>
      <c r="W85" s="14">
        <f t="shared" si="30"/>
        <v>2.6484166666666669E-17</v>
      </c>
      <c r="X85" s="14">
        <f t="shared" si="30"/>
        <v>1.0143333333333334E-17</v>
      </c>
      <c r="Y85" s="14">
        <f t="shared" si="30"/>
        <v>3.9710833333333336E-18</v>
      </c>
      <c r="Z85" s="14">
        <f t="shared" si="30"/>
        <v>1.1232500000000002E-19</v>
      </c>
      <c r="AA85" s="14">
        <f t="shared" si="30"/>
        <v>4.0040833333333334E-21</v>
      </c>
      <c r="AB85" s="14">
        <f t="shared" si="30"/>
        <v>0</v>
      </c>
      <c r="AC85" s="14">
        <f t="shared" si="30"/>
        <v>0</v>
      </c>
      <c r="AD85" s="14">
        <f t="shared" si="30"/>
        <v>0</v>
      </c>
      <c r="AE85" s="14">
        <f t="shared" si="30"/>
        <v>0</v>
      </c>
      <c r="AF85" s="14">
        <f t="shared" si="30"/>
        <v>0</v>
      </c>
      <c r="AG85" s="14">
        <f t="shared" si="30"/>
        <v>0</v>
      </c>
      <c r="AH85" s="14">
        <f t="shared" si="30"/>
        <v>0</v>
      </c>
      <c r="AI85" s="14">
        <f t="shared" si="30"/>
        <v>0</v>
      </c>
      <c r="AJ85" s="14">
        <f t="shared" si="30"/>
        <v>0</v>
      </c>
      <c r="AK85" s="14">
        <f t="shared" si="30"/>
        <v>0</v>
      </c>
      <c r="AL85" s="14">
        <f t="shared" si="30"/>
        <v>0</v>
      </c>
    </row>
    <row r="86" spans="1:38" ht="21" hidden="1" customHeight="1" outlineLevel="1" thickBot="1" x14ac:dyDescent="0.4">
      <c r="A86" s="5">
        <f t="shared" si="25"/>
        <v>0</v>
      </c>
      <c r="B86" s="5">
        <f t="shared" si="25"/>
        <v>1</v>
      </c>
      <c r="C86" s="5">
        <f t="shared" si="25"/>
        <v>1</v>
      </c>
      <c r="D86" s="5">
        <f t="shared" si="25"/>
        <v>0</v>
      </c>
      <c r="E86" s="6" t="str">
        <f t="shared" si="21"/>
        <v>(l)GeSe</v>
      </c>
      <c r="F86" s="14">
        <f t="shared" ref="F86:AL86" si="31">F10*$C$78</f>
        <v>0.56290000000000007</v>
      </c>
      <c r="G86" s="14">
        <f t="shared" si="31"/>
        <v>0.76549166666666668</v>
      </c>
      <c r="H86" s="14">
        <f t="shared" si="31"/>
        <v>0.93566666666666676</v>
      </c>
      <c r="I86" s="14">
        <f t="shared" si="31"/>
        <v>0.97091666666666676</v>
      </c>
      <c r="J86" s="14">
        <f t="shared" si="31"/>
        <v>0.8975833333333334</v>
      </c>
      <c r="K86" s="14">
        <f t="shared" si="31"/>
        <v>0.64804166666666674</v>
      </c>
      <c r="L86" s="14">
        <f t="shared" si="31"/>
        <v>0.3101416666666667</v>
      </c>
      <c r="M86" s="14">
        <f t="shared" si="31"/>
        <v>0.11843333333333335</v>
      </c>
      <c r="N86" s="14">
        <f t="shared" si="31"/>
        <v>3.4570000000000004E-2</v>
      </c>
      <c r="O86" s="14">
        <f t="shared" si="31"/>
        <v>1.0472500000000001E-2</v>
      </c>
      <c r="P86" s="14">
        <f t="shared" si="31"/>
        <v>3.4205833333333336E-3</v>
      </c>
      <c r="Q86" s="14">
        <f t="shared" si="31"/>
        <v>1.2054166666666667E-3</v>
      </c>
      <c r="R86" s="14">
        <f t="shared" si="31"/>
        <v>4.551E-4</v>
      </c>
      <c r="S86" s="14">
        <f t="shared" si="31"/>
        <v>1.5905000000000001E-5</v>
      </c>
      <c r="T86" s="14">
        <f t="shared" si="31"/>
        <v>1.0279166666666668E-6</v>
      </c>
      <c r="U86" s="14">
        <f t="shared" si="31"/>
        <v>9.9091666666666682E-8</v>
      </c>
      <c r="V86" s="14">
        <f t="shared" si="31"/>
        <v>5.7832500000000005E-8</v>
      </c>
      <c r="W86" s="14">
        <f t="shared" si="31"/>
        <v>3.4273333333333335E-8</v>
      </c>
      <c r="X86" s="14">
        <f t="shared" si="31"/>
        <v>2.0598333333333336E-8</v>
      </c>
      <c r="Y86" s="14">
        <f t="shared" si="31"/>
        <v>1.2539166666666667E-8</v>
      </c>
      <c r="Z86" s="14">
        <f t="shared" si="31"/>
        <v>1.9196666666666666E-9</v>
      </c>
      <c r="AA86" s="14">
        <f t="shared" si="31"/>
        <v>3.3655833333333338E-10</v>
      </c>
      <c r="AB86" s="14">
        <f t="shared" si="31"/>
        <v>0</v>
      </c>
      <c r="AC86" s="14">
        <f t="shared" si="31"/>
        <v>0</v>
      </c>
      <c r="AD86" s="14">
        <f t="shared" si="31"/>
        <v>0</v>
      </c>
      <c r="AE86" s="14">
        <f t="shared" si="31"/>
        <v>0</v>
      </c>
      <c r="AF86" s="14">
        <f t="shared" si="31"/>
        <v>0</v>
      </c>
      <c r="AG86" s="14">
        <f t="shared" si="31"/>
        <v>0</v>
      </c>
      <c r="AH86" s="14">
        <f t="shared" si="31"/>
        <v>0</v>
      </c>
      <c r="AI86" s="14">
        <f t="shared" si="31"/>
        <v>0</v>
      </c>
      <c r="AJ86" s="14">
        <f t="shared" si="31"/>
        <v>0</v>
      </c>
      <c r="AK86" s="14">
        <f t="shared" si="31"/>
        <v>0</v>
      </c>
      <c r="AL86" s="14">
        <f t="shared" si="31"/>
        <v>0</v>
      </c>
    </row>
    <row r="87" spans="1:38" ht="21" hidden="1" customHeight="1" outlineLevel="1" thickBot="1" x14ac:dyDescent="0.4">
      <c r="A87" s="5">
        <f t="shared" si="25"/>
        <v>0</v>
      </c>
      <c r="B87" s="5">
        <f t="shared" si="25"/>
        <v>3</v>
      </c>
      <c r="C87" s="5">
        <f t="shared" si="25"/>
        <v>0</v>
      </c>
      <c r="D87" s="5">
        <f t="shared" si="25"/>
        <v>2</v>
      </c>
      <c r="E87" s="6" t="str">
        <f t="shared" si="21"/>
        <v>(l)Ga2Se3</v>
      </c>
      <c r="F87" s="14">
        <f t="shared" ref="F87:AL87" si="32">F11*$C$78</f>
        <v>0.3245083333333334</v>
      </c>
      <c r="G87" s="14">
        <f t="shared" si="32"/>
        <v>0.35970000000000002</v>
      </c>
      <c r="H87" s="14">
        <f t="shared" si="32"/>
        <v>0.3861</v>
      </c>
      <c r="I87" s="14">
        <f t="shared" si="32"/>
        <v>0.39501666666666668</v>
      </c>
      <c r="J87" s="14">
        <f t="shared" si="32"/>
        <v>0.40764166666666674</v>
      </c>
      <c r="K87" s="14">
        <f t="shared" si="32"/>
        <v>0.43844166666666667</v>
      </c>
      <c r="L87" s="14">
        <f t="shared" si="32"/>
        <v>0.46740000000000004</v>
      </c>
      <c r="M87" s="14">
        <f t="shared" si="32"/>
        <v>8.7016666666666666E-3</v>
      </c>
      <c r="N87" s="14">
        <f t="shared" si="32"/>
        <v>9.1150000000000008E-7</v>
      </c>
      <c r="O87" s="14">
        <f t="shared" si="32"/>
        <v>1.8057499999999999E-10</v>
      </c>
      <c r="P87" s="14">
        <f t="shared" si="32"/>
        <v>6.3850833333333335E-14</v>
      </c>
      <c r="Q87" s="14">
        <f t="shared" si="32"/>
        <v>3.7639166666666669E-17</v>
      </c>
      <c r="R87" s="14">
        <f t="shared" si="32"/>
        <v>3.4990000000000001E-20</v>
      </c>
      <c r="S87" s="14">
        <f t="shared" si="32"/>
        <v>1.1298333333333334E-30</v>
      </c>
      <c r="T87" s="14">
        <f t="shared" si="32"/>
        <v>0</v>
      </c>
      <c r="U87" s="14">
        <f t="shared" si="32"/>
        <v>0</v>
      </c>
      <c r="V87" s="14">
        <f t="shared" si="32"/>
        <v>0</v>
      </c>
      <c r="W87" s="14">
        <f t="shared" si="32"/>
        <v>0</v>
      </c>
      <c r="X87" s="14">
        <f t="shared" si="32"/>
        <v>0</v>
      </c>
      <c r="Y87" s="14">
        <f t="shared" si="32"/>
        <v>0</v>
      </c>
      <c r="Z87" s="14">
        <f t="shared" si="32"/>
        <v>0</v>
      </c>
      <c r="AA87" s="14">
        <f t="shared" si="32"/>
        <v>0</v>
      </c>
      <c r="AB87" s="14">
        <f t="shared" si="32"/>
        <v>0</v>
      </c>
      <c r="AC87" s="14">
        <f t="shared" si="32"/>
        <v>0</v>
      </c>
      <c r="AD87" s="14">
        <f t="shared" si="32"/>
        <v>0</v>
      </c>
      <c r="AE87" s="14">
        <f t="shared" si="32"/>
        <v>0</v>
      </c>
      <c r="AF87" s="14">
        <f t="shared" si="32"/>
        <v>0</v>
      </c>
      <c r="AG87" s="14">
        <f t="shared" si="32"/>
        <v>0</v>
      </c>
      <c r="AH87" s="14">
        <f t="shared" si="32"/>
        <v>0</v>
      </c>
      <c r="AI87" s="14">
        <f t="shared" si="32"/>
        <v>0</v>
      </c>
      <c r="AJ87" s="14">
        <f t="shared" si="32"/>
        <v>0</v>
      </c>
      <c r="AK87" s="14">
        <f t="shared" si="32"/>
        <v>0</v>
      </c>
      <c r="AL87" s="14">
        <f t="shared" si="32"/>
        <v>0</v>
      </c>
    </row>
    <row r="88" spans="1:38" ht="21" hidden="1" customHeight="1" outlineLevel="1" thickBot="1" x14ac:dyDescent="0.4">
      <c r="A88" s="5">
        <f t="shared" si="25"/>
        <v>0</v>
      </c>
      <c r="B88" s="5">
        <f t="shared" si="25"/>
        <v>0</v>
      </c>
      <c r="C88" s="5">
        <f t="shared" si="25"/>
        <v>1</v>
      </c>
      <c r="D88" s="5">
        <f t="shared" si="25"/>
        <v>0</v>
      </c>
      <c r="E88" s="6" t="str">
        <f t="shared" si="21"/>
        <v>(l)Ge</v>
      </c>
      <c r="F88" s="14">
        <f t="shared" ref="F88:AL88" si="33">F12*$C$78</f>
        <v>6.5636666666666678E-6</v>
      </c>
      <c r="G88" s="14">
        <f t="shared" si="33"/>
        <v>6.2263333333333331E-5</v>
      </c>
      <c r="H88" s="14">
        <f t="shared" si="33"/>
        <v>7.8948333333333338E-4</v>
      </c>
      <c r="I88" s="14">
        <f t="shared" si="33"/>
        <v>7.768916666666667E-3</v>
      </c>
      <c r="J88" s="14">
        <f t="shared" si="33"/>
        <v>4.9586666666666668E-2</v>
      </c>
      <c r="K88" s="14">
        <f t="shared" si="33"/>
        <v>0.17559166666666667</v>
      </c>
      <c r="L88" s="14">
        <f t="shared" si="33"/>
        <v>0.34485833333333338</v>
      </c>
      <c r="M88" s="14">
        <f t="shared" si="33"/>
        <v>0.44077500000000003</v>
      </c>
      <c r="N88" s="14">
        <f t="shared" si="33"/>
        <v>0.48271666666666668</v>
      </c>
      <c r="O88" s="14">
        <f t="shared" si="33"/>
        <v>0.49476666666666669</v>
      </c>
      <c r="P88" s="14">
        <f t="shared" si="33"/>
        <v>0.49829166666666669</v>
      </c>
      <c r="Q88" s="14">
        <f t="shared" si="33"/>
        <v>0.49940000000000007</v>
      </c>
      <c r="R88" s="14">
        <f t="shared" si="33"/>
        <v>0.49977500000000002</v>
      </c>
      <c r="S88" s="14">
        <f t="shared" si="33"/>
        <v>0.49999166666666667</v>
      </c>
      <c r="T88" s="14">
        <f t="shared" si="33"/>
        <v>0.5</v>
      </c>
      <c r="U88" s="14">
        <f t="shared" si="33"/>
        <v>0.5</v>
      </c>
      <c r="V88" s="14">
        <f t="shared" si="33"/>
        <v>0.5</v>
      </c>
      <c r="W88" s="14">
        <f t="shared" si="33"/>
        <v>0.5</v>
      </c>
      <c r="X88" s="14">
        <f t="shared" si="33"/>
        <v>0.5</v>
      </c>
      <c r="Y88" s="14">
        <f t="shared" si="33"/>
        <v>0.5</v>
      </c>
      <c r="Z88" s="14">
        <f t="shared" si="33"/>
        <v>0.5</v>
      </c>
      <c r="AA88" s="14">
        <f t="shared" si="33"/>
        <v>0.5</v>
      </c>
      <c r="AB88" s="14">
        <f t="shared" si="33"/>
        <v>0</v>
      </c>
      <c r="AC88" s="14">
        <f t="shared" si="33"/>
        <v>0</v>
      </c>
      <c r="AD88" s="14">
        <f t="shared" si="33"/>
        <v>0</v>
      </c>
      <c r="AE88" s="14">
        <f t="shared" si="33"/>
        <v>0</v>
      </c>
      <c r="AF88" s="14">
        <f t="shared" si="33"/>
        <v>0</v>
      </c>
      <c r="AG88" s="14">
        <f t="shared" si="33"/>
        <v>0</v>
      </c>
      <c r="AH88" s="14">
        <f t="shared" si="33"/>
        <v>0</v>
      </c>
      <c r="AI88" s="14">
        <f t="shared" si="33"/>
        <v>0</v>
      </c>
      <c r="AJ88" s="14">
        <f t="shared" si="33"/>
        <v>0</v>
      </c>
      <c r="AK88" s="14">
        <f t="shared" si="33"/>
        <v>0</v>
      </c>
      <c r="AL88" s="14">
        <f t="shared" si="33"/>
        <v>0</v>
      </c>
    </row>
    <row r="89" spans="1:38" ht="21" hidden="1" customHeight="1" outlineLevel="1" thickBot="1" x14ac:dyDescent="0.4">
      <c r="A89" s="5">
        <f t="shared" si="25"/>
        <v>0</v>
      </c>
      <c r="B89" s="5">
        <f t="shared" si="25"/>
        <v>0</v>
      </c>
      <c r="C89" s="5">
        <f t="shared" si="25"/>
        <v>0</v>
      </c>
      <c r="D89" s="5">
        <f t="shared" si="25"/>
        <v>1</v>
      </c>
      <c r="E89" s="6" t="str">
        <f t="shared" si="21"/>
        <v>(l)Ga</v>
      </c>
      <c r="F89" s="14">
        <f t="shared" ref="F89:AL89" si="34">F13*$C$78</f>
        <v>5.7599166666666671E-20</v>
      </c>
      <c r="G89" s="14">
        <f t="shared" si="34"/>
        <v>2.5871666666666667E-16</v>
      </c>
      <c r="H89" s="14">
        <f t="shared" si="34"/>
        <v>9.6775000000000019E-13</v>
      </c>
      <c r="I89" s="14">
        <f t="shared" si="34"/>
        <v>1.70575E-9</v>
      </c>
      <c r="J89" s="14">
        <f t="shared" si="34"/>
        <v>1.2318333333333334E-6</v>
      </c>
      <c r="K89" s="14">
        <f t="shared" si="34"/>
        <v>4.028916666666667E-4</v>
      </c>
      <c r="L89" s="14">
        <f t="shared" si="34"/>
        <v>7.9600833333333329E-2</v>
      </c>
      <c r="M89" s="14">
        <f t="shared" si="34"/>
        <v>1.6448333333333334</v>
      </c>
      <c r="N89" s="14">
        <f t="shared" si="34"/>
        <v>1.666666666666667</v>
      </c>
      <c r="O89" s="14">
        <f t="shared" si="34"/>
        <v>1.666666666666667</v>
      </c>
      <c r="P89" s="14">
        <f t="shared" si="34"/>
        <v>1.666666666666667</v>
      </c>
      <c r="Q89" s="14">
        <f t="shared" si="34"/>
        <v>1.666666666666667</v>
      </c>
      <c r="R89" s="14">
        <f t="shared" si="34"/>
        <v>1.666666666666667</v>
      </c>
      <c r="S89" s="14">
        <f t="shared" si="34"/>
        <v>1.666666666666667</v>
      </c>
      <c r="T89" s="14">
        <f t="shared" si="34"/>
        <v>1.666666666666667</v>
      </c>
      <c r="U89" s="14">
        <f t="shared" si="34"/>
        <v>1.666666666666667</v>
      </c>
      <c r="V89" s="14">
        <f t="shared" si="34"/>
        <v>1.666666666666667</v>
      </c>
      <c r="W89" s="14">
        <f t="shared" si="34"/>
        <v>1.666666666666667</v>
      </c>
      <c r="X89" s="14">
        <f t="shared" si="34"/>
        <v>1.666666666666667</v>
      </c>
      <c r="Y89" s="14">
        <f t="shared" si="34"/>
        <v>1.666666666666667</v>
      </c>
      <c r="Z89" s="14">
        <f t="shared" si="34"/>
        <v>1.666666666666667</v>
      </c>
      <c r="AA89" s="14">
        <f t="shared" si="34"/>
        <v>1.666666666666667</v>
      </c>
      <c r="AB89" s="14">
        <f t="shared" si="34"/>
        <v>0</v>
      </c>
      <c r="AC89" s="14">
        <f t="shared" si="34"/>
        <v>0</v>
      </c>
      <c r="AD89" s="14">
        <f t="shared" si="34"/>
        <v>0</v>
      </c>
      <c r="AE89" s="14">
        <f t="shared" si="34"/>
        <v>0</v>
      </c>
      <c r="AF89" s="14">
        <f t="shared" si="34"/>
        <v>0</v>
      </c>
      <c r="AG89" s="14">
        <f t="shared" si="34"/>
        <v>0</v>
      </c>
      <c r="AH89" s="14">
        <f t="shared" si="34"/>
        <v>0</v>
      </c>
      <c r="AI89" s="14">
        <f t="shared" si="34"/>
        <v>0</v>
      </c>
      <c r="AJ89" s="14">
        <f t="shared" si="34"/>
        <v>0</v>
      </c>
      <c r="AK89" s="14">
        <f t="shared" si="34"/>
        <v>0</v>
      </c>
      <c r="AL89" s="14">
        <f t="shared" si="34"/>
        <v>0</v>
      </c>
    </row>
    <row r="90" spans="1:38" ht="21" hidden="1" customHeight="1" outlineLevel="1" thickBot="1" x14ac:dyDescent="0.4">
      <c r="A90" s="5">
        <f t="shared" si="25"/>
        <v>0</v>
      </c>
      <c r="B90" s="5">
        <f t="shared" si="25"/>
        <v>1</v>
      </c>
      <c r="C90" s="5">
        <f t="shared" si="25"/>
        <v>0</v>
      </c>
      <c r="D90" s="5">
        <f t="shared" si="25"/>
        <v>0</v>
      </c>
      <c r="E90" s="6" t="str">
        <f t="shared" si="21"/>
        <v>(l)Se</v>
      </c>
      <c r="F90" s="14">
        <f t="shared" ref="F90:AL90" si="35">F14*$C$78</f>
        <v>5.4280833333333337E-8</v>
      </c>
      <c r="G90" s="14">
        <f t="shared" si="35"/>
        <v>1.5019166666666666E-7</v>
      </c>
      <c r="H90" s="14">
        <f t="shared" si="35"/>
        <v>1.6013333333333336E-7</v>
      </c>
      <c r="I90" s="14">
        <f t="shared" si="35"/>
        <v>1.1773333333333333E-7</v>
      </c>
      <c r="J90" s="14">
        <f t="shared" si="35"/>
        <v>8.9933333333333345E-8</v>
      </c>
      <c r="K90" s="14">
        <f t="shared" si="35"/>
        <v>8.3015000000000006E-8</v>
      </c>
      <c r="L90" s="14">
        <f t="shared" si="35"/>
        <v>8.4133333333333332E-8</v>
      </c>
      <c r="M90" s="14">
        <f t="shared" si="35"/>
        <v>1.7849166666666669E-7</v>
      </c>
      <c r="N90" s="14">
        <f t="shared" si="35"/>
        <v>1.3271666666666667E-7</v>
      </c>
      <c r="O90" s="14">
        <f t="shared" si="35"/>
        <v>9.6450000000000007E-8</v>
      </c>
      <c r="P90" s="14">
        <f t="shared" si="35"/>
        <v>6.9915000000000001E-8</v>
      </c>
      <c r="Q90" s="14">
        <f t="shared" si="35"/>
        <v>5.0721666666666673E-8</v>
      </c>
      <c r="R90" s="14">
        <f t="shared" si="35"/>
        <v>3.6869166666666669E-8</v>
      </c>
      <c r="S90" s="14">
        <f t="shared" si="35"/>
        <v>1.0543333333333333E-8</v>
      </c>
      <c r="T90" s="14">
        <f t="shared" si="35"/>
        <v>3.1295833333333336E-9</v>
      </c>
      <c r="U90" s="14">
        <f t="shared" si="35"/>
        <v>9.5791666666666664E-10</v>
      </c>
      <c r="V90" s="14">
        <f t="shared" si="35"/>
        <v>7.1515833333333339E-10</v>
      </c>
      <c r="W90" s="14">
        <f t="shared" si="35"/>
        <v>5.345083333333334E-10</v>
      </c>
      <c r="X90" s="14">
        <f t="shared" si="35"/>
        <v>3.9987500000000003E-10</v>
      </c>
      <c r="Y90" s="14">
        <f t="shared" si="35"/>
        <v>2.9940000000000002E-10</v>
      </c>
      <c r="Z90" s="14">
        <f t="shared" si="35"/>
        <v>9.4583333333333343E-11</v>
      </c>
      <c r="AA90" s="14">
        <f t="shared" si="35"/>
        <v>2.9949166666666668E-11</v>
      </c>
      <c r="AB90" s="14">
        <f t="shared" si="35"/>
        <v>0</v>
      </c>
      <c r="AC90" s="14">
        <f t="shared" si="35"/>
        <v>0</v>
      </c>
      <c r="AD90" s="14">
        <f t="shared" si="35"/>
        <v>0</v>
      </c>
      <c r="AE90" s="14">
        <f t="shared" si="35"/>
        <v>0</v>
      </c>
      <c r="AF90" s="14">
        <f t="shared" si="35"/>
        <v>0</v>
      </c>
      <c r="AG90" s="14">
        <f t="shared" si="35"/>
        <v>0</v>
      </c>
      <c r="AH90" s="14">
        <f t="shared" si="35"/>
        <v>0</v>
      </c>
      <c r="AI90" s="14">
        <f t="shared" si="35"/>
        <v>0</v>
      </c>
      <c r="AJ90" s="14">
        <f t="shared" si="35"/>
        <v>0</v>
      </c>
      <c r="AK90" s="14">
        <f t="shared" si="35"/>
        <v>0</v>
      </c>
      <c r="AL90" s="14">
        <f t="shared" si="35"/>
        <v>0</v>
      </c>
    </row>
    <row r="91" spans="1:38" ht="21" hidden="1" customHeight="1" outlineLevel="1" thickBot="1" x14ac:dyDescent="0.4">
      <c r="A91" s="5">
        <f t="shared" si="25"/>
        <v>0</v>
      </c>
      <c r="B91" s="5">
        <f t="shared" si="25"/>
        <v>1</v>
      </c>
      <c r="C91" s="5">
        <f t="shared" si="25"/>
        <v>0</v>
      </c>
      <c r="D91" s="5">
        <f t="shared" si="25"/>
        <v>0</v>
      </c>
      <c r="E91" s="6" t="str">
        <f t="shared" si="21"/>
        <v>(l)Se[a]</v>
      </c>
      <c r="F91" s="14">
        <f t="shared" ref="F91:AL91" si="36">F15*$C$78</f>
        <v>1.5042500000000001E-8</v>
      </c>
      <c r="G91" s="14">
        <f t="shared" si="36"/>
        <v>5.1100833333333337E-8</v>
      </c>
      <c r="H91" s="14">
        <f t="shared" si="36"/>
        <v>6.454583333333333E-8</v>
      </c>
      <c r="I91" s="14">
        <f t="shared" si="36"/>
        <v>5.4700833333333337E-8</v>
      </c>
      <c r="J91" s="14">
        <f t="shared" si="36"/>
        <v>4.7144166666666673E-8</v>
      </c>
      <c r="K91" s="14">
        <f t="shared" si="36"/>
        <v>4.8267500000000005E-8</v>
      </c>
      <c r="L91" s="14">
        <f t="shared" si="36"/>
        <v>5.2840833333333338E-8</v>
      </c>
      <c r="M91" s="14">
        <f t="shared" si="36"/>
        <v>1.1015833333333334E-7</v>
      </c>
      <c r="N91" s="14">
        <f t="shared" si="36"/>
        <v>8.035833333333334E-8</v>
      </c>
      <c r="O91" s="14">
        <f t="shared" si="36"/>
        <v>5.7247500000000004E-8</v>
      </c>
      <c r="P91" s="14">
        <f t="shared" si="36"/>
        <v>4.0658333333333335E-8</v>
      </c>
      <c r="Q91" s="14">
        <f t="shared" si="36"/>
        <v>2.8896666666666668E-8</v>
      </c>
      <c r="R91" s="14">
        <f t="shared" si="36"/>
        <v>2.0578333333333337E-8</v>
      </c>
      <c r="S91" s="14">
        <f t="shared" si="36"/>
        <v>5.4338333333333337E-9</v>
      </c>
      <c r="T91" s="14">
        <f t="shared" si="36"/>
        <v>1.4962500000000001E-9</v>
      </c>
      <c r="U91" s="14">
        <f t="shared" si="36"/>
        <v>4.261333333333334E-10</v>
      </c>
      <c r="V91" s="14">
        <f t="shared" si="36"/>
        <v>3.1257500000000003E-10</v>
      </c>
      <c r="W91" s="14">
        <f t="shared" si="36"/>
        <v>2.2957500000000001E-10</v>
      </c>
      <c r="X91" s="14">
        <f t="shared" si="36"/>
        <v>1.6881666666666667E-10</v>
      </c>
      <c r="Y91" s="14">
        <f t="shared" si="36"/>
        <v>1.2425833333333335E-10</v>
      </c>
      <c r="Z91" s="14">
        <f t="shared" si="36"/>
        <v>3.6741666666666673E-11</v>
      </c>
      <c r="AA91" s="14">
        <f t="shared" si="36"/>
        <v>1.0925E-11</v>
      </c>
      <c r="AB91" s="14">
        <f t="shared" si="36"/>
        <v>0</v>
      </c>
      <c r="AC91" s="14">
        <f t="shared" si="36"/>
        <v>0</v>
      </c>
      <c r="AD91" s="14">
        <f t="shared" si="36"/>
        <v>0</v>
      </c>
      <c r="AE91" s="14">
        <f t="shared" si="36"/>
        <v>0</v>
      </c>
      <c r="AF91" s="14">
        <f t="shared" si="36"/>
        <v>0</v>
      </c>
      <c r="AG91" s="14">
        <f t="shared" si="36"/>
        <v>0</v>
      </c>
      <c r="AH91" s="14">
        <f t="shared" si="36"/>
        <v>0</v>
      </c>
      <c r="AI91" s="14">
        <f t="shared" si="36"/>
        <v>0</v>
      </c>
      <c r="AJ91" s="14">
        <f t="shared" si="36"/>
        <v>0</v>
      </c>
      <c r="AK91" s="14">
        <f t="shared" si="36"/>
        <v>0</v>
      </c>
      <c r="AL91" s="14">
        <f t="shared" si="36"/>
        <v>0</v>
      </c>
    </row>
    <row r="92" spans="1:38" ht="21" hidden="1" customHeight="1" outlineLevel="1" thickBot="1" x14ac:dyDescent="0.4">
      <c r="A92" s="5">
        <f t="shared" si="25"/>
        <v>0</v>
      </c>
      <c r="B92" s="5">
        <f t="shared" si="25"/>
        <v>1</v>
      </c>
      <c r="C92" s="5">
        <f t="shared" si="25"/>
        <v>0</v>
      </c>
      <c r="D92" s="5">
        <f t="shared" si="25"/>
        <v>0</v>
      </c>
      <c r="E92" s="6" t="str">
        <f t="shared" si="21"/>
        <v>(l)Se[m]</v>
      </c>
      <c r="F92" s="14">
        <f t="shared" ref="F92:AL92" si="37">F16*$C$78</f>
        <v>6.2923333333333331E-2</v>
      </c>
      <c r="G92" s="14">
        <f t="shared" si="37"/>
        <v>0.26574166666666671</v>
      </c>
      <c r="H92" s="14">
        <f t="shared" si="37"/>
        <v>0.43882500000000002</v>
      </c>
      <c r="I92" s="14">
        <f t="shared" si="37"/>
        <v>0.50200833333333339</v>
      </c>
      <c r="J92" s="14">
        <f t="shared" si="37"/>
        <v>0.59597500000000003</v>
      </c>
      <c r="K92" s="14">
        <f t="shared" si="37"/>
        <v>0.85100000000000009</v>
      </c>
      <c r="L92" s="14">
        <f t="shared" si="37"/>
        <v>1.3090000000000002</v>
      </c>
      <c r="M92" s="14">
        <f t="shared" si="37"/>
        <v>3.8487500000000003</v>
      </c>
      <c r="N92" s="14">
        <f t="shared" si="37"/>
        <v>3.965416666666667</v>
      </c>
      <c r="O92" s="14">
        <f t="shared" si="37"/>
        <v>3.9895000000000005</v>
      </c>
      <c r="P92" s="14">
        <f t="shared" si="37"/>
        <v>3.9965833333333336</v>
      </c>
      <c r="Q92" s="14">
        <f t="shared" si="37"/>
        <v>3.9988333333333337</v>
      </c>
      <c r="R92" s="14">
        <f t="shared" si="37"/>
        <v>3.9995833333333337</v>
      </c>
      <c r="S92" s="14">
        <f t="shared" si="37"/>
        <v>4</v>
      </c>
      <c r="T92" s="14">
        <f t="shared" si="37"/>
        <v>4</v>
      </c>
      <c r="U92" s="14">
        <f t="shared" si="37"/>
        <v>4</v>
      </c>
      <c r="V92" s="14">
        <f t="shared" si="37"/>
        <v>4</v>
      </c>
      <c r="W92" s="14">
        <f t="shared" si="37"/>
        <v>4</v>
      </c>
      <c r="X92" s="14">
        <f t="shared" si="37"/>
        <v>4</v>
      </c>
      <c r="Y92" s="14">
        <f t="shared" si="37"/>
        <v>4</v>
      </c>
      <c r="Z92" s="14">
        <f t="shared" si="37"/>
        <v>4</v>
      </c>
      <c r="AA92" s="14">
        <f t="shared" si="37"/>
        <v>4</v>
      </c>
      <c r="AB92" s="14">
        <f t="shared" si="37"/>
        <v>0</v>
      </c>
      <c r="AC92" s="14">
        <f t="shared" si="37"/>
        <v>0</v>
      </c>
      <c r="AD92" s="14">
        <f t="shared" si="37"/>
        <v>0</v>
      </c>
      <c r="AE92" s="14">
        <f t="shared" si="37"/>
        <v>0</v>
      </c>
      <c r="AF92" s="14">
        <f t="shared" si="37"/>
        <v>0</v>
      </c>
      <c r="AG92" s="14">
        <f t="shared" si="37"/>
        <v>0</v>
      </c>
      <c r="AH92" s="14">
        <f t="shared" si="37"/>
        <v>0</v>
      </c>
      <c r="AI92" s="14">
        <f t="shared" si="37"/>
        <v>0</v>
      </c>
      <c r="AJ92" s="14">
        <f t="shared" si="37"/>
        <v>0</v>
      </c>
      <c r="AK92" s="14">
        <f t="shared" si="37"/>
        <v>0</v>
      </c>
      <c r="AL92" s="14">
        <f t="shared" si="37"/>
        <v>0</v>
      </c>
    </row>
    <row r="93" spans="1:38" ht="21" hidden="1" customHeight="1" outlineLevel="1" thickBot="1" x14ac:dyDescent="0.4">
      <c r="A93" s="5">
        <f t="shared" si="25"/>
        <v>0</v>
      </c>
      <c r="B93" s="5">
        <f t="shared" si="25"/>
        <v>1</v>
      </c>
      <c r="C93" s="5">
        <f t="shared" si="25"/>
        <v>0</v>
      </c>
      <c r="D93" s="5">
        <f t="shared" si="25"/>
        <v>0</v>
      </c>
      <c r="E93" s="6" t="str">
        <f t="shared" si="21"/>
        <v>(l)Se[r]</v>
      </c>
      <c r="F93" s="14">
        <f t="shared" ref="F93:AL93" si="38">F17*$C$78</f>
        <v>2.5170000000000002E-10</v>
      </c>
      <c r="G93" s="14">
        <f t="shared" si="38"/>
        <v>1.36525E-9</v>
      </c>
      <c r="H93" s="14">
        <f t="shared" si="38"/>
        <v>2.5655000000000003E-9</v>
      </c>
      <c r="I93" s="14">
        <f t="shared" si="38"/>
        <v>3.0640000000000002E-9</v>
      </c>
      <c r="J93" s="14">
        <f t="shared" si="38"/>
        <v>3.5663333333333333E-9</v>
      </c>
      <c r="K93" s="14">
        <f t="shared" si="38"/>
        <v>4.7655000000000006E-9</v>
      </c>
      <c r="L93" s="14">
        <f t="shared" si="38"/>
        <v>6.6217500000000002E-9</v>
      </c>
      <c r="M93" s="14">
        <f t="shared" si="38"/>
        <v>1.7120833333333334E-8</v>
      </c>
      <c r="N93" s="14">
        <f t="shared" si="38"/>
        <v>1.5190833333333336E-8</v>
      </c>
      <c r="O93" s="14">
        <f t="shared" si="38"/>
        <v>1.2948333333333334E-8</v>
      </c>
      <c r="P93" s="14">
        <f t="shared" si="38"/>
        <v>1.08475E-8</v>
      </c>
      <c r="Q93" s="14">
        <f t="shared" si="38"/>
        <v>8.9825000000000012E-9</v>
      </c>
      <c r="R93" s="14">
        <f t="shared" si="38"/>
        <v>7.3739166666666672E-9</v>
      </c>
      <c r="S93" s="14">
        <f t="shared" si="38"/>
        <v>3.1597500000000004E-9</v>
      </c>
      <c r="T93" s="14">
        <f t="shared" si="38"/>
        <v>1.28025E-9</v>
      </c>
      <c r="U93" s="14">
        <f t="shared" si="38"/>
        <v>5.0196666666666668E-10</v>
      </c>
      <c r="V93" s="14">
        <f t="shared" si="38"/>
        <v>3.9563333333333335E-10</v>
      </c>
      <c r="W93" s="14">
        <f t="shared" si="38"/>
        <v>3.1137500000000002E-10</v>
      </c>
      <c r="X93" s="14">
        <f t="shared" si="38"/>
        <v>2.44725E-10</v>
      </c>
      <c r="Y93" s="14">
        <f t="shared" si="38"/>
        <v>1.9206666666666667E-10</v>
      </c>
      <c r="Z93" s="14">
        <f t="shared" si="38"/>
        <v>7.1891666666666669E-11</v>
      </c>
      <c r="AA93" s="14">
        <f t="shared" si="38"/>
        <v>2.6315000000000002E-11</v>
      </c>
      <c r="AB93" s="14">
        <f t="shared" si="38"/>
        <v>0</v>
      </c>
      <c r="AC93" s="14">
        <f t="shared" si="38"/>
        <v>0</v>
      </c>
      <c r="AD93" s="14">
        <f t="shared" si="38"/>
        <v>0</v>
      </c>
      <c r="AE93" s="14">
        <f t="shared" si="38"/>
        <v>0</v>
      </c>
      <c r="AF93" s="14">
        <f t="shared" si="38"/>
        <v>0</v>
      </c>
      <c r="AG93" s="14">
        <f t="shared" si="38"/>
        <v>0</v>
      </c>
      <c r="AH93" s="14">
        <f t="shared" si="38"/>
        <v>0</v>
      </c>
      <c r="AI93" s="14">
        <f t="shared" si="38"/>
        <v>0</v>
      </c>
      <c r="AJ93" s="14">
        <f t="shared" si="38"/>
        <v>0</v>
      </c>
      <c r="AK93" s="14">
        <f t="shared" si="38"/>
        <v>0</v>
      </c>
      <c r="AL93" s="14">
        <f t="shared" si="38"/>
        <v>0</v>
      </c>
    </row>
    <row r="94" spans="1:38" ht="21" hidden="1" customHeight="1" outlineLevel="1" thickBot="1" x14ac:dyDescent="0.4">
      <c r="A94" s="5">
        <f t="shared" si="25"/>
        <v>0</v>
      </c>
      <c r="B94" s="5">
        <f t="shared" si="25"/>
        <v>0</v>
      </c>
      <c r="C94" s="5">
        <f t="shared" si="25"/>
        <v>1</v>
      </c>
      <c r="D94" s="5">
        <f t="shared" si="25"/>
        <v>0</v>
      </c>
      <c r="E94" s="6" t="str">
        <f t="shared" si="21"/>
        <v>(l)Ge[c]</v>
      </c>
      <c r="F94" s="14">
        <f t="shared" ref="F94:AL94" si="39">F18*$C$78</f>
        <v>6.5636666666666678E-6</v>
      </c>
      <c r="G94" s="14">
        <f t="shared" si="39"/>
        <v>6.2263333333333331E-5</v>
      </c>
      <c r="H94" s="14">
        <f t="shared" si="39"/>
        <v>7.8948333333333338E-4</v>
      </c>
      <c r="I94" s="14">
        <f t="shared" si="39"/>
        <v>7.768916666666667E-3</v>
      </c>
      <c r="J94" s="14">
        <f t="shared" si="39"/>
        <v>4.9586666666666668E-2</v>
      </c>
      <c r="K94" s="14">
        <f t="shared" si="39"/>
        <v>0.17559166666666667</v>
      </c>
      <c r="L94" s="14">
        <f t="shared" si="39"/>
        <v>0.34485833333333338</v>
      </c>
      <c r="M94" s="14">
        <f t="shared" si="39"/>
        <v>0.44077500000000003</v>
      </c>
      <c r="N94" s="14">
        <f t="shared" si="39"/>
        <v>0.48271666666666668</v>
      </c>
      <c r="O94" s="14">
        <f t="shared" si="39"/>
        <v>0.49476666666666669</v>
      </c>
      <c r="P94" s="14">
        <f t="shared" si="39"/>
        <v>0.49829166666666669</v>
      </c>
      <c r="Q94" s="14">
        <f t="shared" si="39"/>
        <v>0.49940000000000007</v>
      </c>
      <c r="R94" s="14">
        <f t="shared" si="39"/>
        <v>0.49977500000000002</v>
      </c>
      <c r="S94" s="14">
        <f t="shared" si="39"/>
        <v>0.49999166666666667</v>
      </c>
      <c r="T94" s="14">
        <f t="shared" si="39"/>
        <v>0.5</v>
      </c>
      <c r="U94" s="14">
        <f t="shared" si="39"/>
        <v>0.5</v>
      </c>
      <c r="V94" s="14">
        <f t="shared" si="39"/>
        <v>0.5</v>
      </c>
      <c r="W94" s="14">
        <f t="shared" si="39"/>
        <v>0.5</v>
      </c>
      <c r="X94" s="14">
        <f t="shared" si="39"/>
        <v>0.5</v>
      </c>
      <c r="Y94" s="14">
        <f t="shared" si="39"/>
        <v>0.5</v>
      </c>
      <c r="Z94" s="14">
        <f t="shared" si="39"/>
        <v>0.5</v>
      </c>
      <c r="AA94" s="14">
        <f t="shared" si="39"/>
        <v>0.5</v>
      </c>
      <c r="AB94" s="14">
        <f t="shared" si="39"/>
        <v>0</v>
      </c>
      <c r="AC94" s="14">
        <f t="shared" si="39"/>
        <v>0</v>
      </c>
      <c r="AD94" s="14">
        <f t="shared" si="39"/>
        <v>0</v>
      </c>
      <c r="AE94" s="14">
        <f t="shared" si="39"/>
        <v>0</v>
      </c>
      <c r="AF94" s="14">
        <f t="shared" si="39"/>
        <v>0</v>
      </c>
      <c r="AG94" s="14">
        <f t="shared" si="39"/>
        <v>0</v>
      </c>
      <c r="AH94" s="14">
        <f t="shared" si="39"/>
        <v>0</v>
      </c>
      <c r="AI94" s="14">
        <f t="shared" si="39"/>
        <v>0</v>
      </c>
      <c r="AJ94" s="14">
        <f t="shared" si="39"/>
        <v>0</v>
      </c>
      <c r="AK94" s="14">
        <f t="shared" si="39"/>
        <v>0</v>
      </c>
      <c r="AL94" s="14">
        <f t="shared" si="39"/>
        <v>0</v>
      </c>
    </row>
    <row r="95" spans="1:38" ht="21" hidden="1" customHeight="1" outlineLevel="1" thickBot="1" x14ac:dyDescent="0.4">
      <c r="A95" s="5">
        <f t="shared" si="25"/>
        <v>1</v>
      </c>
      <c r="B95" s="5">
        <f t="shared" si="25"/>
        <v>0</v>
      </c>
      <c r="C95" s="5">
        <f t="shared" si="25"/>
        <v>0</v>
      </c>
      <c r="D95" s="5">
        <f t="shared" si="25"/>
        <v>0</v>
      </c>
      <c r="E95" s="6" t="str">
        <f t="shared" si="21"/>
        <v>H (Ar)</v>
      </c>
      <c r="F95" s="14">
        <f t="shared" ref="F95:AL95" si="40">F19*$C$78</f>
        <v>-157.33333333333334</v>
      </c>
      <c r="G95" s="14">
        <f t="shared" si="40"/>
        <v>-157.25000000000003</v>
      </c>
      <c r="H95" s="14">
        <f t="shared" si="40"/>
        <v>-157.5</v>
      </c>
      <c r="I95" s="14">
        <f t="shared" si="40"/>
        <v>-157.83333333333334</v>
      </c>
      <c r="J95" s="14">
        <f t="shared" si="40"/>
        <v>-158.25</v>
      </c>
      <c r="K95" s="14">
        <f t="shared" si="40"/>
        <v>-158.66666666666666</v>
      </c>
      <c r="L95" s="14">
        <f t="shared" si="40"/>
        <v>-158.91666666666669</v>
      </c>
      <c r="M95" s="14">
        <f t="shared" si="40"/>
        <v>-158.00000000000003</v>
      </c>
      <c r="N95" s="14">
        <f t="shared" si="40"/>
        <v>-158.58333333333334</v>
      </c>
      <c r="O95" s="14">
        <f t="shared" si="40"/>
        <v>-159.16666666666669</v>
      </c>
      <c r="P95" s="14">
        <f t="shared" si="40"/>
        <v>-159.75000000000003</v>
      </c>
      <c r="Q95" s="14">
        <f t="shared" si="40"/>
        <v>-160.33333333333334</v>
      </c>
      <c r="R95" s="14">
        <f t="shared" si="40"/>
        <v>-160.91666666666666</v>
      </c>
      <c r="S95" s="14">
        <f t="shared" si="40"/>
        <v>-163.08333333333334</v>
      </c>
      <c r="T95" s="14">
        <f t="shared" si="40"/>
        <v>-165.16666666666669</v>
      </c>
      <c r="U95" s="14">
        <f t="shared" si="40"/>
        <v>-167.08333333333334</v>
      </c>
      <c r="V95" s="14">
        <f t="shared" si="40"/>
        <v>-167.58333333333334</v>
      </c>
      <c r="W95" s="14">
        <f t="shared" si="40"/>
        <v>-168</v>
      </c>
      <c r="X95" s="14">
        <f t="shared" si="40"/>
        <v>-168.41666666666669</v>
      </c>
      <c r="Y95" s="14">
        <f t="shared" si="40"/>
        <v>-168.83333333333337</v>
      </c>
      <c r="Z95" s="14">
        <f t="shared" si="40"/>
        <v>-170.50000000000003</v>
      </c>
      <c r="AA95" s="14">
        <f t="shared" si="40"/>
        <v>-172.08333333333334</v>
      </c>
      <c r="AB95" s="14">
        <f t="shared" si="40"/>
        <v>0</v>
      </c>
      <c r="AC95" s="14">
        <f t="shared" si="40"/>
        <v>0</v>
      </c>
      <c r="AD95" s="14">
        <f t="shared" si="40"/>
        <v>0</v>
      </c>
      <c r="AE95" s="14">
        <f t="shared" si="40"/>
        <v>0</v>
      </c>
      <c r="AF95" s="14">
        <f t="shared" si="40"/>
        <v>0</v>
      </c>
      <c r="AG95" s="14">
        <f t="shared" si="40"/>
        <v>0</v>
      </c>
      <c r="AH95" s="14">
        <f t="shared" si="40"/>
        <v>0</v>
      </c>
      <c r="AI95" s="14">
        <f t="shared" si="40"/>
        <v>0</v>
      </c>
      <c r="AJ95" s="14">
        <f t="shared" si="40"/>
        <v>0</v>
      </c>
      <c r="AK95" s="14">
        <f t="shared" si="40"/>
        <v>0</v>
      </c>
      <c r="AL95" s="14">
        <f t="shared" si="40"/>
        <v>0</v>
      </c>
    </row>
    <row r="96" spans="1:38" ht="21" hidden="1" customHeight="1" outlineLevel="1" thickBot="1" x14ac:dyDescent="0.4">
      <c r="A96" s="5">
        <f t="shared" si="25"/>
        <v>0</v>
      </c>
      <c r="B96" s="5">
        <f t="shared" si="25"/>
        <v>0</v>
      </c>
      <c r="C96" s="5">
        <f t="shared" si="25"/>
        <v>0</v>
      </c>
      <c r="D96" s="5">
        <f t="shared" si="25"/>
        <v>1</v>
      </c>
      <c r="E96" s="6" t="str">
        <f t="shared" si="21"/>
        <v>H (Ga)</v>
      </c>
      <c r="F96" s="14">
        <f t="shared" ref="F96:AL96" si="41">F20*$C$78</f>
        <v>-506.58333333333337</v>
      </c>
      <c r="G96" s="14">
        <f t="shared" si="41"/>
        <v>-448.50000000000006</v>
      </c>
      <c r="H96" s="14">
        <f t="shared" si="41"/>
        <v>-391.75</v>
      </c>
      <c r="I96" s="14">
        <f t="shared" si="41"/>
        <v>-340.83333333333337</v>
      </c>
      <c r="J96" s="14">
        <f t="shared" si="41"/>
        <v>-297.58333333333337</v>
      </c>
      <c r="K96" s="14">
        <f t="shared" si="41"/>
        <v>-261.58333333333337</v>
      </c>
      <c r="L96" s="14">
        <f t="shared" si="41"/>
        <v>-230.50000000000003</v>
      </c>
      <c r="M96" s="14">
        <f t="shared" si="41"/>
        <v>-223.25</v>
      </c>
      <c r="N96" s="14">
        <f t="shared" si="41"/>
        <v>-234.25</v>
      </c>
      <c r="O96" s="14">
        <f t="shared" si="41"/>
        <v>-245.08333333333334</v>
      </c>
      <c r="P96" s="14">
        <f t="shared" si="41"/>
        <v>-255.75000000000003</v>
      </c>
      <c r="Q96" s="14">
        <f t="shared" si="41"/>
        <v>-266.16666666666669</v>
      </c>
      <c r="R96" s="14">
        <f t="shared" si="41"/>
        <v>-276.33333333333331</v>
      </c>
      <c r="S96" s="14">
        <f t="shared" si="41"/>
        <v>-313.91666666666669</v>
      </c>
      <c r="T96" s="14">
        <f t="shared" si="41"/>
        <v>-345.25</v>
      </c>
      <c r="U96" s="14">
        <f t="shared" si="41"/>
        <v>-369.41666666666669</v>
      </c>
      <c r="V96" s="14">
        <f t="shared" si="41"/>
        <v>-374.16666666666669</v>
      </c>
      <c r="W96" s="14">
        <f t="shared" si="41"/>
        <v>-378.50000000000006</v>
      </c>
      <c r="X96" s="14">
        <f t="shared" si="41"/>
        <v>-382.16666666666669</v>
      </c>
      <c r="Y96" s="14">
        <f t="shared" si="41"/>
        <v>-385.41666666666669</v>
      </c>
      <c r="Z96" s="14">
        <f t="shared" si="41"/>
        <v>-392.58333333333337</v>
      </c>
      <c r="AA96" s="14">
        <f t="shared" si="41"/>
        <v>-390.41666666666669</v>
      </c>
      <c r="AB96" s="14">
        <f t="shared" si="41"/>
        <v>0</v>
      </c>
      <c r="AC96" s="14">
        <f t="shared" si="41"/>
        <v>0</v>
      </c>
      <c r="AD96" s="14">
        <f t="shared" si="41"/>
        <v>0</v>
      </c>
      <c r="AE96" s="14">
        <f t="shared" si="41"/>
        <v>0</v>
      </c>
      <c r="AF96" s="14">
        <f t="shared" si="41"/>
        <v>0</v>
      </c>
      <c r="AG96" s="14">
        <f t="shared" si="41"/>
        <v>0</v>
      </c>
      <c r="AH96" s="14">
        <f t="shared" si="41"/>
        <v>0</v>
      </c>
      <c r="AI96" s="14">
        <f t="shared" si="41"/>
        <v>0</v>
      </c>
      <c r="AJ96" s="14">
        <f t="shared" si="41"/>
        <v>0</v>
      </c>
      <c r="AK96" s="14">
        <f t="shared" si="41"/>
        <v>0</v>
      </c>
      <c r="AL96" s="14">
        <f t="shared" si="41"/>
        <v>0</v>
      </c>
    </row>
    <row r="97" spans="1:54" ht="21" hidden="1" customHeight="1" outlineLevel="1" thickBot="1" x14ac:dyDescent="0.4">
      <c r="A97" s="5">
        <f t="shared" ref="A97:D109" si="42">A63</f>
        <v>0</v>
      </c>
      <c r="B97" s="5">
        <f t="shared" si="42"/>
        <v>0</v>
      </c>
      <c r="C97" s="5">
        <f t="shared" si="42"/>
        <v>1</v>
      </c>
      <c r="D97" s="5">
        <f t="shared" si="42"/>
        <v>0</v>
      </c>
      <c r="E97" s="6" t="str">
        <f t="shared" si="21"/>
        <v>H (Ge)</v>
      </c>
      <c r="F97" s="14">
        <f t="shared" ref="F97:AL97" si="43">F21*$C$78</f>
        <v>-133.33333333333334</v>
      </c>
      <c r="G97" s="14">
        <f t="shared" si="43"/>
        <v>-116.00000000000001</v>
      </c>
      <c r="H97" s="14">
        <f t="shared" si="43"/>
        <v>-96.166666666666671</v>
      </c>
      <c r="I97" s="14">
        <f t="shared" si="43"/>
        <v>-77.88333333333334</v>
      </c>
      <c r="J97" s="14">
        <f t="shared" si="43"/>
        <v>-63.433333333333337</v>
      </c>
      <c r="K97" s="14">
        <f t="shared" si="43"/>
        <v>-54.608333333333334</v>
      </c>
      <c r="L97" s="14">
        <f t="shared" si="43"/>
        <v>-51.466666666666669</v>
      </c>
      <c r="M97" s="14">
        <f t="shared" si="43"/>
        <v>-56.94166666666667</v>
      </c>
      <c r="N97" s="14">
        <f t="shared" si="43"/>
        <v>-57.025000000000006</v>
      </c>
      <c r="O97" s="14">
        <f t="shared" si="43"/>
        <v>-57.533333333333339</v>
      </c>
      <c r="P97" s="14">
        <f t="shared" si="43"/>
        <v>-58.175000000000004</v>
      </c>
      <c r="Q97" s="14">
        <f t="shared" si="43"/>
        <v>-58.850000000000009</v>
      </c>
      <c r="R97" s="14">
        <f t="shared" si="43"/>
        <v>-59.525000000000006</v>
      </c>
      <c r="S97" s="14">
        <f t="shared" si="43"/>
        <v>-62.19166666666667</v>
      </c>
      <c r="T97" s="14">
        <f t="shared" si="43"/>
        <v>-64.708333333333329</v>
      </c>
      <c r="U97" s="14">
        <f t="shared" si="43"/>
        <v>-67.066666666666677</v>
      </c>
      <c r="V97" s="14">
        <f t="shared" si="43"/>
        <v>-67.63333333333334</v>
      </c>
      <c r="W97" s="14">
        <f t="shared" si="43"/>
        <v>-68.183333333333337</v>
      </c>
      <c r="X97" s="14">
        <f t="shared" si="43"/>
        <v>-68.733333333333334</v>
      </c>
      <c r="Y97" s="14">
        <f t="shared" si="43"/>
        <v>-69.275000000000006</v>
      </c>
      <c r="Z97" s="14">
        <f t="shared" si="43"/>
        <v>-71.341666666666669</v>
      </c>
      <c r="AA97" s="14">
        <f t="shared" si="43"/>
        <v>-73.291666666666671</v>
      </c>
      <c r="AB97" s="14">
        <f t="shared" si="43"/>
        <v>0</v>
      </c>
      <c r="AC97" s="14">
        <f t="shared" si="43"/>
        <v>0</v>
      </c>
      <c r="AD97" s="14">
        <f t="shared" si="43"/>
        <v>0</v>
      </c>
      <c r="AE97" s="14">
        <f t="shared" si="43"/>
        <v>0</v>
      </c>
      <c r="AF97" s="14">
        <f t="shared" si="43"/>
        <v>0</v>
      </c>
      <c r="AG97" s="14">
        <f t="shared" si="43"/>
        <v>0</v>
      </c>
      <c r="AH97" s="14">
        <f t="shared" si="43"/>
        <v>0</v>
      </c>
      <c r="AI97" s="14">
        <f t="shared" si="43"/>
        <v>0</v>
      </c>
      <c r="AJ97" s="14">
        <f t="shared" si="43"/>
        <v>0</v>
      </c>
      <c r="AK97" s="14">
        <f t="shared" si="43"/>
        <v>0</v>
      </c>
      <c r="AL97" s="14">
        <f t="shared" si="43"/>
        <v>0</v>
      </c>
    </row>
    <row r="98" spans="1:54" ht="21" hidden="1" customHeight="1" outlineLevel="1" thickBot="1" x14ac:dyDescent="0.4">
      <c r="A98" s="5">
        <f t="shared" si="42"/>
        <v>0</v>
      </c>
      <c r="B98" s="5">
        <f t="shared" si="42"/>
        <v>1</v>
      </c>
      <c r="C98" s="5">
        <f t="shared" si="42"/>
        <v>0</v>
      </c>
      <c r="D98" s="5">
        <f t="shared" si="42"/>
        <v>0</v>
      </c>
      <c r="E98" s="6" t="str">
        <f t="shared" si="21"/>
        <v>H (Se)</v>
      </c>
      <c r="F98" s="14">
        <f t="shared" ref="F98:AL98" si="44">F22*$C$78</f>
        <v>-184.50000000000003</v>
      </c>
      <c r="G98" s="14">
        <f t="shared" si="44"/>
        <v>-177.50000000000003</v>
      </c>
      <c r="H98" s="14">
        <f t="shared" si="44"/>
        <v>-178.25000000000003</v>
      </c>
      <c r="I98" s="14">
        <f t="shared" si="44"/>
        <v>-181.66666666666669</v>
      </c>
      <c r="J98" s="14">
        <f t="shared" si="44"/>
        <v>-184.91666666666669</v>
      </c>
      <c r="K98" s="14">
        <f t="shared" si="44"/>
        <v>-187.33333333333334</v>
      </c>
      <c r="L98" s="14">
        <f t="shared" si="44"/>
        <v>-189.91666666666669</v>
      </c>
      <c r="M98" s="14">
        <f t="shared" si="44"/>
        <v>-192</v>
      </c>
      <c r="N98" s="14">
        <f t="shared" si="44"/>
        <v>-196.08333333333334</v>
      </c>
      <c r="O98" s="14">
        <f t="shared" si="44"/>
        <v>-200.25000000000003</v>
      </c>
      <c r="P98" s="14">
        <f t="shared" si="44"/>
        <v>-204.25000000000003</v>
      </c>
      <c r="Q98" s="14">
        <f t="shared" si="44"/>
        <v>-208.25</v>
      </c>
      <c r="R98" s="14">
        <f t="shared" si="44"/>
        <v>-212.25</v>
      </c>
      <c r="S98" s="14">
        <f t="shared" si="44"/>
        <v>-227.33333333333337</v>
      </c>
      <c r="T98" s="14">
        <f t="shared" si="44"/>
        <v>-241.66666666666669</v>
      </c>
      <c r="U98" s="14">
        <f t="shared" si="44"/>
        <v>-255.25</v>
      </c>
      <c r="V98" s="14">
        <f t="shared" si="44"/>
        <v>-258.58333333333337</v>
      </c>
      <c r="W98" s="14">
        <f t="shared" si="44"/>
        <v>-261.83333333333337</v>
      </c>
      <c r="X98" s="14">
        <f t="shared" si="44"/>
        <v>-265.08333333333331</v>
      </c>
      <c r="Y98" s="14">
        <f t="shared" si="44"/>
        <v>-268.33333333333337</v>
      </c>
      <c r="Z98" s="14">
        <f t="shared" si="44"/>
        <v>-281.08333333333331</v>
      </c>
      <c r="AA98" s="14">
        <f t="shared" si="44"/>
        <v>-293.5</v>
      </c>
      <c r="AB98" s="14">
        <f t="shared" si="44"/>
        <v>0</v>
      </c>
      <c r="AC98" s="14">
        <f t="shared" si="44"/>
        <v>0</v>
      </c>
      <c r="AD98" s="14">
        <f t="shared" si="44"/>
        <v>0</v>
      </c>
      <c r="AE98" s="14">
        <f t="shared" si="44"/>
        <v>0</v>
      </c>
      <c r="AF98" s="14">
        <f t="shared" si="44"/>
        <v>0</v>
      </c>
      <c r="AG98" s="14">
        <f t="shared" si="44"/>
        <v>0</v>
      </c>
      <c r="AH98" s="14">
        <f t="shared" si="44"/>
        <v>0</v>
      </c>
      <c r="AI98" s="14">
        <f t="shared" si="44"/>
        <v>0</v>
      </c>
      <c r="AJ98" s="14">
        <f t="shared" si="44"/>
        <v>0</v>
      </c>
      <c r="AK98" s="14">
        <f t="shared" si="44"/>
        <v>0</v>
      </c>
      <c r="AL98" s="14">
        <f t="shared" si="44"/>
        <v>0</v>
      </c>
    </row>
    <row r="99" spans="1:54" ht="21" hidden="1" customHeight="1" outlineLevel="1" thickBot="1" x14ac:dyDescent="0.4">
      <c r="A99" s="5">
        <f t="shared" si="42"/>
        <v>0</v>
      </c>
      <c r="B99" s="5">
        <f t="shared" si="42"/>
        <v>0</v>
      </c>
      <c r="C99" s="5">
        <f t="shared" si="42"/>
        <v>0</v>
      </c>
      <c r="D99" s="5">
        <f t="shared" si="42"/>
        <v>0</v>
      </c>
      <c r="E99" s="6">
        <f t="shared" si="21"/>
        <v>0</v>
      </c>
      <c r="F99" s="14">
        <f t="shared" ref="F99:AL99" si="45">F23*$C$78</f>
        <v>0</v>
      </c>
      <c r="G99" s="14">
        <f t="shared" si="45"/>
        <v>0</v>
      </c>
      <c r="H99" s="14">
        <f t="shared" si="45"/>
        <v>0</v>
      </c>
      <c r="I99" s="14">
        <f t="shared" si="45"/>
        <v>0</v>
      </c>
      <c r="J99" s="14">
        <f t="shared" si="45"/>
        <v>0</v>
      </c>
      <c r="K99" s="14">
        <f t="shared" si="45"/>
        <v>0</v>
      </c>
      <c r="L99" s="14">
        <f t="shared" si="45"/>
        <v>0</v>
      </c>
      <c r="M99" s="14">
        <f t="shared" si="45"/>
        <v>0</v>
      </c>
      <c r="N99" s="14">
        <f t="shared" si="45"/>
        <v>0</v>
      </c>
      <c r="O99" s="14">
        <f t="shared" si="45"/>
        <v>0</v>
      </c>
      <c r="P99" s="14">
        <f t="shared" si="45"/>
        <v>0</v>
      </c>
      <c r="Q99" s="14">
        <f t="shared" si="45"/>
        <v>0</v>
      </c>
      <c r="R99" s="14">
        <f t="shared" si="45"/>
        <v>0</v>
      </c>
      <c r="S99" s="14">
        <f t="shared" si="45"/>
        <v>0</v>
      </c>
      <c r="T99" s="14">
        <f t="shared" si="45"/>
        <v>0</v>
      </c>
      <c r="U99" s="14">
        <f t="shared" si="45"/>
        <v>0</v>
      </c>
      <c r="V99" s="14">
        <f t="shared" si="45"/>
        <v>0</v>
      </c>
      <c r="W99" s="14">
        <f t="shared" si="45"/>
        <v>0</v>
      </c>
      <c r="X99" s="14">
        <f t="shared" si="45"/>
        <v>0</v>
      </c>
      <c r="Y99" s="14">
        <f t="shared" si="45"/>
        <v>0</v>
      </c>
      <c r="Z99" s="14">
        <f t="shared" si="45"/>
        <v>0</v>
      </c>
      <c r="AA99" s="14">
        <f t="shared" si="45"/>
        <v>0</v>
      </c>
      <c r="AB99" s="14">
        <f t="shared" si="45"/>
        <v>0</v>
      </c>
      <c r="AC99" s="14">
        <f t="shared" si="45"/>
        <v>0</v>
      </c>
      <c r="AD99" s="14">
        <f t="shared" si="45"/>
        <v>0</v>
      </c>
      <c r="AE99" s="14">
        <f t="shared" si="45"/>
        <v>0</v>
      </c>
      <c r="AF99" s="14">
        <f t="shared" si="45"/>
        <v>0</v>
      </c>
      <c r="AG99" s="14">
        <f t="shared" si="45"/>
        <v>0</v>
      </c>
      <c r="AH99" s="14">
        <f t="shared" si="45"/>
        <v>0</v>
      </c>
      <c r="AI99" s="14">
        <f t="shared" si="45"/>
        <v>0</v>
      </c>
      <c r="AJ99" s="14">
        <f t="shared" si="45"/>
        <v>0</v>
      </c>
      <c r="AK99" s="14">
        <f t="shared" si="45"/>
        <v>0</v>
      </c>
      <c r="AL99" s="14">
        <f t="shared" si="45"/>
        <v>0</v>
      </c>
    </row>
    <row r="100" spans="1:54" ht="21" hidden="1" customHeight="1" outlineLevel="1" thickBot="1" x14ac:dyDescent="0.4">
      <c r="A100" s="5">
        <f t="shared" si="42"/>
        <v>0</v>
      </c>
      <c r="B100" s="5">
        <f t="shared" si="42"/>
        <v>0</v>
      </c>
      <c r="C100" s="5">
        <f t="shared" si="42"/>
        <v>0</v>
      </c>
      <c r="D100" s="5">
        <f t="shared" si="42"/>
        <v>0</v>
      </c>
      <c r="E100" s="6">
        <f t="shared" si="21"/>
        <v>0</v>
      </c>
      <c r="F100" s="14">
        <f t="shared" ref="F100:AL100" si="46">F24*$C$78</f>
        <v>0</v>
      </c>
      <c r="G100" s="14">
        <f t="shared" si="46"/>
        <v>0</v>
      </c>
      <c r="H100" s="14">
        <f t="shared" si="46"/>
        <v>0</v>
      </c>
      <c r="I100" s="14">
        <f t="shared" si="46"/>
        <v>0</v>
      </c>
      <c r="J100" s="14">
        <f t="shared" si="46"/>
        <v>0</v>
      </c>
      <c r="K100" s="14">
        <f t="shared" si="46"/>
        <v>0</v>
      </c>
      <c r="L100" s="14">
        <f t="shared" si="46"/>
        <v>0</v>
      </c>
      <c r="M100" s="14">
        <f t="shared" si="46"/>
        <v>0</v>
      </c>
      <c r="N100" s="14">
        <f t="shared" si="46"/>
        <v>0</v>
      </c>
      <c r="O100" s="14">
        <f t="shared" si="46"/>
        <v>0</v>
      </c>
      <c r="P100" s="14">
        <f t="shared" si="46"/>
        <v>0</v>
      </c>
      <c r="Q100" s="14">
        <f t="shared" si="46"/>
        <v>0</v>
      </c>
      <c r="R100" s="14">
        <f t="shared" si="46"/>
        <v>0</v>
      </c>
      <c r="S100" s="14">
        <f t="shared" si="46"/>
        <v>0</v>
      </c>
      <c r="T100" s="14">
        <f t="shared" si="46"/>
        <v>0</v>
      </c>
      <c r="U100" s="14">
        <f t="shared" si="46"/>
        <v>0</v>
      </c>
      <c r="V100" s="14">
        <f t="shared" si="46"/>
        <v>0</v>
      </c>
      <c r="W100" s="14">
        <f t="shared" si="46"/>
        <v>0</v>
      </c>
      <c r="X100" s="14">
        <f t="shared" si="46"/>
        <v>0</v>
      </c>
      <c r="Y100" s="14">
        <f t="shared" si="46"/>
        <v>0</v>
      </c>
      <c r="Z100" s="14">
        <f t="shared" si="46"/>
        <v>0</v>
      </c>
      <c r="AA100" s="14">
        <f t="shared" si="46"/>
        <v>0</v>
      </c>
      <c r="AB100" s="14">
        <f t="shared" si="46"/>
        <v>0</v>
      </c>
      <c r="AC100" s="14">
        <f t="shared" si="46"/>
        <v>0</v>
      </c>
      <c r="AD100" s="14">
        <f t="shared" si="46"/>
        <v>0</v>
      </c>
      <c r="AE100" s="14">
        <f t="shared" si="46"/>
        <v>0</v>
      </c>
      <c r="AF100" s="14">
        <f t="shared" si="46"/>
        <v>0</v>
      </c>
      <c r="AG100" s="14">
        <f t="shared" si="46"/>
        <v>0</v>
      </c>
      <c r="AH100" s="14">
        <f t="shared" si="46"/>
        <v>0</v>
      </c>
      <c r="AI100" s="14">
        <f t="shared" si="46"/>
        <v>0</v>
      </c>
      <c r="AJ100" s="14">
        <f t="shared" si="46"/>
        <v>0</v>
      </c>
      <c r="AK100" s="14">
        <f t="shared" si="46"/>
        <v>0</v>
      </c>
      <c r="AL100" s="14">
        <f t="shared" si="46"/>
        <v>0</v>
      </c>
    </row>
    <row r="101" spans="1:54" ht="21" hidden="1" customHeight="1" outlineLevel="1" thickBot="1" x14ac:dyDescent="0.4">
      <c r="A101" s="5">
        <f t="shared" si="42"/>
        <v>0</v>
      </c>
      <c r="B101" s="5">
        <f t="shared" si="42"/>
        <v>0</v>
      </c>
      <c r="C101" s="5">
        <f t="shared" si="42"/>
        <v>0</v>
      </c>
      <c r="D101" s="5">
        <f t="shared" si="42"/>
        <v>0</v>
      </c>
      <c r="E101" s="6">
        <f t="shared" si="21"/>
        <v>0</v>
      </c>
      <c r="F101" s="14">
        <f t="shared" ref="F101:AL101" si="47">F25*$C$78</f>
        <v>0</v>
      </c>
      <c r="G101" s="14">
        <f t="shared" si="47"/>
        <v>0</v>
      </c>
      <c r="H101" s="14">
        <f t="shared" si="47"/>
        <v>0</v>
      </c>
      <c r="I101" s="14">
        <f t="shared" si="47"/>
        <v>0</v>
      </c>
      <c r="J101" s="14">
        <f t="shared" si="47"/>
        <v>0</v>
      </c>
      <c r="K101" s="14">
        <f t="shared" si="47"/>
        <v>0</v>
      </c>
      <c r="L101" s="14">
        <f t="shared" si="47"/>
        <v>0</v>
      </c>
      <c r="M101" s="14">
        <f t="shared" si="47"/>
        <v>0</v>
      </c>
      <c r="N101" s="14">
        <f t="shared" si="47"/>
        <v>0</v>
      </c>
      <c r="O101" s="14">
        <f t="shared" si="47"/>
        <v>0</v>
      </c>
      <c r="P101" s="14">
        <f t="shared" si="47"/>
        <v>0</v>
      </c>
      <c r="Q101" s="14">
        <f t="shared" si="47"/>
        <v>0</v>
      </c>
      <c r="R101" s="14">
        <f t="shared" si="47"/>
        <v>0</v>
      </c>
      <c r="S101" s="14">
        <f t="shared" si="47"/>
        <v>0</v>
      </c>
      <c r="T101" s="14">
        <f t="shared" si="47"/>
        <v>0</v>
      </c>
      <c r="U101" s="14">
        <f t="shared" si="47"/>
        <v>0</v>
      </c>
      <c r="V101" s="14">
        <f t="shared" si="47"/>
        <v>0</v>
      </c>
      <c r="W101" s="14">
        <f t="shared" si="47"/>
        <v>0</v>
      </c>
      <c r="X101" s="14">
        <f t="shared" si="47"/>
        <v>0</v>
      </c>
      <c r="Y101" s="14">
        <f t="shared" si="47"/>
        <v>0</v>
      </c>
      <c r="Z101" s="14">
        <f t="shared" si="47"/>
        <v>0</v>
      </c>
      <c r="AA101" s="14">
        <f t="shared" si="47"/>
        <v>0</v>
      </c>
      <c r="AB101" s="14">
        <f t="shared" si="47"/>
        <v>0</v>
      </c>
      <c r="AC101" s="14">
        <f t="shared" si="47"/>
        <v>0</v>
      </c>
      <c r="AD101" s="14">
        <f t="shared" si="47"/>
        <v>0</v>
      </c>
      <c r="AE101" s="14">
        <f t="shared" si="47"/>
        <v>0</v>
      </c>
      <c r="AF101" s="14">
        <f t="shared" si="47"/>
        <v>0</v>
      </c>
      <c r="AG101" s="14">
        <f t="shared" si="47"/>
        <v>0</v>
      </c>
      <c r="AH101" s="14">
        <f t="shared" si="47"/>
        <v>0</v>
      </c>
      <c r="AI101" s="14">
        <f t="shared" si="47"/>
        <v>0</v>
      </c>
      <c r="AJ101" s="14">
        <f t="shared" si="47"/>
        <v>0</v>
      </c>
      <c r="AK101" s="14">
        <f t="shared" si="47"/>
        <v>0</v>
      </c>
      <c r="AL101" s="14">
        <f t="shared" si="47"/>
        <v>0</v>
      </c>
    </row>
    <row r="102" spans="1:54" ht="21" hidden="1" customHeight="1" outlineLevel="1" thickBot="1" x14ac:dyDescent="0.4">
      <c r="A102" s="5">
        <f t="shared" si="42"/>
        <v>0</v>
      </c>
      <c r="B102" s="5">
        <f t="shared" si="42"/>
        <v>0</v>
      </c>
      <c r="C102" s="5">
        <f t="shared" si="42"/>
        <v>0</v>
      </c>
      <c r="D102" s="5">
        <f t="shared" si="42"/>
        <v>0</v>
      </c>
      <c r="E102" s="6">
        <f t="shared" si="21"/>
        <v>0</v>
      </c>
      <c r="F102" s="14">
        <f t="shared" ref="F102:AL102" si="48">F26*$C$78</f>
        <v>0</v>
      </c>
      <c r="G102" s="14">
        <f t="shared" si="48"/>
        <v>0</v>
      </c>
      <c r="H102" s="14">
        <f t="shared" si="48"/>
        <v>0</v>
      </c>
      <c r="I102" s="14">
        <f t="shared" si="48"/>
        <v>0</v>
      </c>
      <c r="J102" s="14">
        <f t="shared" si="48"/>
        <v>0</v>
      </c>
      <c r="K102" s="14">
        <f t="shared" si="48"/>
        <v>0</v>
      </c>
      <c r="L102" s="14">
        <f t="shared" si="48"/>
        <v>0</v>
      </c>
      <c r="M102" s="14">
        <f t="shared" si="48"/>
        <v>0</v>
      </c>
      <c r="N102" s="14">
        <f t="shared" si="48"/>
        <v>0</v>
      </c>
      <c r="O102" s="14">
        <f t="shared" si="48"/>
        <v>0</v>
      </c>
      <c r="P102" s="14">
        <f t="shared" si="48"/>
        <v>0</v>
      </c>
      <c r="Q102" s="14">
        <f t="shared" si="48"/>
        <v>0</v>
      </c>
      <c r="R102" s="14">
        <f t="shared" si="48"/>
        <v>0</v>
      </c>
      <c r="S102" s="14">
        <f t="shared" si="48"/>
        <v>0</v>
      </c>
      <c r="T102" s="14">
        <f t="shared" si="48"/>
        <v>0</v>
      </c>
      <c r="U102" s="14">
        <f t="shared" si="48"/>
        <v>0</v>
      </c>
      <c r="V102" s="14">
        <f t="shared" si="48"/>
        <v>0</v>
      </c>
      <c r="W102" s="14">
        <f t="shared" si="48"/>
        <v>0</v>
      </c>
      <c r="X102" s="14">
        <f t="shared" si="48"/>
        <v>0</v>
      </c>
      <c r="Y102" s="14">
        <f t="shared" si="48"/>
        <v>0</v>
      </c>
      <c r="Z102" s="14">
        <f t="shared" si="48"/>
        <v>0</v>
      </c>
      <c r="AA102" s="14">
        <f t="shared" si="48"/>
        <v>0</v>
      </c>
      <c r="AB102" s="14">
        <f t="shared" si="48"/>
        <v>0</v>
      </c>
      <c r="AC102" s="14">
        <f t="shared" si="48"/>
        <v>0</v>
      </c>
      <c r="AD102" s="14">
        <f t="shared" si="48"/>
        <v>0</v>
      </c>
      <c r="AE102" s="14">
        <f t="shared" si="48"/>
        <v>0</v>
      </c>
      <c r="AF102" s="14">
        <f t="shared" si="48"/>
        <v>0</v>
      </c>
      <c r="AG102" s="14">
        <f t="shared" si="48"/>
        <v>0</v>
      </c>
      <c r="AH102" s="14">
        <f t="shared" si="48"/>
        <v>0</v>
      </c>
      <c r="AI102" s="14">
        <f t="shared" si="48"/>
        <v>0</v>
      </c>
      <c r="AJ102" s="14">
        <f t="shared" si="48"/>
        <v>0</v>
      </c>
      <c r="AK102" s="14">
        <f t="shared" si="48"/>
        <v>0</v>
      </c>
      <c r="AL102" s="14">
        <f t="shared" si="48"/>
        <v>0</v>
      </c>
    </row>
    <row r="103" spans="1:54" ht="21" hidden="1" customHeight="1" outlineLevel="1" thickBot="1" x14ac:dyDescent="0.4">
      <c r="A103" s="5">
        <f t="shared" si="42"/>
        <v>0</v>
      </c>
      <c r="B103" s="5">
        <f t="shared" si="42"/>
        <v>0</v>
      </c>
      <c r="C103" s="5">
        <f t="shared" si="42"/>
        <v>0</v>
      </c>
      <c r="D103" s="5">
        <f t="shared" si="42"/>
        <v>0</v>
      </c>
      <c r="E103" s="6">
        <f t="shared" si="21"/>
        <v>0</v>
      </c>
      <c r="F103" s="14">
        <f t="shared" ref="F103:AL103" si="49">F27*$C$78</f>
        <v>0</v>
      </c>
      <c r="G103" s="14">
        <f t="shared" si="49"/>
        <v>0</v>
      </c>
      <c r="H103" s="14">
        <f t="shared" si="49"/>
        <v>0</v>
      </c>
      <c r="I103" s="14">
        <f t="shared" si="49"/>
        <v>0</v>
      </c>
      <c r="J103" s="14">
        <f t="shared" si="49"/>
        <v>0</v>
      </c>
      <c r="K103" s="14">
        <f t="shared" si="49"/>
        <v>0</v>
      </c>
      <c r="L103" s="14">
        <f t="shared" si="49"/>
        <v>0</v>
      </c>
      <c r="M103" s="14">
        <f t="shared" si="49"/>
        <v>0</v>
      </c>
      <c r="N103" s="14">
        <f t="shared" si="49"/>
        <v>0</v>
      </c>
      <c r="O103" s="14">
        <f t="shared" si="49"/>
        <v>0</v>
      </c>
      <c r="P103" s="14">
        <f t="shared" si="49"/>
        <v>0</v>
      </c>
      <c r="Q103" s="14">
        <f t="shared" si="49"/>
        <v>0</v>
      </c>
      <c r="R103" s="14">
        <f t="shared" si="49"/>
        <v>0</v>
      </c>
      <c r="S103" s="14">
        <f t="shared" si="49"/>
        <v>0</v>
      </c>
      <c r="T103" s="14">
        <f t="shared" si="49"/>
        <v>0</v>
      </c>
      <c r="U103" s="14">
        <f t="shared" si="49"/>
        <v>0</v>
      </c>
      <c r="V103" s="14">
        <f t="shared" si="49"/>
        <v>0</v>
      </c>
      <c r="W103" s="14">
        <f t="shared" si="49"/>
        <v>0</v>
      </c>
      <c r="X103" s="14">
        <f t="shared" si="49"/>
        <v>0</v>
      </c>
      <c r="Y103" s="14">
        <f t="shared" si="49"/>
        <v>0</v>
      </c>
      <c r="Z103" s="14">
        <f t="shared" si="49"/>
        <v>0</v>
      </c>
      <c r="AA103" s="14">
        <f t="shared" si="49"/>
        <v>0</v>
      </c>
      <c r="AB103" s="14">
        <f t="shared" si="49"/>
        <v>0</v>
      </c>
      <c r="AC103" s="14">
        <f t="shared" si="49"/>
        <v>0</v>
      </c>
      <c r="AD103" s="14">
        <f t="shared" si="49"/>
        <v>0</v>
      </c>
      <c r="AE103" s="14">
        <f t="shared" si="49"/>
        <v>0</v>
      </c>
      <c r="AF103" s="14">
        <f t="shared" si="49"/>
        <v>0</v>
      </c>
      <c r="AG103" s="14">
        <f t="shared" si="49"/>
        <v>0</v>
      </c>
      <c r="AH103" s="14">
        <f t="shared" si="49"/>
        <v>0</v>
      </c>
      <c r="AI103" s="14">
        <f t="shared" si="49"/>
        <v>0</v>
      </c>
      <c r="AJ103" s="14">
        <f t="shared" si="49"/>
        <v>0</v>
      </c>
      <c r="AK103" s="14">
        <f t="shared" si="49"/>
        <v>0</v>
      </c>
      <c r="AL103" s="14">
        <f t="shared" si="49"/>
        <v>0</v>
      </c>
    </row>
    <row r="104" spans="1:54" ht="21" hidden="1" customHeight="1" outlineLevel="1" thickBot="1" x14ac:dyDescent="0.4">
      <c r="A104" s="5">
        <f t="shared" si="42"/>
        <v>0</v>
      </c>
      <c r="B104" s="5">
        <f t="shared" si="42"/>
        <v>0</v>
      </c>
      <c r="C104" s="5">
        <f t="shared" si="42"/>
        <v>0</v>
      </c>
      <c r="D104" s="5">
        <f t="shared" si="42"/>
        <v>0</v>
      </c>
      <c r="E104" s="6">
        <f t="shared" si="21"/>
        <v>0</v>
      </c>
      <c r="F104" s="14">
        <f t="shared" ref="F104:AL104" si="50">F28*$C$78</f>
        <v>0</v>
      </c>
      <c r="G104" s="14">
        <f t="shared" si="50"/>
        <v>0</v>
      </c>
      <c r="H104" s="14">
        <f t="shared" si="50"/>
        <v>0</v>
      </c>
      <c r="I104" s="14">
        <f t="shared" si="50"/>
        <v>0</v>
      </c>
      <c r="J104" s="14">
        <f t="shared" si="50"/>
        <v>0</v>
      </c>
      <c r="K104" s="14">
        <f t="shared" si="50"/>
        <v>0</v>
      </c>
      <c r="L104" s="14">
        <f t="shared" si="50"/>
        <v>0</v>
      </c>
      <c r="M104" s="14">
        <f t="shared" si="50"/>
        <v>0</v>
      </c>
      <c r="N104" s="14">
        <f t="shared" si="50"/>
        <v>0</v>
      </c>
      <c r="O104" s="14">
        <f t="shared" si="50"/>
        <v>0</v>
      </c>
      <c r="P104" s="14">
        <f t="shared" si="50"/>
        <v>0</v>
      </c>
      <c r="Q104" s="14">
        <f t="shared" si="50"/>
        <v>0</v>
      </c>
      <c r="R104" s="14">
        <f t="shared" si="50"/>
        <v>0</v>
      </c>
      <c r="S104" s="14">
        <f t="shared" si="50"/>
        <v>0</v>
      </c>
      <c r="T104" s="14">
        <f t="shared" si="50"/>
        <v>0</v>
      </c>
      <c r="U104" s="14">
        <f t="shared" si="50"/>
        <v>0</v>
      </c>
      <c r="V104" s="14">
        <f t="shared" si="50"/>
        <v>0</v>
      </c>
      <c r="W104" s="14">
        <f t="shared" si="50"/>
        <v>0</v>
      </c>
      <c r="X104" s="14">
        <f t="shared" si="50"/>
        <v>0</v>
      </c>
      <c r="Y104" s="14">
        <f t="shared" si="50"/>
        <v>0</v>
      </c>
      <c r="Z104" s="14">
        <f t="shared" si="50"/>
        <v>0</v>
      </c>
      <c r="AA104" s="14">
        <f t="shared" si="50"/>
        <v>0</v>
      </c>
      <c r="AB104" s="14">
        <f t="shared" si="50"/>
        <v>0</v>
      </c>
      <c r="AC104" s="14">
        <f t="shared" si="50"/>
        <v>0</v>
      </c>
      <c r="AD104" s="14">
        <f t="shared" si="50"/>
        <v>0</v>
      </c>
      <c r="AE104" s="14">
        <f t="shared" si="50"/>
        <v>0</v>
      </c>
      <c r="AF104" s="14">
        <f t="shared" si="50"/>
        <v>0</v>
      </c>
      <c r="AG104" s="14">
        <f t="shared" si="50"/>
        <v>0</v>
      </c>
      <c r="AH104" s="14">
        <f t="shared" si="50"/>
        <v>0</v>
      </c>
      <c r="AI104" s="14">
        <f t="shared" si="50"/>
        <v>0</v>
      </c>
      <c r="AJ104" s="14">
        <f t="shared" si="50"/>
        <v>0</v>
      </c>
      <c r="AK104" s="14">
        <f t="shared" si="50"/>
        <v>0</v>
      </c>
      <c r="AL104" s="14">
        <f t="shared" si="50"/>
        <v>0</v>
      </c>
    </row>
    <row r="105" spans="1:54" ht="21" hidden="1" customHeight="1" outlineLevel="1" thickBot="1" x14ac:dyDescent="0.4">
      <c r="A105" s="5">
        <f t="shared" si="42"/>
        <v>0</v>
      </c>
      <c r="B105" s="5">
        <f t="shared" si="42"/>
        <v>0</v>
      </c>
      <c r="C105" s="5">
        <f t="shared" si="42"/>
        <v>0</v>
      </c>
      <c r="D105" s="5">
        <f t="shared" si="42"/>
        <v>0</v>
      </c>
      <c r="E105" s="6">
        <f t="shared" si="21"/>
        <v>0</v>
      </c>
      <c r="F105" s="14">
        <f t="shared" ref="F105:AL105" si="51">F29*$C$78</f>
        <v>0</v>
      </c>
      <c r="G105" s="14">
        <f t="shared" si="51"/>
        <v>0</v>
      </c>
      <c r="H105" s="14">
        <f t="shared" si="51"/>
        <v>0</v>
      </c>
      <c r="I105" s="14">
        <f t="shared" si="51"/>
        <v>0</v>
      </c>
      <c r="J105" s="14">
        <f t="shared" si="51"/>
        <v>0</v>
      </c>
      <c r="K105" s="14">
        <f t="shared" si="51"/>
        <v>0</v>
      </c>
      <c r="L105" s="14">
        <f t="shared" si="51"/>
        <v>0</v>
      </c>
      <c r="M105" s="14">
        <f t="shared" si="51"/>
        <v>0</v>
      </c>
      <c r="N105" s="14">
        <f t="shared" si="51"/>
        <v>0</v>
      </c>
      <c r="O105" s="14">
        <f t="shared" si="51"/>
        <v>0</v>
      </c>
      <c r="P105" s="14">
        <f t="shared" si="51"/>
        <v>0</v>
      </c>
      <c r="Q105" s="14">
        <f t="shared" si="51"/>
        <v>0</v>
      </c>
      <c r="R105" s="14">
        <f t="shared" si="51"/>
        <v>0</v>
      </c>
      <c r="S105" s="14">
        <f t="shared" si="51"/>
        <v>0</v>
      </c>
      <c r="T105" s="14">
        <f t="shared" si="51"/>
        <v>0</v>
      </c>
      <c r="U105" s="14">
        <f t="shared" si="51"/>
        <v>0</v>
      </c>
      <c r="V105" s="14">
        <f t="shared" si="51"/>
        <v>0</v>
      </c>
      <c r="W105" s="14">
        <f t="shared" si="51"/>
        <v>0</v>
      </c>
      <c r="X105" s="14">
        <f t="shared" si="51"/>
        <v>0</v>
      </c>
      <c r="Y105" s="14">
        <f t="shared" si="51"/>
        <v>0</v>
      </c>
      <c r="Z105" s="14">
        <f t="shared" si="51"/>
        <v>0</v>
      </c>
      <c r="AA105" s="14">
        <f t="shared" si="51"/>
        <v>0</v>
      </c>
      <c r="AB105" s="14">
        <f t="shared" si="51"/>
        <v>0</v>
      </c>
      <c r="AC105" s="14">
        <f t="shared" si="51"/>
        <v>0</v>
      </c>
      <c r="AD105" s="14">
        <f t="shared" si="51"/>
        <v>0</v>
      </c>
      <c r="AE105" s="14">
        <f t="shared" si="51"/>
        <v>0</v>
      </c>
      <c r="AF105" s="14">
        <f t="shared" si="51"/>
        <v>0</v>
      </c>
      <c r="AG105" s="14">
        <f t="shared" si="51"/>
        <v>0</v>
      </c>
      <c r="AH105" s="14">
        <f t="shared" si="51"/>
        <v>0</v>
      </c>
      <c r="AI105" s="14">
        <f t="shared" si="51"/>
        <v>0</v>
      </c>
      <c r="AJ105" s="14">
        <f t="shared" si="51"/>
        <v>0</v>
      </c>
      <c r="AK105" s="14">
        <f t="shared" si="51"/>
        <v>0</v>
      </c>
      <c r="AL105" s="14">
        <f t="shared" si="51"/>
        <v>0</v>
      </c>
    </row>
    <row r="106" spans="1:54" ht="21" hidden="1" customHeight="1" outlineLevel="1" thickBot="1" x14ac:dyDescent="0.4">
      <c r="A106" s="5">
        <f t="shared" si="42"/>
        <v>0</v>
      </c>
      <c r="B106" s="5">
        <f t="shared" si="42"/>
        <v>0</v>
      </c>
      <c r="C106" s="5">
        <f t="shared" si="42"/>
        <v>0</v>
      </c>
      <c r="D106" s="5">
        <f t="shared" si="42"/>
        <v>0</v>
      </c>
      <c r="E106" s="6">
        <f t="shared" si="21"/>
        <v>0</v>
      </c>
      <c r="F106" s="14">
        <f t="shared" ref="F106:AL106" si="52">F30*$C$78</f>
        <v>0</v>
      </c>
      <c r="G106" s="14">
        <f t="shared" si="52"/>
        <v>0</v>
      </c>
      <c r="H106" s="14">
        <f t="shared" si="52"/>
        <v>0</v>
      </c>
      <c r="I106" s="14">
        <f t="shared" si="52"/>
        <v>0</v>
      </c>
      <c r="J106" s="14">
        <f t="shared" si="52"/>
        <v>0</v>
      </c>
      <c r="K106" s="14">
        <f t="shared" si="52"/>
        <v>0</v>
      </c>
      <c r="L106" s="14">
        <f t="shared" si="52"/>
        <v>0</v>
      </c>
      <c r="M106" s="14">
        <f t="shared" si="52"/>
        <v>0</v>
      </c>
      <c r="N106" s="14">
        <f t="shared" si="52"/>
        <v>0</v>
      </c>
      <c r="O106" s="14">
        <f t="shared" si="52"/>
        <v>0</v>
      </c>
      <c r="P106" s="14">
        <f t="shared" si="52"/>
        <v>0</v>
      </c>
      <c r="Q106" s="14">
        <f t="shared" si="52"/>
        <v>0</v>
      </c>
      <c r="R106" s="14">
        <f t="shared" si="52"/>
        <v>0</v>
      </c>
      <c r="S106" s="14">
        <f t="shared" si="52"/>
        <v>0</v>
      </c>
      <c r="T106" s="14">
        <f t="shared" si="52"/>
        <v>0</v>
      </c>
      <c r="U106" s="14">
        <f t="shared" si="52"/>
        <v>0</v>
      </c>
      <c r="V106" s="14">
        <f t="shared" si="52"/>
        <v>0</v>
      </c>
      <c r="W106" s="14">
        <f t="shared" si="52"/>
        <v>0</v>
      </c>
      <c r="X106" s="14">
        <f t="shared" si="52"/>
        <v>0</v>
      </c>
      <c r="Y106" s="14">
        <f t="shared" si="52"/>
        <v>0</v>
      </c>
      <c r="Z106" s="14">
        <f t="shared" si="52"/>
        <v>0</v>
      </c>
      <c r="AA106" s="14">
        <f t="shared" si="52"/>
        <v>0</v>
      </c>
      <c r="AB106" s="14">
        <f t="shared" si="52"/>
        <v>0</v>
      </c>
      <c r="AC106" s="14">
        <f t="shared" si="52"/>
        <v>0</v>
      </c>
      <c r="AD106" s="14">
        <f t="shared" si="52"/>
        <v>0</v>
      </c>
      <c r="AE106" s="14">
        <f t="shared" si="52"/>
        <v>0</v>
      </c>
      <c r="AF106" s="14">
        <f t="shared" si="52"/>
        <v>0</v>
      </c>
      <c r="AG106" s="14">
        <f t="shared" si="52"/>
        <v>0</v>
      </c>
      <c r="AH106" s="14">
        <f t="shared" si="52"/>
        <v>0</v>
      </c>
      <c r="AI106" s="14">
        <f t="shared" si="52"/>
        <v>0</v>
      </c>
      <c r="AJ106" s="14">
        <f t="shared" si="52"/>
        <v>0</v>
      </c>
      <c r="AK106" s="14">
        <f t="shared" si="52"/>
        <v>0</v>
      </c>
      <c r="AL106" s="14">
        <f t="shared" si="52"/>
        <v>0</v>
      </c>
    </row>
    <row r="107" spans="1:54" ht="21" hidden="1" customHeight="1" outlineLevel="1" thickBot="1" x14ac:dyDescent="0.4">
      <c r="A107" s="5">
        <f t="shared" si="42"/>
        <v>0</v>
      </c>
      <c r="B107" s="5">
        <f t="shared" si="42"/>
        <v>0</v>
      </c>
      <c r="C107" s="5">
        <f t="shared" si="42"/>
        <v>0</v>
      </c>
      <c r="D107" s="5">
        <f t="shared" si="42"/>
        <v>0</v>
      </c>
      <c r="E107" s="6">
        <f t="shared" si="21"/>
        <v>0</v>
      </c>
      <c r="F107" s="14">
        <f t="shared" ref="F107:AL107" si="53">F31*$C$78</f>
        <v>0</v>
      </c>
      <c r="G107" s="14">
        <f t="shared" si="53"/>
        <v>0</v>
      </c>
      <c r="H107" s="14">
        <f t="shared" si="53"/>
        <v>0</v>
      </c>
      <c r="I107" s="14">
        <f t="shared" si="53"/>
        <v>0</v>
      </c>
      <c r="J107" s="14">
        <f t="shared" si="53"/>
        <v>0</v>
      </c>
      <c r="K107" s="14">
        <f t="shared" si="53"/>
        <v>0</v>
      </c>
      <c r="L107" s="14">
        <f t="shared" si="53"/>
        <v>0</v>
      </c>
      <c r="M107" s="14">
        <f t="shared" si="53"/>
        <v>0</v>
      </c>
      <c r="N107" s="14">
        <f t="shared" si="53"/>
        <v>0</v>
      </c>
      <c r="O107" s="14">
        <f t="shared" si="53"/>
        <v>0</v>
      </c>
      <c r="P107" s="14">
        <f t="shared" si="53"/>
        <v>0</v>
      </c>
      <c r="Q107" s="14">
        <f t="shared" si="53"/>
        <v>0</v>
      </c>
      <c r="R107" s="14">
        <f t="shared" si="53"/>
        <v>0</v>
      </c>
      <c r="S107" s="14">
        <f t="shared" si="53"/>
        <v>0</v>
      </c>
      <c r="T107" s="14">
        <f t="shared" si="53"/>
        <v>0</v>
      </c>
      <c r="U107" s="14">
        <f t="shared" si="53"/>
        <v>0</v>
      </c>
      <c r="V107" s="14">
        <f t="shared" si="53"/>
        <v>0</v>
      </c>
      <c r="W107" s="14">
        <f t="shared" si="53"/>
        <v>0</v>
      </c>
      <c r="X107" s="14">
        <f t="shared" si="53"/>
        <v>0</v>
      </c>
      <c r="Y107" s="14">
        <f t="shared" si="53"/>
        <v>0</v>
      </c>
      <c r="Z107" s="14">
        <f t="shared" si="53"/>
        <v>0</v>
      </c>
      <c r="AA107" s="14">
        <f t="shared" si="53"/>
        <v>0</v>
      </c>
      <c r="AB107" s="14">
        <f t="shared" si="53"/>
        <v>0</v>
      </c>
      <c r="AC107" s="14">
        <f t="shared" si="53"/>
        <v>0</v>
      </c>
      <c r="AD107" s="14">
        <f t="shared" si="53"/>
        <v>0</v>
      </c>
      <c r="AE107" s="14">
        <f t="shared" si="53"/>
        <v>0</v>
      </c>
      <c r="AF107" s="14">
        <f t="shared" si="53"/>
        <v>0</v>
      </c>
      <c r="AG107" s="14">
        <f t="shared" si="53"/>
        <v>0</v>
      </c>
      <c r="AH107" s="14">
        <f t="shared" si="53"/>
        <v>0</v>
      </c>
      <c r="AI107" s="14">
        <f t="shared" si="53"/>
        <v>0</v>
      </c>
      <c r="AJ107" s="14">
        <f t="shared" si="53"/>
        <v>0</v>
      </c>
      <c r="AK107" s="14">
        <f t="shared" si="53"/>
        <v>0</v>
      </c>
      <c r="AL107" s="14">
        <f t="shared" si="53"/>
        <v>0</v>
      </c>
    </row>
    <row r="108" spans="1:54" ht="21" hidden="1" customHeight="1" outlineLevel="1" thickBot="1" x14ac:dyDescent="0.4">
      <c r="A108" s="5">
        <f t="shared" si="42"/>
        <v>0</v>
      </c>
      <c r="B108" s="5">
        <f t="shared" si="42"/>
        <v>0</v>
      </c>
      <c r="C108" s="5">
        <f t="shared" si="42"/>
        <v>0</v>
      </c>
      <c r="D108" s="5">
        <f t="shared" si="42"/>
        <v>0</v>
      </c>
      <c r="E108" s="6">
        <f t="shared" si="21"/>
        <v>0</v>
      </c>
      <c r="F108" s="14">
        <f t="shared" ref="F108:AL108" si="54">F32*$C$78</f>
        <v>0</v>
      </c>
      <c r="G108" s="14">
        <f t="shared" si="54"/>
        <v>0</v>
      </c>
      <c r="H108" s="14">
        <f t="shared" si="54"/>
        <v>0</v>
      </c>
      <c r="I108" s="14">
        <f t="shared" si="54"/>
        <v>0</v>
      </c>
      <c r="J108" s="14">
        <f t="shared" si="54"/>
        <v>0</v>
      </c>
      <c r="K108" s="14">
        <f t="shared" si="54"/>
        <v>0</v>
      </c>
      <c r="L108" s="14">
        <f t="shared" si="54"/>
        <v>0</v>
      </c>
      <c r="M108" s="14">
        <f t="shared" si="54"/>
        <v>0</v>
      </c>
      <c r="N108" s="14">
        <f t="shared" si="54"/>
        <v>0</v>
      </c>
      <c r="O108" s="14">
        <f t="shared" si="54"/>
        <v>0</v>
      </c>
      <c r="P108" s="14">
        <f t="shared" si="54"/>
        <v>0</v>
      </c>
      <c r="Q108" s="14">
        <f t="shared" si="54"/>
        <v>0</v>
      </c>
      <c r="R108" s="14">
        <f t="shared" si="54"/>
        <v>0</v>
      </c>
      <c r="S108" s="14">
        <f t="shared" si="54"/>
        <v>0</v>
      </c>
      <c r="T108" s="14">
        <f t="shared" si="54"/>
        <v>0</v>
      </c>
      <c r="U108" s="14">
        <f t="shared" si="54"/>
        <v>0</v>
      </c>
      <c r="V108" s="14">
        <f t="shared" si="54"/>
        <v>0</v>
      </c>
      <c r="W108" s="14">
        <f t="shared" si="54"/>
        <v>0</v>
      </c>
      <c r="X108" s="14">
        <f t="shared" si="54"/>
        <v>0</v>
      </c>
      <c r="Y108" s="14">
        <f t="shared" si="54"/>
        <v>0</v>
      </c>
      <c r="Z108" s="14">
        <f t="shared" si="54"/>
        <v>0</v>
      </c>
      <c r="AA108" s="14">
        <f t="shared" si="54"/>
        <v>0</v>
      </c>
      <c r="AB108" s="14">
        <f t="shared" si="54"/>
        <v>0</v>
      </c>
      <c r="AC108" s="14">
        <f t="shared" si="54"/>
        <v>0</v>
      </c>
      <c r="AD108" s="14">
        <f t="shared" si="54"/>
        <v>0</v>
      </c>
      <c r="AE108" s="14">
        <f t="shared" si="54"/>
        <v>0</v>
      </c>
      <c r="AF108" s="14">
        <f t="shared" si="54"/>
        <v>0</v>
      </c>
      <c r="AG108" s="14">
        <f t="shared" si="54"/>
        <v>0</v>
      </c>
      <c r="AH108" s="14">
        <f t="shared" si="54"/>
        <v>0</v>
      </c>
      <c r="AI108" s="14">
        <f t="shared" si="54"/>
        <v>0</v>
      </c>
      <c r="AJ108" s="14">
        <f t="shared" si="54"/>
        <v>0</v>
      </c>
      <c r="AK108" s="14">
        <f t="shared" si="54"/>
        <v>0</v>
      </c>
      <c r="AL108" s="14">
        <f t="shared" si="54"/>
        <v>0</v>
      </c>
    </row>
    <row r="109" spans="1:54" ht="21" hidden="1" customHeight="1" outlineLevel="1" thickBot="1" x14ac:dyDescent="0.4">
      <c r="A109" s="5">
        <f t="shared" si="42"/>
        <v>0</v>
      </c>
      <c r="B109" s="5">
        <f t="shared" si="42"/>
        <v>0</v>
      </c>
      <c r="C109" s="5">
        <f t="shared" si="42"/>
        <v>0</v>
      </c>
      <c r="D109" s="5">
        <f t="shared" si="42"/>
        <v>0</v>
      </c>
      <c r="E109" s="6">
        <f t="shared" si="21"/>
        <v>1</v>
      </c>
      <c r="F109" s="14"/>
      <c r="G109" s="14"/>
      <c r="H109" s="14"/>
      <c r="I109" s="14"/>
      <c r="J109" s="14"/>
      <c r="K109" s="14"/>
      <c r="L109" s="14"/>
      <c r="M109" s="14"/>
      <c r="N109" s="14"/>
      <c r="O109" s="14"/>
      <c r="P109" s="14"/>
      <c r="Q109" s="14"/>
      <c r="R109" s="14"/>
      <c r="S109" s="14"/>
      <c r="T109" s="14"/>
      <c r="U109" s="14"/>
      <c r="V109" s="14"/>
      <c r="W109" s="14"/>
      <c r="X109" s="14"/>
      <c r="Y109" s="14"/>
      <c r="Z109" s="14"/>
      <c r="AA109" s="14"/>
      <c r="AB109" s="14"/>
      <c r="AC109" s="14"/>
      <c r="AD109" s="14"/>
      <c r="AE109" s="14"/>
      <c r="AF109" s="14"/>
      <c r="AG109" s="14"/>
      <c r="AH109" s="14"/>
      <c r="AI109" s="14"/>
      <c r="AJ109" s="14"/>
      <c r="AK109" s="14"/>
      <c r="AL109" s="14"/>
    </row>
    <row r="110" spans="1:54" ht="21" hidden="1" customHeight="1" outlineLevel="1" x14ac:dyDescent="0.35">
      <c r="G110" s="55"/>
      <c r="H110" s="55"/>
      <c r="I110" s="55"/>
      <c r="J110" s="55"/>
      <c r="K110" s="55"/>
      <c r="L110" s="55"/>
      <c r="M110" s="55"/>
      <c r="N110" s="55"/>
      <c r="O110" s="55"/>
      <c r="P110" s="55"/>
      <c r="Q110" s="55"/>
      <c r="R110" s="55"/>
      <c r="S110" s="55"/>
      <c r="T110" s="55"/>
      <c r="U110" s="55"/>
      <c r="V110" s="55"/>
      <c r="W110" s="55"/>
      <c r="X110" s="55"/>
      <c r="Y110" s="55"/>
      <c r="Z110" s="55"/>
      <c r="AA110" s="55"/>
      <c r="AB110" s="55"/>
      <c r="AC110" s="55"/>
      <c r="AD110" s="55"/>
      <c r="AE110" s="55"/>
      <c r="AF110" s="55"/>
      <c r="AG110" s="55"/>
      <c r="AH110" s="55"/>
      <c r="AI110" s="55"/>
      <c r="AJ110" s="55"/>
      <c r="AK110" s="55"/>
      <c r="AL110" s="55"/>
    </row>
    <row r="111" spans="1:54" ht="21" customHeight="1" collapsed="1" x14ac:dyDescent="0.35">
      <c r="G111" s="55"/>
      <c r="H111" s="55"/>
      <c r="I111" s="55"/>
      <c r="J111" s="55"/>
      <c r="K111" s="55"/>
      <c r="L111" s="55"/>
      <c r="M111" s="55"/>
      <c r="N111" s="55"/>
      <c r="O111" s="55"/>
      <c r="P111" s="55"/>
      <c r="Q111" s="55"/>
      <c r="R111" s="55"/>
      <c r="S111" s="55"/>
      <c r="T111" s="55"/>
      <c r="U111" s="55"/>
      <c r="V111" s="55"/>
      <c r="W111" s="55"/>
      <c r="X111" s="55"/>
      <c r="Y111" s="55"/>
      <c r="Z111" s="55"/>
      <c r="AA111" s="55"/>
      <c r="AB111" s="55"/>
      <c r="AC111" s="55"/>
      <c r="AD111" s="55"/>
      <c r="AE111" s="55"/>
      <c r="AF111" s="55"/>
      <c r="AG111" s="55"/>
      <c r="AH111" s="55"/>
      <c r="AI111" s="55"/>
      <c r="AJ111" s="55"/>
      <c r="AK111" s="55"/>
      <c r="AL111" s="55"/>
    </row>
    <row r="112" spans="1:54" ht="21" customHeight="1" thickBot="1" x14ac:dyDescent="0.45">
      <c r="A112" s="75"/>
      <c r="B112" s="75"/>
      <c r="C112" s="75"/>
      <c r="D112" s="75"/>
      <c r="E112" s="74" t="s">
        <v>24</v>
      </c>
      <c r="F112" s="75"/>
      <c r="G112" s="75"/>
      <c r="H112" s="75"/>
      <c r="I112" s="75"/>
      <c r="J112" s="75"/>
      <c r="K112" s="75"/>
      <c r="L112" s="75"/>
      <c r="M112" s="75"/>
      <c r="N112" s="75"/>
      <c r="O112" s="75"/>
      <c r="P112" s="75"/>
      <c r="Q112" s="75"/>
      <c r="R112" s="75"/>
      <c r="S112" s="75"/>
      <c r="T112" s="75"/>
      <c r="U112" s="75"/>
      <c r="V112" s="75"/>
      <c r="W112" s="75"/>
      <c r="X112" s="75"/>
      <c r="Y112" s="75"/>
      <c r="Z112" s="75"/>
      <c r="AA112" s="75"/>
      <c r="AB112" s="75"/>
      <c r="AC112" s="75"/>
      <c r="AD112" s="75"/>
      <c r="AE112" s="75"/>
      <c r="AF112" s="75"/>
      <c r="AG112" s="75"/>
      <c r="AH112" s="75"/>
      <c r="AI112" s="75"/>
      <c r="AJ112" s="75"/>
      <c r="AK112" s="75"/>
      <c r="AL112" s="75"/>
      <c r="AM112" s="75"/>
      <c r="AN112" s="75"/>
      <c r="AO112" s="75"/>
      <c r="AP112" s="75"/>
      <c r="AQ112" s="75"/>
      <c r="AR112" s="75"/>
      <c r="AS112" s="75"/>
      <c r="AT112" s="75"/>
      <c r="AU112" s="75"/>
      <c r="AV112" s="75"/>
      <c r="AW112" s="75"/>
      <c r="AX112" s="75"/>
      <c r="AY112" s="75"/>
      <c r="AZ112" s="75"/>
      <c r="BA112" s="75"/>
      <c r="BB112" s="75"/>
    </row>
    <row r="113" spans="1:38" ht="21" customHeight="1" outlineLevel="1" thickTop="1" thickBot="1" x14ac:dyDescent="0.4">
      <c r="A113" s="92" t="s">
        <v>10</v>
      </c>
      <c r="B113" s="93"/>
      <c r="C113" s="23" t="s">
        <v>11</v>
      </c>
      <c r="D113" s="15" t="s">
        <v>12</v>
      </c>
      <c r="E113" s="15"/>
      <c r="F113" s="4">
        <f t="shared" ref="F113:AL113" si="55">F3</f>
        <v>298.2</v>
      </c>
      <c r="G113" s="4">
        <f t="shared" si="55"/>
        <v>331.5</v>
      </c>
      <c r="H113" s="4">
        <f t="shared" si="55"/>
        <v>364.9</v>
      </c>
      <c r="I113" s="4">
        <f t="shared" si="55"/>
        <v>398.3</v>
      </c>
      <c r="J113" s="4">
        <f t="shared" si="55"/>
        <v>431.7</v>
      </c>
      <c r="K113" s="4">
        <f t="shared" si="55"/>
        <v>465.1</v>
      </c>
      <c r="L113" s="4">
        <f t="shared" si="55"/>
        <v>498.5</v>
      </c>
      <c r="M113" s="4">
        <f t="shared" si="55"/>
        <v>531.79999999999995</v>
      </c>
      <c r="N113" s="4">
        <f t="shared" si="55"/>
        <v>565.20000000000005</v>
      </c>
      <c r="O113" s="4">
        <f t="shared" si="55"/>
        <v>598.6</v>
      </c>
      <c r="P113" s="4">
        <f t="shared" si="55"/>
        <v>632</v>
      </c>
      <c r="Q113" s="4">
        <f t="shared" si="55"/>
        <v>665.4</v>
      </c>
      <c r="R113" s="4">
        <f t="shared" si="55"/>
        <v>698.8</v>
      </c>
      <c r="S113" s="4">
        <f t="shared" si="55"/>
        <v>832.3</v>
      </c>
      <c r="T113" s="4">
        <f t="shared" si="55"/>
        <v>965.8</v>
      </c>
      <c r="U113" s="4">
        <f t="shared" si="55"/>
        <v>1099</v>
      </c>
      <c r="V113" s="4">
        <f t="shared" si="55"/>
        <v>1133</v>
      </c>
      <c r="W113" s="4">
        <f t="shared" si="55"/>
        <v>1166</v>
      </c>
      <c r="X113" s="4">
        <f t="shared" si="55"/>
        <v>1200</v>
      </c>
      <c r="Y113" s="4">
        <f t="shared" si="55"/>
        <v>1233</v>
      </c>
      <c r="Z113" s="4">
        <f t="shared" si="55"/>
        <v>1366</v>
      </c>
      <c r="AA113" s="4">
        <f t="shared" si="55"/>
        <v>1500</v>
      </c>
      <c r="AB113" s="4">
        <f t="shared" si="55"/>
        <v>0</v>
      </c>
      <c r="AC113" s="4">
        <f t="shared" si="55"/>
        <v>0</v>
      </c>
      <c r="AD113" s="4">
        <f t="shared" si="55"/>
        <v>0</v>
      </c>
      <c r="AE113" s="4">
        <f t="shared" si="55"/>
        <v>0</v>
      </c>
      <c r="AF113" s="4">
        <f t="shared" si="55"/>
        <v>0</v>
      </c>
      <c r="AG113" s="4">
        <f t="shared" si="55"/>
        <v>0</v>
      </c>
      <c r="AH113" s="4">
        <f t="shared" si="55"/>
        <v>0</v>
      </c>
      <c r="AI113" s="4">
        <f t="shared" si="55"/>
        <v>0</v>
      </c>
      <c r="AJ113" s="4">
        <f t="shared" si="55"/>
        <v>0</v>
      </c>
      <c r="AK113" s="4">
        <f t="shared" si="55"/>
        <v>0</v>
      </c>
      <c r="AL113" s="4">
        <f t="shared" si="55"/>
        <v>0</v>
      </c>
    </row>
    <row r="114" spans="1:38" ht="21" customHeight="1" outlineLevel="1" thickTop="1" thickBot="1" x14ac:dyDescent="0.4">
      <c r="A114" s="21">
        <f>$A$2</f>
        <v>700</v>
      </c>
      <c r="B114" s="50">
        <f ca="1">MIN(MIN(F114:AL117),MIN(F41:AL41))</f>
        <v>-2840.5449939642649</v>
      </c>
      <c r="C114" s="24">
        <f>COUNTA(E114:E121)+1</f>
        <v>8</v>
      </c>
      <c r="E114" s="17" t="s">
        <v>35</v>
      </c>
      <c r="F114" s="52">
        <f t="shared" ref="F114:AL114" ca="1" si="56">F$113*$B$2*SUMPRODUCT(F$85:F$94,F$51:F$60)/1000</f>
        <v>-273.27222024545767</v>
      </c>
      <c r="G114" s="52">
        <f t="shared" ca="1" si="56"/>
        <v>-296.49863021709274</v>
      </c>
      <c r="H114" s="52">
        <f t="shared" ca="1" si="56"/>
        <v>-317.66214266472616</v>
      </c>
      <c r="I114" s="52">
        <f t="shared" ca="1" si="56"/>
        <v>-331.802764632736</v>
      </c>
      <c r="J114" s="52">
        <f t="shared" ca="1" si="56"/>
        <v>-348.69440401523849</v>
      </c>
      <c r="K114" s="52">
        <f t="shared" ca="1" si="56"/>
        <v>-376.62331661032351</v>
      </c>
      <c r="L114" s="52">
        <f t="shared" ca="1" si="56"/>
        <v>-427.3135371895176</v>
      </c>
      <c r="M114" s="52">
        <f t="shared" ca="1" si="56"/>
        <v>-633.93543623277378</v>
      </c>
      <c r="N114" s="52">
        <f t="shared" ca="1" si="56"/>
        <v>-694.62562127335298</v>
      </c>
      <c r="O114" s="52">
        <f t="shared" ca="1" si="56"/>
        <v>-756.71248312547812</v>
      </c>
      <c r="P114" s="52">
        <f t="shared" ca="1" si="56"/>
        <v>-820.64242361931872</v>
      </c>
      <c r="Q114" s="52">
        <f t="shared" ca="1" si="56"/>
        <v>-886.61313474869678</v>
      </c>
      <c r="R114" s="52">
        <f t="shared" ca="1" si="56"/>
        <v>-954.55722888938931</v>
      </c>
      <c r="S114" s="52">
        <f t="shared" ca="1" si="56"/>
        <v>-1241.2463961793101</v>
      </c>
      <c r="T114" s="52">
        <f t="shared" ca="1" si="56"/>
        <v>-1548.3325394869191</v>
      </c>
      <c r="U114" s="52">
        <f t="shared" ca="1" si="56"/>
        <v>-1868.2017970383879</v>
      </c>
      <c r="V114" s="52">
        <f t="shared" ca="1" si="56"/>
        <v>-1950.6611640188546</v>
      </c>
      <c r="W114" s="52">
        <f t="shared" ca="1" si="56"/>
        <v>-2031.642201820147</v>
      </c>
      <c r="X114" s="52">
        <f t="shared" ca="1" si="56"/>
        <v>-2114.4239196907956</v>
      </c>
      <c r="Y114" s="52">
        <f t="shared" ca="1" si="56"/>
        <v>-2195.893370256651</v>
      </c>
      <c r="Z114" s="52">
        <f t="shared" ca="1" si="56"/>
        <v>-2521.3622539169141</v>
      </c>
      <c r="AA114" s="52">
        <f t="shared" ca="1" si="56"/>
        <v>-2840.5449939642649</v>
      </c>
      <c r="AB114" s="52">
        <f t="shared" ca="1" si="56"/>
        <v>0</v>
      </c>
      <c r="AC114" s="52">
        <f t="shared" ca="1" si="56"/>
        <v>0</v>
      </c>
      <c r="AD114" s="52">
        <f t="shared" ca="1" si="56"/>
        <v>0</v>
      </c>
      <c r="AE114" s="52">
        <f t="shared" ca="1" si="56"/>
        <v>0</v>
      </c>
      <c r="AF114" s="52">
        <f t="shared" ca="1" si="56"/>
        <v>0</v>
      </c>
      <c r="AG114" s="52">
        <f t="shared" ca="1" si="56"/>
        <v>0</v>
      </c>
      <c r="AH114" s="52">
        <f t="shared" ca="1" si="56"/>
        <v>0</v>
      </c>
      <c r="AI114" s="52">
        <f t="shared" ca="1" si="56"/>
        <v>0</v>
      </c>
      <c r="AJ114" s="52">
        <f t="shared" ca="1" si="56"/>
        <v>0</v>
      </c>
      <c r="AK114" s="52">
        <f t="shared" ca="1" si="56"/>
        <v>0</v>
      </c>
      <c r="AL114" s="52">
        <f t="shared" ca="1" si="56"/>
        <v>0</v>
      </c>
    </row>
    <row r="115" spans="1:38" ht="21" customHeight="1" outlineLevel="1" thickBot="1" x14ac:dyDescent="0.4">
      <c r="A115" s="22">
        <f>$A$114</f>
        <v>700</v>
      </c>
      <c r="B115" s="51">
        <f ca="1">MAX(MAX(F114:AL117),MAX(F41:AL41))</f>
        <v>32</v>
      </c>
      <c r="C115" s="25">
        <f xml:space="preserve"> COUNTIF(F113:AL113,"&lt;&gt;"&amp;0)</f>
        <v>22</v>
      </c>
      <c r="E115" s="17" t="s">
        <v>64</v>
      </c>
      <c r="F115" s="14">
        <f t="shared" ref="F115:AL115" ca="1" si="57">F$113*$B$2*SUMPRODUCT(F$100:F$101,F$65:F$66)/1000</f>
        <v>0</v>
      </c>
      <c r="G115" s="14">
        <f t="shared" ca="1" si="57"/>
        <v>0</v>
      </c>
      <c r="H115" s="14">
        <f t="shared" ca="1" si="57"/>
        <v>0</v>
      </c>
      <c r="I115" s="14">
        <f t="shared" ca="1" si="57"/>
        <v>0</v>
      </c>
      <c r="J115" s="14">
        <f t="shared" ca="1" si="57"/>
        <v>0</v>
      </c>
      <c r="K115" s="14">
        <f t="shared" ca="1" si="57"/>
        <v>0</v>
      </c>
      <c r="L115" s="14">
        <f t="shared" ca="1" si="57"/>
        <v>0</v>
      </c>
      <c r="M115" s="14">
        <f t="shared" ca="1" si="57"/>
        <v>0</v>
      </c>
      <c r="N115" s="14">
        <f t="shared" ca="1" si="57"/>
        <v>0</v>
      </c>
      <c r="O115" s="14">
        <f t="shared" ca="1" si="57"/>
        <v>0</v>
      </c>
      <c r="P115" s="14">
        <f t="shared" ca="1" si="57"/>
        <v>0</v>
      </c>
      <c r="Q115" s="14">
        <f t="shared" ca="1" si="57"/>
        <v>0</v>
      </c>
      <c r="R115" s="14">
        <f t="shared" ca="1" si="57"/>
        <v>0</v>
      </c>
      <c r="S115" s="14">
        <f t="shared" ca="1" si="57"/>
        <v>0</v>
      </c>
      <c r="T115" s="14">
        <f t="shared" ca="1" si="57"/>
        <v>0</v>
      </c>
      <c r="U115" s="14">
        <f t="shared" ca="1" si="57"/>
        <v>0</v>
      </c>
      <c r="V115" s="14">
        <f t="shared" ca="1" si="57"/>
        <v>0</v>
      </c>
      <c r="W115" s="14">
        <f t="shared" ca="1" si="57"/>
        <v>0</v>
      </c>
      <c r="X115" s="14">
        <f t="shared" ca="1" si="57"/>
        <v>0</v>
      </c>
      <c r="Y115" s="14">
        <f t="shared" ca="1" si="57"/>
        <v>0</v>
      </c>
      <c r="Z115" s="14">
        <f t="shared" ca="1" si="57"/>
        <v>0</v>
      </c>
      <c r="AA115" s="14">
        <f t="shared" ca="1" si="57"/>
        <v>0</v>
      </c>
      <c r="AB115" s="14">
        <f t="shared" ca="1" si="57"/>
        <v>0</v>
      </c>
      <c r="AC115" s="14">
        <f t="shared" ca="1" si="57"/>
        <v>0</v>
      </c>
      <c r="AD115" s="14">
        <f t="shared" ca="1" si="57"/>
        <v>0</v>
      </c>
      <c r="AE115" s="14">
        <f t="shared" ca="1" si="57"/>
        <v>0</v>
      </c>
      <c r="AF115" s="14">
        <f t="shared" ca="1" si="57"/>
        <v>0</v>
      </c>
      <c r="AG115" s="14">
        <f t="shared" ca="1" si="57"/>
        <v>0</v>
      </c>
      <c r="AH115" s="14">
        <f t="shared" ca="1" si="57"/>
        <v>0</v>
      </c>
      <c r="AI115" s="14">
        <f t="shared" ca="1" si="57"/>
        <v>0</v>
      </c>
      <c r="AJ115" s="14">
        <f t="shared" ca="1" si="57"/>
        <v>0</v>
      </c>
      <c r="AK115" s="14">
        <f t="shared" ca="1" si="57"/>
        <v>0</v>
      </c>
      <c r="AL115" s="14">
        <f t="shared" ca="1" si="57"/>
        <v>0</v>
      </c>
    </row>
    <row r="116" spans="1:38" ht="21" customHeight="1" outlineLevel="1" thickBot="1" x14ac:dyDescent="0.4">
      <c r="E116" s="17" t="s">
        <v>65</v>
      </c>
      <c r="F116" s="14">
        <v>0</v>
      </c>
      <c r="G116" s="14">
        <v>1</v>
      </c>
      <c r="H116" s="14">
        <v>2</v>
      </c>
      <c r="I116" s="14">
        <v>3</v>
      </c>
      <c r="J116" s="14">
        <v>4</v>
      </c>
      <c r="K116" s="14">
        <v>5</v>
      </c>
      <c r="L116" s="14">
        <v>6</v>
      </c>
      <c r="M116" s="14">
        <v>7</v>
      </c>
      <c r="N116" s="14">
        <v>8</v>
      </c>
      <c r="O116" s="14">
        <v>9</v>
      </c>
      <c r="P116" s="14">
        <v>10</v>
      </c>
      <c r="Q116" s="14">
        <v>11</v>
      </c>
      <c r="R116" s="14">
        <v>12</v>
      </c>
      <c r="S116" s="14">
        <v>13</v>
      </c>
      <c r="T116" s="14">
        <v>14</v>
      </c>
      <c r="U116" s="14">
        <v>15</v>
      </c>
      <c r="V116" s="14">
        <v>16</v>
      </c>
      <c r="W116" s="14">
        <v>17</v>
      </c>
      <c r="X116" s="14">
        <v>18</v>
      </c>
      <c r="Y116" s="14">
        <v>19</v>
      </c>
      <c r="Z116" s="14">
        <v>20</v>
      </c>
      <c r="AA116" s="14">
        <v>21</v>
      </c>
      <c r="AB116" s="14">
        <v>22</v>
      </c>
      <c r="AC116" s="14">
        <v>23</v>
      </c>
      <c r="AD116" s="14">
        <v>24</v>
      </c>
      <c r="AE116" s="14">
        <v>25</v>
      </c>
      <c r="AF116" s="14">
        <v>26</v>
      </c>
      <c r="AG116" s="14">
        <v>27</v>
      </c>
      <c r="AH116" s="14">
        <v>28</v>
      </c>
      <c r="AI116" s="14">
        <v>29</v>
      </c>
      <c r="AJ116" s="14">
        <v>30</v>
      </c>
      <c r="AK116" s="14">
        <v>31</v>
      </c>
      <c r="AL116" s="14">
        <v>32</v>
      </c>
    </row>
    <row r="117" spans="1:38" ht="21" customHeight="1" outlineLevel="1" thickBot="1" x14ac:dyDescent="0.4">
      <c r="E117" s="17" t="s">
        <v>14</v>
      </c>
      <c r="F117" s="14">
        <f t="shared" ref="F117:AL117" ca="1" si="58">F$113*$B$2*SUMPRODUCT(F$82:F$83,F$48:F$49)/1000</f>
        <v>-237.17563242849008</v>
      </c>
      <c r="G117" s="14">
        <f t="shared" ca="1" si="58"/>
        <v>-223.93776305516852</v>
      </c>
      <c r="H117" s="14">
        <f t="shared" ca="1" si="58"/>
        <v>-214.64619396559306</v>
      </c>
      <c r="I117" s="14">
        <f t="shared" ca="1" si="58"/>
        <v>-213.66935487060803</v>
      </c>
      <c r="J117" s="14">
        <f t="shared" ca="1" si="58"/>
        <v>-210.84385565810666</v>
      </c>
      <c r="K117" s="14">
        <f t="shared" ca="1" si="58"/>
        <v>-198.75502852807628</v>
      </c>
      <c r="L117" s="14">
        <f t="shared" ca="1" si="58"/>
        <v>-167.19800037095402</v>
      </c>
      <c r="M117" s="14">
        <f t="shared" ca="1" si="58"/>
        <v>-1.2117102623154976</v>
      </c>
      <c r="N117" s="14">
        <f t="shared" ca="1" si="58"/>
        <v>-1.3650164645147869E-4</v>
      </c>
      <c r="O117" s="14">
        <f t="shared" ca="1" si="58"/>
        <v>-2.9459692420060309E-8</v>
      </c>
      <c r="P117" s="14">
        <f t="shared" ca="1" si="58"/>
        <v>-1.1322046540359577E-11</v>
      </c>
      <c r="Q117" s="14">
        <f t="shared" ca="1" si="58"/>
        <v>-7.2298849711329807E-15</v>
      </c>
      <c r="R117" s="14">
        <f t="shared" ca="1" si="58"/>
        <v>-7.2691758966830498E-18</v>
      </c>
      <c r="S117" s="14">
        <f t="shared" ca="1" si="58"/>
        <v>-5.4507143372282674E-16</v>
      </c>
      <c r="T117" s="14">
        <f t="shared" ca="1" si="58"/>
        <v>-1.1592660649777627E-12</v>
      </c>
      <c r="U117" s="14">
        <f t="shared" ca="1" si="58"/>
        <v>-3.9101666271731005E-10</v>
      </c>
      <c r="V117" s="14">
        <f t="shared" ca="1" si="58"/>
        <v>-1.3565096879857052E-9</v>
      </c>
      <c r="W117" s="14">
        <f t="shared" ca="1" si="58"/>
        <v>-4.3817523993117614E-9</v>
      </c>
      <c r="X117" s="14">
        <f t="shared" ca="1" si="58"/>
        <v>-1.3282872045240003E-8</v>
      </c>
      <c r="Y117" s="14">
        <f t="shared" ca="1" si="58"/>
        <v>-3.7912887357083108E-8</v>
      </c>
      <c r="Z117" s="14">
        <f t="shared" ca="1" si="58"/>
        <v>-1.5166645328986553E-6</v>
      </c>
      <c r="AA117" s="14">
        <f t="shared" ca="1" si="58"/>
        <v>-3.1696476619875006E-5</v>
      </c>
      <c r="AB117" s="14">
        <f t="shared" ca="1" si="58"/>
        <v>0</v>
      </c>
      <c r="AC117" s="14">
        <f t="shared" ca="1" si="58"/>
        <v>0</v>
      </c>
      <c r="AD117" s="14">
        <f t="shared" ca="1" si="58"/>
        <v>0</v>
      </c>
      <c r="AE117" s="14">
        <f t="shared" ca="1" si="58"/>
        <v>0</v>
      </c>
      <c r="AF117" s="14">
        <f t="shared" ca="1" si="58"/>
        <v>0</v>
      </c>
      <c r="AG117" s="14">
        <f t="shared" ca="1" si="58"/>
        <v>0</v>
      </c>
      <c r="AH117" s="14">
        <f t="shared" ca="1" si="58"/>
        <v>0</v>
      </c>
      <c r="AI117" s="14">
        <f t="shared" ca="1" si="58"/>
        <v>0</v>
      </c>
      <c r="AJ117" s="14">
        <f t="shared" ca="1" si="58"/>
        <v>0</v>
      </c>
      <c r="AK117" s="14">
        <f t="shared" ca="1" si="58"/>
        <v>0</v>
      </c>
      <c r="AL117" s="14">
        <f t="shared" ca="1" si="58"/>
        <v>0</v>
      </c>
    </row>
    <row r="118" spans="1:38" ht="21" customHeight="1" outlineLevel="1" thickBot="1" x14ac:dyDescent="0.4">
      <c r="E118" s="17" t="s">
        <v>15</v>
      </c>
      <c r="F118" s="14">
        <f t="shared" ref="F118:AL118" ca="1" si="59">F$113*$B$2*SUMPRODUCT(F$82:F$84,F$48:F$50)/1000</f>
        <v>-315.19357914849002</v>
      </c>
      <c r="G118" s="14">
        <f t="shared" ca="1" si="59"/>
        <v>-310.62203784266853</v>
      </c>
      <c r="H118" s="14">
        <f t="shared" ca="1" si="59"/>
        <v>-310.21596704059306</v>
      </c>
      <c r="I118" s="14">
        <f t="shared" ca="1" si="59"/>
        <v>-318.20759108560804</v>
      </c>
      <c r="J118" s="14">
        <f t="shared" ca="1" si="59"/>
        <v>-324.44740508060664</v>
      </c>
      <c r="K118" s="14">
        <f t="shared" ca="1" si="59"/>
        <v>-321.47017520807628</v>
      </c>
      <c r="L118" s="14">
        <f t="shared" ca="1" si="59"/>
        <v>-298.93286908345408</v>
      </c>
      <c r="M118" s="14">
        <f t="shared" ca="1" si="59"/>
        <v>-140.93588502231555</v>
      </c>
      <c r="N118" s="14">
        <f t="shared" ca="1" si="59"/>
        <v>-149.04802527164651</v>
      </c>
      <c r="O118" s="14">
        <f t="shared" ca="1" si="59"/>
        <v>-158.43640047945976</v>
      </c>
      <c r="P118" s="14">
        <f t="shared" ca="1" si="59"/>
        <v>-167.88970980001136</v>
      </c>
      <c r="Q118" s="14">
        <f t="shared" ca="1" si="59"/>
        <v>-177.40781682000005</v>
      </c>
      <c r="R118" s="14">
        <f t="shared" ca="1" si="59"/>
        <v>-186.99072151000004</v>
      </c>
      <c r="S118" s="14">
        <f t="shared" ca="1" si="59"/>
        <v>-225.71249818250007</v>
      </c>
      <c r="T118" s="14">
        <f t="shared" ca="1" si="59"/>
        <v>-265.26242677000118</v>
      </c>
      <c r="U118" s="14">
        <f t="shared" ca="1" si="59"/>
        <v>-305.34931962539105</v>
      </c>
      <c r="V118" s="14">
        <f t="shared" ca="1" si="59"/>
        <v>-315.73801022635661</v>
      </c>
      <c r="W118" s="14">
        <f t="shared" ca="1" si="59"/>
        <v>-325.74215520438185</v>
      </c>
      <c r="X118" s="14">
        <f t="shared" ca="1" si="59"/>
        <v>-336.072090013283</v>
      </c>
      <c r="Y118" s="14">
        <f t="shared" ca="1" si="59"/>
        <v>-346.16838738791296</v>
      </c>
      <c r="Z118" s="14">
        <f t="shared" ca="1" si="59"/>
        <v>-387.29440021666471</v>
      </c>
      <c r="AA118" s="14">
        <f t="shared" ca="1" si="59"/>
        <v>-429.23609419647676</v>
      </c>
      <c r="AB118" s="14">
        <f t="shared" ca="1" si="59"/>
        <v>0</v>
      </c>
      <c r="AC118" s="14">
        <f t="shared" ca="1" si="59"/>
        <v>0</v>
      </c>
      <c r="AD118" s="14">
        <f t="shared" ca="1" si="59"/>
        <v>0</v>
      </c>
      <c r="AE118" s="14">
        <f t="shared" ca="1" si="59"/>
        <v>0</v>
      </c>
      <c r="AF118" s="14">
        <f t="shared" ca="1" si="59"/>
        <v>0</v>
      </c>
      <c r="AG118" s="14">
        <f t="shared" ca="1" si="59"/>
        <v>0</v>
      </c>
      <c r="AH118" s="14">
        <f t="shared" ca="1" si="59"/>
        <v>0</v>
      </c>
      <c r="AI118" s="14">
        <f t="shared" ca="1" si="59"/>
        <v>0</v>
      </c>
      <c r="AJ118" s="14">
        <f t="shared" ca="1" si="59"/>
        <v>0</v>
      </c>
      <c r="AK118" s="14">
        <f t="shared" ca="1" si="59"/>
        <v>0</v>
      </c>
      <c r="AL118" s="14">
        <f t="shared" ca="1" si="59"/>
        <v>0</v>
      </c>
    </row>
    <row r="119" spans="1:38" ht="21" customHeight="1" outlineLevel="1" thickBot="1" x14ac:dyDescent="0.4">
      <c r="E119" s="17" t="s">
        <v>36</v>
      </c>
      <c r="F119" s="14">
        <f ca="1">F117+F114</f>
        <v>-510.44785267394775</v>
      </c>
      <c r="G119" s="14">
        <f t="shared" ref="G119:AL119" ca="1" si="60">G117+G114</f>
        <v>-520.43639327226128</v>
      </c>
      <c r="H119" s="14">
        <f t="shared" ca="1" si="60"/>
        <v>-532.30833663031922</v>
      </c>
      <c r="I119" s="14">
        <f t="shared" ca="1" si="60"/>
        <v>-545.47211950334406</v>
      </c>
      <c r="J119" s="14">
        <f t="shared" ca="1" si="60"/>
        <v>-559.53825967334512</v>
      </c>
      <c r="K119" s="14">
        <f t="shared" ca="1" si="60"/>
        <v>-575.37834513839982</v>
      </c>
      <c r="L119" s="14">
        <f t="shared" ca="1" si="60"/>
        <v>-594.51153756047165</v>
      </c>
      <c r="M119" s="14">
        <f t="shared" ca="1" si="60"/>
        <v>-635.14714649508926</v>
      </c>
      <c r="N119" s="14">
        <f t="shared" ca="1" si="60"/>
        <v>-694.62575777499944</v>
      </c>
      <c r="O119" s="14">
        <f t="shared" ca="1" si="60"/>
        <v>-756.71248315493779</v>
      </c>
      <c r="P119" s="14">
        <f t="shared" ca="1" si="60"/>
        <v>-820.64242361933009</v>
      </c>
      <c r="Q119" s="14">
        <f t="shared" ca="1" si="60"/>
        <v>-886.61313474869678</v>
      </c>
      <c r="R119" s="14">
        <f t="shared" ca="1" si="60"/>
        <v>-954.55722888938931</v>
      </c>
      <c r="S119" s="14">
        <f t="shared" ca="1" si="60"/>
        <v>-1241.2463961793101</v>
      </c>
      <c r="T119" s="14">
        <f t="shared" ca="1" si="60"/>
        <v>-1548.3325394869203</v>
      </c>
      <c r="U119" s="14">
        <f t="shared" ca="1" si="60"/>
        <v>-1868.201797038779</v>
      </c>
      <c r="V119" s="14">
        <f t="shared" ca="1" si="60"/>
        <v>-1950.6611640202111</v>
      </c>
      <c r="W119" s="14">
        <f t="shared" ca="1" si="60"/>
        <v>-2031.6422018245287</v>
      </c>
      <c r="X119" s="14">
        <f t="shared" ca="1" si="60"/>
        <v>-2114.4239197040783</v>
      </c>
      <c r="Y119" s="14">
        <f t="shared" ca="1" si="60"/>
        <v>-2195.8933702945637</v>
      </c>
      <c r="Z119" s="14">
        <f t="shared" ca="1" si="60"/>
        <v>-2521.3622554335789</v>
      </c>
      <c r="AA119" s="14">
        <f t="shared" ca="1" si="60"/>
        <v>-2840.5450256607414</v>
      </c>
      <c r="AB119" s="14">
        <f t="shared" ca="1" si="60"/>
        <v>0</v>
      </c>
      <c r="AC119" s="14">
        <f t="shared" ca="1" si="60"/>
        <v>0</v>
      </c>
      <c r="AD119" s="14">
        <f t="shared" ca="1" si="60"/>
        <v>0</v>
      </c>
      <c r="AE119" s="14">
        <f t="shared" ca="1" si="60"/>
        <v>0</v>
      </c>
      <c r="AF119" s="14">
        <f t="shared" ca="1" si="60"/>
        <v>0</v>
      </c>
      <c r="AG119" s="14">
        <f t="shared" ca="1" si="60"/>
        <v>0</v>
      </c>
      <c r="AH119" s="14">
        <f t="shared" ca="1" si="60"/>
        <v>0</v>
      </c>
      <c r="AI119" s="14">
        <f t="shared" ca="1" si="60"/>
        <v>0</v>
      </c>
      <c r="AJ119" s="14">
        <f t="shared" ca="1" si="60"/>
        <v>0</v>
      </c>
      <c r="AK119" s="14">
        <f t="shared" ca="1" si="60"/>
        <v>0</v>
      </c>
      <c r="AL119" s="14">
        <f t="shared" ca="1" si="60"/>
        <v>0</v>
      </c>
    </row>
    <row r="120" spans="1:38" ht="21" customHeight="1" outlineLevel="1" thickBot="1" x14ac:dyDescent="0.4">
      <c r="E120" s="17" t="s">
        <v>66</v>
      </c>
      <c r="F120" s="14">
        <f ca="1">F117+F115</f>
        <v>-237.17563242849008</v>
      </c>
      <c r="G120" s="14">
        <f t="shared" ref="G120:AL120" ca="1" si="61">G117+G115</f>
        <v>-223.93776305516852</v>
      </c>
      <c r="H120" s="14">
        <f t="shared" ca="1" si="61"/>
        <v>-214.64619396559306</v>
      </c>
      <c r="I120" s="14">
        <f t="shared" ca="1" si="61"/>
        <v>-213.66935487060803</v>
      </c>
      <c r="J120" s="14">
        <f t="shared" ca="1" si="61"/>
        <v>-210.84385565810666</v>
      </c>
      <c r="K120" s="14">
        <f t="shared" ca="1" si="61"/>
        <v>-198.75502852807628</v>
      </c>
      <c r="L120" s="14">
        <f t="shared" ca="1" si="61"/>
        <v>-167.19800037095402</v>
      </c>
      <c r="M120" s="14">
        <f t="shared" ca="1" si="61"/>
        <v>-1.2117102623154976</v>
      </c>
      <c r="N120" s="14">
        <f t="shared" ca="1" si="61"/>
        <v>-1.3650164645147869E-4</v>
      </c>
      <c r="O120" s="14">
        <f t="shared" ca="1" si="61"/>
        <v>-2.9459692420060309E-8</v>
      </c>
      <c r="P120" s="14">
        <f t="shared" ca="1" si="61"/>
        <v>-1.1322046540359577E-11</v>
      </c>
      <c r="Q120" s="14">
        <f t="shared" ca="1" si="61"/>
        <v>-7.2298849711329807E-15</v>
      </c>
      <c r="R120" s="14">
        <f t="shared" ca="1" si="61"/>
        <v>-7.2691758966830498E-18</v>
      </c>
      <c r="S120" s="14">
        <f t="shared" ca="1" si="61"/>
        <v>-5.4507143372282674E-16</v>
      </c>
      <c r="T120" s="14">
        <f t="shared" ca="1" si="61"/>
        <v>-1.1592660649777627E-12</v>
      </c>
      <c r="U120" s="14">
        <f t="shared" ca="1" si="61"/>
        <v>-3.9101666271731005E-10</v>
      </c>
      <c r="V120" s="14">
        <f t="shared" ca="1" si="61"/>
        <v>-1.3565096879857052E-9</v>
      </c>
      <c r="W120" s="14">
        <f t="shared" ca="1" si="61"/>
        <v>-4.3817523993117614E-9</v>
      </c>
      <c r="X120" s="14">
        <f t="shared" ca="1" si="61"/>
        <v>-1.3282872045240003E-8</v>
      </c>
      <c r="Y120" s="14">
        <f t="shared" ca="1" si="61"/>
        <v>-3.7912887357083108E-8</v>
      </c>
      <c r="Z120" s="14">
        <f t="shared" ca="1" si="61"/>
        <v>-1.5166645328986553E-6</v>
      </c>
      <c r="AA120" s="14">
        <f t="shared" ca="1" si="61"/>
        <v>-3.1696476619875006E-5</v>
      </c>
      <c r="AB120" s="14">
        <f t="shared" ca="1" si="61"/>
        <v>0</v>
      </c>
      <c r="AC120" s="14">
        <f t="shared" ca="1" si="61"/>
        <v>0</v>
      </c>
      <c r="AD120" s="14">
        <f t="shared" ca="1" si="61"/>
        <v>0</v>
      </c>
      <c r="AE120" s="14">
        <f t="shared" ca="1" si="61"/>
        <v>0</v>
      </c>
      <c r="AF120" s="14">
        <f t="shared" ca="1" si="61"/>
        <v>0</v>
      </c>
      <c r="AG120" s="14">
        <f t="shared" ca="1" si="61"/>
        <v>0</v>
      </c>
      <c r="AH120" s="14">
        <f t="shared" ca="1" si="61"/>
        <v>0</v>
      </c>
      <c r="AI120" s="14">
        <f t="shared" ca="1" si="61"/>
        <v>0</v>
      </c>
      <c r="AJ120" s="14">
        <f t="shared" ca="1" si="61"/>
        <v>0</v>
      </c>
      <c r="AK120" s="14">
        <f t="shared" ca="1" si="61"/>
        <v>0</v>
      </c>
      <c r="AL120" s="14">
        <f t="shared" ca="1" si="61"/>
        <v>0</v>
      </c>
    </row>
    <row r="121" spans="1:38" ht="21" customHeight="1" outlineLevel="1" thickBot="1" x14ac:dyDescent="0.4">
      <c r="E121" s="18"/>
      <c r="G121" s="55"/>
      <c r="H121" s="55"/>
      <c r="I121" s="55"/>
      <c r="J121" s="55"/>
      <c r="K121" s="55"/>
      <c r="L121" s="55"/>
      <c r="M121" s="55"/>
      <c r="N121" s="55"/>
      <c r="O121" s="55"/>
      <c r="P121" s="55"/>
      <c r="Q121" s="55"/>
      <c r="R121" s="55"/>
      <c r="S121" s="55"/>
      <c r="T121" s="55"/>
      <c r="U121" s="55"/>
      <c r="V121" s="55"/>
      <c r="W121" s="55"/>
      <c r="X121" s="55"/>
      <c r="Y121" s="55"/>
      <c r="Z121" s="55"/>
      <c r="AA121" s="55"/>
      <c r="AB121" s="55"/>
      <c r="AC121" s="55"/>
      <c r="AD121" s="55"/>
      <c r="AE121" s="55"/>
      <c r="AF121" s="55"/>
      <c r="AG121" s="55"/>
      <c r="AH121" s="55"/>
      <c r="AI121" s="55"/>
      <c r="AJ121" s="55"/>
      <c r="AK121" s="55"/>
      <c r="AL121" s="55"/>
    </row>
    <row r="122" spans="1:38" ht="21" customHeight="1" outlineLevel="1" thickTop="1" thickBot="1" x14ac:dyDescent="0.4">
      <c r="E122" s="4">
        <f t="array" aca="1" ref="E122:AL135" ca="1">OFFSET(E113,0,0,C114,C115+1)</f>
        <v>0</v>
      </c>
      <c r="F122" s="4">
        <f ca="1"/>
        <v>298.2</v>
      </c>
      <c r="G122" s="4">
        <f ca="1"/>
        <v>331.5</v>
      </c>
      <c r="H122" s="4">
        <f ca="1"/>
        <v>364.9</v>
      </c>
      <c r="I122" s="4">
        <f ca="1"/>
        <v>398.3</v>
      </c>
      <c r="J122" s="4">
        <f ca="1"/>
        <v>431.7</v>
      </c>
      <c r="K122" s="4">
        <f ca="1"/>
        <v>465.1</v>
      </c>
      <c r="L122" s="4">
        <f ca="1"/>
        <v>498.5</v>
      </c>
      <c r="M122" s="4">
        <f ca="1"/>
        <v>531.79999999999995</v>
      </c>
      <c r="N122" s="4">
        <f ca="1"/>
        <v>565.20000000000005</v>
      </c>
      <c r="O122" s="4">
        <f ca="1"/>
        <v>598.6</v>
      </c>
      <c r="P122" s="4">
        <f ca="1"/>
        <v>632</v>
      </c>
      <c r="Q122" s="4">
        <f ca="1"/>
        <v>665.4</v>
      </c>
      <c r="R122" s="4">
        <f ca="1"/>
        <v>698.8</v>
      </c>
      <c r="S122" s="4">
        <f ca="1"/>
        <v>832.3</v>
      </c>
      <c r="T122" s="20">
        <f ca="1"/>
        <v>965.8</v>
      </c>
      <c r="U122" s="65">
        <f ca="1"/>
        <v>1099</v>
      </c>
      <c r="V122" s="66">
        <f ca="1"/>
        <v>1133</v>
      </c>
      <c r="W122" s="68">
        <f ca="1"/>
        <v>1166</v>
      </c>
      <c r="X122" s="62">
        <f ca="1"/>
        <v>1200</v>
      </c>
      <c r="Y122" s="4">
        <f ca="1"/>
        <v>1233</v>
      </c>
      <c r="Z122" s="4">
        <f ca="1"/>
        <v>1366</v>
      </c>
      <c r="AA122" s="4">
        <f ca="1"/>
        <v>1500</v>
      </c>
      <c r="AB122" s="4" t="e">
        <f ca="1"/>
        <v>#N/A</v>
      </c>
      <c r="AC122" s="4" t="e">
        <f ca="1"/>
        <v>#N/A</v>
      </c>
      <c r="AD122" s="4" t="e">
        <f ca="1"/>
        <v>#N/A</v>
      </c>
      <c r="AE122" s="4" t="e">
        <f ca="1"/>
        <v>#N/A</v>
      </c>
      <c r="AF122" s="4" t="e">
        <f ca="1"/>
        <v>#N/A</v>
      </c>
      <c r="AG122" s="4" t="e">
        <f ca="1"/>
        <v>#N/A</v>
      </c>
      <c r="AH122" s="4" t="e">
        <f ca="1"/>
        <v>#N/A</v>
      </c>
      <c r="AI122" s="4" t="e">
        <f ca="1"/>
        <v>#N/A</v>
      </c>
      <c r="AJ122" s="4" t="e">
        <f ca="1"/>
        <v>#N/A</v>
      </c>
      <c r="AK122" s="4" t="e">
        <f ca="1"/>
        <v>#N/A</v>
      </c>
      <c r="AL122" s="4" t="e">
        <f ca="1"/>
        <v>#N/A</v>
      </c>
    </row>
    <row r="123" spans="1:38" ht="21" customHeight="1" outlineLevel="1" thickTop="1" thickBot="1" x14ac:dyDescent="0.4">
      <c r="E123" s="17" t="str">
        <f ca="1"/>
        <v xml:space="preserve">Раствор 1(тв): </v>
      </c>
      <c r="F123" s="55">
        <f ca="1"/>
        <v>-273.27222024545767</v>
      </c>
      <c r="G123" s="55">
        <f ca="1"/>
        <v>-296.49863021709274</v>
      </c>
      <c r="H123" s="55">
        <f ca="1"/>
        <v>-317.66214266472616</v>
      </c>
      <c r="I123" s="55">
        <f ca="1"/>
        <v>-331.802764632736</v>
      </c>
      <c r="J123" s="55">
        <f ca="1"/>
        <v>-348.69440401523849</v>
      </c>
      <c r="K123" s="55">
        <f ca="1"/>
        <v>-376.62331661032351</v>
      </c>
      <c r="L123" s="55">
        <f ca="1"/>
        <v>-427.3135371895176</v>
      </c>
      <c r="M123" s="55">
        <f ca="1"/>
        <v>-633.93543623277378</v>
      </c>
      <c r="N123" s="55">
        <f ca="1"/>
        <v>-694.62562127335298</v>
      </c>
      <c r="O123" s="55">
        <f ca="1"/>
        <v>-756.71248312547812</v>
      </c>
      <c r="P123" s="55">
        <f ca="1"/>
        <v>-820.64242361931872</v>
      </c>
      <c r="Q123" s="55">
        <f ca="1"/>
        <v>-886.61313474869678</v>
      </c>
      <c r="R123" s="55">
        <f ca="1"/>
        <v>-954.55722888938931</v>
      </c>
      <c r="S123" s="55">
        <f ca="1"/>
        <v>-1241.2463961793101</v>
      </c>
      <c r="T123" s="55">
        <f ca="1"/>
        <v>-1548.3325394869191</v>
      </c>
      <c r="U123" s="55">
        <f ca="1"/>
        <v>-1868.2017970383879</v>
      </c>
      <c r="V123" s="55">
        <f ca="1"/>
        <v>-1950.6611640188546</v>
      </c>
      <c r="W123" s="55">
        <f ca="1"/>
        <v>-2031.642201820147</v>
      </c>
      <c r="X123" s="55">
        <f ca="1"/>
        <v>-2114.4239196907956</v>
      </c>
      <c r="Y123" s="55">
        <f ca="1"/>
        <v>-2195.893370256651</v>
      </c>
      <c r="Z123" s="55">
        <f ca="1"/>
        <v>-2521.3622539169141</v>
      </c>
      <c r="AA123" s="55">
        <f ca="1"/>
        <v>-2840.5449939642649</v>
      </c>
      <c r="AB123" s="55" t="e">
        <f ca="1"/>
        <v>#N/A</v>
      </c>
      <c r="AC123" s="55" t="e">
        <f ca="1"/>
        <v>#N/A</v>
      </c>
      <c r="AD123" s="55" t="e">
        <f ca="1"/>
        <v>#N/A</v>
      </c>
      <c r="AE123" s="55" t="e">
        <f ca="1"/>
        <v>#N/A</v>
      </c>
      <c r="AF123" s="55" t="e">
        <f ca="1"/>
        <v>#N/A</v>
      </c>
      <c r="AG123" s="55" t="e">
        <f ca="1"/>
        <v>#N/A</v>
      </c>
      <c r="AH123" s="55" t="e">
        <f ca="1"/>
        <v>#N/A</v>
      </c>
      <c r="AI123" s="55" t="e">
        <f ca="1"/>
        <v>#N/A</v>
      </c>
      <c r="AJ123" s="55" t="e">
        <f ca="1"/>
        <v>#N/A</v>
      </c>
      <c r="AK123" s="55" t="e">
        <f ca="1"/>
        <v>#N/A</v>
      </c>
      <c r="AL123" s="55" t="e">
        <f ca="1"/>
        <v>#N/A</v>
      </c>
    </row>
    <row r="124" spans="1:38" ht="21" customHeight="1" outlineLevel="1" thickBot="1" x14ac:dyDescent="0.4">
      <c r="E124" s="17" t="str">
        <f ca="1"/>
        <v xml:space="preserve">Раствор 3 (жид): </v>
      </c>
      <c r="F124" s="55">
        <f ca="1"/>
        <v>0</v>
      </c>
      <c r="G124" s="55">
        <f ca="1"/>
        <v>0</v>
      </c>
      <c r="H124" s="55">
        <f ca="1"/>
        <v>0</v>
      </c>
      <c r="I124" s="55">
        <f ca="1"/>
        <v>0</v>
      </c>
      <c r="J124" s="55">
        <f ca="1"/>
        <v>0</v>
      </c>
      <c r="K124" s="55">
        <f ca="1"/>
        <v>0</v>
      </c>
      <c r="L124" s="55">
        <f ca="1"/>
        <v>0</v>
      </c>
      <c r="M124" s="55">
        <f ca="1"/>
        <v>0</v>
      </c>
      <c r="N124" s="55">
        <f ca="1"/>
        <v>0</v>
      </c>
      <c r="O124" s="55">
        <f ca="1"/>
        <v>0</v>
      </c>
      <c r="P124" s="55">
        <f ca="1"/>
        <v>0</v>
      </c>
      <c r="Q124" s="55">
        <f ca="1"/>
        <v>0</v>
      </c>
      <c r="R124" s="55">
        <f ca="1"/>
        <v>0</v>
      </c>
      <c r="S124" s="55">
        <f ca="1"/>
        <v>0</v>
      </c>
      <c r="T124" s="55">
        <f ca="1"/>
        <v>0</v>
      </c>
      <c r="U124" s="55">
        <f ca="1"/>
        <v>0</v>
      </c>
      <c r="V124" s="55">
        <f ca="1"/>
        <v>0</v>
      </c>
      <c r="W124" s="55">
        <f ca="1"/>
        <v>0</v>
      </c>
      <c r="X124" s="55">
        <f ca="1"/>
        <v>0</v>
      </c>
      <c r="Y124" s="55">
        <f ca="1"/>
        <v>0</v>
      </c>
      <c r="Z124" s="55">
        <f ca="1"/>
        <v>0</v>
      </c>
      <c r="AA124" s="55">
        <f ca="1"/>
        <v>0</v>
      </c>
      <c r="AB124" s="55" t="e">
        <f ca="1"/>
        <v>#N/A</v>
      </c>
      <c r="AC124" s="55" t="e">
        <f ca="1"/>
        <v>#N/A</v>
      </c>
      <c r="AD124" s="55" t="e">
        <f ca="1"/>
        <v>#N/A</v>
      </c>
      <c r="AE124" s="55" t="e">
        <f ca="1"/>
        <v>#N/A</v>
      </c>
      <c r="AF124" s="55" t="e">
        <f ca="1"/>
        <v>#N/A</v>
      </c>
      <c r="AG124" s="55" t="e">
        <f ca="1"/>
        <v>#N/A</v>
      </c>
      <c r="AH124" s="55" t="e">
        <f ca="1"/>
        <v>#N/A</v>
      </c>
      <c r="AI124" s="55" t="e">
        <f ca="1"/>
        <v>#N/A</v>
      </c>
      <c r="AJ124" s="55" t="e">
        <f ca="1"/>
        <v>#N/A</v>
      </c>
      <c r="AK124" s="55" t="e">
        <f ca="1"/>
        <v>#N/A</v>
      </c>
      <c r="AL124" s="55" t="e">
        <f ca="1"/>
        <v>#N/A</v>
      </c>
    </row>
    <row r="125" spans="1:38" ht="21" customHeight="1" outlineLevel="1" thickBot="1" x14ac:dyDescent="0.4">
      <c r="E125" s="17" t="str">
        <f ca="1"/>
        <v>Расвтор 2</v>
      </c>
      <c r="F125" s="55">
        <f ca="1"/>
        <v>0</v>
      </c>
      <c r="G125" s="55">
        <f ca="1"/>
        <v>1</v>
      </c>
      <c r="H125" s="55">
        <f ca="1"/>
        <v>2</v>
      </c>
      <c r="I125" s="55">
        <f ca="1"/>
        <v>3</v>
      </c>
      <c r="J125" s="55">
        <f ca="1"/>
        <v>4</v>
      </c>
      <c r="K125" s="55">
        <f ca="1"/>
        <v>5</v>
      </c>
      <c r="L125" s="55">
        <f ca="1"/>
        <v>6</v>
      </c>
      <c r="M125" s="55">
        <f ca="1"/>
        <v>7</v>
      </c>
      <c r="N125" s="55">
        <f ca="1"/>
        <v>8</v>
      </c>
      <c r="O125" s="55">
        <f ca="1"/>
        <v>9</v>
      </c>
      <c r="P125" s="55">
        <f ca="1"/>
        <v>10</v>
      </c>
      <c r="Q125" s="55">
        <f ca="1"/>
        <v>11</v>
      </c>
      <c r="R125" s="55">
        <f ca="1"/>
        <v>12</v>
      </c>
      <c r="S125" s="55">
        <f ca="1"/>
        <v>13</v>
      </c>
      <c r="T125" s="55">
        <f ca="1"/>
        <v>14</v>
      </c>
      <c r="U125" s="55">
        <f ca="1"/>
        <v>15</v>
      </c>
      <c r="V125" s="55">
        <f ca="1"/>
        <v>16</v>
      </c>
      <c r="W125" s="55">
        <f ca="1"/>
        <v>17</v>
      </c>
      <c r="X125" s="55">
        <f ca="1"/>
        <v>18</v>
      </c>
      <c r="Y125" s="55">
        <f ca="1"/>
        <v>19</v>
      </c>
      <c r="Z125" s="55">
        <f ca="1"/>
        <v>20</v>
      </c>
      <c r="AA125" s="55">
        <f ca="1"/>
        <v>21</v>
      </c>
      <c r="AB125" s="55" t="e">
        <f ca="1"/>
        <v>#N/A</v>
      </c>
      <c r="AC125" s="55" t="e">
        <f ca="1"/>
        <v>#N/A</v>
      </c>
      <c r="AD125" s="55" t="e">
        <f ca="1"/>
        <v>#N/A</v>
      </c>
      <c r="AE125" s="55" t="e">
        <f ca="1"/>
        <v>#N/A</v>
      </c>
      <c r="AF125" s="55" t="e">
        <f ca="1"/>
        <v>#N/A</v>
      </c>
      <c r="AG125" s="55" t="e">
        <f ca="1"/>
        <v>#N/A</v>
      </c>
      <c r="AH125" s="55" t="e">
        <f ca="1"/>
        <v>#N/A</v>
      </c>
      <c r="AI125" s="55" t="e">
        <f ca="1"/>
        <v>#N/A</v>
      </c>
      <c r="AJ125" s="55" t="e">
        <f ca="1"/>
        <v>#N/A</v>
      </c>
      <c r="AK125" s="55" t="e">
        <f ca="1"/>
        <v>#N/A</v>
      </c>
      <c r="AL125" s="55" t="e">
        <f ca="1"/>
        <v>#N/A</v>
      </c>
    </row>
    <row r="126" spans="1:38" ht="21" customHeight="1" outlineLevel="1" thickBot="1" x14ac:dyDescent="0.4">
      <c r="E126" s="17" t="str">
        <f ca="1"/>
        <v xml:space="preserve">Газовая без Ar: </v>
      </c>
      <c r="F126" s="55">
        <f ca="1"/>
        <v>-237.17563242849008</v>
      </c>
      <c r="G126" s="55">
        <f ca="1"/>
        <v>-223.93776305516852</v>
      </c>
      <c r="H126" s="55">
        <f ca="1"/>
        <v>-214.64619396559306</v>
      </c>
      <c r="I126" s="55">
        <f ca="1"/>
        <v>-213.66935487060803</v>
      </c>
      <c r="J126" s="55">
        <f ca="1"/>
        <v>-210.84385565810666</v>
      </c>
      <c r="K126" s="55">
        <f ca="1"/>
        <v>-198.75502852807628</v>
      </c>
      <c r="L126" s="55">
        <f ca="1"/>
        <v>-167.19800037095402</v>
      </c>
      <c r="M126" s="55">
        <f ca="1"/>
        <v>-1.2117102623154976</v>
      </c>
      <c r="N126" s="55">
        <f ca="1"/>
        <v>-1.3650164645147869E-4</v>
      </c>
      <c r="O126" s="55">
        <f ca="1"/>
        <v>-2.9459692420060309E-8</v>
      </c>
      <c r="P126" s="55">
        <f ca="1"/>
        <v>-1.1322046540359577E-11</v>
      </c>
      <c r="Q126" s="55">
        <f ca="1"/>
        <v>-7.2298849711329807E-15</v>
      </c>
      <c r="R126" s="55">
        <f ca="1"/>
        <v>-7.2691758966830498E-18</v>
      </c>
      <c r="S126" s="55">
        <f ca="1"/>
        <v>-5.4507143372282674E-16</v>
      </c>
      <c r="T126" s="55">
        <f ca="1"/>
        <v>-1.1592660649777627E-12</v>
      </c>
      <c r="U126" s="55">
        <f ca="1"/>
        <v>-3.9101666271731005E-10</v>
      </c>
      <c r="V126" s="55">
        <f ca="1"/>
        <v>-1.3565096879857052E-9</v>
      </c>
      <c r="W126" s="55">
        <f ca="1"/>
        <v>-4.3817523993117614E-9</v>
      </c>
      <c r="X126" s="55">
        <f ca="1"/>
        <v>-1.3282872045240003E-8</v>
      </c>
      <c r="Y126" s="55">
        <f ca="1"/>
        <v>-3.7912887357083108E-8</v>
      </c>
      <c r="Z126" s="55">
        <f ca="1"/>
        <v>-1.5166645328986553E-6</v>
      </c>
      <c r="AA126" s="55">
        <f ca="1"/>
        <v>-3.1696476619875006E-5</v>
      </c>
      <c r="AB126" s="55" t="e">
        <f ca="1"/>
        <v>#N/A</v>
      </c>
      <c r="AC126" s="55" t="e">
        <f ca="1"/>
        <v>#N/A</v>
      </c>
      <c r="AD126" s="55" t="e">
        <f ca="1"/>
        <v>#N/A</v>
      </c>
      <c r="AE126" s="55" t="e">
        <f ca="1"/>
        <v>#N/A</v>
      </c>
      <c r="AF126" s="55" t="e">
        <f ca="1"/>
        <v>#N/A</v>
      </c>
      <c r="AG126" s="55" t="e">
        <f ca="1"/>
        <v>#N/A</v>
      </c>
      <c r="AH126" s="55" t="e">
        <f ca="1"/>
        <v>#N/A</v>
      </c>
      <c r="AI126" s="55" t="e">
        <f ca="1"/>
        <v>#N/A</v>
      </c>
      <c r="AJ126" s="55" t="e">
        <f ca="1"/>
        <v>#N/A</v>
      </c>
      <c r="AK126" s="55" t="e">
        <f ca="1"/>
        <v>#N/A</v>
      </c>
      <c r="AL126" s="55" t="e">
        <f ca="1"/>
        <v>#N/A</v>
      </c>
    </row>
    <row r="127" spans="1:38" ht="21" customHeight="1" outlineLevel="1" thickBot="1" x14ac:dyDescent="0.4">
      <c r="E127" s="17" t="str">
        <f ca="1"/>
        <v xml:space="preserve">Газовая: </v>
      </c>
      <c r="F127" s="55">
        <f ca="1"/>
        <v>-315.19357914849002</v>
      </c>
      <c r="G127" s="55">
        <f ca="1"/>
        <v>-310.62203784266853</v>
      </c>
      <c r="H127" s="55">
        <f ca="1"/>
        <v>-310.21596704059306</v>
      </c>
      <c r="I127" s="55">
        <f ca="1"/>
        <v>-318.20759108560804</v>
      </c>
      <c r="J127" s="55">
        <f ca="1"/>
        <v>-324.44740508060664</v>
      </c>
      <c r="K127" s="55">
        <f ca="1"/>
        <v>-321.47017520807628</v>
      </c>
      <c r="L127" s="55">
        <f ca="1"/>
        <v>-298.93286908345408</v>
      </c>
      <c r="M127" s="55">
        <f ca="1"/>
        <v>-140.93588502231555</v>
      </c>
      <c r="N127" s="55">
        <f ca="1"/>
        <v>-149.04802527164651</v>
      </c>
      <c r="O127" s="55">
        <f ca="1"/>
        <v>-158.43640047945976</v>
      </c>
      <c r="P127" s="55">
        <f ca="1"/>
        <v>-167.88970980001136</v>
      </c>
      <c r="Q127" s="55">
        <f ca="1"/>
        <v>-177.40781682000005</v>
      </c>
      <c r="R127" s="55">
        <f ca="1"/>
        <v>-186.99072151000004</v>
      </c>
      <c r="S127" s="55">
        <f ca="1"/>
        <v>-225.71249818250007</v>
      </c>
      <c r="T127" s="55">
        <f ca="1"/>
        <v>-265.26242677000118</v>
      </c>
      <c r="U127" s="55">
        <f ca="1"/>
        <v>-305.34931962539105</v>
      </c>
      <c r="V127" s="55">
        <f ca="1"/>
        <v>-315.73801022635661</v>
      </c>
      <c r="W127" s="55">
        <f ca="1"/>
        <v>-325.74215520438185</v>
      </c>
      <c r="X127" s="55">
        <f ca="1"/>
        <v>-336.072090013283</v>
      </c>
      <c r="Y127" s="55">
        <f ca="1"/>
        <v>-346.16838738791296</v>
      </c>
      <c r="Z127" s="55">
        <f ca="1"/>
        <v>-387.29440021666471</v>
      </c>
      <c r="AA127" s="55">
        <f ca="1"/>
        <v>-429.23609419647676</v>
      </c>
      <c r="AB127" s="55" t="e">
        <f ca="1"/>
        <v>#N/A</v>
      </c>
      <c r="AC127" s="55" t="e">
        <f ca="1"/>
        <v>#N/A</v>
      </c>
      <c r="AD127" s="55" t="e">
        <f ca="1"/>
        <v>#N/A</v>
      </c>
      <c r="AE127" s="55" t="e">
        <f ca="1"/>
        <v>#N/A</v>
      </c>
      <c r="AF127" s="55" t="e">
        <f ca="1"/>
        <v>#N/A</v>
      </c>
      <c r="AG127" s="55" t="e">
        <f ca="1"/>
        <v>#N/A</v>
      </c>
      <c r="AH127" s="55" t="e">
        <f ca="1"/>
        <v>#N/A</v>
      </c>
      <c r="AI127" s="55" t="e">
        <f ca="1"/>
        <v>#N/A</v>
      </c>
      <c r="AJ127" s="55" t="e">
        <f ca="1"/>
        <v>#N/A</v>
      </c>
      <c r="AK127" s="55" t="e">
        <f ca="1"/>
        <v>#N/A</v>
      </c>
      <c r="AL127" s="55" t="e">
        <f ca="1"/>
        <v>#N/A</v>
      </c>
    </row>
    <row r="128" spans="1:38" ht="21" customHeight="1" outlineLevel="1" thickBot="1" x14ac:dyDescent="0.4">
      <c r="E128" s="17" t="str">
        <f ca="1"/>
        <v xml:space="preserve">Раствор 1 + газовая без Ar: </v>
      </c>
      <c r="F128" s="55">
        <f ca="1"/>
        <v>-510.44785267394775</v>
      </c>
      <c r="G128" s="55">
        <f ca="1"/>
        <v>-520.43639327226128</v>
      </c>
      <c r="H128" s="55">
        <f ca="1"/>
        <v>-532.30833663031922</v>
      </c>
      <c r="I128" s="55">
        <f ca="1"/>
        <v>-545.47211950334406</v>
      </c>
      <c r="J128" s="55">
        <f ca="1"/>
        <v>-559.53825967334512</v>
      </c>
      <c r="K128" s="55">
        <f ca="1"/>
        <v>-575.37834513839982</v>
      </c>
      <c r="L128" s="55">
        <f ca="1"/>
        <v>-594.51153756047165</v>
      </c>
      <c r="M128" s="55">
        <f ca="1"/>
        <v>-635.14714649508926</v>
      </c>
      <c r="N128" s="55">
        <f ca="1"/>
        <v>-694.62575777499944</v>
      </c>
      <c r="O128" s="55">
        <f ca="1"/>
        <v>-756.71248315493779</v>
      </c>
      <c r="P128" s="55">
        <f ca="1"/>
        <v>-820.64242361933009</v>
      </c>
      <c r="Q128" s="55">
        <f ca="1"/>
        <v>-886.61313474869678</v>
      </c>
      <c r="R128" s="55">
        <f ca="1"/>
        <v>-954.55722888938931</v>
      </c>
      <c r="S128" s="55">
        <f ca="1"/>
        <v>-1241.2463961793101</v>
      </c>
      <c r="T128" s="55">
        <f ca="1"/>
        <v>-1548.3325394869203</v>
      </c>
      <c r="U128" s="55">
        <f ca="1"/>
        <v>-1868.201797038779</v>
      </c>
      <c r="V128" s="55">
        <f ca="1"/>
        <v>-1950.6611640202111</v>
      </c>
      <c r="W128" s="55">
        <f ca="1"/>
        <v>-2031.6422018245287</v>
      </c>
      <c r="X128" s="55">
        <f ca="1"/>
        <v>-2114.4239197040783</v>
      </c>
      <c r="Y128" s="55">
        <f ca="1"/>
        <v>-2195.8933702945637</v>
      </c>
      <c r="Z128" s="55">
        <f ca="1"/>
        <v>-2521.3622554335789</v>
      </c>
      <c r="AA128" s="55">
        <f ca="1"/>
        <v>-2840.5450256607414</v>
      </c>
      <c r="AB128" s="55" t="e">
        <f ca="1"/>
        <v>#N/A</v>
      </c>
      <c r="AC128" s="55" t="e">
        <f ca="1"/>
        <v>#N/A</v>
      </c>
      <c r="AD128" s="55" t="e">
        <f ca="1"/>
        <v>#N/A</v>
      </c>
      <c r="AE128" s="55" t="e">
        <f ca="1"/>
        <v>#N/A</v>
      </c>
      <c r="AF128" s="55" t="e">
        <f ca="1"/>
        <v>#N/A</v>
      </c>
      <c r="AG128" s="55" t="e">
        <f ca="1"/>
        <v>#N/A</v>
      </c>
      <c r="AH128" s="55" t="e">
        <f ca="1"/>
        <v>#N/A</v>
      </c>
      <c r="AI128" s="55" t="e">
        <f ca="1"/>
        <v>#N/A</v>
      </c>
      <c r="AJ128" s="55" t="e">
        <f ca="1"/>
        <v>#N/A</v>
      </c>
      <c r="AK128" s="55" t="e">
        <f ca="1"/>
        <v>#N/A</v>
      </c>
      <c r="AL128" s="55" t="e">
        <f ca="1"/>
        <v>#N/A</v>
      </c>
    </row>
    <row r="129" spans="5:38" ht="21" customHeight="1" outlineLevel="1" thickBot="1" x14ac:dyDescent="0.4">
      <c r="E129" s="17" t="str">
        <f ca="1"/>
        <v xml:space="preserve">Раствор 3 + газовая без Ar: </v>
      </c>
      <c r="F129" s="55">
        <f ca="1"/>
        <v>-237.17563242849008</v>
      </c>
      <c r="G129" s="55">
        <f ca="1"/>
        <v>-223.93776305516852</v>
      </c>
      <c r="H129" s="55">
        <f ca="1"/>
        <v>-214.64619396559306</v>
      </c>
      <c r="I129" s="55">
        <f ca="1"/>
        <v>-213.66935487060803</v>
      </c>
      <c r="J129" s="55">
        <f ca="1"/>
        <v>-210.84385565810666</v>
      </c>
      <c r="K129" s="55">
        <f ca="1"/>
        <v>-198.75502852807628</v>
      </c>
      <c r="L129" s="55">
        <f ca="1"/>
        <v>-167.19800037095402</v>
      </c>
      <c r="M129" s="55">
        <f ca="1"/>
        <v>-1.2117102623154976</v>
      </c>
      <c r="N129" s="55">
        <f ca="1"/>
        <v>-1.3650164645147869E-4</v>
      </c>
      <c r="O129" s="55">
        <f ca="1"/>
        <v>-2.9459692420060309E-8</v>
      </c>
      <c r="P129" s="55">
        <f ca="1"/>
        <v>-1.1322046540359577E-11</v>
      </c>
      <c r="Q129" s="55">
        <f ca="1"/>
        <v>-7.2298849711329807E-15</v>
      </c>
      <c r="R129" s="55">
        <f ca="1"/>
        <v>-7.2691758966830498E-18</v>
      </c>
      <c r="S129" s="55">
        <f ca="1"/>
        <v>-5.4507143372282674E-16</v>
      </c>
      <c r="T129" s="55">
        <f ca="1"/>
        <v>-1.1592660649777627E-12</v>
      </c>
      <c r="U129" s="55">
        <f ca="1"/>
        <v>-3.9101666271731005E-10</v>
      </c>
      <c r="V129" s="55">
        <f ca="1"/>
        <v>-1.3565096879857052E-9</v>
      </c>
      <c r="W129" s="55">
        <f ca="1"/>
        <v>-4.3817523993117614E-9</v>
      </c>
      <c r="X129" s="55">
        <f ca="1"/>
        <v>-1.3282872045240003E-8</v>
      </c>
      <c r="Y129" s="55">
        <f ca="1"/>
        <v>-3.7912887357083108E-8</v>
      </c>
      <c r="Z129" s="55">
        <f ca="1"/>
        <v>-1.5166645328986553E-6</v>
      </c>
      <c r="AA129" s="55">
        <f ca="1"/>
        <v>-3.1696476619875006E-5</v>
      </c>
      <c r="AB129" s="55" t="e">
        <f ca="1"/>
        <v>#N/A</v>
      </c>
      <c r="AC129" s="55" t="e">
        <f ca="1"/>
        <v>#N/A</v>
      </c>
      <c r="AD129" s="55" t="e">
        <f ca="1"/>
        <v>#N/A</v>
      </c>
      <c r="AE129" s="55" t="e">
        <f ca="1"/>
        <v>#N/A</v>
      </c>
      <c r="AF129" s="55" t="e">
        <f ca="1"/>
        <v>#N/A</v>
      </c>
      <c r="AG129" s="55" t="e">
        <f ca="1"/>
        <v>#N/A</v>
      </c>
      <c r="AH129" s="55" t="e">
        <f ca="1"/>
        <v>#N/A</v>
      </c>
      <c r="AI129" s="55" t="e">
        <f ca="1"/>
        <v>#N/A</v>
      </c>
      <c r="AJ129" s="55" t="e">
        <f ca="1"/>
        <v>#N/A</v>
      </c>
      <c r="AK129" s="55" t="e">
        <f ca="1"/>
        <v>#N/A</v>
      </c>
      <c r="AL129" s="55" t="e">
        <f ca="1"/>
        <v>#N/A</v>
      </c>
    </row>
    <row r="130" spans="5:38" ht="21" customHeight="1" outlineLevel="1" thickBot="1" x14ac:dyDescent="0.4">
      <c r="E130" s="17" t="e">
        <f ca="1"/>
        <v>#N/A</v>
      </c>
      <c r="F130" s="55" t="e">
        <f ca="1"/>
        <v>#N/A</v>
      </c>
      <c r="G130" s="55" t="e">
        <f ca="1"/>
        <v>#N/A</v>
      </c>
      <c r="H130" s="55" t="e">
        <f ca="1"/>
        <v>#N/A</v>
      </c>
      <c r="I130" s="55" t="e">
        <f ca="1"/>
        <v>#N/A</v>
      </c>
      <c r="J130" s="55" t="e">
        <f ca="1"/>
        <v>#N/A</v>
      </c>
      <c r="K130" s="55" t="e">
        <f ca="1"/>
        <v>#N/A</v>
      </c>
      <c r="L130" s="55" t="e">
        <f ca="1"/>
        <v>#N/A</v>
      </c>
      <c r="M130" s="55" t="e">
        <f ca="1"/>
        <v>#N/A</v>
      </c>
      <c r="N130" s="55" t="e">
        <f ca="1"/>
        <v>#N/A</v>
      </c>
      <c r="O130" s="55" t="e">
        <f ca="1"/>
        <v>#N/A</v>
      </c>
      <c r="P130" s="55" t="e">
        <f ca="1"/>
        <v>#N/A</v>
      </c>
      <c r="Q130" s="55" t="e">
        <f ca="1"/>
        <v>#N/A</v>
      </c>
      <c r="R130" s="55" t="e">
        <f ca="1"/>
        <v>#N/A</v>
      </c>
      <c r="S130" s="55" t="e">
        <f ca="1"/>
        <v>#N/A</v>
      </c>
      <c r="T130" s="55" t="e">
        <f ca="1"/>
        <v>#N/A</v>
      </c>
      <c r="U130" s="55" t="e">
        <f ca="1"/>
        <v>#N/A</v>
      </c>
      <c r="V130" s="55" t="e">
        <f ca="1"/>
        <v>#N/A</v>
      </c>
      <c r="W130" s="55" t="e">
        <f ca="1"/>
        <v>#N/A</v>
      </c>
      <c r="X130" s="55" t="e">
        <f ca="1"/>
        <v>#N/A</v>
      </c>
      <c r="Y130" s="55" t="e">
        <f ca="1"/>
        <v>#N/A</v>
      </c>
      <c r="Z130" s="55" t="e">
        <f ca="1"/>
        <v>#N/A</v>
      </c>
      <c r="AA130" s="55" t="e">
        <f ca="1"/>
        <v>#N/A</v>
      </c>
      <c r="AB130" s="55" t="e">
        <f ca="1"/>
        <v>#N/A</v>
      </c>
      <c r="AC130" s="55" t="e">
        <f ca="1"/>
        <v>#N/A</v>
      </c>
      <c r="AD130" s="55" t="e">
        <f ca="1"/>
        <v>#N/A</v>
      </c>
      <c r="AE130" s="55" t="e">
        <f ca="1"/>
        <v>#N/A</v>
      </c>
      <c r="AF130" s="55" t="e">
        <f ca="1"/>
        <v>#N/A</v>
      </c>
      <c r="AG130" s="55" t="e">
        <f ca="1"/>
        <v>#N/A</v>
      </c>
      <c r="AH130" s="55" t="e">
        <f ca="1"/>
        <v>#N/A</v>
      </c>
      <c r="AI130" s="55" t="e">
        <f ca="1"/>
        <v>#N/A</v>
      </c>
      <c r="AJ130" s="55" t="e">
        <f ca="1"/>
        <v>#N/A</v>
      </c>
      <c r="AK130" s="55" t="e">
        <f ca="1"/>
        <v>#N/A</v>
      </c>
      <c r="AL130" s="55" t="e">
        <f ca="1"/>
        <v>#N/A</v>
      </c>
    </row>
    <row r="131" spans="5:38" ht="21" customHeight="1" outlineLevel="1" thickBot="1" x14ac:dyDescent="0.4">
      <c r="E131" s="17" t="e">
        <f ca="1"/>
        <v>#N/A</v>
      </c>
      <c r="F131" s="55" t="e">
        <f ca="1"/>
        <v>#N/A</v>
      </c>
      <c r="G131" s="55" t="e">
        <f ca="1"/>
        <v>#N/A</v>
      </c>
      <c r="H131" s="55" t="e">
        <f ca="1"/>
        <v>#N/A</v>
      </c>
      <c r="I131" s="55" t="e">
        <f ca="1"/>
        <v>#N/A</v>
      </c>
      <c r="J131" s="55" t="e">
        <f ca="1"/>
        <v>#N/A</v>
      </c>
      <c r="K131" s="55" t="e">
        <f ca="1"/>
        <v>#N/A</v>
      </c>
      <c r="L131" s="55" t="e">
        <f ca="1"/>
        <v>#N/A</v>
      </c>
      <c r="M131" s="55" t="e">
        <f ca="1"/>
        <v>#N/A</v>
      </c>
      <c r="N131" s="55" t="e">
        <f ca="1"/>
        <v>#N/A</v>
      </c>
      <c r="O131" s="55" t="e">
        <f ca="1"/>
        <v>#N/A</v>
      </c>
      <c r="P131" s="55" t="e">
        <f ca="1"/>
        <v>#N/A</v>
      </c>
      <c r="Q131" s="55" t="e">
        <f ca="1"/>
        <v>#N/A</v>
      </c>
      <c r="R131" s="55" t="e">
        <f ca="1"/>
        <v>#N/A</v>
      </c>
      <c r="S131" s="55" t="e">
        <f ca="1"/>
        <v>#N/A</v>
      </c>
      <c r="T131" s="55" t="e">
        <f ca="1"/>
        <v>#N/A</v>
      </c>
      <c r="U131" s="55" t="e">
        <f ca="1"/>
        <v>#N/A</v>
      </c>
      <c r="V131" s="55" t="e">
        <f ca="1"/>
        <v>#N/A</v>
      </c>
      <c r="W131" s="55" t="e">
        <f ca="1"/>
        <v>#N/A</v>
      </c>
      <c r="X131" s="55" t="e">
        <f ca="1"/>
        <v>#N/A</v>
      </c>
      <c r="Y131" s="55" t="e">
        <f ca="1"/>
        <v>#N/A</v>
      </c>
      <c r="Z131" s="55" t="e">
        <f ca="1"/>
        <v>#N/A</v>
      </c>
      <c r="AA131" s="55" t="e">
        <f ca="1"/>
        <v>#N/A</v>
      </c>
      <c r="AB131" s="55" t="e">
        <f ca="1"/>
        <v>#N/A</v>
      </c>
      <c r="AC131" s="55" t="e">
        <f ca="1"/>
        <v>#N/A</v>
      </c>
      <c r="AD131" s="55" t="e">
        <f ca="1"/>
        <v>#N/A</v>
      </c>
      <c r="AE131" s="55" t="e">
        <f ca="1"/>
        <v>#N/A</v>
      </c>
      <c r="AF131" s="55" t="e">
        <f ca="1"/>
        <v>#N/A</v>
      </c>
      <c r="AG131" s="55" t="e">
        <f ca="1"/>
        <v>#N/A</v>
      </c>
      <c r="AH131" s="55" t="e">
        <f ca="1"/>
        <v>#N/A</v>
      </c>
      <c r="AI131" s="55" t="e">
        <f ca="1"/>
        <v>#N/A</v>
      </c>
      <c r="AJ131" s="55" t="e">
        <f ca="1"/>
        <v>#N/A</v>
      </c>
      <c r="AK131" s="55" t="e">
        <f ca="1"/>
        <v>#N/A</v>
      </c>
      <c r="AL131" s="55" t="e">
        <f ca="1"/>
        <v>#N/A</v>
      </c>
    </row>
    <row r="132" spans="5:38" ht="21" customHeight="1" outlineLevel="1" thickBot="1" x14ac:dyDescent="0.4">
      <c r="E132" s="17" t="e">
        <f ca="1"/>
        <v>#N/A</v>
      </c>
      <c r="F132" s="55" t="e">
        <f ca="1"/>
        <v>#N/A</v>
      </c>
      <c r="G132" s="55" t="e">
        <f ca="1"/>
        <v>#N/A</v>
      </c>
      <c r="H132" s="55" t="e">
        <f ca="1"/>
        <v>#N/A</v>
      </c>
      <c r="I132" s="55" t="e">
        <f ca="1"/>
        <v>#N/A</v>
      </c>
      <c r="J132" s="55" t="e">
        <f ca="1"/>
        <v>#N/A</v>
      </c>
      <c r="K132" s="55" t="e">
        <f ca="1"/>
        <v>#N/A</v>
      </c>
      <c r="L132" s="55" t="e">
        <f ca="1"/>
        <v>#N/A</v>
      </c>
      <c r="M132" s="55" t="e">
        <f ca="1"/>
        <v>#N/A</v>
      </c>
      <c r="N132" s="55" t="e">
        <f ca="1"/>
        <v>#N/A</v>
      </c>
      <c r="O132" s="55" t="e">
        <f ca="1"/>
        <v>#N/A</v>
      </c>
      <c r="P132" s="55" t="e">
        <f ca="1"/>
        <v>#N/A</v>
      </c>
      <c r="Q132" s="55" t="e">
        <f ca="1"/>
        <v>#N/A</v>
      </c>
      <c r="R132" s="55" t="e">
        <f ca="1"/>
        <v>#N/A</v>
      </c>
      <c r="S132" s="55" t="e">
        <f ca="1"/>
        <v>#N/A</v>
      </c>
      <c r="T132" s="55" t="e">
        <f ca="1"/>
        <v>#N/A</v>
      </c>
      <c r="U132" s="55" t="e">
        <f ca="1"/>
        <v>#N/A</v>
      </c>
      <c r="V132" s="55" t="e">
        <f ca="1"/>
        <v>#N/A</v>
      </c>
      <c r="W132" s="55" t="e">
        <f ca="1"/>
        <v>#N/A</v>
      </c>
      <c r="X132" s="55" t="e">
        <f ca="1"/>
        <v>#N/A</v>
      </c>
      <c r="Y132" s="55" t="e">
        <f ca="1"/>
        <v>#N/A</v>
      </c>
      <c r="Z132" s="55" t="e">
        <f ca="1"/>
        <v>#N/A</v>
      </c>
      <c r="AA132" s="55" t="e">
        <f ca="1"/>
        <v>#N/A</v>
      </c>
      <c r="AB132" s="55" t="e">
        <f ca="1"/>
        <v>#N/A</v>
      </c>
      <c r="AC132" s="55" t="e">
        <f ca="1"/>
        <v>#N/A</v>
      </c>
      <c r="AD132" s="55" t="e">
        <f ca="1"/>
        <v>#N/A</v>
      </c>
      <c r="AE132" s="55" t="e">
        <f ca="1"/>
        <v>#N/A</v>
      </c>
      <c r="AF132" s="55" t="e">
        <f ca="1"/>
        <v>#N/A</v>
      </c>
      <c r="AG132" s="55" t="e">
        <f ca="1"/>
        <v>#N/A</v>
      </c>
      <c r="AH132" s="55" t="e">
        <f ca="1"/>
        <v>#N/A</v>
      </c>
      <c r="AI132" s="55" t="e">
        <f ca="1"/>
        <v>#N/A</v>
      </c>
      <c r="AJ132" s="55" t="e">
        <f ca="1"/>
        <v>#N/A</v>
      </c>
      <c r="AK132" s="55" t="e">
        <f ca="1"/>
        <v>#N/A</v>
      </c>
      <c r="AL132" s="55" t="e">
        <f ca="1"/>
        <v>#N/A</v>
      </c>
    </row>
    <row r="133" spans="5:38" ht="21" customHeight="1" outlineLevel="1" thickBot="1" x14ac:dyDescent="0.4">
      <c r="E133" s="17" t="e">
        <f ca="1"/>
        <v>#N/A</v>
      </c>
      <c r="F133" s="55" t="e">
        <f ca="1"/>
        <v>#N/A</v>
      </c>
      <c r="G133" s="55" t="e">
        <f ca="1"/>
        <v>#N/A</v>
      </c>
      <c r="H133" s="55" t="e">
        <f ca="1"/>
        <v>#N/A</v>
      </c>
      <c r="I133" s="55" t="e">
        <f ca="1"/>
        <v>#N/A</v>
      </c>
      <c r="J133" s="55" t="e">
        <f ca="1"/>
        <v>#N/A</v>
      </c>
      <c r="K133" s="55" t="e">
        <f ca="1"/>
        <v>#N/A</v>
      </c>
      <c r="L133" s="55" t="e">
        <f ca="1"/>
        <v>#N/A</v>
      </c>
      <c r="M133" s="55" t="e">
        <f ca="1"/>
        <v>#N/A</v>
      </c>
      <c r="N133" s="55" t="e">
        <f ca="1"/>
        <v>#N/A</v>
      </c>
      <c r="O133" s="55" t="e">
        <f ca="1"/>
        <v>#N/A</v>
      </c>
      <c r="P133" s="55" t="e">
        <f ca="1"/>
        <v>#N/A</v>
      </c>
      <c r="Q133" s="55" t="e">
        <f ca="1"/>
        <v>#N/A</v>
      </c>
      <c r="R133" s="55" t="e">
        <f ca="1"/>
        <v>#N/A</v>
      </c>
      <c r="S133" s="55" t="e">
        <f ca="1"/>
        <v>#N/A</v>
      </c>
      <c r="T133" s="55" t="e">
        <f ca="1"/>
        <v>#N/A</v>
      </c>
      <c r="U133" s="55" t="e">
        <f ca="1"/>
        <v>#N/A</v>
      </c>
      <c r="V133" s="55" t="e">
        <f ca="1"/>
        <v>#N/A</v>
      </c>
      <c r="W133" s="55" t="e">
        <f ca="1"/>
        <v>#N/A</v>
      </c>
      <c r="X133" s="55" t="e">
        <f ca="1"/>
        <v>#N/A</v>
      </c>
      <c r="Y133" s="55" t="e">
        <f ca="1"/>
        <v>#N/A</v>
      </c>
      <c r="Z133" s="55" t="e">
        <f ca="1"/>
        <v>#N/A</v>
      </c>
      <c r="AA133" s="55" t="e">
        <f ca="1"/>
        <v>#N/A</v>
      </c>
      <c r="AB133" s="55" t="e">
        <f ca="1"/>
        <v>#N/A</v>
      </c>
      <c r="AC133" s="55" t="e">
        <f ca="1"/>
        <v>#N/A</v>
      </c>
      <c r="AD133" s="55" t="e">
        <f ca="1"/>
        <v>#N/A</v>
      </c>
      <c r="AE133" s="55" t="e">
        <f ca="1"/>
        <v>#N/A</v>
      </c>
      <c r="AF133" s="55" t="e">
        <f ca="1"/>
        <v>#N/A</v>
      </c>
      <c r="AG133" s="55" t="e">
        <f ca="1"/>
        <v>#N/A</v>
      </c>
      <c r="AH133" s="55" t="e">
        <f ca="1"/>
        <v>#N/A</v>
      </c>
      <c r="AI133" s="55" t="e">
        <f ca="1"/>
        <v>#N/A</v>
      </c>
      <c r="AJ133" s="55" t="e">
        <f ca="1"/>
        <v>#N/A</v>
      </c>
      <c r="AK133" s="55" t="e">
        <f ca="1"/>
        <v>#N/A</v>
      </c>
      <c r="AL133" s="55" t="e">
        <f ca="1"/>
        <v>#N/A</v>
      </c>
    </row>
    <row r="134" spans="5:38" ht="21" customHeight="1" outlineLevel="1" thickBot="1" x14ac:dyDescent="0.4">
      <c r="E134" s="17" t="e">
        <f ca="1"/>
        <v>#N/A</v>
      </c>
      <c r="F134" s="55" t="e">
        <f ca="1"/>
        <v>#N/A</v>
      </c>
      <c r="G134" s="55" t="e">
        <f ca="1"/>
        <v>#N/A</v>
      </c>
      <c r="H134" s="55" t="e">
        <f ca="1"/>
        <v>#N/A</v>
      </c>
      <c r="I134" s="55" t="e">
        <f ca="1"/>
        <v>#N/A</v>
      </c>
      <c r="J134" s="55" t="e">
        <f ca="1"/>
        <v>#N/A</v>
      </c>
      <c r="K134" s="55" t="e">
        <f ca="1"/>
        <v>#N/A</v>
      </c>
      <c r="L134" s="55" t="e">
        <f ca="1"/>
        <v>#N/A</v>
      </c>
      <c r="M134" s="55" t="e">
        <f ca="1"/>
        <v>#N/A</v>
      </c>
      <c r="N134" s="55" t="e">
        <f ca="1"/>
        <v>#N/A</v>
      </c>
      <c r="O134" s="55" t="e">
        <f ca="1"/>
        <v>#N/A</v>
      </c>
      <c r="P134" s="55" t="e">
        <f ca="1"/>
        <v>#N/A</v>
      </c>
      <c r="Q134" s="55" t="e">
        <f ca="1"/>
        <v>#N/A</v>
      </c>
      <c r="R134" s="55" t="e">
        <f ca="1"/>
        <v>#N/A</v>
      </c>
      <c r="S134" s="55" t="e">
        <f ca="1"/>
        <v>#N/A</v>
      </c>
      <c r="T134" s="55" t="e">
        <f ca="1"/>
        <v>#N/A</v>
      </c>
      <c r="U134" s="55" t="e">
        <f ca="1"/>
        <v>#N/A</v>
      </c>
      <c r="V134" s="55" t="e">
        <f ca="1"/>
        <v>#N/A</v>
      </c>
      <c r="W134" s="55" t="e">
        <f ca="1"/>
        <v>#N/A</v>
      </c>
      <c r="X134" s="55" t="e">
        <f ca="1"/>
        <v>#N/A</v>
      </c>
      <c r="Y134" s="55" t="e">
        <f ca="1"/>
        <v>#N/A</v>
      </c>
      <c r="Z134" s="55" t="e">
        <f ca="1"/>
        <v>#N/A</v>
      </c>
      <c r="AA134" s="55" t="e">
        <f ca="1"/>
        <v>#N/A</v>
      </c>
      <c r="AB134" s="55" t="e">
        <f ca="1"/>
        <v>#N/A</v>
      </c>
      <c r="AC134" s="55" t="e">
        <f ca="1"/>
        <v>#N/A</v>
      </c>
      <c r="AD134" s="55" t="e">
        <f ca="1"/>
        <v>#N/A</v>
      </c>
      <c r="AE134" s="55" t="e">
        <f ca="1"/>
        <v>#N/A</v>
      </c>
      <c r="AF134" s="55" t="e">
        <f ca="1"/>
        <v>#N/A</v>
      </c>
      <c r="AG134" s="55" t="e">
        <f ca="1"/>
        <v>#N/A</v>
      </c>
      <c r="AH134" s="55" t="e">
        <f ca="1"/>
        <v>#N/A</v>
      </c>
      <c r="AI134" s="55" t="e">
        <f ca="1"/>
        <v>#N/A</v>
      </c>
      <c r="AJ134" s="55" t="e">
        <f ca="1"/>
        <v>#N/A</v>
      </c>
      <c r="AK134" s="55" t="e">
        <f ca="1"/>
        <v>#N/A</v>
      </c>
      <c r="AL134" s="55" t="e">
        <f ca="1"/>
        <v>#N/A</v>
      </c>
    </row>
    <row r="135" spans="5:38" ht="21" customHeight="1" outlineLevel="1" thickBot="1" x14ac:dyDescent="0.4">
      <c r="E135" s="17" t="e">
        <f ca="1"/>
        <v>#N/A</v>
      </c>
      <c r="F135" s="55" t="e">
        <f ca="1"/>
        <v>#N/A</v>
      </c>
      <c r="G135" s="55" t="e">
        <f ca="1"/>
        <v>#N/A</v>
      </c>
      <c r="H135" s="55" t="e">
        <f ca="1"/>
        <v>#N/A</v>
      </c>
      <c r="I135" s="55" t="e">
        <f ca="1"/>
        <v>#N/A</v>
      </c>
      <c r="J135" s="55" t="e">
        <f ca="1"/>
        <v>#N/A</v>
      </c>
      <c r="K135" s="55" t="e">
        <f ca="1"/>
        <v>#N/A</v>
      </c>
      <c r="L135" s="55" t="e">
        <f ca="1"/>
        <v>#N/A</v>
      </c>
      <c r="M135" s="55" t="e">
        <f ca="1"/>
        <v>#N/A</v>
      </c>
      <c r="N135" s="55" t="e">
        <f ca="1"/>
        <v>#N/A</v>
      </c>
      <c r="O135" s="55" t="e">
        <f ca="1"/>
        <v>#N/A</v>
      </c>
      <c r="P135" s="55" t="e">
        <f ca="1"/>
        <v>#N/A</v>
      </c>
      <c r="Q135" s="55" t="e">
        <f ca="1"/>
        <v>#N/A</v>
      </c>
      <c r="R135" s="55" t="e">
        <f ca="1"/>
        <v>#N/A</v>
      </c>
      <c r="S135" s="55" t="e">
        <f ca="1"/>
        <v>#N/A</v>
      </c>
      <c r="T135" s="55" t="e">
        <f ca="1"/>
        <v>#N/A</v>
      </c>
      <c r="U135" s="55" t="e">
        <f ca="1"/>
        <v>#N/A</v>
      </c>
      <c r="V135" s="55" t="e">
        <f ca="1"/>
        <v>#N/A</v>
      </c>
      <c r="W135" s="55" t="e">
        <f ca="1"/>
        <v>#N/A</v>
      </c>
      <c r="X135" s="55" t="e">
        <f ca="1"/>
        <v>#N/A</v>
      </c>
      <c r="Y135" s="55" t="e">
        <f ca="1"/>
        <v>#N/A</v>
      </c>
      <c r="Z135" s="55" t="e">
        <f ca="1"/>
        <v>#N/A</v>
      </c>
      <c r="AA135" s="55" t="e">
        <f ca="1"/>
        <v>#N/A</v>
      </c>
      <c r="AB135" s="55" t="e">
        <f ca="1"/>
        <v>#N/A</v>
      </c>
      <c r="AC135" s="55" t="e">
        <f ca="1"/>
        <v>#N/A</v>
      </c>
      <c r="AD135" s="55" t="e">
        <f ca="1"/>
        <v>#N/A</v>
      </c>
      <c r="AE135" s="55" t="e">
        <f ca="1"/>
        <v>#N/A</v>
      </c>
      <c r="AF135" s="55" t="e">
        <f ca="1"/>
        <v>#N/A</v>
      </c>
      <c r="AG135" s="55" t="e">
        <f ca="1"/>
        <v>#N/A</v>
      </c>
      <c r="AH135" s="55" t="e">
        <f ca="1"/>
        <v>#N/A</v>
      </c>
      <c r="AI135" s="55" t="e">
        <f ca="1"/>
        <v>#N/A</v>
      </c>
      <c r="AJ135" s="55" t="e">
        <f ca="1"/>
        <v>#N/A</v>
      </c>
      <c r="AK135" s="55" t="e">
        <f ca="1"/>
        <v>#N/A</v>
      </c>
      <c r="AL135" s="55" t="e">
        <f ca="1"/>
        <v>#N/A</v>
      </c>
    </row>
    <row r="136" spans="5:38" ht="21" customHeight="1" outlineLevel="1" thickBot="1" x14ac:dyDescent="0.4">
      <c r="E136" s="18"/>
    </row>
  </sheetData>
  <mergeCells count="2">
    <mergeCell ref="A113:B113"/>
    <mergeCell ref="A1:BB1"/>
  </mergeCells>
  <conditionalFormatting sqref="A4:D33">
    <cfRule type="cellIs" dxfId="9" priority="66" operator="equal">
      <formula>0</formula>
    </cfRule>
  </conditionalFormatting>
  <conditionalFormatting sqref="A80:D109">
    <cfRule type="cellIs" dxfId="8" priority="64" operator="equal">
      <formula>0</formula>
    </cfRule>
  </conditionalFormatting>
  <conditionalFormatting sqref="F32:AL32">
    <cfRule type="colorScale" priority="52">
      <colorScale>
        <cfvo type="min"/>
        <cfvo type="max"/>
        <color rgb="FFFFEF9C"/>
        <color rgb="FF63BE7B"/>
      </colorScale>
    </cfRule>
  </conditionalFormatting>
  <conditionalFormatting sqref="F31:AL31">
    <cfRule type="colorScale" priority="51">
      <colorScale>
        <cfvo type="min"/>
        <cfvo type="max"/>
        <color rgb="FFFFEF9C"/>
        <color rgb="FF63BE7B"/>
      </colorScale>
    </cfRule>
  </conditionalFormatting>
  <conditionalFormatting sqref="F30:AL30">
    <cfRule type="colorScale" priority="50">
      <colorScale>
        <cfvo type="min"/>
        <cfvo type="max"/>
        <color rgb="FFFFEF9C"/>
        <color rgb="FF63BE7B"/>
      </colorScale>
    </cfRule>
  </conditionalFormatting>
  <conditionalFormatting sqref="F29:AL29">
    <cfRule type="colorScale" priority="49">
      <colorScale>
        <cfvo type="min"/>
        <cfvo type="max"/>
        <color rgb="FFFFEF9C"/>
        <color rgb="FF63BE7B"/>
      </colorScale>
    </cfRule>
  </conditionalFormatting>
  <conditionalFormatting sqref="F28:AL28">
    <cfRule type="colorScale" priority="48">
      <colorScale>
        <cfvo type="min"/>
        <cfvo type="max"/>
        <color rgb="FFFFEF9C"/>
        <color rgb="FF63BE7B"/>
      </colorScale>
    </cfRule>
  </conditionalFormatting>
  <conditionalFormatting sqref="F27:AL27">
    <cfRule type="colorScale" priority="47">
      <colorScale>
        <cfvo type="min"/>
        <cfvo type="max"/>
        <color rgb="FFFFEF9C"/>
        <color rgb="FF63BE7B"/>
      </colorScale>
    </cfRule>
  </conditionalFormatting>
  <conditionalFormatting sqref="F26:AL26">
    <cfRule type="colorScale" priority="46">
      <colorScale>
        <cfvo type="min"/>
        <cfvo type="max"/>
        <color rgb="FFFFEF9C"/>
        <color rgb="FF63BE7B"/>
      </colorScale>
    </cfRule>
  </conditionalFormatting>
  <conditionalFormatting sqref="F25:AL25">
    <cfRule type="colorScale" priority="2">
      <colorScale>
        <cfvo type="min"/>
        <cfvo type="max"/>
        <color rgb="FFFFEF9C"/>
        <color rgb="FF63BE7B"/>
      </colorScale>
    </cfRule>
  </conditionalFormatting>
  <conditionalFormatting sqref="F24:G24">
    <cfRule type="colorScale" priority="43">
      <colorScale>
        <cfvo type="min"/>
        <cfvo type="max"/>
        <color rgb="FFFFEF9C"/>
        <color rgb="FF63BE7B"/>
      </colorScale>
    </cfRule>
  </conditionalFormatting>
  <conditionalFormatting sqref="F23:G23">
    <cfRule type="colorScale" priority="42">
      <colorScale>
        <cfvo type="min"/>
        <cfvo type="max"/>
        <color rgb="FFFFEF9C"/>
        <color rgb="FF63BE7B"/>
      </colorScale>
    </cfRule>
  </conditionalFormatting>
  <conditionalFormatting sqref="F10:G10">
    <cfRule type="colorScale" priority="28">
      <colorScale>
        <cfvo type="min"/>
        <cfvo type="max"/>
        <color rgb="FFFFEF9C"/>
        <color rgb="FF63BE7B"/>
      </colorScale>
    </cfRule>
  </conditionalFormatting>
  <conditionalFormatting sqref="F7:AK7">
    <cfRule type="colorScale" priority="25">
      <colorScale>
        <cfvo type="min"/>
        <cfvo type="max"/>
        <color rgb="FFFFEF9C"/>
        <color rgb="FF63BE7B"/>
      </colorScale>
    </cfRule>
  </conditionalFormatting>
  <conditionalFormatting sqref="F4:AK4">
    <cfRule type="colorScale" priority="24">
      <colorScale>
        <cfvo type="min"/>
        <cfvo type="max"/>
        <color rgb="FFFFEF9C"/>
        <color rgb="FF63BE7B"/>
      </colorScale>
    </cfRule>
  </conditionalFormatting>
  <conditionalFormatting sqref="F5:AK5">
    <cfRule type="colorScale" priority="22">
      <colorScale>
        <cfvo type="min"/>
        <cfvo type="max"/>
        <color rgb="FFFFEF9C"/>
        <color rgb="FF63BE7B"/>
      </colorScale>
    </cfRule>
  </conditionalFormatting>
  <conditionalFormatting sqref="F6:AK6">
    <cfRule type="colorScale" priority="21">
      <colorScale>
        <cfvo type="min"/>
        <cfvo type="max"/>
        <color rgb="FFFFEF9C"/>
        <color rgb="FF63BE7B"/>
      </colorScale>
    </cfRule>
  </conditionalFormatting>
  <conditionalFormatting sqref="F8:AK8">
    <cfRule type="colorScale" priority="19">
      <colorScale>
        <cfvo type="min"/>
        <cfvo type="max"/>
        <color rgb="FFFFEF9C"/>
        <color rgb="FF63BE7B"/>
      </colorScale>
    </cfRule>
    <cfRule type="colorScale" priority="26">
      <colorScale>
        <cfvo type="min"/>
        <cfvo type="max"/>
        <color rgb="FFFFEF9C"/>
        <color rgb="FF63BE7B"/>
      </colorScale>
    </cfRule>
  </conditionalFormatting>
  <conditionalFormatting sqref="F9:AK9">
    <cfRule type="colorScale" priority="18">
      <colorScale>
        <cfvo type="min"/>
        <cfvo type="max"/>
        <color rgb="FFFFEF9C"/>
        <color rgb="FF63BE7B"/>
      </colorScale>
    </cfRule>
    <cfRule type="colorScale" priority="27">
      <colorScale>
        <cfvo type="min"/>
        <cfvo type="max"/>
        <color rgb="FFFFEF9C"/>
        <color rgb="FF63BE7B"/>
      </colorScale>
    </cfRule>
  </conditionalFormatting>
  <conditionalFormatting sqref="F10:AK10">
    <cfRule type="colorScale" priority="17">
      <colorScale>
        <cfvo type="min"/>
        <cfvo type="max"/>
        <color rgb="FFFFEF9C"/>
        <color rgb="FF63BE7B"/>
      </colorScale>
    </cfRule>
  </conditionalFormatting>
  <conditionalFormatting sqref="F11:AK11">
    <cfRule type="colorScale" priority="16">
      <colorScale>
        <cfvo type="min"/>
        <cfvo type="max"/>
        <color rgb="FFFFEF9C"/>
        <color rgb="FF63BE7B"/>
      </colorScale>
    </cfRule>
    <cfRule type="colorScale" priority="29">
      <colorScale>
        <cfvo type="min"/>
        <cfvo type="max"/>
        <color rgb="FFFFEF9C"/>
        <color rgb="FF63BE7B"/>
      </colorScale>
    </cfRule>
  </conditionalFormatting>
  <conditionalFormatting sqref="F12:AK12">
    <cfRule type="colorScale" priority="15">
      <colorScale>
        <cfvo type="min"/>
        <cfvo type="max"/>
        <color rgb="FFFFEF9C"/>
        <color rgb="FF63BE7B"/>
      </colorScale>
    </cfRule>
    <cfRule type="colorScale" priority="30">
      <colorScale>
        <cfvo type="min"/>
        <cfvo type="max"/>
        <color rgb="FFFFEF9C"/>
        <color rgb="FF63BE7B"/>
      </colorScale>
    </cfRule>
  </conditionalFormatting>
  <conditionalFormatting sqref="F13:AK13">
    <cfRule type="colorScale" priority="14">
      <colorScale>
        <cfvo type="min"/>
        <cfvo type="max"/>
        <color rgb="FFFFEF9C"/>
        <color rgb="FF63BE7B"/>
      </colorScale>
    </cfRule>
    <cfRule type="colorScale" priority="31">
      <colorScale>
        <cfvo type="min"/>
        <cfvo type="max"/>
        <color rgb="FFFFEF9C"/>
        <color rgb="FF63BE7B"/>
      </colorScale>
    </cfRule>
  </conditionalFormatting>
  <conditionalFormatting sqref="F14:AK14">
    <cfRule type="colorScale" priority="13">
      <colorScale>
        <cfvo type="min"/>
        <cfvo type="max"/>
        <color rgb="FFFFEF9C"/>
        <color rgb="FF63BE7B"/>
      </colorScale>
    </cfRule>
    <cfRule type="colorScale" priority="32">
      <colorScale>
        <cfvo type="min"/>
        <cfvo type="max"/>
        <color rgb="FFFFEF9C"/>
        <color rgb="FF63BE7B"/>
      </colorScale>
    </cfRule>
  </conditionalFormatting>
  <conditionalFormatting sqref="F15:AK15">
    <cfRule type="colorScale" priority="12">
      <colorScale>
        <cfvo type="min"/>
        <cfvo type="max"/>
        <color rgb="FFFFEF9C"/>
        <color rgb="FF63BE7B"/>
      </colorScale>
    </cfRule>
    <cfRule type="colorScale" priority="33">
      <colorScale>
        <cfvo type="min"/>
        <cfvo type="max"/>
        <color rgb="FFFFEF9C"/>
        <color rgb="FF63BE7B"/>
      </colorScale>
    </cfRule>
  </conditionalFormatting>
  <conditionalFormatting sqref="F16:AK16">
    <cfRule type="colorScale" priority="11">
      <colorScale>
        <cfvo type="min"/>
        <cfvo type="max"/>
        <color rgb="FFFFEF9C"/>
        <color rgb="FF63BE7B"/>
      </colorScale>
    </cfRule>
    <cfRule type="colorScale" priority="35">
      <colorScale>
        <cfvo type="min"/>
        <cfvo type="max"/>
        <color rgb="FFFFEF9C"/>
        <color rgb="FF63BE7B"/>
      </colorScale>
    </cfRule>
  </conditionalFormatting>
  <conditionalFormatting sqref="F17:AK17">
    <cfRule type="colorScale" priority="10">
      <colorScale>
        <cfvo type="min"/>
        <cfvo type="max"/>
        <color rgb="FFFFEF9C"/>
        <color rgb="FF63BE7B"/>
      </colorScale>
    </cfRule>
    <cfRule type="colorScale" priority="36">
      <colorScale>
        <cfvo type="min"/>
        <cfvo type="max"/>
        <color rgb="FFFFEF9C"/>
        <color rgb="FF63BE7B"/>
      </colorScale>
    </cfRule>
  </conditionalFormatting>
  <conditionalFormatting sqref="F18:AK18">
    <cfRule type="colorScale" priority="9">
      <colorScale>
        <cfvo type="min"/>
        <cfvo type="max"/>
        <color rgb="FFFFEF9C"/>
        <color rgb="FF63BE7B"/>
      </colorScale>
    </cfRule>
    <cfRule type="colorScale" priority="37">
      <colorScale>
        <cfvo type="min"/>
        <cfvo type="max"/>
        <color rgb="FFFFEF9C"/>
        <color rgb="FF63BE7B"/>
      </colorScale>
    </cfRule>
  </conditionalFormatting>
  <conditionalFormatting sqref="F19:AK19">
    <cfRule type="colorScale" priority="8">
      <colorScale>
        <cfvo type="min"/>
        <cfvo type="max"/>
        <color rgb="FFFFEF9C"/>
        <color rgb="FF63BE7B"/>
      </colorScale>
    </cfRule>
    <cfRule type="colorScale" priority="38">
      <colorScale>
        <cfvo type="min"/>
        <cfvo type="max"/>
        <color rgb="FFFFEF9C"/>
        <color rgb="FF63BE7B"/>
      </colorScale>
    </cfRule>
  </conditionalFormatting>
  <conditionalFormatting sqref="F20:AK20">
    <cfRule type="colorScale" priority="7">
      <colorScale>
        <cfvo type="min"/>
        <cfvo type="max"/>
        <color rgb="FFFFEF9C"/>
        <color rgb="FF63BE7B"/>
      </colorScale>
    </cfRule>
    <cfRule type="colorScale" priority="39">
      <colorScale>
        <cfvo type="min"/>
        <cfvo type="max"/>
        <color rgb="FFFFEF9C"/>
        <color rgb="FF63BE7B"/>
      </colorScale>
    </cfRule>
  </conditionalFormatting>
  <conditionalFormatting sqref="F21:AK21">
    <cfRule type="colorScale" priority="6">
      <colorScale>
        <cfvo type="min"/>
        <cfvo type="max"/>
        <color rgb="FFFFEF9C"/>
        <color rgb="FF63BE7B"/>
      </colorScale>
    </cfRule>
    <cfRule type="colorScale" priority="40">
      <colorScale>
        <cfvo type="min"/>
        <cfvo type="max"/>
        <color rgb="FFFFEF9C"/>
        <color rgb="FF63BE7B"/>
      </colorScale>
    </cfRule>
  </conditionalFormatting>
  <conditionalFormatting sqref="F22:AK22">
    <cfRule type="colorScale" priority="5">
      <colorScale>
        <cfvo type="min"/>
        <cfvo type="max"/>
        <color rgb="FFFFEF9C"/>
        <color rgb="FF63BE7B"/>
      </colorScale>
    </cfRule>
    <cfRule type="colorScale" priority="41">
      <colorScale>
        <cfvo type="min"/>
        <cfvo type="max"/>
        <color rgb="FFFFEF9C"/>
        <color rgb="FF63BE7B"/>
      </colorScale>
    </cfRule>
  </conditionalFormatting>
  <conditionalFormatting sqref="F23:AL23">
    <cfRule type="colorScale" priority="4">
      <colorScale>
        <cfvo type="min"/>
        <cfvo type="max"/>
        <color rgb="FFFFEF9C"/>
        <color rgb="FF63BE7B"/>
      </colorScale>
    </cfRule>
  </conditionalFormatting>
  <conditionalFormatting sqref="F24:AL24">
    <cfRule type="colorScale" priority="3">
      <colorScale>
        <cfvo type="min"/>
        <cfvo type="max"/>
        <color rgb="FFFFEF9C"/>
        <color rgb="FF63BE7B"/>
      </colorScale>
    </cfRule>
  </conditionalFormatting>
  <conditionalFormatting sqref="A46:D75">
    <cfRule type="cellIs" dxfId="7" priority="1" operator="equal">
      <formula>0</formula>
    </cfRule>
  </conditionalFormatting>
  <pageMargins left="0.7" right="0.7" top="0.75" bottom="0.75" header="0.3" footer="0.3"/>
  <pageSetup paperSize="9" orientation="portrait" horizontalDpi="0" verticalDpi="0" r:id="rId1"/>
  <drawing r:id="rId2"/>
  <extLst>
    <ext xmlns:x14="http://schemas.microsoft.com/office/spreadsheetml/2009/9/main" uri="{05C60535-1F16-4fd2-B633-F4F36F0B64E0}">
      <x14:sparklineGroups xmlns:xm="http://schemas.microsoft.com/office/excel/2006/main">
        <x14:sparklineGroup displayEmptyCellsAs="gap" xr2:uid="{219D5A7E-518A-40C7-85F9-06AF713815A0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ALL!F29:AK29</xm:f>
              <xm:sqref>AL29</xm:sqref>
            </x14:sparkline>
            <x14:sparkline>
              <xm:f>ALL!F30:AK30</xm:f>
              <xm:sqref>AL30</xm:sqref>
            </x14:sparkline>
            <x14:sparkline>
              <xm:f>ALL!F31:AK31</xm:f>
              <xm:sqref>AL31</xm:sqref>
            </x14:sparkline>
            <x14:sparkline>
              <xm:f>ALL!F32:AK32</xm:f>
              <xm:sqref>AL32</xm:sqref>
            </x14:sparkline>
          </x14:sparklines>
        </x14:sparklineGroup>
      </x14:sparklineGroup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CDBF91-2C81-43F3-9AC4-CBDAA5C31E4D}">
  <sheetPr codeName="Лист3">
    <tabColor rgb="FF00B050"/>
  </sheetPr>
  <dimension ref="A1:BB136"/>
  <sheetViews>
    <sheetView zoomScale="85" zoomScaleNormal="85" zoomScaleSheetLayoutView="25" workbookViewId="0">
      <selection activeCell="AY122" sqref="AY122"/>
    </sheetView>
  </sheetViews>
  <sheetFormatPr defaultRowHeight="21" customHeight="1" outlineLevelRow="1" x14ac:dyDescent="0.35"/>
  <cols>
    <col min="1" max="4" width="5.6328125" style="55" customWidth="1"/>
    <col min="5" max="5" width="11.6328125" style="55" customWidth="1"/>
    <col min="6" max="6" width="8.90625" style="55" customWidth="1"/>
    <col min="7" max="20" width="8.6328125" style="55" hidden="1" customWidth="1"/>
    <col min="21" max="21" width="8.6328125" style="28" hidden="1" customWidth="1"/>
    <col min="22" max="22" width="8.6328125" style="29" hidden="1" customWidth="1"/>
    <col min="23" max="23" width="8.6328125" style="67" hidden="1" customWidth="1"/>
    <col min="24" max="37" width="8.6328125" style="55" hidden="1" customWidth="1"/>
    <col min="38" max="38" width="3" style="55" customWidth="1"/>
    <col min="39" max="16384" width="8.7265625" style="55"/>
  </cols>
  <sheetData>
    <row r="1" spans="1:54" ht="29.25" customHeight="1" thickBot="1" x14ac:dyDescent="0.4">
      <c r="A1" s="95" t="s">
        <v>0</v>
      </c>
      <c r="B1" s="95"/>
      <c r="C1" s="95"/>
      <c r="D1" s="95"/>
      <c r="E1" s="95"/>
      <c r="F1" s="95"/>
      <c r="G1" s="95"/>
      <c r="H1" s="95"/>
      <c r="I1" s="95"/>
      <c r="J1" s="95"/>
      <c r="K1" s="95"/>
      <c r="L1" s="95"/>
      <c r="M1" s="95"/>
      <c r="N1" s="95"/>
      <c r="O1" s="95"/>
      <c r="P1" s="95"/>
      <c r="Q1" s="95"/>
      <c r="R1" s="95"/>
      <c r="S1" s="95"/>
      <c r="T1" s="95"/>
      <c r="U1" s="95"/>
      <c r="V1" s="95"/>
      <c r="W1" s="95"/>
      <c r="X1" s="95"/>
      <c r="Y1" s="95"/>
      <c r="Z1" s="95"/>
      <c r="AA1" s="95"/>
      <c r="AB1" s="95"/>
      <c r="AC1" s="95"/>
      <c r="AD1" s="95"/>
      <c r="AE1" s="95"/>
      <c r="AF1" s="95"/>
      <c r="AG1" s="95"/>
      <c r="AH1" s="95"/>
      <c r="AI1" s="95"/>
      <c r="AJ1" s="95"/>
      <c r="AK1" s="95"/>
      <c r="AL1" s="95"/>
      <c r="AM1" s="95"/>
      <c r="AN1" s="95"/>
      <c r="AO1" s="95"/>
      <c r="AP1" s="95"/>
      <c r="AQ1" s="95"/>
      <c r="AR1" s="95"/>
      <c r="AS1" s="95"/>
      <c r="AT1" s="95"/>
      <c r="AU1" s="95"/>
      <c r="AV1" s="95"/>
      <c r="AW1" s="95"/>
      <c r="AX1" s="95"/>
      <c r="AY1" s="95"/>
      <c r="AZ1" s="95"/>
      <c r="BA1" s="95"/>
      <c r="BB1" s="95"/>
    </row>
    <row r="2" spans="1:54" ht="21" customHeight="1" thickBot="1" x14ac:dyDescent="0.45">
      <c r="A2" s="85">
        <f>Values!B1</f>
        <v>700</v>
      </c>
      <c r="B2" s="86">
        <v>8.3145000000000007</v>
      </c>
      <c r="C2" s="75"/>
      <c r="D2" s="75"/>
      <c r="E2" s="74" t="s">
        <v>20</v>
      </c>
      <c r="F2" s="75"/>
      <c r="G2" s="74"/>
      <c r="H2" s="74"/>
      <c r="I2" s="74"/>
      <c r="J2" s="74"/>
      <c r="K2" s="76"/>
      <c r="L2" s="76"/>
      <c r="M2" s="76"/>
      <c r="N2" s="76"/>
      <c r="O2" s="76"/>
      <c r="P2" s="76"/>
      <c r="Q2" s="76"/>
      <c r="R2" s="76"/>
      <c r="S2" s="76"/>
      <c r="T2" s="76"/>
      <c r="U2" s="77"/>
      <c r="V2" s="78"/>
      <c r="W2" s="79"/>
      <c r="X2" s="76"/>
      <c r="Y2" s="76"/>
      <c r="Z2" s="76"/>
      <c r="AA2" s="76"/>
      <c r="AB2" s="76"/>
      <c r="AC2" s="76"/>
      <c r="AD2" s="76"/>
      <c r="AE2" s="76"/>
      <c r="AF2" s="76"/>
      <c r="AG2" s="76"/>
      <c r="AH2" s="76"/>
      <c r="AI2" s="76"/>
      <c r="AJ2" s="76"/>
      <c r="AK2" s="76"/>
      <c r="AL2" s="76"/>
      <c r="AM2" s="80"/>
      <c r="AN2" s="84"/>
      <c r="AO2" s="84"/>
      <c r="AP2" s="84"/>
      <c r="AQ2" s="84"/>
      <c r="AR2" s="84"/>
      <c r="AS2" s="84"/>
      <c r="AT2" s="84"/>
      <c r="AU2" s="84"/>
      <c r="AV2" s="84"/>
      <c r="AW2" s="84"/>
      <c r="AX2" s="84"/>
      <c r="AY2" s="84"/>
      <c r="AZ2" s="84"/>
      <c r="BA2" s="84"/>
      <c r="BB2" s="87"/>
    </row>
    <row r="3" spans="1:54" ht="21" customHeight="1" outlineLevel="1" thickTop="1" thickBot="1" x14ac:dyDescent="0.4">
      <c r="A3" s="42" t="s">
        <v>1</v>
      </c>
      <c r="B3" s="42" t="s">
        <v>2</v>
      </c>
      <c r="C3" s="42" t="s">
        <v>3</v>
      </c>
      <c r="D3" s="43" t="s">
        <v>4</v>
      </c>
      <c r="E3" s="3"/>
      <c r="F3" s="3">
        <v>298.2</v>
      </c>
      <c r="G3" s="3">
        <v>431.7</v>
      </c>
      <c r="H3" s="3">
        <v>465.1</v>
      </c>
      <c r="I3" s="3">
        <v>498.5</v>
      </c>
      <c r="J3" s="3">
        <v>531.79999999999995</v>
      </c>
      <c r="K3" s="3">
        <v>565.20000000000005</v>
      </c>
      <c r="L3" s="3">
        <v>698.8</v>
      </c>
      <c r="M3" s="3">
        <v>732.2</v>
      </c>
      <c r="N3" s="3">
        <v>765.5</v>
      </c>
      <c r="O3" s="3">
        <v>798.9</v>
      </c>
      <c r="P3" s="3">
        <v>832.3</v>
      </c>
      <c r="Q3" s="3">
        <v>965.8</v>
      </c>
      <c r="R3" s="3">
        <v>999.2</v>
      </c>
      <c r="S3" s="3">
        <v>1033</v>
      </c>
      <c r="T3" s="3">
        <v>1066</v>
      </c>
      <c r="U3" s="3">
        <v>1099</v>
      </c>
      <c r="V3" s="3">
        <v>1233</v>
      </c>
      <c r="W3" s="3">
        <v>1366</v>
      </c>
      <c r="X3" s="3">
        <v>1500</v>
      </c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20"/>
      <c r="AM3" s="28"/>
      <c r="AN3" s="29"/>
      <c r="AO3" s="29"/>
      <c r="AP3" s="29"/>
      <c r="AQ3" s="29"/>
      <c r="AR3" s="29"/>
      <c r="AS3" s="29"/>
      <c r="AT3" s="29"/>
      <c r="AU3" s="29"/>
      <c r="AV3" s="29"/>
      <c r="AW3" s="29"/>
      <c r="AX3" s="29"/>
      <c r="AY3" s="29"/>
      <c r="AZ3" s="29"/>
      <c r="BA3" s="26">
        <f>$A$2</f>
        <v>700</v>
      </c>
      <c r="BB3" s="27">
        <v>0</v>
      </c>
    </row>
    <row r="4" spans="1:54" ht="21" customHeight="1" outlineLevel="1" thickTop="1" thickBot="1" x14ac:dyDescent="0.4">
      <c r="A4" s="44">
        <f>IF( ISNUMBER( FIND(A$3,$E4,1)),   IF( ISNUMBER( VALUE(MID($E4,FIND(A$3,$E4,1)+2,1)) ), VALUE( MID($E4,FIND(A$3,$E4,1)+2,1) ),1),0)</f>
        <v>0</v>
      </c>
      <c r="B4" s="44">
        <f t="shared" ref="B4:D19" si="0">IF( ISNUMBER( FIND(B$3,$E4,1)),   IF( ISNUMBER( VALUE(MID($E4,FIND(B$3,$E4,1)+2,1)) ), VALUE( MID($E4,FIND(B$3,$E4,1)+2,1) ),1),0)</f>
        <v>3</v>
      </c>
      <c r="C4" s="44">
        <f t="shared" si="0"/>
        <v>0</v>
      </c>
      <c r="D4" s="44">
        <f t="shared" si="0"/>
        <v>0</v>
      </c>
      <c r="E4" s="6" t="s">
        <v>53</v>
      </c>
      <c r="F4" s="49">
        <v>1.3056000000000001E-22</v>
      </c>
      <c r="G4" s="49">
        <v>8.4706E-14</v>
      </c>
      <c r="H4" s="49">
        <v>1.9731000000000001E-12</v>
      </c>
      <c r="I4" s="49">
        <v>2.9366000000000002E-11</v>
      </c>
      <c r="J4" s="49">
        <v>3.0681999999999998E-10</v>
      </c>
      <c r="K4" s="49">
        <v>2.4323E-9</v>
      </c>
      <c r="L4" s="49">
        <v>1.6574E-6</v>
      </c>
      <c r="M4" s="49">
        <v>5.8046000000000003E-6</v>
      </c>
      <c r="N4" s="49">
        <v>1.7708999999999999E-5</v>
      </c>
      <c r="O4" s="49">
        <v>4.7824000000000002E-5</v>
      </c>
      <c r="P4" s="49">
        <v>1.1595E-4</v>
      </c>
      <c r="Q4" s="49">
        <v>1.4264E-3</v>
      </c>
      <c r="R4" s="49">
        <v>1.9935999999999999E-3</v>
      </c>
      <c r="S4" s="49">
        <v>2.4840000000000001E-3</v>
      </c>
      <c r="T4" s="49">
        <v>2.7785000000000002E-3</v>
      </c>
      <c r="U4" s="49">
        <v>2.8771000000000001E-3</v>
      </c>
      <c r="V4" s="49">
        <v>2.3430999999999999E-3</v>
      </c>
      <c r="W4" s="49">
        <v>1.7071E-3</v>
      </c>
      <c r="X4" s="49">
        <v>1.2738999999999999E-3</v>
      </c>
      <c r="AM4" s="28"/>
      <c r="AN4" s="29"/>
      <c r="AO4" s="29"/>
      <c r="AP4" s="29"/>
      <c r="AQ4" s="29"/>
      <c r="AR4" s="29"/>
      <c r="AS4" s="29"/>
      <c r="AT4" s="29"/>
      <c r="AU4" s="29"/>
      <c r="AV4" s="29"/>
      <c r="AW4" s="29"/>
      <c r="AX4" s="29"/>
      <c r="AY4" s="29"/>
      <c r="AZ4" s="29"/>
      <c r="BA4" s="31">
        <f>$A$2</f>
        <v>700</v>
      </c>
      <c r="BB4" s="59">
        <v>1</v>
      </c>
    </row>
    <row r="5" spans="1:54" ht="21" customHeight="1" outlineLevel="1" thickBot="1" x14ac:dyDescent="0.4">
      <c r="A5" s="44">
        <f t="shared" ref="A5:D27" si="1">IF( ISNUMBER( FIND(A$3,$E5,1)),   IF( ISNUMBER( VALUE(MID($E5,FIND(A$3,$E5,1)+2,1)) ), VALUE( MID($E5,FIND(A$3,$E5,1)+2,1) ),1),0)</f>
        <v>0</v>
      </c>
      <c r="B5" s="44">
        <f t="shared" si="0"/>
        <v>4</v>
      </c>
      <c r="C5" s="44">
        <f t="shared" si="0"/>
        <v>0</v>
      </c>
      <c r="D5" s="44">
        <f t="shared" si="0"/>
        <v>0</v>
      </c>
      <c r="E5" s="6" t="s">
        <v>54</v>
      </c>
      <c r="F5" s="49">
        <v>7.6378999999999993E-21</v>
      </c>
      <c r="G5" s="49">
        <v>5.8909999999999998E-13</v>
      </c>
      <c r="H5" s="49">
        <v>9.5009000000000004E-12</v>
      </c>
      <c r="I5" s="49">
        <v>1.0218E-10</v>
      </c>
      <c r="J5" s="49">
        <v>8.0013999999999999E-10</v>
      </c>
      <c r="K5" s="49">
        <v>4.9136000000000001E-9</v>
      </c>
      <c r="L5" s="49">
        <v>1.6022000000000001E-6</v>
      </c>
      <c r="M5" s="49">
        <v>4.8679999999999998E-6</v>
      </c>
      <c r="N5" s="49">
        <v>1.2958E-5</v>
      </c>
      <c r="O5" s="49">
        <v>3.0632000000000001E-5</v>
      </c>
      <c r="P5" s="49">
        <v>6.5072000000000003E-5</v>
      </c>
      <c r="Q5" s="49">
        <v>4.3741E-4</v>
      </c>
      <c r="R5" s="49">
        <v>5.0403000000000004E-4</v>
      </c>
      <c r="S5" s="49">
        <v>5.0903999999999999E-4</v>
      </c>
      <c r="T5" s="49">
        <v>4.5489E-4</v>
      </c>
      <c r="U5" s="49">
        <v>3.7399999999999998E-4</v>
      </c>
      <c r="V5" s="49">
        <v>1.2596999999999999E-4</v>
      </c>
      <c r="W5" s="49">
        <v>4.3619999999999999E-5</v>
      </c>
      <c r="X5" s="49">
        <v>1.7612999999999999E-5</v>
      </c>
      <c r="AM5" s="28"/>
      <c r="AN5" s="29"/>
      <c r="AO5" s="29"/>
      <c r="AP5" s="29"/>
      <c r="AQ5" s="29"/>
      <c r="AR5" s="29"/>
      <c r="AS5" s="29"/>
      <c r="AT5" s="29"/>
      <c r="AU5" s="29"/>
      <c r="AV5" s="29"/>
      <c r="AW5" s="29"/>
      <c r="AX5" s="29"/>
      <c r="AY5" s="29"/>
      <c r="AZ5" s="29"/>
      <c r="BA5" s="29"/>
      <c r="BB5" s="30"/>
    </row>
    <row r="6" spans="1:54" ht="21" customHeight="1" outlineLevel="1" thickBot="1" x14ac:dyDescent="0.4">
      <c r="A6" s="44">
        <f t="shared" si="1"/>
        <v>0</v>
      </c>
      <c r="B6" s="44">
        <f t="shared" si="0"/>
        <v>5</v>
      </c>
      <c r="C6" s="44">
        <f t="shared" si="0"/>
        <v>0</v>
      </c>
      <c r="D6" s="44">
        <f t="shared" si="0"/>
        <v>0</v>
      </c>
      <c r="E6" s="6" t="s">
        <v>55</v>
      </c>
      <c r="F6" s="49">
        <v>1.3752E-17</v>
      </c>
      <c r="G6" s="49">
        <v>1.9065000000000001E-10</v>
      </c>
      <c r="H6" s="49">
        <v>2.2833000000000002E-9</v>
      </c>
      <c r="I6" s="49">
        <v>1.8868999999999998E-8</v>
      </c>
      <c r="J6" s="49">
        <v>1.1695E-7</v>
      </c>
      <c r="K6" s="49">
        <v>5.8406999999999996E-7</v>
      </c>
      <c r="L6" s="49">
        <v>1.0599000000000001E-4</v>
      </c>
      <c r="M6" s="49">
        <v>2.8779000000000001E-4</v>
      </c>
      <c r="N6" s="49">
        <v>6.8687999999999996E-4</v>
      </c>
      <c r="O6" s="49">
        <v>1.4574E-3</v>
      </c>
      <c r="P6" s="49">
        <v>2.7763000000000002E-3</v>
      </c>
      <c r="Q6" s="49">
        <v>1.1018999999999999E-2</v>
      </c>
      <c r="R6" s="49">
        <v>1.064E-2</v>
      </c>
      <c r="S6" s="49">
        <v>8.8444000000000005E-3</v>
      </c>
      <c r="T6" s="49">
        <v>6.4056E-3</v>
      </c>
      <c r="U6" s="49">
        <v>4.2385000000000001E-3</v>
      </c>
      <c r="V6" s="49">
        <v>6.1879999999999997E-4</v>
      </c>
      <c r="W6" s="49">
        <v>1.0581000000000001E-4</v>
      </c>
      <c r="X6" s="49">
        <v>2.3858000000000001E-5</v>
      </c>
      <c r="AM6" s="28"/>
      <c r="AN6" s="29"/>
      <c r="AO6" s="29"/>
      <c r="AP6" s="29"/>
      <c r="AQ6" s="29"/>
      <c r="AR6" s="29"/>
      <c r="AS6" s="29"/>
      <c r="AT6" s="29"/>
      <c r="AU6" s="29"/>
      <c r="AV6" s="29"/>
      <c r="AW6" s="29"/>
      <c r="AX6" s="29"/>
      <c r="AY6" s="29"/>
      <c r="AZ6" s="29"/>
      <c r="BA6" s="29"/>
      <c r="BB6" s="30"/>
    </row>
    <row r="7" spans="1:54" ht="21" customHeight="1" outlineLevel="1" thickBot="1" x14ac:dyDescent="0.4">
      <c r="A7" s="44">
        <f t="shared" si="1"/>
        <v>0</v>
      </c>
      <c r="B7" s="44">
        <f t="shared" si="0"/>
        <v>6</v>
      </c>
      <c r="C7" s="44">
        <f t="shared" si="0"/>
        <v>0</v>
      </c>
      <c r="D7" s="44">
        <f t="shared" si="0"/>
        <v>0</v>
      </c>
      <c r="E7" s="6" t="s">
        <v>56</v>
      </c>
      <c r="F7" s="49">
        <v>2.3151999999999998E-15</v>
      </c>
      <c r="G7" s="49">
        <v>1.7347E-9</v>
      </c>
      <c r="H7" s="49">
        <v>1.2705E-8</v>
      </c>
      <c r="I7" s="49">
        <v>6.8158999999999995E-8</v>
      </c>
      <c r="J7" s="49">
        <v>2.8845000000000002E-7</v>
      </c>
      <c r="K7" s="49">
        <v>1.0280999999999999E-6</v>
      </c>
      <c r="L7" s="49">
        <v>6.9690999999999994E-5</v>
      </c>
      <c r="M7" s="49">
        <v>1.5655000000000001E-4</v>
      </c>
      <c r="N7" s="49">
        <v>3.1220999999999999E-4</v>
      </c>
      <c r="O7" s="49">
        <v>5.5734999999999997E-4</v>
      </c>
      <c r="P7" s="49">
        <v>8.9707000000000003E-4</v>
      </c>
      <c r="Q7" s="49">
        <v>1.7256999999999999E-3</v>
      </c>
      <c r="R7" s="49">
        <v>1.3401999999999999E-3</v>
      </c>
      <c r="S7" s="49">
        <v>8.8225E-4</v>
      </c>
      <c r="T7" s="49">
        <v>4.9950000000000005E-4</v>
      </c>
      <c r="U7" s="49">
        <v>2.5712E-4</v>
      </c>
      <c r="V7" s="49">
        <v>1.4467999999999999E-5</v>
      </c>
      <c r="W7" s="49">
        <v>1.1112000000000001E-6</v>
      </c>
      <c r="X7" s="49">
        <v>1.2944E-7</v>
      </c>
      <c r="AM7" s="28"/>
      <c r="AN7" s="29"/>
      <c r="AO7" s="29"/>
      <c r="AP7" s="29"/>
      <c r="AQ7" s="29"/>
      <c r="AR7" s="29"/>
      <c r="AS7" s="29"/>
      <c r="AT7" s="29"/>
      <c r="AU7" s="29"/>
      <c r="AV7" s="29"/>
      <c r="AW7" s="29"/>
      <c r="AX7" s="29"/>
      <c r="AY7" s="29"/>
      <c r="AZ7" s="29"/>
      <c r="BA7" s="29"/>
      <c r="BB7" s="30"/>
    </row>
    <row r="8" spans="1:54" ht="21" customHeight="1" outlineLevel="1" thickBot="1" x14ac:dyDescent="0.4">
      <c r="A8" s="44">
        <f t="shared" si="1"/>
        <v>0</v>
      </c>
      <c r="B8" s="44">
        <f t="shared" si="0"/>
        <v>7</v>
      </c>
      <c r="C8" s="44">
        <f t="shared" si="0"/>
        <v>0</v>
      </c>
      <c r="D8" s="44">
        <f t="shared" si="0"/>
        <v>0</v>
      </c>
      <c r="E8" s="6" t="s">
        <v>59</v>
      </c>
      <c r="F8" s="49">
        <v>2.5534000000000002E-16</v>
      </c>
      <c r="G8" s="49">
        <v>3.8947999999999998E-10</v>
      </c>
      <c r="H8" s="49">
        <v>3.1175E-9</v>
      </c>
      <c r="I8" s="49">
        <v>1.7949999999999999E-8</v>
      </c>
      <c r="J8" s="49">
        <v>8.0486999999999998E-8</v>
      </c>
      <c r="K8" s="49">
        <v>3.0162000000000002E-7</v>
      </c>
      <c r="L8" s="49">
        <v>2.4817999999999999E-5</v>
      </c>
      <c r="M8" s="49">
        <v>5.7896999999999998E-5</v>
      </c>
      <c r="N8" s="49">
        <v>1.1872E-4</v>
      </c>
      <c r="O8" s="49">
        <v>2.1565000000000001E-4</v>
      </c>
      <c r="P8" s="49">
        <v>3.4928999999999998E-4</v>
      </c>
      <c r="Q8" s="49">
        <v>5.8067999999999998E-4</v>
      </c>
      <c r="R8" s="49">
        <v>4.0905999999999999E-4</v>
      </c>
      <c r="S8" s="49">
        <v>2.3866999999999999E-4</v>
      </c>
      <c r="T8" s="49">
        <v>1.1739E-4</v>
      </c>
      <c r="U8" s="49">
        <v>5.1907000000000003E-5</v>
      </c>
      <c r="V8" s="49">
        <v>1.5858999999999999E-6</v>
      </c>
      <c r="W8" s="49">
        <v>7.2071999999999998E-8</v>
      </c>
      <c r="X8" s="49">
        <v>5.4396000000000001E-9</v>
      </c>
      <c r="AM8" s="28"/>
      <c r="AN8" s="29"/>
      <c r="AO8" s="29"/>
      <c r="AP8" s="29"/>
      <c r="AQ8" s="29"/>
      <c r="AR8" s="29"/>
      <c r="AS8" s="29"/>
      <c r="AT8" s="29"/>
      <c r="AU8" s="29"/>
      <c r="AV8" s="29"/>
      <c r="AW8" s="29"/>
      <c r="AX8" s="29"/>
      <c r="AY8" s="29"/>
      <c r="AZ8" s="29"/>
      <c r="BA8" s="29"/>
      <c r="BB8" s="30"/>
    </row>
    <row r="9" spans="1:54" ht="21" customHeight="1" outlineLevel="1" thickBot="1" x14ac:dyDescent="0.4">
      <c r="A9" s="44">
        <f t="shared" si="1"/>
        <v>0</v>
      </c>
      <c r="B9" s="44">
        <f t="shared" si="0"/>
        <v>8</v>
      </c>
      <c r="C9" s="44">
        <f t="shared" si="0"/>
        <v>0</v>
      </c>
      <c r="D9" s="44">
        <f t="shared" si="0"/>
        <v>0</v>
      </c>
      <c r="E9" s="6" t="s">
        <v>57</v>
      </c>
      <c r="F9" s="49">
        <v>5.6206999999999997E-18</v>
      </c>
      <c r="G9" s="49">
        <v>1.4855E-11</v>
      </c>
      <c r="H9" s="49">
        <v>1.2668E-10</v>
      </c>
      <c r="I9" s="49">
        <v>7.6573E-10</v>
      </c>
      <c r="J9" s="49">
        <v>3.5687999999999999E-9</v>
      </c>
      <c r="K9" s="49">
        <v>1.3825999999999999E-8</v>
      </c>
      <c r="L9" s="49">
        <v>1.3120000000000001E-6</v>
      </c>
      <c r="M9" s="49">
        <v>3.1472999999999999E-6</v>
      </c>
      <c r="N9" s="49">
        <v>6.5763E-6</v>
      </c>
      <c r="O9" s="49">
        <v>1.2055999999999999E-5</v>
      </c>
      <c r="P9" s="49">
        <v>1.9502000000000001E-5</v>
      </c>
      <c r="Q9" s="49">
        <v>2.7330000000000001E-5</v>
      </c>
      <c r="R9" s="49">
        <v>1.7374E-5</v>
      </c>
      <c r="S9" s="49">
        <v>8.9414000000000005E-6</v>
      </c>
      <c r="T9" s="49">
        <v>3.8031999999999999E-6</v>
      </c>
      <c r="U9" s="49">
        <v>1.4384000000000001E-6</v>
      </c>
      <c r="V9" s="49">
        <v>2.3513E-8</v>
      </c>
      <c r="W9" s="49">
        <v>6.2489999999999998E-10</v>
      </c>
      <c r="X9" s="49">
        <v>3.0264000000000003E-11</v>
      </c>
      <c r="AM9" s="28"/>
      <c r="AN9" s="29"/>
      <c r="AO9" s="29"/>
      <c r="AP9" s="29"/>
      <c r="AQ9" s="29"/>
      <c r="AR9" s="29"/>
      <c r="AS9" s="29"/>
      <c r="AT9" s="29"/>
      <c r="AU9" s="29"/>
      <c r="AV9" s="29"/>
      <c r="AW9" s="29"/>
      <c r="AX9" s="29"/>
      <c r="AY9" s="29"/>
      <c r="AZ9" s="29"/>
      <c r="BA9" s="29"/>
      <c r="BB9" s="30"/>
    </row>
    <row r="10" spans="1:54" ht="21" customHeight="1" outlineLevel="1" thickBot="1" x14ac:dyDescent="0.4">
      <c r="A10" s="44">
        <f t="shared" si="1"/>
        <v>0</v>
      </c>
      <c r="B10" s="44">
        <f t="shared" si="0"/>
        <v>2</v>
      </c>
      <c r="C10" s="44">
        <f t="shared" si="0"/>
        <v>0</v>
      </c>
      <c r="D10" s="44">
        <f t="shared" si="0"/>
        <v>0</v>
      </c>
      <c r="E10" s="6" t="s">
        <v>58</v>
      </c>
      <c r="F10" s="49">
        <v>5.9567000000000001E-18</v>
      </c>
      <c r="G10" s="49">
        <v>1.1197E-10</v>
      </c>
      <c r="H10" s="49">
        <v>1.5425E-9</v>
      </c>
      <c r="I10" s="49">
        <v>1.4734E-8</v>
      </c>
      <c r="J10" s="49">
        <v>1.0530999999999999E-7</v>
      </c>
      <c r="K10" s="49">
        <v>5.9993000000000005E-7</v>
      </c>
      <c r="L10" s="49">
        <v>1.4694E-4</v>
      </c>
      <c r="M10" s="49">
        <v>4.2429000000000002E-4</v>
      </c>
      <c r="N10" s="49">
        <v>1.0943000000000001E-3</v>
      </c>
      <c r="O10" s="49">
        <v>2.5579000000000001E-3</v>
      </c>
      <c r="P10" s="49">
        <v>5.4903E-3</v>
      </c>
      <c r="Q10" s="49">
        <v>5.3856000000000001E-2</v>
      </c>
      <c r="R10" s="49">
        <v>7.6957999999999999E-2</v>
      </c>
      <c r="S10" s="49">
        <v>0.1009</v>
      </c>
      <c r="T10" s="49">
        <v>0.12180000000000001</v>
      </c>
      <c r="U10" s="49">
        <v>0.13827999999999999</v>
      </c>
      <c r="V10" s="49">
        <v>0.16958000000000001</v>
      </c>
      <c r="W10" s="49">
        <v>0.17902000000000001</v>
      </c>
      <c r="X10" s="49">
        <v>0.18295</v>
      </c>
      <c r="AM10" s="28"/>
      <c r="AN10" s="29"/>
      <c r="AO10" s="29"/>
      <c r="AP10" s="29"/>
      <c r="AQ10" s="29"/>
      <c r="AR10" s="29"/>
      <c r="AS10" s="29"/>
      <c r="AT10" s="29"/>
      <c r="AU10" s="29"/>
      <c r="AV10" s="29"/>
      <c r="AW10" s="29"/>
      <c r="AX10" s="29"/>
      <c r="AY10" s="29"/>
      <c r="AZ10" s="29"/>
      <c r="BA10" s="29"/>
      <c r="BB10" s="30"/>
    </row>
    <row r="11" spans="1:54" ht="21" customHeight="1" outlineLevel="1" thickBot="1" x14ac:dyDescent="0.4">
      <c r="A11" s="44">
        <f t="shared" si="1"/>
        <v>0</v>
      </c>
      <c r="B11" s="44">
        <f t="shared" si="0"/>
        <v>1</v>
      </c>
      <c r="C11" s="44">
        <f t="shared" si="0"/>
        <v>0</v>
      </c>
      <c r="D11" s="44">
        <f t="shared" si="0"/>
        <v>0</v>
      </c>
      <c r="E11" s="6" t="s">
        <v>2</v>
      </c>
      <c r="F11" s="49">
        <v>6.4033E-36</v>
      </c>
      <c r="G11" s="49">
        <v>2.5945999999999999E-23</v>
      </c>
      <c r="H11" s="49">
        <v>2.6408000000000001E-21</v>
      </c>
      <c r="I11" s="49">
        <v>1.4384E-19</v>
      </c>
      <c r="J11" s="49">
        <v>4.7421000000000004E-18</v>
      </c>
      <c r="K11" s="49">
        <v>1.0437E-16</v>
      </c>
      <c r="L11" s="49">
        <v>1.5332999999999999E-12</v>
      </c>
      <c r="M11" s="49">
        <v>9.8017999999999997E-12</v>
      </c>
      <c r="N11" s="49">
        <v>5.2666000000000002E-11</v>
      </c>
      <c r="O11" s="49">
        <v>2.4358E-10</v>
      </c>
      <c r="P11" s="49">
        <v>9.9060000000000007E-10</v>
      </c>
      <c r="Q11" s="49">
        <v>9.6452999999999997E-8</v>
      </c>
      <c r="R11" s="49">
        <v>2.3846999999999999E-7</v>
      </c>
      <c r="S11" s="49">
        <v>5.384E-7</v>
      </c>
      <c r="T11" s="49">
        <v>1.1132E-6</v>
      </c>
      <c r="U11" s="49">
        <v>2.1393E-6</v>
      </c>
      <c r="V11" s="49">
        <v>1.7793000000000001E-5</v>
      </c>
      <c r="W11" s="49">
        <v>9.1658999999999998E-5</v>
      </c>
      <c r="X11" s="49">
        <v>3.4886999999999999E-4</v>
      </c>
      <c r="AM11" s="28"/>
      <c r="AN11" s="29"/>
      <c r="AO11" s="29"/>
      <c r="AP11" s="29"/>
      <c r="AQ11" s="29"/>
      <c r="AR11" s="29"/>
      <c r="AS11" s="29"/>
      <c r="AT11" s="29"/>
      <c r="AU11" s="29"/>
      <c r="AV11" s="29"/>
      <c r="AW11" s="29"/>
      <c r="AX11" s="29"/>
      <c r="AY11" s="29"/>
      <c r="AZ11" s="29"/>
      <c r="BA11" s="29"/>
      <c r="BB11" s="30"/>
    </row>
    <row r="12" spans="1:54" ht="21" customHeight="1" outlineLevel="1" thickBot="1" x14ac:dyDescent="0.4">
      <c r="A12" s="44">
        <f t="shared" si="1"/>
        <v>0</v>
      </c>
      <c r="B12" s="44">
        <f t="shared" si="0"/>
        <v>1</v>
      </c>
      <c r="C12" s="44">
        <f t="shared" si="0"/>
        <v>0</v>
      </c>
      <c r="D12" s="44">
        <f t="shared" si="0"/>
        <v>2</v>
      </c>
      <c r="E12" s="6" t="s">
        <v>52</v>
      </c>
      <c r="F12" s="49">
        <v>2.555E-9</v>
      </c>
      <c r="G12" s="49">
        <v>4.7712E-5</v>
      </c>
      <c r="H12" s="49">
        <v>2.1557E-4</v>
      </c>
      <c r="I12" s="49">
        <v>7.7851000000000005E-4</v>
      </c>
      <c r="J12" s="49">
        <v>2.3381000000000001E-3</v>
      </c>
      <c r="K12" s="49">
        <v>5.9845999999999996E-3</v>
      </c>
      <c r="L12" s="49">
        <v>5.2388999999999998E-2</v>
      </c>
      <c r="M12" s="49">
        <v>6.318E-2</v>
      </c>
      <c r="N12" s="49">
        <v>7.1395E-2</v>
      </c>
      <c r="O12" s="49">
        <v>7.7561000000000005E-2</v>
      </c>
      <c r="P12" s="49">
        <v>8.2317000000000001E-2</v>
      </c>
      <c r="Q12" s="49">
        <v>9.3668000000000001E-2</v>
      </c>
      <c r="R12" s="49">
        <v>9.5077999999999996E-2</v>
      </c>
      <c r="S12" s="49">
        <v>9.6074000000000007E-2</v>
      </c>
      <c r="T12" s="49">
        <v>9.6721000000000001E-2</v>
      </c>
      <c r="U12" s="49">
        <v>9.7151000000000001E-2</v>
      </c>
      <c r="V12" s="49">
        <v>9.7881999999999997E-2</v>
      </c>
      <c r="W12" s="49">
        <v>9.8086999999999994E-2</v>
      </c>
      <c r="X12" s="49">
        <v>9.8153000000000004E-2</v>
      </c>
      <c r="AM12" s="28"/>
      <c r="AN12" s="29"/>
      <c r="AO12" s="29"/>
      <c r="AP12" s="29"/>
      <c r="AQ12" s="29"/>
      <c r="AR12" s="29"/>
      <c r="AS12" s="29"/>
      <c r="AT12" s="29"/>
      <c r="AU12" s="29"/>
      <c r="AV12" s="29"/>
      <c r="AW12" s="29"/>
      <c r="AX12" s="29"/>
      <c r="AY12" s="29"/>
      <c r="AZ12" s="29"/>
      <c r="BA12" s="29"/>
      <c r="BB12" s="30"/>
    </row>
    <row r="13" spans="1:54" ht="21" customHeight="1" outlineLevel="1" thickBot="1" x14ac:dyDescent="0.4">
      <c r="A13" s="44">
        <f t="shared" si="1"/>
        <v>1</v>
      </c>
      <c r="B13" s="44">
        <f t="shared" si="0"/>
        <v>0</v>
      </c>
      <c r="C13" s="44">
        <f t="shared" si="0"/>
        <v>0</v>
      </c>
      <c r="D13" s="44">
        <f t="shared" si="0"/>
        <v>0</v>
      </c>
      <c r="E13" s="6" t="s">
        <v>1</v>
      </c>
      <c r="F13" s="49">
        <v>0.2</v>
      </c>
      <c r="G13" s="49">
        <v>0.2</v>
      </c>
      <c r="H13" s="49">
        <v>0.2</v>
      </c>
      <c r="I13" s="49">
        <v>0.2</v>
      </c>
      <c r="J13" s="49">
        <v>0.2</v>
      </c>
      <c r="K13" s="49">
        <v>0.2</v>
      </c>
      <c r="L13" s="49">
        <v>0.2</v>
      </c>
      <c r="M13" s="49">
        <v>0.2</v>
      </c>
      <c r="N13" s="49">
        <v>0.2</v>
      </c>
      <c r="O13" s="49">
        <v>0.2</v>
      </c>
      <c r="P13" s="49">
        <v>0.2</v>
      </c>
      <c r="Q13" s="49">
        <v>0.2</v>
      </c>
      <c r="R13" s="49">
        <v>0.2</v>
      </c>
      <c r="S13" s="49">
        <v>0.2</v>
      </c>
      <c r="T13" s="49">
        <v>0.2</v>
      </c>
      <c r="U13" s="49">
        <v>0.2</v>
      </c>
      <c r="V13" s="49">
        <v>0.2</v>
      </c>
      <c r="W13" s="49">
        <v>0.2</v>
      </c>
      <c r="X13" s="49">
        <v>0.2</v>
      </c>
      <c r="AM13" s="28"/>
      <c r="AN13" s="29"/>
      <c r="AO13" s="29"/>
      <c r="AP13" s="29"/>
      <c r="AQ13" s="29"/>
      <c r="AR13" s="29"/>
      <c r="AS13" s="29"/>
      <c r="AT13" s="29"/>
      <c r="AU13" s="29"/>
      <c r="AV13" s="29"/>
      <c r="AW13" s="29"/>
      <c r="AX13" s="29"/>
      <c r="AY13" s="29"/>
      <c r="BB13" s="30"/>
    </row>
    <row r="14" spans="1:54" ht="21" customHeight="1" outlineLevel="1" thickBot="1" x14ac:dyDescent="0.4">
      <c r="A14" s="44">
        <f t="shared" si="1"/>
        <v>0</v>
      </c>
      <c r="B14" s="44">
        <f t="shared" si="0"/>
        <v>0</v>
      </c>
      <c r="C14" s="44">
        <f t="shared" si="0"/>
        <v>0</v>
      </c>
      <c r="D14" s="44">
        <f t="shared" si="0"/>
        <v>1</v>
      </c>
      <c r="E14" s="6" t="s">
        <v>38</v>
      </c>
      <c r="F14" s="49">
        <v>0.2</v>
      </c>
      <c r="G14" s="49">
        <v>0.19989999999999999</v>
      </c>
      <c r="H14" s="49">
        <v>0.19957</v>
      </c>
      <c r="I14" s="49">
        <v>0.19844000000000001</v>
      </c>
      <c r="J14" s="49">
        <v>0.19531999999999999</v>
      </c>
      <c r="K14" s="49">
        <v>0.18803</v>
      </c>
      <c r="L14" s="49">
        <v>9.5223000000000002E-2</v>
      </c>
      <c r="M14" s="49">
        <v>7.3639999999999997E-2</v>
      </c>
      <c r="N14" s="49">
        <v>5.7209999999999997E-2</v>
      </c>
      <c r="O14" s="49">
        <v>4.4878000000000001E-2</v>
      </c>
      <c r="P14" s="49">
        <v>3.5367000000000003E-2</v>
      </c>
      <c r="Q14" s="49">
        <v>1.2664999999999999E-2</v>
      </c>
      <c r="R14" s="49">
        <v>9.8434999999999998E-3</v>
      </c>
      <c r="S14" s="49">
        <v>7.8524000000000007E-3</v>
      </c>
      <c r="T14" s="49">
        <v>6.5586999999999998E-3</v>
      </c>
      <c r="U14" s="49">
        <v>5.6974E-3</v>
      </c>
      <c r="V14" s="49">
        <v>4.2364000000000004E-3</v>
      </c>
      <c r="W14" s="49">
        <v>3.8252E-3</v>
      </c>
      <c r="X14" s="49">
        <v>3.6916000000000002E-3</v>
      </c>
      <c r="AM14" s="28"/>
      <c r="AN14" s="29"/>
      <c r="AO14" s="29"/>
      <c r="AP14" s="29"/>
      <c r="AQ14" s="29"/>
      <c r="AR14" s="29"/>
      <c r="AS14" s="29"/>
      <c r="AT14" s="29"/>
      <c r="AU14" s="29"/>
      <c r="AV14" s="29"/>
      <c r="AW14" s="29"/>
      <c r="AX14" s="29"/>
      <c r="AY14" s="29"/>
      <c r="BB14" s="30"/>
    </row>
    <row r="15" spans="1:54" ht="21" customHeight="1" outlineLevel="1" thickBot="1" x14ac:dyDescent="0.4">
      <c r="A15" s="44">
        <f t="shared" si="1"/>
        <v>0</v>
      </c>
      <c r="B15" s="44">
        <f t="shared" si="0"/>
        <v>0</v>
      </c>
      <c r="C15" s="44">
        <f t="shared" si="0"/>
        <v>1</v>
      </c>
      <c r="D15" s="44">
        <f t="shared" si="0"/>
        <v>0</v>
      </c>
      <c r="E15" s="6" t="s">
        <v>37</v>
      </c>
      <c r="F15" s="49">
        <v>0.12</v>
      </c>
      <c r="G15" s="49">
        <v>0.12</v>
      </c>
      <c r="H15" s="49">
        <v>0.12</v>
      </c>
      <c r="I15" s="49">
        <v>0.12</v>
      </c>
      <c r="J15" s="49">
        <v>0.12</v>
      </c>
      <c r="K15" s="49">
        <v>0.12</v>
      </c>
      <c r="L15" s="49">
        <v>0.12</v>
      </c>
      <c r="M15" s="49">
        <v>0.12</v>
      </c>
      <c r="N15" s="49">
        <v>0.12</v>
      </c>
      <c r="O15" s="49">
        <v>0.12</v>
      </c>
      <c r="P15" s="49">
        <v>0.12</v>
      </c>
      <c r="Q15" s="49">
        <v>0.12</v>
      </c>
      <c r="R15" s="49">
        <v>0.12</v>
      </c>
      <c r="S15" s="49">
        <v>0.12</v>
      </c>
      <c r="T15" s="49">
        <v>0.12</v>
      </c>
      <c r="U15" s="49">
        <v>0.12</v>
      </c>
      <c r="V15" s="49">
        <v>0.12</v>
      </c>
      <c r="W15" s="49">
        <v>0.12</v>
      </c>
      <c r="X15" s="49">
        <v>0.12</v>
      </c>
      <c r="AM15" s="28"/>
      <c r="AN15" s="29"/>
      <c r="AO15" s="29"/>
      <c r="AP15" s="29"/>
      <c r="AQ15" s="29"/>
      <c r="AR15" s="29"/>
      <c r="AS15" s="29"/>
      <c r="AT15" s="29"/>
      <c r="AU15" s="29"/>
      <c r="AV15" s="29"/>
      <c r="AW15" s="29"/>
      <c r="AX15" s="29"/>
      <c r="AY15" s="29"/>
      <c r="AZ15" s="29"/>
      <c r="BA15" s="29"/>
      <c r="BB15" s="30"/>
    </row>
    <row r="16" spans="1:54" ht="21" customHeight="1" outlineLevel="1" thickBot="1" x14ac:dyDescent="0.4">
      <c r="A16" s="44">
        <f t="shared" si="1"/>
        <v>0</v>
      </c>
      <c r="B16" s="44">
        <f t="shared" si="0"/>
        <v>1</v>
      </c>
      <c r="C16" s="44">
        <f t="shared" si="0"/>
        <v>0</v>
      </c>
      <c r="D16" s="44">
        <f t="shared" si="0"/>
        <v>0</v>
      </c>
      <c r="E16" s="6" t="s">
        <v>60</v>
      </c>
      <c r="F16" s="49">
        <v>0.48</v>
      </c>
      <c r="G16" s="49">
        <v>0.47994999999999999</v>
      </c>
      <c r="H16" s="49">
        <v>0.47977999999999998</v>
      </c>
      <c r="I16" s="49">
        <v>0.47921999999999998</v>
      </c>
      <c r="J16" s="49">
        <v>0.47765999999999997</v>
      </c>
      <c r="K16" s="49">
        <v>0.47399999999999998</v>
      </c>
      <c r="L16" s="49">
        <v>0.42616999999999999</v>
      </c>
      <c r="M16" s="49">
        <v>0.41313</v>
      </c>
      <c r="N16" s="49">
        <v>0.40011999999999998</v>
      </c>
      <c r="O16" s="49">
        <v>0.38482</v>
      </c>
      <c r="P16" s="49">
        <v>0.36423</v>
      </c>
      <c r="Q16" s="49">
        <v>0.20286000000000001</v>
      </c>
      <c r="R16" s="49">
        <v>0.15876999999999999</v>
      </c>
      <c r="S16" s="49">
        <v>0.12138</v>
      </c>
      <c r="T16" s="49">
        <v>9.3656000000000003E-2</v>
      </c>
      <c r="U16" s="49">
        <v>7.3054999999999995E-2</v>
      </c>
      <c r="V16" s="49">
        <v>3.2212999999999999E-2</v>
      </c>
      <c r="W16" s="49">
        <v>1.7951000000000002E-2</v>
      </c>
      <c r="X16" s="49">
        <v>1.1579000000000001E-2</v>
      </c>
      <c r="AM16" s="28"/>
      <c r="AN16" s="29"/>
      <c r="AO16" s="29"/>
      <c r="AP16" s="29"/>
      <c r="AQ16" s="29"/>
      <c r="AR16" s="29"/>
      <c r="AS16" s="29"/>
      <c r="AT16" s="29"/>
      <c r="AU16" s="29"/>
      <c r="AV16" s="29"/>
      <c r="AW16" s="29"/>
      <c r="AX16" s="29"/>
      <c r="AY16" s="29"/>
      <c r="AZ16" s="29"/>
      <c r="BA16" s="29"/>
      <c r="BB16" s="30"/>
    </row>
    <row r="17" spans="1:54" ht="21" customHeight="1" outlineLevel="1" thickBot="1" x14ac:dyDescent="0.4">
      <c r="A17" s="44">
        <f t="shared" si="1"/>
        <v>0</v>
      </c>
      <c r="B17" s="44">
        <f t="shared" si="0"/>
        <v>0</v>
      </c>
      <c r="C17" s="44">
        <f t="shared" si="0"/>
        <v>0</v>
      </c>
      <c r="D17" s="44">
        <f t="shared" si="0"/>
        <v>0</v>
      </c>
      <c r="E17" s="6" t="s">
        <v>67</v>
      </c>
      <c r="F17" s="49">
        <v>-18.61</v>
      </c>
      <c r="G17" s="49">
        <v>-18.760000000000002</v>
      </c>
      <c r="H17" s="49">
        <v>-18.829999999999998</v>
      </c>
      <c r="I17" s="49">
        <v>-18.899999999999999</v>
      </c>
      <c r="J17" s="49">
        <v>-18.97</v>
      </c>
      <c r="K17" s="49">
        <v>-19.059999999999999</v>
      </c>
      <c r="L17" s="49">
        <v>-19.54</v>
      </c>
      <c r="M17" s="49">
        <v>-19.649999999999999</v>
      </c>
      <c r="N17" s="49">
        <v>-19.760000000000002</v>
      </c>
      <c r="O17" s="49">
        <v>-19.850000000000001</v>
      </c>
      <c r="P17" s="49">
        <v>-19.95</v>
      </c>
      <c r="Q17" s="49">
        <v>-20.420000000000002</v>
      </c>
      <c r="R17" s="49">
        <v>-20.54</v>
      </c>
      <c r="S17" s="49">
        <v>-20.66</v>
      </c>
      <c r="T17" s="49">
        <v>-20.76</v>
      </c>
      <c r="U17" s="49">
        <v>-20.85</v>
      </c>
      <c r="V17" s="49">
        <v>-21.12</v>
      </c>
      <c r="W17" s="49">
        <v>-21.34</v>
      </c>
      <c r="X17" s="49">
        <v>-21.53</v>
      </c>
      <c r="AM17" s="28"/>
      <c r="AN17" s="29"/>
      <c r="AO17" s="29"/>
      <c r="AP17" s="29"/>
      <c r="AQ17" s="29"/>
      <c r="AR17" s="29"/>
      <c r="AS17" s="29"/>
      <c r="AT17" s="29"/>
      <c r="AU17" s="29"/>
      <c r="AV17" s="29"/>
      <c r="AW17" s="29"/>
      <c r="AX17" s="29"/>
      <c r="AY17" s="29"/>
      <c r="AZ17" s="29"/>
      <c r="BA17" s="29"/>
      <c r="BB17" s="30"/>
    </row>
    <row r="18" spans="1:54" ht="21" customHeight="1" outlineLevel="1" thickBot="1" x14ac:dyDescent="0.4">
      <c r="A18" s="44">
        <f t="shared" si="1"/>
        <v>0</v>
      </c>
      <c r="B18" s="44">
        <f t="shared" si="0"/>
        <v>0</v>
      </c>
      <c r="C18" s="44">
        <f t="shared" si="0"/>
        <v>0</v>
      </c>
      <c r="D18" s="44">
        <f t="shared" si="0"/>
        <v>1</v>
      </c>
      <c r="E18" s="6" t="s">
        <v>5</v>
      </c>
      <c r="F18" s="49">
        <v>-6.2460000000000004</v>
      </c>
      <c r="G18" s="49">
        <v>-7.1479999999999997</v>
      </c>
      <c r="H18" s="49">
        <v>-7.3440000000000003</v>
      </c>
      <c r="I18" s="49">
        <v>-7.5309999999999997</v>
      </c>
      <c r="J18" s="49">
        <v>-7.7160000000000002</v>
      </c>
      <c r="K18" s="49">
        <v>-7.907</v>
      </c>
      <c r="L18" s="49">
        <v>-8.98</v>
      </c>
      <c r="M18" s="49">
        <v>-9.3170000000000002</v>
      </c>
      <c r="N18" s="49">
        <v>-9.6470000000000002</v>
      </c>
      <c r="O18" s="49">
        <v>-9.9629999999999992</v>
      </c>
      <c r="P18" s="49">
        <v>-10.26</v>
      </c>
      <c r="Q18" s="49">
        <v>-11.28</v>
      </c>
      <c r="R18" s="49">
        <v>-11.49</v>
      </c>
      <c r="S18" s="49">
        <v>-11.66</v>
      </c>
      <c r="T18" s="49">
        <v>-11.81</v>
      </c>
      <c r="U18" s="49">
        <v>-11.94</v>
      </c>
      <c r="V18" s="49">
        <v>-12.34</v>
      </c>
      <c r="W18" s="49">
        <v>-12.65</v>
      </c>
      <c r="X18" s="49">
        <v>-12.92</v>
      </c>
      <c r="AM18" s="28"/>
      <c r="AN18" s="29"/>
      <c r="AO18" s="29"/>
      <c r="AP18" s="29"/>
      <c r="AQ18" s="29"/>
      <c r="AR18" s="29"/>
      <c r="AS18" s="29"/>
      <c r="AT18" s="29"/>
      <c r="AU18" s="29"/>
      <c r="AV18" s="29"/>
      <c r="AW18" s="29"/>
      <c r="AX18" s="29"/>
      <c r="AY18" s="29"/>
      <c r="AZ18" s="29"/>
      <c r="BA18" s="29"/>
      <c r="BB18" s="30"/>
    </row>
    <row r="19" spans="1:54" ht="21" customHeight="1" outlineLevel="1" thickBot="1" x14ac:dyDescent="0.4">
      <c r="A19" s="44">
        <f t="shared" si="1"/>
        <v>0</v>
      </c>
      <c r="B19" s="44">
        <f t="shared" si="0"/>
        <v>0</v>
      </c>
      <c r="C19" s="44">
        <f t="shared" si="0"/>
        <v>1</v>
      </c>
      <c r="D19" s="44">
        <f t="shared" si="0"/>
        <v>0</v>
      </c>
      <c r="E19" s="6" t="s">
        <v>6</v>
      </c>
      <c r="F19" s="49">
        <v>5.367</v>
      </c>
      <c r="G19" s="49">
        <v>0.73660000000000003</v>
      </c>
      <c r="H19" s="49">
        <v>-5.534E-2</v>
      </c>
      <c r="I19" s="49">
        <v>-0.75560000000000005</v>
      </c>
      <c r="J19" s="49">
        <v>-1.3779999999999999</v>
      </c>
      <c r="K19" s="49">
        <v>-1.93</v>
      </c>
      <c r="L19" s="49">
        <v>-3.5449999999999999</v>
      </c>
      <c r="M19" s="49">
        <v>-3.8580000000000001</v>
      </c>
      <c r="N19" s="49">
        <v>-4.1520000000000001</v>
      </c>
      <c r="O19" s="49">
        <v>-4.423</v>
      </c>
      <c r="P19" s="49">
        <v>-4.6680000000000001</v>
      </c>
      <c r="Q19" s="49">
        <v>-5.2690000000000001</v>
      </c>
      <c r="R19" s="49">
        <v>-5.3449999999999998</v>
      </c>
      <c r="S19" s="49">
        <v>-5.4130000000000003</v>
      </c>
      <c r="T19" s="49">
        <v>-5.4939999999999998</v>
      </c>
      <c r="U19" s="49">
        <v>-5.5880000000000001</v>
      </c>
      <c r="V19" s="49">
        <v>-6.0519999999999996</v>
      </c>
      <c r="W19" s="49">
        <v>-6.5549999999999997</v>
      </c>
      <c r="X19" s="49">
        <v>-7.0309999999999997</v>
      </c>
      <c r="AM19" s="28"/>
      <c r="AN19" s="29"/>
      <c r="AO19" s="29"/>
      <c r="AP19" s="29"/>
      <c r="AQ19" s="29"/>
      <c r="AR19" s="29"/>
      <c r="AS19" s="29"/>
      <c r="AT19" s="29"/>
      <c r="AU19" s="29"/>
      <c r="AV19" s="29"/>
      <c r="AW19" s="29"/>
      <c r="AX19" s="29"/>
      <c r="AY19" s="29"/>
      <c r="AZ19" s="29"/>
      <c r="BA19" s="29"/>
      <c r="BB19" s="30"/>
    </row>
    <row r="20" spans="1:54" ht="21" customHeight="1" outlineLevel="1" thickBot="1" x14ac:dyDescent="0.4">
      <c r="A20" s="44">
        <f t="shared" si="1"/>
        <v>0</v>
      </c>
      <c r="B20" s="44">
        <f t="shared" si="1"/>
        <v>1</v>
      </c>
      <c r="C20" s="44">
        <f t="shared" si="1"/>
        <v>0</v>
      </c>
      <c r="D20" s="44">
        <f t="shared" si="1"/>
        <v>0</v>
      </c>
      <c r="E20" s="6" t="s">
        <v>7</v>
      </c>
      <c r="F20" s="49">
        <v>-4.8239999999999998</v>
      </c>
      <c r="G20" s="49">
        <v>-5.5949999999999998</v>
      </c>
      <c r="H20" s="49">
        <v>-5.7880000000000003</v>
      </c>
      <c r="I20" s="49">
        <v>-5.9749999999999996</v>
      </c>
      <c r="J20" s="49">
        <v>-6.1550000000000002</v>
      </c>
      <c r="K20" s="49">
        <v>-6.3259999999999996</v>
      </c>
      <c r="L20" s="49">
        <v>-6.8819999999999997</v>
      </c>
      <c r="M20" s="49">
        <v>-7.0060000000000002</v>
      </c>
      <c r="N20" s="49">
        <v>-7.1319999999999997</v>
      </c>
      <c r="O20" s="49">
        <v>-7.2610000000000001</v>
      </c>
      <c r="P20" s="49">
        <v>-7.3940000000000001</v>
      </c>
      <c r="Q20" s="49">
        <v>-8.0410000000000004</v>
      </c>
      <c r="R20" s="49">
        <v>-8.2520000000000007</v>
      </c>
      <c r="S20" s="49">
        <v>-8.4819999999999993</v>
      </c>
      <c r="T20" s="49">
        <v>-8.7279999999999998</v>
      </c>
      <c r="U20" s="49">
        <v>-8.9819999999999993</v>
      </c>
      <c r="V20" s="49">
        <v>-9.968</v>
      </c>
      <c r="W20" s="49">
        <v>-10.83</v>
      </c>
      <c r="X20" s="49">
        <v>-11.56</v>
      </c>
      <c r="AM20" s="28"/>
      <c r="AN20" s="29"/>
      <c r="AO20" s="29"/>
      <c r="AP20" s="29"/>
      <c r="AQ20" s="29"/>
      <c r="AR20" s="29"/>
      <c r="AS20" s="29"/>
      <c r="AT20" s="29"/>
      <c r="AU20" s="29"/>
      <c r="AV20" s="29"/>
      <c r="AW20" s="29"/>
      <c r="AX20" s="29"/>
      <c r="AY20" s="29"/>
      <c r="AZ20" s="29"/>
      <c r="BA20" s="29"/>
      <c r="BB20" s="30"/>
    </row>
    <row r="21" spans="1:54" ht="21" customHeight="1" outlineLevel="1" thickBot="1" x14ac:dyDescent="0.4">
      <c r="A21" s="44">
        <f t="shared" si="1"/>
        <v>0</v>
      </c>
      <c r="B21" s="44">
        <f t="shared" si="1"/>
        <v>0</v>
      </c>
      <c r="C21" s="44">
        <f t="shared" si="1"/>
        <v>0</v>
      </c>
      <c r="D21" s="44">
        <f t="shared" si="1"/>
        <v>0</v>
      </c>
      <c r="E21" s="48"/>
      <c r="F21" s="49"/>
      <c r="G21" s="49"/>
      <c r="H21" s="49"/>
      <c r="I21" s="49"/>
      <c r="J21" s="49"/>
      <c r="K21" s="49"/>
      <c r="L21" s="49"/>
      <c r="M21" s="49"/>
      <c r="N21" s="49"/>
      <c r="O21" s="49"/>
      <c r="P21" s="49"/>
      <c r="Q21" s="49"/>
      <c r="R21" s="49"/>
      <c r="S21" s="49"/>
      <c r="T21" s="49"/>
      <c r="U21" s="49"/>
      <c r="V21" s="49"/>
      <c r="W21" s="49"/>
      <c r="X21" s="49"/>
      <c r="Y21" s="49"/>
      <c r="Z21" s="49"/>
      <c r="AA21" s="49"/>
      <c r="AB21" s="49"/>
      <c r="AC21" s="49"/>
      <c r="AD21" s="49"/>
      <c r="AE21" s="49"/>
      <c r="AF21" s="49"/>
      <c r="AG21" s="49"/>
      <c r="AH21" s="49"/>
      <c r="AI21" s="49"/>
      <c r="AJ21" s="49"/>
      <c r="AK21" s="49"/>
      <c r="AL21" s="49"/>
      <c r="AM21" s="28"/>
      <c r="AN21" s="29"/>
      <c r="AO21" s="29"/>
      <c r="AP21" s="29"/>
      <c r="AQ21" s="29"/>
      <c r="AR21" s="29"/>
      <c r="AS21" s="29"/>
      <c r="AT21" s="29"/>
      <c r="AU21" s="29"/>
      <c r="AV21" s="29"/>
      <c r="AW21" s="29"/>
      <c r="AX21" s="29"/>
      <c r="AY21" s="29"/>
      <c r="AZ21" s="29"/>
      <c r="BA21" s="29"/>
      <c r="BB21" s="30"/>
    </row>
    <row r="22" spans="1:54" ht="21" customHeight="1" outlineLevel="1" thickBot="1" x14ac:dyDescent="0.4">
      <c r="A22" s="44">
        <f t="shared" si="1"/>
        <v>0</v>
      </c>
      <c r="B22" s="44">
        <f t="shared" si="1"/>
        <v>0</v>
      </c>
      <c r="C22" s="44">
        <f t="shared" si="1"/>
        <v>0</v>
      </c>
      <c r="D22" s="44">
        <f t="shared" si="1"/>
        <v>0</v>
      </c>
      <c r="E22" s="48"/>
      <c r="F22" s="49"/>
      <c r="G22" s="49"/>
      <c r="H22" s="49"/>
      <c r="I22" s="49"/>
      <c r="J22" s="49"/>
      <c r="K22" s="49"/>
      <c r="L22" s="49"/>
      <c r="M22" s="49"/>
      <c r="N22" s="49"/>
      <c r="O22" s="49"/>
      <c r="P22" s="49"/>
      <c r="Q22" s="49"/>
      <c r="R22" s="49"/>
      <c r="S22" s="49"/>
      <c r="T22" s="49"/>
      <c r="U22" s="49"/>
      <c r="V22" s="49"/>
      <c r="W22" s="49"/>
      <c r="X22" s="49"/>
      <c r="Y22" s="49"/>
      <c r="Z22" s="49"/>
      <c r="AA22" s="49"/>
      <c r="AB22" s="49"/>
      <c r="AC22" s="49"/>
      <c r="AD22" s="49"/>
      <c r="AE22" s="49"/>
      <c r="AF22" s="49"/>
      <c r="AG22" s="49"/>
      <c r="AH22" s="49"/>
      <c r="AI22" s="49"/>
      <c r="AJ22" s="49"/>
      <c r="AK22" s="49"/>
      <c r="AL22" s="49"/>
      <c r="AM22" s="28"/>
      <c r="AN22" s="29"/>
      <c r="AO22" s="29"/>
      <c r="AP22" s="29"/>
      <c r="AQ22" s="29"/>
      <c r="AR22" s="29"/>
      <c r="AS22" s="29"/>
      <c r="AT22" s="29"/>
      <c r="AU22" s="29"/>
      <c r="AV22" s="29"/>
      <c r="AW22" s="29"/>
      <c r="AX22" s="29"/>
      <c r="AY22" s="29"/>
      <c r="AZ22" s="29"/>
      <c r="BA22" s="29"/>
      <c r="BB22" s="30"/>
    </row>
    <row r="23" spans="1:54" ht="21" customHeight="1" outlineLevel="1" thickBot="1" x14ac:dyDescent="0.4">
      <c r="A23" s="44">
        <f t="shared" si="1"/>
        <v>0</v>
      </c>
      <c r="B23" s="44">
        <f t="shared" si="1"/>
        <v>0</v>
      </c>
      <c r="C23" s="44">
        <f t="shared" si="1"/>
        <v>0</v>
      </c>
      <c r="D23" s="44">
        <f t="shared" si="1"/>
        <v>0</v>
      </c>
      <c r="E23" s="41"/>
      <c r="F23" s="49"/>
      <c r="G23" s="49"/>
      <c r="H23" s="49"/>
      <c r="I23" s="49"/>
      <c r="J23" s="49"/>
      <c r="K23" s="49"/>
      <c r="L23" s="49"/>
      <c r="M23" s="49"/>
      <c r="N23" s="49"/>
      <c r="O23" s="49"/>
      <c r="P23" s="49"/>
      <c r="Q23" s="49"/>
      <c r="R23" s="49"/>
      <c r="S23" s="49"/>
      <c r="T23" s="49"/>
      <c r="U23" s="49"/>
      <c r="V23" s="49"/>
      <c r="W23" s="49"/>
      <c r="X23" s="49"/>
      <c r="Y23" s="49"/>
      <c r="Z23" s="49"/>
      <c r="AA23" s="49"/>
      <c r="AB23" s="49"/>
      <c r="AC23" s="49"/>
      <c r="AD23" s="49"/>
      <c r="AE23" s="49"/>
      <c r="AF23" s="49"/>
      <c r="AG23" s="49"/>
      <c r="AH23" s="49"/>
      <c r="AI23" s="49"/>
      <c r="AJ23" s="49"/>
      <c r="AK23" s="49"/>
      <c r="AL23" s="49"/>
      <c r="AM23" s="28"/>
      <c r="AN23" s="29"/>
      <c r="AO23" s="29"/>
      <c r="AP23" s="29"/>
      <c r="AQ23" s="29"/>
      <c r="AR23" s="29"/>
      <c r="AS23" s="29"/>
      <c r="AT23" s="29"/>
      <c r="AU23" s="29"/>
      <c r="AV23" s="29"/>
      <c r="AW23" s="29"/>
      <c r="AX23" s="29"/>
      <c r="AY23" s="29"/>
      <c r="AZ23" s="29"/>
      <c r="BA23" s="29"/>
      <c r="BB23" s="30"/>
    </row>
    <row r="24" spans="1:54" ht="21" customHeight="1" outlineLevel="1" thickBot="1" x14ac:dyDescent="0.4">
      <c r="A24" s="44">
        <f t="shared" si="1"/>
        <v>0</v>
      </c>
      <c r="B24" s="44">
        <f t="shared" si="1"/>
        <v>0</v>
      </c>
      <c r="C24" s="44">
        <f t="shared" si="1"/>
        <v>0</v>
      </c>
      <c r="D24" s="44">
        <f t="shared" si="1"/>
        <v>0</v>
      </c>
      <c r="E24" s="41"/>
      <c r="F24" s="49"/>
      <c r="G24" s="49"/>
      <c r="H24" s="49"/>
      <c r="I24" s="49"/>
      <c r="J24" s="49"/>
      <c r="K24" s="49"/>
      <c r="L24" s="49"/>
      <c r="M24" s="49"/>
      <c r="N24" s="49"/>
      <c r="O24" s="49"/>
      <c r="P24" s="49"/>
      <c r="Q24" s="49"/>
      <c r="R24" s="49"/>
      <c r="S24" s="49"/>
      <c r="T24" s="49"/>
      <c r="U24" s="49"/>
      <c r="V24" s="49"/>
      <c r="W24" s="49"/>
      <c r="X24" s="49"/>
      <c r="Y24" s="49"/>
      <c r="Z24" s="49"/>
      <c r="AA24" s="49"/>
      <c r="AB24" s="49"/>
      <c r="AC24" s="49"/>
      <c r="AD24" s="49"/>
      <c r="AE24" s="49"/>
      <c r="AF24" s="49"/>
      <c r="AG24" s="49"/>
      <c r="AH24" s="49"/>
      <c r="AI24" s="49"/>
      <c r="AJ24" s="49"/>
      <c r="AK24" s="49"/>
      <c r="AL24" s="49"/>
      <c r="AM24" s="28"/>
      <c r="AN24" s="29"/>
      <c r="AO24" s="29"/>
      <c r="AP24" s="29"/>
      <c r="AQ24" s="29"/>
      <c r="AR24" s="29"/>
      <c r="AS24" s="29"/>
      <c r="AT24" s="29"/>
      <c r="AU24" s="29"/>
      <c r="AV24" s="29"/>
      <c r="AW24" s="29"/>
      <c r="AX24" s="29"/>
      <c r="AY24" s="29"/>
      <c r="AZ24" s="29"/>
      <c r="BA24" s="29"/>
      <c r="BB24" s="30"/>
    </row>
    <row r="25" spans="1:54" ht="21" customHeight="1" outlineLevel="1" thickBot="1" x14ac:dyDescent="0.4">
      <c r="A25" s="44">
        <f t="shared" si="1"/>
        <v>0</v>
      </c>
      <c r="B25" s="44">
        <f t="shared" si="1"/>
        <v>0</v>
      </c>
      <c r="C25" s="44">
        <f t="shared" si="1"/>
        <v>0</v>
      </c>
      <c r="D25" s="44">
        <f t="shared" si="1"/>
        <v>0</v>
      </c>
      <c r="E25" s="41"/>
      <c r="F25" s="49"/>
      <c r="G25" s="49"/>
      <c r="H25" s="49"/>
      <c r="I25" s="49"/>
      <c r="J25" s="49"/>
      <c r="K25" s="49"/>
      <c r="L25" s="49"/>
      <c r="M25" s="49"/>
      <c r="N25" s="49"/>
      <c r="O25" s="49"/>
      <c r="P25" s="49"/>
      <c r="Q25" s="49"/>
      <c r="R25" s="49"/>
      <c r="S25" s="49"/>
      <c r="T25" s="49"/>
      <c r="U25" s="49"/>
      <c r="V25" s="49"/>
      <c r="W25" s="49"/>
      <c r="X25" s="49"/>
      <c r="Y25" s="49"/>
      <c r="Z25" s="49"/>
      <c r="AA25" s="49"/>
      <c r="AB25" s="49"/>
      <c r="AC25" s="49"/>
      <c r="AD25" s="49"/>
      <c r="AE25" s="49"/>
      <c r="AF25" s="49"/>
      <c r="AG25" s="49"/>
      <c r="AH25" s="49"/>
      <c r="AI25" s="49"/>
      <c r="AJ25" s="49"/>
      <c r="AK25" s="49"/>
      <c r="AL25" s="49"/>
      <c r="AM25" s="28"/>
      <c r="AN25" s="29"/>
      <c r="AO25" s="29"/>
      <c r="AP25" s="29"/>
      <c r="AQ25" s="29"/>
      <c r="AR25" s="29"/>
      <c r="AS25" s="29"/>
      <c r="AT25" s="29"/>
      <c r="AU25" s="29"/>
      <c r="AV25" s="29"/>
      <c r="AW25" s="29"/>
      <c r="AX25" s="29"/>
      <c r="AY25" s="29"/>
      <c r="AZ25" s="29"/>
      <c r="BA25" s="29"/>
      <c r="BB25" s="30"/>
    </row>
    <row r="26" spans="1:54" ht="21" customHeight="1" outlineLevel="1" thickBot="1" x14ac:dyDescent="0.4">
      <c r="A26" s="44">
        <f t="shared" si="1"/>
        <v>0</v>
      </c>
      <c r="B26" s="44">
        <f t="shared" si="1"/>
        <v>0</v>
      </c>
      <c r="C26" s="44">
        <f t="shared" si="1"/>
        <v>0</v>
      </c>
      <c r="D26" s="44">
        <f t="shared" si="1"/>
        <v>0</v>
      </c>
      <c r="E26" s="41"/>
      <c r="F26" s="49"/>
      <c r="G26" s="49"/>
      <c r="H26" s="49"/>
      <c r="I26" s="49"/>
      <c r="J26" s="49"/>
      <c r="K26" s="49"/>
      <c r="L26" s="49"/>
      <c r="M26" s="49"/>
      <c r="N26" s="49"/>
      <c r="O26" s="49"/>
      <c r="P26" s="49"/>
      <c r="Q26" s="49"/>
      <c r="R26" s="49"/>
      <c r="S26" s="49"/>
      <c r="T26" s="49"/>
      <c r="U26" s="49"/>
      <c r="V26" s="49"/>
      <c r="W26" s="49"/>
      <c r="X26" s="49"/>
      <c r="Y26" s="49"/>
      <c r="Z26" s="49"/>
      <c r="AA26" s="49"/>
      <c r="AB26" s="49"/>
      <c r="AC26" s="49"/>
      <c r="AD26" s="49"/>
      <c r="AE26" s="49"/>
      <c r="AF26" s="49"/>
      <c r="AG26" s="49"/>
      <c r="AH26" s="49"/>
      <c r="AI26" s="49"/>
      <c r="AJ26" s="49"/>
      <c r="AK26" s="49"/>
      <c r="AL26" s="49"/>
      <c r="AM26" s="28"/>
      <c r="AN26" s="29"/>
      <c r="AO26" s="29"/>
      <c r="AP26" s="29"/>
      <c r="AQ26" s="29"/>
      <c r="AR26" s="29"/>
      <c r="AS26" s="29"/>
      <c r="AT26" s="29"/>
      <c r="AU26" s="29"/>
      <c r="AV26" s="29"/>
      <c r="AW26" s="29"/>
      <c r="AX26" s="29"/>
      <c r="AY26" s="29"/>
      <c r="AZ26" s="29"/>
      <c r="BA26" s="29"/>
      <c r="BB26" s="30"/>
    </row>
    <row r="27" spans="1:54" ht="21" customHeight="1" outlineLevel="1" thickBot="1" x14ac:dyDescent="0.4">
      <c r="A27" s="44">
        <f t="shared" si="1"/>
        <v>0</v>
      </c>
      <c r="B27" s="44">
        <f t="shared" si="1"/>
        <v>0</v>
      </c>
      <c r="C27" s="44">
        <f t="shared" si="1"/>
        <v>0</v>
      </c>
      <c r="D27" s="44">
        <f t="shared" si="1"/>
        <v>0</v>
      </c>
      <c r="E27" s="41"/>
      <c r="F27" s="49"/>
      <c r="G27" s="49"/>
      <c r="H27" s="49"/>
      <c r="I27" s="49"/>
      <c r="J27" s="49"/>
      <c r="K27" s="49"/>
      <c r="L27" s="49"/>
      <c r="M27" s="49"/>
      <c r="N27" s="49"/>
      <c r="O27" s="49"/>
      <c r="P27" s="49"/>
      <c r="Q27" s="49"/>
      <c r="R27" s="49"/>
      <c r="S27" s="49"/>
      <c r="T27" s="49"/>
      <c r="U27" s="49"/>
      <c r="V27" s="49"/>
      <c r="W27" s="49"/>
      <c r="X27" s="49"/>
      <c r="Y27" s="49"/>
      <c r="Z27" s="49"/>
      <c r="AA27" s="49"/>
      <c r="AB27" s="49"/>
      <c r="AC27" s="49"/>
      <c r="AD27" s="49"/>
      <c r="AE27" s="49"/>
      <c r="AF27" s="49"/>
      <c r="AG27" s="49"/>
      <c r="AH27" s="49"/>
      <c r="AI27" s="49"/>
      <c r="AJ27" s="49"/>
      <c r="AK27" s="49"/>
      <c r="AL27" s="49"/>
      <c r="AM27" s="28"/>
      <c r="AN27" s="29"/>
      <c r="AO27" s="29"/>
      <c r="AP27" s="29"/>
      <c r="AQ27" s="29"/>
      <c r="AR27" s="29"/>
      <c r="AS27" s="29"/>
      <c r="AT27" s="29"/>
      <c r="AU27" s="29"/>
      <c r="AV27" s="29"/>
      <c r="AW27" s="29"/>
      <c r="AX27" s="29"/>
      <c r="AY27" s="29"/>
      <c r="AZ27" s="29"/>
      <c r="BA27" s="29"/>
      <c r="BB27" s="30"/>
    </row>
    <row r="28" spans="1:54" ht="21" customHeight="1" outlineLevel="1" thickBot="1" x14ac:dyDescent="0.4">
      <c r="A28" s="44">
        <f t="shared" ref="A28:D33" si="2">IF( ISNUMBER( FIND(A$3,$E28,1)),   IF( ISNUMBER( VALUE(MID($E28,FIND(A$3,$E28,1)+2,1)) ), VALUE( MID($E28,FIND(A$3,$E28,1)+2,1) ),1),0)</f>
        <v>0</v>
      </c>
      <c r="B28" s="44">
        <f t="shared" si="2"/>
        <v>0</v>
      </c>
      <c r="C28" s="44">
        <f t="shared" si="2"/>
        <v>0</v>
      </c>
      <c r="D28" s="44">
        <f t="shared" si="2"/>
        <v>0</v>
      </c>
      <c r="E28" s="41"/>
      <c r="F28" s="49"/>
      <c r="G28" s="49"/>
      <c r="H28" s="49"/>
      <c r="I28" s="49"/>
      <c r="J28" s="49"/>
      <c r="K28" s="49"/>
      <c r="L28" s="49"/>
      <c r="M28" s="49"/>
      <c r="N28" s="49"/>
      <c r="O28" s="49"/>
      <c r="P28" s="49"/>
      <c r="Q28" s="49"/>
      <c r="R28" s="49"/>
      <c r="S28" s="49"/>
      <c r="T28" s="49"/>
      <c r="U28" s="49"/>
      <c r="V28" s="49"/>
      <c r="W28" s="49"/>
      <c r="X28" s="49"/>
      <c r="Y28" s="49"/>
      <c r="Z28" s="49"/>
      <c r="AA28" s="49"/>
      <c r="AB28" s="49"/>
      <c r="AC28" s="49"/>
      <c r="AD28" s="49"/>
      <c r="AE28" s="49"/>
      <c r="AF28" s="49"/>
      <c r="AG28" s="49"/>
      <c r="AH28" s="49"/>
      <c r="AI28" s="49"/>
      <c r="AJ28" s="49"/>
      <c r="AK28" s="49"/>
      <c r="AL28" s="49"/>
      <c r="AM28" s="28"/>
      <c r="AN28" s="29"/>
      <c r="AO28" s="29"/>
      <c r="AP28" s="29"/>
      <c r="AQ28" s="29"/>
      <c r="AR28" s="29"/>
      <c r="AS28" s="29"/>
      <c r="AT28" s="29"/>
      <c r="AU28" s="29"/>
      <c r="AV28" s="29"/>
      <c r="AW28" s="29"/>
      <c r="AX28" s="29"/>
      <c r="AY28" s="29"/>
      <c r="AZ28" s="29"/>
      <c r="BA28" s="29"/>
      <c r="BB28" s="30"/>
    </row>
    <row r="29" spans="1:54" ht="21" customHeight="1" outlineLevel="1" thickBot="1" x14ac:dyDescent="0.4">
      <c r="A29" s="44">
        <f t="shared" si="2"/>
        <v>0</v>
      </c>
      <c r="B29" s="44">
        <f t="shared" si="2"/>
        <v>0</v>
      </c>
      <c r="C29" s="44">
        <f t="shared" si="2"/>
        <v>0</v>
      </c>
      <c r="D29" s="44">
        <f t="shared" si="2"/>
        <v>0</v>
      </c>
      <c r="E29" s="41"/>
      <c r="F29" s="49"/>
      <c r="G29" s="49"/>
      <c r="H29" s="49"/>
      <c r="I29" s="49"/>
      <c r="J29" s="49"/>
      <c r="K29" s="49"/>
      <c r="L29" s="49"/>
      <c r="M29" s="49"/>
      <c r="N29" s="49"/>
      <c r="O29" s="49"/>
      <c r="P29" s="49"/>
      <c r="Q29" s="49"/>
      <c r="R29" s="49"/>
      <c r="S29" s="49"/>
      <c r="T29" s="49"/>
      <c r="U29" s="49"/>
      <c r="V29" s="49"/>
      <c r="W29" s="49"/>
      <c r="X29" s="49"/>
      <c r="Y29" s="49"/>
      <c r="Z29" s="49"/>
      <c r="AA29" s="49"/>
      <c r="AB29" s="49"/>
      <c r="AC29" s="49"/>
      <c r="AD29" s="49"/>
      <c r="AE29" s="49"/>
      <c r="AF29" s="49"/>
      <c r="AG29" s="49"/>
      <c r="AH29" s="49"/>
      <c r="AI29" s="49"/>
      <c r="AJ29" s="49"/>
      <c r="AK29" s="49"/>
      <c r="AL29" s="49"/>
      <c r="AM29" s="28"/>
      <c r="AN29" s="29"/>
      <c r="AO29" s="29"/>
      <c r="AP29" s="29"/>
      <c r="AQ29" s="29"/>
      <c r="AR29" s="29"/>
      <c r="AS29" s="29"/>
      <c r="AT29" s="29"/>
      <c r="AU29" s="29"/>
      <c r="AV29" s="29"/>
      <c r="AW29" s="29"/>
      <c r="AX29" s="29"/>
      <c r="AY29" s="29"/>
      <c r="AZ29" s="29"/>
      <c r="BA29" s="29"/>
      <c r="BB29" s="30"/>
    </row>
    <row r="30" spans="1:54" ht="21" customHeight="1" outlineLevel="1" thickBot="1" x14ac:dyDescent="0.4">
      <c r="A30" s="44">
        <f t="shared" si="2"/>
        <v>0</v>
      </c>
      <c r="B30" s="44">
        <f t="shared" si="2"/>
        <v>0</v>
      </c>
      <c r="C30" s="44">
        <f t="shared" si="2"/>
        <v>0</v>
      </c>
      <c r="D30" s="44">
        <f t="shared" si="2"/>
        <v>0</v>
      </c>
      <c r="E30" s="41"/>
      <c r="F30" s="49"/>
      <c r="G30" s="49"/>
      <c r="H30" s="49"/>
      <c r="I30" s="49"/>
      <c r="J30" s="49"/>
      <c r="K30" s="49"/>
      <c r="L30" s="49"/>
      <c r="M30" s="49"/>
      <c r="N30" s="49"/>
      <c r="O30" s="49"/>
      <c r="P30" s="49"/>
      <c r="Q30" s="49"/>
      <c r="R30" s="49"/>
      <c r="S30" s="49"/>
      <c r="T30" s="49"/>
      <c r="U30" s="49"/>
      <c r="V30" s="49"/>
      <c r="W30" s="49"/>
      <c r="X30" s="49"/>
      <c r="Y30" s="49"/>
      <c r="Z30" s="49"/>
      <c r="AA30" s="49"/>
      <c r="AB30" s="49"/>
      <c r="AC30" s="49"/>
      <c r="AD30" s="49"/>
      <c r="AE30" s="49"/>
      <c r="AF30" s="49"/>
      <c r="AG30" s="49"/>
      <c r="AH30" s="49"/>
      <c r="AI30" s="49"/>
      <c r="AJ30" s="49"/>
      <c r="AK30" s="49"/>
      <c r="AL30" s="49"/>
      <c r="AM30" s="28"/>
      <c r="AN30" s="29"/>
      <c r="AO30" s="29"/>
      <c r="AP30" s="29"/>
      <c r="AQ30" s="29"/>
      <c r="AR30" s="29"/>
      <c r="AS30" s="29"/>
      <c r="AT30" s="29"/>
      <c r="AU30" s="29"/>
      <c r="AV30" s="29"/>
      <c r="AW30" s="29"/>
      <c r="AX30" s="29"/>
      <c r="AY30" s="29"/>
      <c r="AZ30" s="29"/>
      <c r="BA30" s="29"/>
      <c r="BB30" s="30"/>
    </row>
    <row r="31" spans="1:54" ht="21" customHeight="1" outlineLevel="1" thickBot="1" x14ac:dyDescent="0.4">
      <c r="A31" s="44">
        <f t="shared" si="2"/>
        <v>0</v>
      </c>
      <c r="B31" s="44">
        <f t="shared" si="2"/>
        <v>0</v>
      </c>
      <c r="C31" s="44">
        <f t="shared" si="2"/>
        <v>0</v>
      </c>
      <c r="D31" s="44">
        <f t="shared" si="2"/>
        <v>0</v>
      </c>
      <c r="E31" s="41"/>
      <c r="F31" s="49"/>
      <c r="G31" s="49"/>
      <c r="H31" s="49"/>
      <c r="I31" s="49"/>
      <c r="J31" s="49"/>
      <c r="K31" s="49"/>
      <c r="L31" s="49"/>
      <c r="M31" s="49"/>
      <c r="N31" s="49"/>
      <c r="O31" s="49"/>
      <c r="P31" s="49"/>
      <c r="Q31" s="49"/>
      <c r="R31" s="49"/>
      <c r="S31" s="49"/>
      <c r="T31" s="49"/>
      <c r="U31" s="49"/>
      <c r="V31" s="49"/>
      <c r="W31" s="49"/>
      <c r="X31" s="49"/>
      <c r="Y31" s="49"/>
      <c r="Z31" s="49"/>
      <c r="AA31" s="49"/>
      <c r="AB31" s="49"/>
      <c r="AC31" s="49"/>
      <c r="AD31" s="49"/>
      <c r="AE31" s="49"/>
      <c r="AF31" s="49"/>
      <c r="AG31" s="49"/>
      <c r="AH31" s="49"/>
      <c r="AI31" s="49"/>
      <c r="AJ31" s="49"/>
      <c r="AK31" s="49"/>
      <c r="AL31" s="49"/>
      <c r="AM31" s="28"/>
      <c r="AN31" s="29"/>
      <c r="AO31" s="29"/>
      <c r="AP31" s="29"/>
      <c r="AQ31" s="29"/>
      <c r="AR31" s="29"/>
      <c r="AS31" s="29"/>
      <c r="AT31" s="29"/>
      <c r="AU31" s="29"/>
      <c r="AV31" s="29"/>
      <c r="AW31" s="29"/>
      <c r="AX31" s="29"/>
      <c r="AY31" s="29"/>
      <c r="AZ31" s="29"/>
      <c r="BA31" s="29"/>
      <c r="BB31" s="30"/>
    </row>
    <row r="32" spans="1:54" ht="21" customHeight="1" outlineLevel="1" thickBot="1" x14ac:dyDescent="0.4">
      <c r="A32" s="44">
        <f t="shared" si="2"/>
        <v>0</v>
      </c>
      <c r="B32" s="44">
        <f t="shared" si="2"/>
        <v>0</v>
      </c>
      <c r="C32" s="44">
        <f t="shared" si="2"/>
        <v>0</v>
      </c>
      <c r="D32" s="44">
        <f t="shared" si="2"/>
        <v>0</v>
      </c>
      <c r="E32" s="41"/>
      <c r="F32" s="49"/>
      <c r="G32" s="49"/>
      <c r="H32" s="49"/>
      <c r="I32" s="49"/>
      <c r="J32" s="49"/>
      <c r="K32" s="49"/>
      <c r="L32" s="49"/>
      <c r="M32" s="49"/>
      <c r="N32" s="49"/>
      <c r="O32" s="49"/>
      <c r="P32" s="49"/>
      <c r="Q32" s="49"/>
      <c r="R32" s="49"/>
      <c r="S32" s="49"/>
      <c r="T32" s="49"/>
      <c r="U32" s="49"/>
      <c r="V32" s="49"/>
      <c r="W32" s="49"/>
      <c r="X32" s="49"/>
      <c r="Y32" s="49"/>
      <c r="Z32" s="49"/>
      <c r="AA32" s="49"/>
      <c r="AB32" s="49"/>
      <c r="AC32" s="49"/>
      <c r="AD32" s="49"/>
      <c r="AE32" s="49"/>
      <c r="AF32" s="49"/>
      <c r="AG32" s="49"/>
      <c r="AH32" s="49"/>
      <c r="AI32" s="49"/>
      <c r="AJ32" s="49"/>
      <c r="AK32" s="49"/>
      <c r="AL32" s="49"/>
      <c r="AM32" s="28"/>
      <c r="AN32" s="29"/>
      <c r="AO32" s="29"/>
      <c r="AP32" s="29"/>
      <c r="AQ32" s="29"/>
      <c r="AR32" s="29"/>
      <c r="AS32" s="29"/>
      <c r="AT32" s="29"/>
      <c r="AU32" s="29"/>
      <c r="AV32" s="29"/>
      <c r="AW32" s="29"/>
      <c r="AX32" s="29"/>
      <c r="AY32" s="29"/>
      <c r="AZ32" s="29"/>
      <c r="BA32" s="29"/>
      <c r="BB32" s="30"/>
    </row>
    <row r="33" spans="1:54" ht="21" customHeight="1" outlineLevel="1" thickBot="1" x14ac:dyDescent="0.4">
      <c r="A33" s="44">
        <f t="shared" si="2"/>
        <v>0</v>
      </c>
      <c r="B33" s="44">
        <f t="shared" si="2"/>
        <v>0</v>
      </c>
      <c r="C33" s="44">
        <f t="shared" si="2"/>
        <v>0</v>
      </c>
      <c r="D33" s="44">
        <f t="shared" si="2"/>
        <v>0</v>
      </c>
      <c r="E33" s="41">
        <v>1</v>
      </c>
      <c r="U33" s="55"/>
      <c r="V33" s="55"/>
      <c r="W33" s="55"/>
      <c r="AM33" s="28"/>
      <c r="AN33" s="29"/>
      <c r="AO33" s="29"/>
      <c r="AP33" s="29"/>
      <c r="AQ33" s="29"/>
      <c r="AR33" s="29"/>
      <c r="AS33" s="29"/>
      <c r="AT33" s="29"/>
      <c r="AU33" s="29"/>
      <c r="AV33" s="29"/>
      <c r="AW33" s="29"/>
      <c r="AX33" s="29"/>
      <c r="AY33" s="29"/>
      <c r="AZ33" s="29"/>
      <c r="BA33" s="29"/>
      <c r="BB33" s="30"/>
    </row>
    <row r="34" spans="1:54" ht="21" customHeight="1" outlineLevel="1" x14ac:dyDescent="0.35">
      <c r="C34" s="11" t="s">
        <v>28</v>
      </c>
      <c r="D34" s="47">
        <v>14</v>
      </c>
      <c r="E34" s="11" t="str">
        <f ca="1">OFFSET($E$3:$AL$3,$D34,0)</f>
        <v>H (Аг)</v>
      </c>
      <c r="F34" s="14">
        <f t="shared" ref="F34:AL37" ca="1" si="3">OFFSET($E$3:$AL$3,$D34,0)</f>
        <v>-18.61</v>
      </c>
      <c r="G34" s="14">
        <f t="shared" ca="1" si="3"/>
        <v>-18.760000000000002</v>
      </c>
      <c r="H34" s="14">
        <f t="shared" ca="1" si="3"/>
        <v>-18.829999999999998</v>
      </c>
      <c r="I34" s="14">
        <f t="shared" ca="1" si="3"/>
        <v>-18.899999999999999</v>
      </c>
      <c r="J34" s="14">
        <f t="shared" ca="1" si="3"/>
        <v>-18.97</v>
      </c>
      <c r="K34" s="14">
        <f t="shared" ca="1" si="3"/>
        <v>-19.059999999999999</v>
      </c>
      <c r="L34" s="14">
        <f t="shared" ca="1" si="3"/>
        <v>-19.54</v>
      </c>
      <c r="M34" s="14">
        <f t="shared" ca="1" si="3"/>
        <v>-19.649999999999999</v>
      </c>
      <c r="N34" s="14">
        <f t="shared" ca="1" si="3"/>
        <v>-19.760000000000002</v>
      </c>
      <c r="O34" s="14">
        <f t="shared" ca="1" si="3"/>
        <v>-19.850000000000001</v>
      </c>
      <c r="P34" s="14">
        <f t="shared" ca="1" si="3"/>
        <v>-19.95</v>
      </c>
      <c r="Q34" s="14">
        <f t="shared" ca="1" si="3"/>
        <v>-20.420000000000002</v>
      </c>
      <c r="R34" s="14">
        <f t="shared" ca="1" si="3"/>
        <v>-20.54</v>
      </c>
      <c r="S34" s="14">
        <f t="shared" ca="1" si="3"/>
        <v>-20.66</v>
      </c>
      <c r="T34" s="14">
        <f t="shared" ca="1" si="3"/>
        <v>-20.76</v>
      </c>
      <c r="U34" s="14">
        <f t="shared" ca="1" si="3"/>
        <v>-20.85</v>
      </c>
      <c r="V34" s="14">
        <f t="shared" ca="1" si="3"/>
        <v>-21.12</v>
      </c>
      <c r="W34" s="14">
        <f t="shared" ca="1" si="3"/>
        <v>-21.34</v>
      </c>
      <c r="X34" s="14">
        <f t="shared" ca="1" si="3"/>
        <v>-21.53</v>
      </c>
      <c r="Y34" s="14">
        <f t="shared" ca="1" si="3"/>
        <v>0</v>
      </c>
      <c r="Z34" s="14">
        <f t="shared" ca="1" si="3"/>
        <v>0</v>
      </c>
      <c r="AA34" s="14">
        <f t="shared" ca="1" si="3"/>
        <v>0</v>
      </c>
      <c r="AB34" s="14">
        <f t="shared" ca="1" si="3"/>
        <v>0</v>
      </c>
      <c r="AC34" s="14">
        <f t="shared" ca="1" si="3"/>
        <v>0</v>
      </c>
      <c r="AD34" s="14">
        <f t="shared" ca="1" si="3"/>
        <v>0</v>
      </c>
      <c r="AE34" s="14">
        <f t="shared" ca="1" si="3"/>
        <v>0</v>
      </c>
      <c r="AF34" s="14">
        <f t="shared" ca="1" si="3"/>
        <v>0</v>
      </c>
      <c r="AG34" s="14">
        <f t="shared" ca="1" si="3"/>
        <v>0</v>
      </c>
      <c r="AH34" s="14">
        <f t="shared" ca="1" si="3"/>
        <v>0</v>
      </c>
      <c r="AI34" s="14">
        <f t="shared" ca="1" si="3"/>
        <v>0</v>
      </c>
      <c r="AJ34" s="14">
        <f t="shared" ca="1" si="3"/>
        <v>0</v>
      </c>
      <c r="AK34" s="14">
        <f t="shared" ca="1" si="3"/>
        <v>0</v>
      </c>
      <c r="AL34" s="14">
        <f t="shared" ca="1" si="3"/>
        <v>0</v>
      </c>
      <c r="AM34" s="28"/>
      <c r="AN34" s="29"/>
      <c r="AO34" s="29"/>
      <c r="AP34" s="29"/>
      <c r="AQ34" s="29"/>
      <c r="AR34" s="29"/>
      <c r="AS34" s="29"/>
      <c r="AT34" s="29"/>
      <c r="AU34" s="29"/>
      <c r="AV34" s="29"/>
      <c r="AW34" s="29"/>
      <c r="AX34" s="29"/>
      <c r="AY34" s="29"/>
      <c r="AZ34" s="29"/>
      <c r="BA34" s="29"/>
      <c r="BB34" s="30"/>
    </row>
    <row r="35" spans="1:54" ht="21" customHeight="1" outlineLevel="1" x14ac:dyDescent="0.35">
      <c r="C35" s="11" t="s">
        <v>5</v>
      </c>
      <c r="D35" s="47">
        <f t="shared" ref="D35:D37" si="4">MATCH(C35,$E$4:$E$33)</f>
        <v>15</v>
      </c>
      <c r="E35" s="11" t="str">
        <f t="shared" ref="E35:E37" ca="1" si="5">OFFSET($E$3:$AL$3,$D35,0)</f>
        <v>H (Ga)</v>
      </c>
      <c r="F35" s="14">
        <f t="shared" ca="1" si="3"/>
        <v>-6.2460000000000004</v>
      </c>
      <c r="G35" s="14">
        <f t="shared" ca="1" si="3"/>
        <v>-7.1479999999999997</v>
      </c>
      <c r="H35" s="14">
        <f t="shared" ca="1" si="3"/>
        <v>-7.3440000000000003</v>
      </c>
      <c r="I35" s="14">
        <f t="shared" ca="1" si="3"/>
        <v>-7.5309999999999997</v>
      </c>
      <c r="J35" s="14">
        <f t="shared" ca="1" si="3"/>
        <v>-7.7160000000000002</v>
      </c>
      <c r="K35" s="14">
        <f t="shared" ca="1" si="3"/>
        <v>-7.907</v>
      </c>
      <c r="L35" s="14">
        <f t="shared" ca="1" si="3"/>
        <v>-8.98</v>
      </c>
      <c r="M35" s="14">
        <f t="shared" ca="1" si="3"/>
        <v>-9.3170000000000002</v>
      </c>
      <c r="N35" s="14">
        <f t="shared" ca="1" si="3"/>
        <v>-9.6470000000000002</v>
      </c>
      <c r="O35" s="14">
        <f t="shared" ca="1" si="3"/>
        <v>-9.9629999999999992</v>
      </c>
      <c r="P35" s="14">
        <f t="shared" ca="1" si="3"/>
        <v>-10.26</v>
      </c>
      <c r="Q35" s="14">
        <f t="shared" ca="1" si="3"/>
        <v>-11.28</v>
      </c>
      <c r="R35" s="14">
        <f t="shared" ca="1" si="3"/>
        <v>-11.49</v>
      </c>
      <c r="S35" s="14">
        <f t="shared" ca="1" si="3"/>
        <v>-11.66</v>
      </c>
      <c r="T35" s="14">
        <f t="shared" ca="1" si="3"/>
        <v>-11.81</v>
      </c>
      <c r="U35" s="14">
        <f t="shared" ca="1" si="3"/>
        <v>-11.94</v>
      </c>
      <c r="V35" s="14">
        <f t="shared" ca="1" si="3"/>
        <v>-12.34</v>
      </c>
      <c r="W35" s="14">
        <f t="shared" ca="1" si="3"/>
        <v>-12.65</v>
      </c>
      <c r="X35" s="14">
        <f t="shared" ca="1" si="3"/>
        <v>-12.92</v>
      </c>
      <c r="Y35" s="14">
        <f t="shared" ca="1" si="3"/>
        <v>0</v>
      </c>
      <c r="Z35" s="14">
        <f t="shared" ca="1" si="3"/>
        <v>0</v>
      </c>
      <c r="AA35" s="14">
        <f t="shared" ca="1" si="3"/>
        <v>0</v>
      </c>
      <c r="AB35" s="14">
        <f t="shared" ca="1" si="3"/>
        <v>0</v>
      </c>
      <c r="AC35" s="14">
        <f t="shared" ca="1" si="3"/>
        <v>0</v>
      </c>
      <c r="AD35" s="14">
        <f t="shared" ca="1" si="3"/>
        <v>0</v>
      </c>
      <c r="AE35" s="14">
        <f t="shared" ca="1" si="3"/>
        <v>0</v>
      </c>
      <c r="AF35" s="14">
        <f t="shared" ca="1" si="3"/>
        <v>0</v>
      </c>
      <c r="AG35" s="14">
        <f t="shared" ca="1" si="3"/>
        <v>0</v>
      </c>
      <c r="AH35" s="14">
        <f t="shared" ca="1" si="3"/>
        <v>0</v>
      </c>
      <c r="AI35" s="14">
        <f t="shared" ca="1" si="3"/>
        <v>0</v>
      </c>
      <c r="AJ35" s="14">
        <f t="shared" ca="1" si="3"/>
        <v>0</v>
      </c>
      <c r="AK35" s="14">
        <f t="shared" ca="1" si="3"/>
        <v>0</v>
      </c>
      <c r="AL35" s="14">
        <f t="shared" ca="1" si="3"/>
        <v>0</v>
      </c>
      <c r="AM35" s="28"/>
      <c r="AN35" s="29"/>
      <c r="AO35" s="29"/>
      <c r="AP35" s="29"/>
      <c r="AQ35" s="29"/>
      <c r="AR35" s="29"/>
      <c r="AS35" s="29"/>
      <c r="AT35" s="29"/>
      <c r="AU35" s="29"/>
      <c r="AV35" s="29"/>
      <c r="AW35" s="29"/>
      <c r="AX35" s="29"/>
      <c r="AY35" s="29"/>
      <c r="AZ35" s="29"/>
      <c r="BA35" s="29"/>
      <c r="BB35" s="30"/>
    </row>
    <row r="36" spans="1:54" ht="21" customHeight="1" outlineLevel="1" x14ac:dyDescent="0.35">
      <c r="C36" s="11" t="s">
        <v>6</v>
      </c>
      <c r="D36" s="47">
        <f t="shared" si="4"/>
        <v>16</v>
      </c>
      <c r="E36" s="11" t="str">
        <f t="shared" ca="1" si="5"/>
        <v>H (Ge)</v>
      </c>
      <c r="F36" s="14">
        <f t="shared" ca="1" si="3"/>
        <v>5.367</v>
      </c>
      <c r="G36" s="14">
        <f t="shared" ca="1" si="3"/>
        <v>0.73660000000000003</v>
      </c>
      <c r="H36" s="14">
        <f t="shared" ca="1" si="3"/>
        <v>-5.534E-2</v>
      </c>
      <c r="I36" s="14">
        <f t="shared" ca="1" si="3"/>
        <v>-0.75560000000000005</v>
      </c>
      <c r="J36" s="14">
        <f t="shared" ca="1" si="3"/>
        <v>-1.3779999999999999</v>
      </c>
      <c r="K36" s="14">
        <f t="shared" ca="1" si="3"/>
        <v>-1.93</v>
      </c>
      <c r="L36" s="14">
        <f t="shared" ca="1" si="3"/>
        <v>-3.5449999999999999</v>
      </c>
      <c r="M36" s="14">
        <f t="shared" ca="1" si="3"/>
        <v>-3.8580000000000001</v>
      </c>
      <c r="N36" s="14">
        <f t="shared" ca="1" si="3"/>
        <v>-4.1520000000000001</v>
      </c>
      <c r="O36" s="14">
        <f t="shared" ca="1" si="3"/>
        <v>-4.423</v>
      </c>
      <c r="P36" s="14">
        <f t="shared" ca="1" si="3"/>
        <v>-4.6680000000000001</v>
      </c>
      <c r="Q36" s="14">
        <f t="shared" ca="1" si="3"/>
        <v>-5.2690000000000001</v>
      </c>
      <c r="R36" s="14">
        <f t="shared" ca="1" si="3"/>
        <v>-5.3449999999999998</v>
      </c>
      <c r="S36" s="14">
        <f t="shared" ca="1" si="3"/>
        <v>-5.4130000000000003</v>
      </c>
      <c r="T36" s="14">
        <f t="shared" ca="1" si="3"/>
        <v>-5.4939999999999998</v>
      </c>
      <c r="U36" s="14">
        <f t="shared" ca="1" si="3"/>
        <v>-5.5880000000000001</v>
      </c>
      <c r="V36" s="14">
        <f t="shared" ca="1" si="3"/>
        <v>-6.0519999999999996</v>
      </c>
      <c r="W36" s="14">
        <f t="shared" ca="1" si="3"/>
        <v>-6.5549999999999997</v>
      </c>
      <c r="X36" s="14">
        <f t="shared" ca="1" si="3"/>
        <v>-7.0309999999999997</v>
      </c>
      <c r="Y36" s="14">
        <f t="shared" ca="1" si="3"/>
        <v>0</v>
      </c>
      <c r="Z36" s="14">
        <f t="shared" ca="1" si="3"/>
        <v>0</v>
      </c>
      <c r="AA36" s="14">
        <f t="shared" ca="1" si="3"/>
        <v>0</v>
      </c>
      <c r="AB36" s="14">
        <f t="shared" ca="1" si="3"/>
        <v>0</v>
      </c>
      <c r="AC36" s="14">
        <f t="shared" ca="1" si="3"/>
        <v>0</v>
      </c>
      <c r="AD36" s="14">
        <f t="shared" ca="1" si="3"/>
        <v>0</v>
      </c>
      <c r="AE36" s="14">
        <f t="shared" ca="1" si="3"/>
        <v>0</v>
      </c>
      <c r="AF36" s="14">
        <f t="shared" ca="1" si="3"/>
        <v>0</v>
      </c>
      <c r="AG36" s="14">
        <f t="shared" ca="1" si="3"/>
        <v>0</v>
      </c>
      <c r="AH36" s="14">
        <f t="shared" ca="1" si="3"/>
        <v>0</v>
      </c>
      <c r="AI36" s="14">
        <f t="shared" ca="1" si="3"/>
        <v>0</v>
      </c>
      <c r="AJ36" s="14">
        <f t="shared" ca="1" si="3"/>
        <v>0</v>
      </c>
      <c r="AK36" s="14">
        <f t="shared" ca="1" si="3"/>
        <v>0</v>
      </c>
      <c r="AL36" s="14">
        <f t="shared" ca="1" si="3"/>
        <v>0</v>
      </c>
      <c r="AM36" s="28"/>
      <c r="AN36" s="29"/>
      <c r="AO36" s="29"/>
      <c r="AP36" s="29"/>
      <c r="AQ36" s="29"/>
      <c r="AR36" s="29"/>
      <c r="AS36" s="29"/>
      <c r="AT36" s="29"/>
      <c r="AU36" s="29"/>
      <c r="AV36" s="29"/>
      <c r="AW36" s="29"/>
      <c r="AX36" s="29"/>
      <c r="AY36" s="29"/>
      <c r="AZ36" s="29"/>
      <c r="BA36" s="29"/>
      <c r="BB36" s="30"/>
    </row>
    <row r="37" spans="1:54" ht="21" customHeight="1" outlineLevel="1" thickBot="1" x14ac:dyDescent="0.4">
      <c r="C37" s="11" t="s">
        <v>7</v>
      </c>
      <c r="D37" s="47">
        <f t="shared" si="4"/>
        <v>17</v>
      </c>
      <c r="E37" s="11" t="str">
        <f t="shared" ca="1" si="5"/>
        <v>H (Se)</v>
      </c>
      <c r="F37" s="14">
        <f t="shared" ca="1" si="3"/>
        <v>-4.8239999999999998</v>
      </c>
      <c r="G37" s="14">
        <f t="shared" ca="1" si="3"/>
        <v>-5.5949999999999998</v>
      </c>
      <c r="H37" s="14">
        <f t="shared" ca="1" si="3"/>
        <v>-5.7880000000000003</v>
      </c>
      <c r="I37" s="14">
        <f t="shared" ca="1" si="3"/>
        <v>-5.9749999999999996</v>
      </c>
      <c r="J37" s="14">
        <f t="shared" ca="1" si="3"/>
        <v>-6.1550000000000002</v>
      </c>
      <c r="K37" s="14">
        <f t="shared" ca="1" si="3"/>
        <v>-6.3259999999999996</v>
      </c>
      <c r="L37" s="14">
        <f t="shared" ca="1" si="3"/>
        <v>-6.8819999999999997</v>
      </c>
      <c r="M37" s="14">
        <f t="shared" ca="1" si="3"/>
        <v>-7.0060000000000002</v>
      </c>
      <c r="N37" s="14">
        <f t="shared" ca="1" si="3"/>
        <v>-7.1319999999999997</v>
      </c>
      <c r="O37" s="14">
        <f t="shared" ca="1" si="3"/>
        <v>-7.2610000000000001</v>
      </c>
      <c r="P37" s="14">
        <f t="shared" ca="1" si="3"/>
        <v>-7.3940000000000001</v>
      </c>
      <c r="Q37" s="14">
        <f t="shared" ca="1" si="3"/>
        <v>-8.0410000000000004</v>
      </c>
      <c r="R37" s="14">
        <f t="shared" ca="1" si="3"/>
        <v>-8.2520000000000007</v>
      </c>
      <c r="S37" s="14">
        <f t="shared" ca="1" si="3"/>
        <v>-8.4819999999999993</v>
      </c>
      <c r="T37" s="14">
        <f t="shared" ca="1" si="3"/>
        <v>-8.7279999999999998</v>
      </c>
      <c r="U37" s="14">
        <f t="shared" ca="1" si="3"/>
        <v>-8.9819999999999993</v>
      </c>
      <c r="V37" s="14">
        <f t="shared" ca="1" si="3"/>
        <v>-9.968</v>
      </c>
      <c r="W37" s="14">
        <f t="shared" ca="1" si="3"/>
        <v>-10.83</v>
      </c>
      <c r="X37" s="14">
        <f t="shared" ca="1" si="3"/>
        <v>-11.56</v>
      </c>
      <c r="Y37" s="14">
        <f t="shared" ca="1" si="3"/>
        <v>0</v>
      </c>
      <c r="Z37" s="14">
        <f t="shared" ca="1" si="3"/>
        <v>0</v>
      </c>
      <c r="AA37" s="14">
        <f t="shared" ca="1" si="3"/>
        <v>0</v>
      </c>
      <c r="AB37" s="14">
        <f t="shared" ca="1" si="3"/>
        <v>0</v>
      </c>
      <c r="AC37" s="14">
        <f t="shared" ca="1" si="3"/>
        <v>0</v>
      </c>
      <c r="AD37" s="14">
        <f t="shared" ca="1" si="3"/>
        <v>0</v>
      </c>
      <c r="AE37" s="14">
        <f t="shared" ca="1" si="3"/>
        <v>0</v>
      </c>
      <c r="AF37" s="14">
        <f t="shared" ca="1" si="3"/>
        <v>0</v>
      </c>
      <c r="AG37" s="14">
        <f t="shared" ca="1" si="3"/>
        <v>0</v>
      </c>
      <c r="AH37" s="14">
        <f t="shared" ca="1" si="3"/>
        <v>0</v>
      </c>
      <c r="AI37" s="14">
        <f t="shared" ca="1" si="3"/>
        <v>0</v>
      </c>
      <c r="AJ37" s="14">
        <f t="shared" ca="1" si="3"/>
        <v>0</v>
      </c>
      <c r="AK37" s="14">
        <f t="shared" ca="1" si="3"/>
        <v>0</v>
      </c>
      <c r="AL37" s="14">
        <f t="shared" ca="1" si="3"/>
        <v>0</v>
      </c>
      <c r="AM37" s="31"/>
      <c r="AN37" s="32"/>
      <c r="AO37" s="32"/>
      <c r="AP37" s="32"/>
      <c r="AQ37" s="32"/>
      <c r="AR37" s="32"/>
      <c r="AS37" s="32"/>
      <c r="AT37" s="32"/>
      <c r="AU37" s="32"/>
      <c r="AV37" s="32"/>
      <c r="AW37" s="32"/>
      <c r="AX37" s="32"/>
      <c r="AY37" s="32"/>
      <c r="AZ37" s="32"/>
      <c r="BA37" s="32"/>
      <c r="BB37" s="33"/>
    </row>
    <row r="38" spans="1:54" ht="21" customHeight="1" thickBot="1" x14ac:dyDescent="0.4">
      <c r="U38" s="55"/>
      <c r="V38" s="55"/>
      <c r="W38" s="55"/>
      <c r="AO38" s="29"/>
      <c r="AP38" s="29"/>
      <c r="AQ38" s="29"/>
      <c r="AR38" s="29"/>
      <c r="AS38" s="29"/>
      <c r="AT38" s="29"/>
      <c r="AU38" s="29"/>
      <c r="AV38" s="29"/>
      <c r="AW38" s="29"/>
      <c r="AX38" s="29"/>
      <c r="AY38" s="29"/>
      <c r="AZ38" s="29"/>
      <c r="BA38" s="29"/>
      <c r="BB38" s="29"/>
    </row>
    <row r="39" spans="1:54" ht="21" customHeight="1" thickTop="1" thickBot="1" x14ac:dyDescent="0.45">
      <c r="A39" s="81" t="s">
        <v>8</v>
      </c>
      <c r="B39" s="82"/>
      <c r="C39" s="82"/>
      <c r="D39" s="83"/>
      <c r="E39" s="74" t="s">
        <v>21</v>
      </c>
      <c r="F39" s="75"/>
      <c r="G39" s="75"/>
      <c r="H39" s="75"/>
      <c r="I39" s="75"/>
      <c r="J39" s="75"/>
      <c r="K39" s="75"/>
      <c r="L39" s="75"/>
      <c r="M39" s="75"/>
      <c r="N39" s="75"/>
      <c r="O39" s="75"/>
      <c r="P39" s="75"/>
      <c r="Q39" s="75"/>
      <c r="R39" s="75"/>
      <c r="S39" s="75"/>
      <c r="T39" s="75"/>
      <c r="U39" s="75"/>
      <c r="V39" s="75"/>
      <c r="W39" s="75"/>
      <c r="X39" s="75"/>
      <c r="Y39" s="75"/>
      <c r="Z39" s="75"/>
      <c r="AA39" s="75"/>
      <c r="AB39" s="75"/>
      <c r="AC39" s="75"/>
      <c r="AD39" s="75"/>
      <c r="AE39" s="75"/>
      <c r="AF39" s="75"/>
      <c r="AG39" s="75"/>
      <c r="AH39" s="75"/>
      <c r="AI39" s="75"/>
      <c r="AJ39" s="75"/>
      <c r="AK39" s="75"/>
      <c r="AL39" s="75"/>
      <c r="AM39" s="75"/>
      <c r="AN39" s="75"/>
      <c r="AO39" s="75"/>
      <c r="AP39" s="75"/>
      <c r="AQ39" s="75"/>
      <c r="AR39" s="75"/>
      <c r="AS39" s="75"/>
      <c r="AT39" s="75"/>
      <c r="AU39" s="75"/>
      <c r="AV39" s="75"/>
      <c r="AW39" s="75"/>
      <c r="AX39" s="75"/>
      <c r="AY39" s="75"/>
      <c r="AZ39" s="75"/>
      <c r="BA39" s="75"/>
      <c r="BB39" s="75"/>
    </row>
    <row r="40" spans="1:54" ht="21" hidden="1" customHeight="1" outlineLevel="1" thickTop="1" thickBot="1" x14ac:dyDescent="0.4">
      <c r="A40" s="7" t="s">
        <v>1</v>
      </c>
      <c r="B40" s="7" t="s">
        <v>3</v>
      </c>
      <c r="C40" s="7" t="s">
        <v>4</v>
      </c>
      <c r="D40" s="7" t="s">
        <v>2</v>
      </c>
      <c r="E40" s="7" t="s">
        <v>9</v>
      </c>
      <c r="F40" s="8">
        <f>F3</f>
        <v>298.2</v>
      </c>
      <c r="G40" s="8">
        <f t="shared" ref="G40:AL40" si="6">G3</f>
        <v>431.7</v>
      </c>
      <c r="H40" s="8">
        <f t="shared" si="6"/>
        <v>465.1</v>
      </c>
      <c r="I40" s="8">
        <f t="shared" si="6"/>
        <v>498.5</v>
      </c>
      <c r="J40" s="8">
        <f t="shared" si="6"/>
        <v>531.79999999999995</v>
      </c>
      <c r="K40" s="8">
        <f t="shared" si="6"/>
        <v>565.20000000000005</v>
      </c>
      <c r="L40" s="8">
        <f t="shared" si="6"/>
        <v>698.8</v>
      </c>
      <c r="M40" s="8">
        <f t="shared" si="6"/>
        <v>732.2</v>
      </c>
      <c r="N40" s="8">
        <f t="shared" si="6"/>
        <v>765.5</v>
      </c>
      <c r="O40" s="8">
        <f t="shared" si="6"/>
        <v>798.9</v>
      </c>
      <c r="P40" s="8">
        <f t="shared" si="6"/>
        <v>832.3</v>
      </c>
      <c r="Q40" s="8">
        <f t="shared" si="6"/>
        <v>965.8</v>
      </c>
      <c r="R40" s="8">
        <f t="shared" si="6"/>
        <v>999.2</v>
      </c>
      <c r="S40" s="8">
        <f t="shared" si="6"/>
        <v>1033</v>
      </c>
      <c r="T40" s="8">
        <f t="shared" si="6"/>
        <v>1066</v>
      </c>
      <c r="U40" s="8">
        <f t="shared" si="6"/>
        <v>1099</v>
      </c>
      <c r="V40" s="8">
        <f t="shared" si="6"/>
        <v>1233</v>
      </c>
      <c r="W40" s="8">
        <f t="shared" si="6"/>
        <v>1366</v>
      </c>
      <c r="X40" s="8">
        <f t="shared" si="6"/>
        <v>1500</v>
      </c>
      <c r="Y40" s="8">
        <f t="shared" si="6"/>
        <v>0</v>
      </c>
      <c r="Z40" s="8">
        <f t="shared" si="6"/>
        <v>0</v>
      </c>
      <c r="AA40" s="8">
        <f t="shared" si="6"/>
        <v>0</v>
      </c>
      <c r="AB40" s="8">
        <f t="shared" si="6"/>
        <v>0</v>
      </c>
      <c r="AC40" s="8">
        <f t="shared" si="6"/>
        <v>0</v>
      </c>
      <c r="AD40" s="8">
        <f t="shared" si="6"/>
        <v>0</v>
      </c>
      <c r="AE40" s="8">
        <f t="shared" si="6"/>
        <v>0</v>
      </c>
      <c r="AF40" s="8">
        <f t="shared" si="6"/>
        <v>0</v>
      </c>
      <c r="AG40" s="8">
        <f t="shared" si="6"/>
        <v>0</v>
      </c>
      <c r="AH40" s="8">
        <f t="shared" si="6"/>
        <v>0</v>
      </c>
      <c r="AI40" s="8">
        <f t="shared" si="6"/>
        <v>0</v>
      </c>
      <c r="AJ40" s="8">
        <f t="shared" si="6"/>
        <v>0</v>
      </c>
      <c r="AK40" s="8">
        <f t="shared" si="6"/>
        <v>0</v>
      </c>
      <c r="AL40" s="8">
        <f t="shared" si="6"/>
        <v>0</v>
      </c>
    </row>
    <row r="41" spans="1:54" ht="21" hidden="1" customHeight="1" outlineLevel="1" thickTop="1" x14ac:dyDescent="0.35">
      <c r="A41" s="9">
        <f t="array" ref="A41">Values!D3:G3/Values!$E$3</f>
        <v>1.6666666666666667</v>
      </c>
      <c r="B41" s="9">
        <f t="array" ref="B41">Values!E3:H3/Values!$E$3</f>
        <v>1</v>
      </c>
      <c r="C41" s="9">
        <f t="array" ref="C41">Values!F3:I3/Values!$E$3</f>
        <v>1.6666666666666667</v>
      </c>
      <c r="D41" s="9">
        <f t="array" ref="D41">Values!G3:J3/Values!$E$3</f>
        <v>4</v>
      </c>
      <c r="E41" s="9">
        <f>SUM(A41:D41)</f>
        <v>8.3333333333333339</v>
      </c>
      <c r="F41" s="10">
        <f t="shared" ref="F41:AL41" ca="1" si="7">($B$41*H.Ge+$C$41*H.Ga+$D$41*H.Se)*F$40*$B$2/1000</f>
        <v>-60.345724742100003</v>
      </c>
      <c r="G41" s="10">
        <f t="shared" ca="1" si="7"/>
        <v>-120.44752017981</v>
      </c>
      <c r="H41" s="10">
        <f t="shared" ca="1" si="7"/>
        <v>-137.07748511079299</v>
      </c>
      <c r="I41" s="10">
        <f t="shared" ca="1" si="7"/>
        <v>-154.21586962194999</v>
      </c>
      <c r="J41" s="10">
        <f t="shared" ca="1" si="7"/>
        <v>-171.81651844380005</v>
      </c>
      <c r="K41" s="10">
        <f t="shared" ca="1" si="7"/>
        <v>-189.91191687660006</v>
      </c>
      <c r="L41" s="10">
        <f t="shared" ca="1" si="7"/>
        <v>-267.49840977980006</v>
      </c>
      <c r="M41" s="10">
        <f t="shared" ca="1" si="7"/>
        <v>-288.62827312130008</v>
      </c>
      <c r="N41" s="10">
        <f t="shared" ca="1" si="7"/>
        <v>-310.33458989375004</v>
      </c>
      <c r="O41" s="10">
        <f t="shared" ca="1" si="7"/>
        <v>-332.60095919160005</v>
      </c>
      <c r="P41" s="10">
        <f t="shared" ca="1" si="7"/>
        <v>-355.3086103224</v>
      </c>
      <c r="Q41" s="10">
        <f t="shared" ca="1" si="7"/>
        <v>-451.55909317530006</v>
      </c>
      <c r="R41" s="10">
        <f t="shared" ca="1" si="7"/>
        <v>-477.72620654520006</v>
      </c>
      <c r="S41" s="10">
        <f t="shared" ca="1" si="7"/>
        <v>-504.80560791850002</v>
      </c>
      <c r="T41" s="10">
        <f t="shared" ca="1" si="7"/>
        <v>-532.58720429200002</v>
      </c>
      <c r="U41" s="10">
        <f t="shared" ca="1" si="7"/>
        <v>-561.19702186800009</v>
      </c>
      <c r="V41" s="10">
        <f t="shared" ca="1" si="7"/>
        <v>-681.6475869840001</v>
      </c>
      <c r="W41" s="10">
        <f t="shared" ca="1" si="7"/>
        <v>-805.91686337500016</v>
      </c>
      <c r="X41" s="10">
        <f t="shared" ca="1" si="7"/>
        <v>-932.94094425000003</v>
      </c>
      <c r="Y41" s="10">
        <f t="shared" ca="1" si="7"/>
        <v>0</v>
      </c>
      <c r="Z41" s="10">
        <f t="shared" ca="1" si="7"/>
        <v>0</v>
      </c>
      <c r="AA41" s="10">
        <f t="shared" ca="1" si="7"/>
        <v>0</v>
      </c>
      <c r="AB41" s="10">
        <f t="shared" ca="1" si="7"/>
        <v>0</v>
      </c>
      <c r="AC41" s="10">
        <f t="shared" ca="1" si="7"/>
        <v>0</v>
      </c>
      <c r="AD41" s="10">
        <f t="shared" ca="1" si="7"/>
        <v>0</v>
      </c>
      <c r="AE41" s="10">
        <f t="shared" ca="1" si="7"/>
        <v>0</v>
      </c>
      <c r="AF41" s="10">
        <f t="shared" ca="1" si="7"/>
        <v>0</v>
      </c>
      <c r="AG41" s="10">
        <f t="shared" ca="1" si="7"/>
        <v>0</v>
      </c>
      <c r="AH41" s="10">
        <f t="shared" ca="1" si="7"/>
        <v>0</v>
      </c>
      <c r="AI41" s="10">
        <f t="shared" ca="1" si="7"/>
        <v>0</v>
      </c>
      <c r="AJ41" s="10">
        <f t="shared" ca="1" si="7"/>
        <v>0</v>
      </c>
      <c r="AK41" s="10">
        <f t="shared" ca="1" si="7"/>
        <v>0</v>
      </c>
      <c r="AL41" s="10">
        <f t="shared" ca="1" si="7"/>
        <v>0</v>
      </c>
    </row>
    <row r="42" spans="1:54" ht="176.25" hidden="1" customHeight="1" outlineLevel="1" x14ac:dyDescent="0.35">
      <c r="U42" s="55"/>
      <c r="V42" s="55"/>
      <c r="W42" s="55"/>
    </row>
    <row r="43" spans="1:54" ht="21" customHeight="1" collapsed="1" thickTop="1" x14ac:dyDescent="0.35">
      <c r="U43" s="55"/>
      <c r="V43" s="55"/>
      <c r="W43" s="55"/>
    </row>
    <row r="44" spans="1:54" ht="21" customHeight="1" x14ac:dyDescent="0.4">
      <c r="A44" s="75"/>
      <c r="B44" s="75"/>
      <c r="C44" s="75"/>
      <c r="D44" s="75"/>
      <c r="E44" s="74" t="s">
        <v>22</v>
      </c>
      <c r="F44" s="75"/>
      <c r="G44" s="75"/>
      <c r="H44" s="75"/>
      <c r="I44" s="75"/>
      <c r="J44" s="75"/>
      <c r="K44" s="75"/>
      <c r="L44" s="75"/>
      <c r="M44" s="75"/>
      <c r="N44" s="75"/>
      <c r="O44" s="75"/>
      <c r="P44" s="75"/>
      <c r="Q44" s="75"/>
      <c r="R44" s="75"/>
      <c r="S44" s="75"/>
      <c r="T44" s="75"/>
      <c r="U44" s="75"/>
      <c r="V44" s="75"/>
      <c r="W44" s="75"/>
      <c r="X44" s="75"/>
      <c r="Y44" s="75"/>
      <c r="Z44" s="75"/>
      <c r="AA44" s="75"/>
      <c r="AB44" s="75"/>
      <c r="AC44" s="75"/>
      <c r="AD44" s="75"/>
      <c r="AE44" s="75"/>
      <c r="AF44" s="75"/>
      <c r="AG44" s="75"/>
      <c r="AH44" s="75"/>
      <c r="AI44" s="75"/>
      <c r="AJ44" s="75"/>
      <c r="AK44" s="75"/>
      <c r="AL44" s="75"/>
      <c r="AM44" s="75"/>
      <c r="AN44" s="75"/>
      <c r="AO44" s="75"/>
      <c r="AP44" s="75"/>
      <c r="AQ44" s="75"/>
      <c r="AR44" s="75"/>
      <c r="AS44" s="75"/>
      <c r="AT44" s="75"/>
      <c r="AU44" s="75"/>
      <c r="AV44" s="75"/>
      <c r="AW44" s="75"/>
      <c r="AX44" s="75"/>
      <c r="AY44" s="75"/>
      <c r="AZ44" s="75"/>
      <c r="BA44" s="75"/>
      <c r="BB44" s="75"/>
    </row>
    <row r="45" spans="1:54" ht="21" hidden="1" customHeight="1" outlineLevel="1" thickTop="1" thickBot="1" x14ac:dyDescent="0.4">
      <c r="A45" s="12" t="s">
        <v>1</v>
      </c>
      <c r="B45" s="12" t="s">
        <v>2</v>
      </c>
      <c r="C45" s="12" t="s">
        <v>3</v>
      </c>
      <c r="D45" s="13" t="s">
        <v>4</v>
      </c>
      <c r="E45" s="3">
        <f t="shared" ref="E45:AL45" si="8">E3</f>
        <v>0</v>
      </c>
      <c r="F45" s="3">
        <f t="shared" si="8"/>
        <v>298.2</v>
      </c>
      <c r="G45" s="3">
        <f t="shared" si="8"/>
        <v>431.7</v>
      </c>
      <c r="H45" s="3">
        <f t="shared" si="8"/>
        <v>465.1</v>
      </c>
      <c r="I45" s="3">
        <f t="shared" si="8"/>
        <v>498.5</v>
      </c>
      <c r="J45" s="3">
        <f t="shared" si="8"/>
        <v>531.79999999999995</v>
      </c>
      <c r="K45" s="3">
        <f t="shared" si="8"/>
        <v>565.20000000000005</v>
      </c>
      <c r="L45" s="3">
        <f t="shared" si="8"/>
        <v>698.8</v>
      </c>
      <c r="M45" s="3">
        <f t="shared" si="8"/>
        <v>732.2</v>
      </c>
      <c r="N45" s="3">
        <f t="shared" si="8"/>
        <v>765.5</v>
      </c>
      <c r="O45" s="3">
        <f t="shared" si="8"/>
        <v>798.9</v>
      </c>
      <c r="P45" s="3">
        <f t="shared" si="8"/>
        <v>832.3</v>
      </c>
      <c r="Q45" s="3">
        <f t="shared" si="8"/>
        <v>965.8</v>
      </c>
      <c r="R45" s="3">
        <f t="shared" si="8"/>
        <v>999.2</v>
      </c>
      <c r="S45" s="3">
        <f t="shared" si="8"/>
        <v>1033</v>
      </c>
      <c r="T45" s="3">
        <f t="shared" si="8"/>
        <v>1066</v>
      </c>
      <c r="U45" s="3">
        <f t="shared" si="8"/>
        <v>1099</v>
      </c>
      <c r="V45" s="3">
        <f t="shared" si="8"/>
        <v>1233</v>
      </c>
      <c r="W45" s="3">
        <f t="shared" si="8"/>
        <v>1366</v>
      </c>
      <c r="X45" s="3">
        <f t="shared" si="8"/>
        <v>1500</v>
      </c>
      <c r="Y45" s="3">
        <f t="shared" si="8"/>
        <v>0</v>
      </c>
      <c r="Z45" s="3">
        <f t="shared" si="8"/>
        <v>0</v>
      </c>
      <c r="AA45" s="3">
        <f t="shared" si="8"/>
        <v>0</v>
      </c>
      <c r="AB45" s="3">
        <f t="shared" si="8"/>
        <v>0</v>
      </c>
      <c r="AC45" s="3">
        <f t="shared" si="8"/>
        <v>0</v>
      </c>
      <c r="AD45" s="3">
        <f t="shared" si="8"/>
        <v>0</v>
      </c>
      <c r="AE45" s="3">
        <f t="shared" si="8"/>
        <v>0</v>
      </c>
      <c r="AF45" s="3">
        <f t="shared" si="8"/>
        <v>0</v>
      </c>
      <c r="AG45" s="3">
        <f t="shared" si="8"/>
        <v>0</v>
      </c>
      <c r="AH45" s="3">
        <f t="shared" si="8"/>
        <v>0</v>
      </c>
      <c r="AI45" s="3">
        <f t="shared" si="8"/>
        <v>0</v>
      </c>
      <c r="AJ45" s="3">
        <f t="shared" si="8"/>
        <v>0</v>
      </c>
      <c r="AK45" s="3">
        <f t="shared" si="8"/>
        <v>0</v>
      </c>
      <c r="AL45" s="3">
        <f t="shared" si="8"/>
        <v>0</v>
      </c>
    </row>
    <row r="46" spans="1:54" ht="21" hidden="1" customHeight="1" outlineLevel="1" thickTop="1" thickBot="1" x14ac:dyDescent="0.4">
      <c r="A46" s="5">
        <f t="shared" ref="A46:E55" si="9">A4</f>
        <v>0</v>
      </c>
      <c r="B46" s="5">
        <f t="shared" si="9"/>
        <v>3</v>
      </c>
      <c r="C46" s="5">
        <f t="shared" si="9"/>
        <v>0</v>
      </c>
      <c r="D46" s="5">
        <f t="shared" si="9"/>
        <v>0</v>
      </c>
      <c r="E46" s="6" t="str">
        <f t="shared" si="9"/>
        <v>Se3</v>
      </c>
      <c r="F46" s="14">
        <f t="shared" ref="F46:U55" ca="1" si="10">$A46*H.Ar + $B46*H.Se + $C46*H.Ge + $D46*H.Ga</f>
        <v>-14.472</v>
      </c>
      <c r="G46" s="14">
        <f t="shared" ca="1" si="10"/>
        <v>-16.785</v>
      </c>
      <c r="H46" s="14">
        <f t="shared" ca="1" si="10"/>
        <v>-17.364000000000001</v>
      </c>
      <c r="I46" s="14">
        <f t="shared" ca="1" si="10"/>
        <v>-17.924999999999997</v>
      </c>
      <c r="J46" s="14">
        <f t="shared" ca="1" si="10"/>
        <v>-18.465</v>
      </c>
      <c r="K46" s="14">
        <f t="shared" ca="1" si="10"/>
        <v>-18.977999999999998</v>
      </c>
      <c r="L46" s="14">
        <f t="shared" ca="1" si="10"/>
        <v>-20.646000000000001</v>
      </c>
      <c r="M46" s="14">
        <f t="shared" ca="1" si="10"/>
        <v>-21.018000000000001</v>
      </c>
      <c r="N46" s="14">
        <f t="shared" ca="1" si="10"/>
        <v>-21.396000000000001</v>
      </c>
      <c r="O46" s="14">
        <f t="shared" ca="1" si="10"/>
        <v>-21.783000000000001</v>
      </c>
      <c r="P46" s="14">
        <f t="shared" ca="1" si="10"/>
        <v>-22.182000000000002</v>
      </c>
      <c r="Q46" s="14">
        <f t="shared" ca="1" si="10"/>
        <v>-24.123000000000001</v>
      </c>
      <c r="R46" s="14">
        <f t="shared" ca="1" si="10"/>
        <v>-24.756</v>
      </c>
      <c r="S46" s="14">
        <f t="shared" ca="1" si="10"/>
        <v>-25.445999999999998</v>
      </c>
      <c r="T46" s="14">
        <f t="shared" ca="1" si="10"/>
        <v>-26.183999999999997</v>
      </c>
      <c r="U46" s="14">
        <f t="shared" ca="1" si="10"/>
        <v>-26.945999999999998</v>
      </c>
      <c r="V46" s="14">
        <f t="shared" ref="V46:AL46" ca="1" si="11">$A46*H.Ar + $B46*H.Se + $C46*H.Ge + $D46*H.Ga</f>
        <v>-29.904</v>
      </c>
      <c r="W46" s="14">
        <f t="shared" ca="1" si="11"/>
        <v>-32.49</v>
      </c>
      <c r="X46" s="14">
        <f t="shared" ca="1" si="11"/>
        <v>-34.68</v>
      </c>
      <c r="Y46" s="14">
        <f t="shared" ca="1" si="11"/>
        <v>0</v>
      </c>
      <c r="Z46" s="14">
        <f t="shared" ca="1" si="11"/>
        <v>0</v>
      </c>
      <c r="AA46" s="14">
        <f t="shared" ca="1" si="11"/>
        <v>0</v>
      </c>
      <c r="AB46" s="14">
        <f t="shared" ca="1" si="11"/>
        <v>0</v>
      </c>
      <c r="AC46" s="14">
        <f t="shared" ca="1" si="11"/>
        <v>0</v>
      </c>
      <c r="AD46" s="14">
        <f t="shared" ca="1" si="11"/>
        <v>0</v>
      </c>
      <c r="AE46" s="14">
        <f t="shared" ca="1" si="11"/>
        <v>0</v>
      </c>
      <c r="AF46" s="14">
        <f t="shared" ca="1" si="11"/>
        <v>0</v>
      </c>
      <c r="AG46" s="14">
        <f t="shared" ca="1" si="11"/>
        <v>0</v>
      </c>
      <c r="AH46" s="14">
        <f t="shared" ca="1" si="11"/>
        <v>0</v>
      </c>
      <c r="AI46" s="14">
        <f t="shared" ca="1" si="11"/>
        <v>0</v>
      </c>
      <c r="AJ46" s="14">
        <f t="shared" ca="1" si="11"/>
        <v>0</v>
      </c>
      <c r="AK46" s="14">
        <f t="shared" ca="1" si="11"/>
        <v>0</v>
      </c>
      <c r="AL46" s="14">
        <f t="shared" ca="1" si="11"/>
        <v>0</v>
      </c>
    </row>
    <row r="47" spans="1:54" ht="21" hidden="1" customHeight="1" outlineLevel="1" thickBot="1" x14ac:dyDescent="0.4">
      <c r="A47" s="5">
        <f t="shared" si="9"/>
        <v>0</v>
      </c>
      <c r="B47" s="5">
        <f t="shared" si="9"/>
        <v>4</v>
      </c>
      <c r="C47" s="5">
        <f t="shared" si="9"/>
        <v>0</v>
      </c>
      <c r="D47" s="5">
        <f t="shared" si="9"/>
        <v>0</v>
      </c>
      <c r="E47" s="6" t="str">
        <f t="shared" si="9"/>
        <v>Se4</v>
      </c>
      <c r="F47" s="14">
        <f t="shared" ca="1" si="10"/>
        <v>-19.295999999999999</v>
      </c>
      <c r="G47" s="14">
        <f t="shared" ref="G47:AL54" ca="1" si="12">$A47*H.Ar + $B47*H.Se + $C47*H.Ge + $D47*H.Ga</f>
        <v>-22.38</v>
      </c>
      <c r="H47" s="14">
        <f t="shared" ca="1" si="12"/>
        <v>-23.152000000000001</v>
      </c>
      <c r="I47" s="14">
        <f t="shared" ca="1" si="12"/>
        <v>-23.9</v>
      </c>
      <c r="J47" s="14">
        <f t="shared" ca="1" si="12"/>
        <v>-24.62</v>
      </c>
      <c r="K47" s="14">
        <f t="shared" ca="1" si="12"/>
        <v>-25.303999999999998</v>
      </c>
      <c r="L47" s="14">
        <f t="shared" ca="1" si="12"/>
        <v>-27.527999999999999</v>
      </c>
      <c r="M47" s="14">
        <f t="shared" ca="1" si="12"/>
        <v>-28.024000000000001</v>
      </c>
      <c r="N47" s="14">
        <f t="shared" ca="1" si="12"/>
        <v>-28.527999999999999</v>
      </c>
      <c r="O47" s="14">
        <f t="shared" ca="1" si="12"/>
        <v>-29.044</v>
      </c>
      <c r="P47" s="14">
        <f t="shared" ca="1" si="12"/>
        <v>-29.576000000000001</v>
      </c>
      <c r="Q47" s="14">
        <f t="shared" ca="1" si="12"/>
        <v>-32.164000000000001</v>
      </c>
      <c r="R47" s="14">
        <f t="shared" ca="1" si="12"/>
        <v>-33.008000000000003</v>
      </c>
      <c r="S47" s="14">
        <f t="shared" ca="1" si="12"/>
        <v>-33.927999999999997</v>
      </c>
      <c r="T47" s="14">
        <f t="shared" ca="1" si="12"/>
        <v>-34.911999999999999</v>
      </c>
      <c r="U47" s="14">
        <f t="shared" ca="1" si="12"/>
        <v>-35.927999999999997</v>
      </c>
      <c r="V47" s="14">
        <f t="shared" ca="1" si="12"/>
        <v>-39.872</v>
      </c>
      <c r="W47" s="14">
        <f t="shared" ca="1" si="12"/>
        <v>-43.32</v>
      </c>
      <c r="X47" s="14">
        <f t="shared" ca="1" si="12"/>
        <v>-46.24</v>
      </c>
      <c r="Y47" s="14">
        <f t="shared" ca="1" si="12"/>
        <v>0</v>
      </c>
      <c r="Z47" s="14">
        <f t="shared" ca="1" si="12"/>
        <v>0</v>
      </c>
      <c r="AA47" s="14">
        <f t="shared" ca="1" si="12"/>
        <v>0</v>
      </c>
      <c r="AB47" s="14">
        <f t="shared" ca="1" si="12"/>
        <v>0</v>
      </c>
      <c r="AC47" s="14">
        <f t="shared" ca="1" si="12"/>
        <v>0</v>
      </c>
      <c r="AD47" s="14">
        <f t="shared" ca="1" si="12"/>
        <v>0</v>
      </c>
      <c r="AE47" s="14">
        <f t="shared" ca="1" si="12"/>
        <v>0</v>
      </c>
      <c r="AF47" s="14">
        <f t="shared" ca="1" si="12"/>
        <v>0</v>
      </c>
      <c r="AG47" s="14">
        <f t="shared" ca="1" si="12"/>
        <v>0</v>
      </c>
      <c r="AH47" s="14">
        <f t="shared" ca="1" si="12"/>
        <v>0</v>
      </c>
      <c r="AI47" s="14">
        <f t="shared" ca="1" si="12"/>
        <v>0</v>
      </c>
      <c r="AJ47" s="14">
        <f t="shared" ca="1" si="12"/>
        <v>0</v>
      </c>
      <c r="AK47" s="14">
        <f t="shared" ca="1" si="12"/>
        <v>0</v>
      </c>
      <c r="AL47" s="14">
        <f t="shared" ca="1" si="12"/>
        <v>0</v>
      </c>
    </row>
    <row r="48" spans="1:54" ht="21" hidden="1" customHeight="1" outlineLevel="1" thickBot="1" x14ac:dyDescent="0.4">
      <c r="A48" s="5">
        <f t="shared" si="9"/>
        <v>0</v>
      </c>
      <c r="B48" s="5">
        <f t="shared" si="9"/>
        <v>5</v>
      </c>
      <c r="C48" s="5">
        <f t="shared" si="9"/>
        <v>0</v>
      </c>
      <c r="D48" s="5">
        <f t="shared" si="9"/>
        <v>0</v>
      </c>
      <c r="E48" s="6" t="str">
        <f t="shared" si="9"/>
        <v>Se5</v>
      </c>
      <c r="F48" s="14">
        <f t="shared" ca="1" si="10"/>
        <v>-24.119999999999997</v>
      </c>
      <c r="G48" s="14">
        <f t="shared" ca="1" si="12"/>
        <v>-27.974999999999998</v>
      </c>
      <c r="H48" s="14">
        <f t="shared" ca="1" si="12"/>
        <v>-28.94</v>
      </c>
      <c r="I48" s="14">
        <f t="shared" ca="1" si="12"/>
        <v>-29.875</v>
      </c>
      <c r="J48" s="14">
        <f t="shared" ca="1" si="12"/>
        <v>-30.775000000000002</v>
      </c>
      <c r="K48" s="14">
        <f t="shared" ca="1" si="12"/>
        <v>-31.63</v>
      </c>
      <c r="L48" s="14">
        <f t="shared" ca="1" si="12"/>
        <v>-34.409999999999997</v>
      </c>
      <c r="M48" s="14">
        <f t="shared" ca="1" si="12"/>
        <v>-35.03</v>
      </c>
      <c r="N48" s="14">
        <f t="shared" ca="1" si="12"/>
        <v>-35.659999999999997</v>
      </c>
      <c r="O48" s="14">
        <f t="shared" ca="1" si="12"/>
        <v>-36.305</v>
      </c>
      <c r="P48" s="14">
        <f t="shared" ca="1" si="12"/>
        <v>-36.97</v>
      </c>
      <c r="Q48" s="14">
        <f t="shared" ca="1" si="12"/>
        <v>-40.204999999999998</v>
      </c>
      <c r="R48" s="14">
        <f t="shared" ca="1" si="12"/>
        <v>-41.260000000000005</v>
      </c>
      <c r="S48" s="14">
        <f t="shared" ca="1" si="12"/>
        <v>-42.41</v>
      </c>
      <c r="T48" s="14">
        <f t="shared" ca="1" si="12"/>
        <v>-43.64</v>
      </c>
      <c r="U48" s="14">
        <f t="shared" ca="1" si="12"/>
        <v>-44.91</v>
      </c>
      <c r="V48" s="14">
        <f t="shared" ca="1" si="12"/>
        <v>-49.84</v>
      </c>
      <c r="W48" s="14">
        <f t="shared" ca="1" si="12"/>
        <v>-54.15</v>
      </c>
      <c r="X48" s="14">
        <f t="shared" ca="1" si="12"/>
        <v>-57.800000000000004</v>
      </c>
      <c r="Y48" s="14">
        <f t="shared" ca="1" si="12"/>
        <v>0</v>
      </c>
      <c r="Z48" s="14">
        <f t="shared" ca="1" si="12"/>
        <v>0</v>
      </c>
      <c r="AA48" s="14">
        <f t="shared" ca="1" si="12"/>
        <v>0</v>
      </c>
      <c r="AB48" s="14">
        <f t="shared" ca="1" si="12"/>
        <v>0</v>
      </c>
      <c r="AC48" s="14">
        <f t="shared" ca="1" si="12"/>
        <v>0</v>
      </c>
      <c r="AD48" s="14">
        <f t="shared" ca="1" si="12"/>
        <v>0</v>
      </c>
      <c r="AE48" s="14">
        <f t="shared" ca="1" si="12"/>
        <v>0</v>
      </c>
      <c r="AF48" s="14">
        <f t="shared" ca="1" si="12"/>
        <v>0</v>
      </c>
      <c r="AG48" s="14">
        <f t="shared" ca="1" si="12"/>
        <v>0</v>
      </c>
      <c r="AH48" s="14">
        <f t="shared" ca="1" si="12"/>
        <v>0</v>
      </c>
      <c r="AI48" s="14">
        <f t="shared" ca="1" si="12"/>
        <v>0</v>
      </c>
      <c r="AJ48" s="14">
        <f t="shared" ca="1" si="12"/>
        <v>0</v>
      </c>
      <c r="AK48" s="14">
        <f t="shared" ca="1" si="12"/>
        <v>0</v>
      </c>
      <c r="AL48" s="14">
        <f t="shared" ca="1" si="12"/>
        <v>0</v>
      </c>
    </row>
    <row r="49" spans="1:38" ht="21" hidden="1" customHeight="1" outlineLevel="1" thickBot="1" x14ac:dyDescent="0.4">
      <c r="A49" s="5">
        <f t="shared" si="9"/>
        <v>0</v>
      </c>
      <c r="B49" s="5">
        <f t="shared" si="9"/>
        <v>6</v>
      </c>
      <c r="C49" s="5">
        <f t="shared" si="9"/>
        <v>0</v>
      </c>
      <c r="D49" s="5">
        <f t="shared" si="9"/>
        <v>0</v>
      </c>
      <c r="E49" s="6" t="str">
        <f t="shared" si="9"/>
        <v>Se6</v>
      </c>
      <c r="F49" s="14">
        <f t="shared" ca="1" si="10"/>
        <v>-28.943999999999999</v>
      </c>
      <c r="G49" s="14">
        <f t="shared" ca="1" si="12"/>
        <v>-33.57</v>
      </c>
      <c r="H49" s="14">
        <f t="shared" ca="1" si="12"/>
        <v>-34.728000000000002</v>
      </c>
      <c r="I49" s="14">
        <f t="shared" ca="1" si="12"/>
        <v>-35.849999999999994</v>
      </c>
      <c r="J49" s="14">
        <f t="shared" ca="1" si="12"/>
        <v>-36.93</v>
      </c>
      <c r="K49" s="14">
        <f t="shared" ca="1" si="12"/>
        <v>-37.955999999999996</v>
      </c>
      <c r="L49" s="14">
        <f t="shared" ca="1" si="12"/>
        <v>-41.292000000000002</v>
      </c>
      <c r="M49" s="14">
        <f t="shared" ca="1" si="12"/>
        <v>-42.036000000000001</v>
      </c>
      <c r="N49" s="14">
        <f t="shared" ca="1" si="12"/>
        <v>-42.792000000000002</v>
      </c>
      <c r="O49" s="14">
        <f t="shared" ca="1" si="12"/>
        <v>-43.566000000000003</v>
      </c>
      <c r="P49" s="14">
        <f t="shared" ca="1" si="12"/>
        <v>-44.364000000000004</v>
      </c>
      <c r="Q49" s="14">
        <f t="shared" ca="1" si="12"/>
        <v>-48.246000000000002</v>
      </c>
      <c r="R49" s="14">
        <f t="shared" ca="1" si="12"/>
        <v>-49.512</v>
      </c>
      <c r="S49" s="14">
        <f t="shared" ca="1" si="12"/>
        <v>-50.891999999999996</v>
      </c>
      <c r="T49" s="14">
        <f t="shared" ca="1" si="12"/>
        <v>-52.367999999999995</v>
      </c>
      <c r="U49" s="14">
        <f t="shared" ca="1" si="12"/>
        <v>-53.891999999999996</v>
      </c>
      <c r="V49" s="14">
        <f t="shared" ca="1" si="12"/>
        <v>-59.808</v>
      </c>
      <c r="W49" s="14">
        <f t="shared" ca="1" si="12"/>
        <v>-64.98</v>
      </c>
      <c r="X49" s="14">
        <f t="shared" ca="1" si="12"/>
        <v>-69.36</v>
      </c>
      <c r="Y49" s="14">
        <f t="shared" ca="1" si="12"/>
        <v>0</v>
      </c>
      <c r="Z49" s="14">
        <f t="shared" ca="1" si="12"/>
        <v>0</v>
      </c>
      <c r="AA49" s="14">
        <f t="shared" ca="1" si="12"/>
        <v>0</v>
      </c>
      <c r="AB49" s="14">
        <f t="shared" ca="1" si="12"/>
        <v>0</v>
      </c>
      <c r="AC49" s="14">
        <f t="shared" ca="1" si="12"/>
        <v>0</v>
      </c>
      <c r="AD49" s="14">
        <f t="shared" ca="1" si="12"/>
        <v>0</v>
      </c>
      <c r="AE49" s="14">
        <f t="shared" ca="1" si="12"/>
        <v>0</v>
      </c>
      <c r="AF49" s="14">
        <f t="shared" ca="1" si="12"/>
        <v>0</v>
      </c>
      <c r="AG49" s="14">
        <f t="shared" ca="1" si="12"/>
        <v>0</v>
      </c>
      <c r="AH49" s="14">
        <f t="shared" ca="1" si="12"/>
        <v>0</v>
      </c>
      <c r="AI49" s="14">
        <f t="shared" ca="1" si="12"/>
        <v>0</v>
      </c>
      <c r="AJ49" s="14">
        <f t="shared" ca="1" si="12"/>
        <v>0</v>
      </c>
      <c r="AK49" s="14">
        <f t="shared" ca="1" si="12"/>
        <v>0</v>
      </c>
      <c r="AL49" s="14">
        <f t="shared" ca="1" si="12"/>
        <v>0</v>
      </c>
    </row>
    <row r="50" spans="1:38" ht="21" hidden="1" customHeight="1" outlineLevel="1" thickBot="1" x14ac:dyDescent="0.4">
      <c r="A50" s="5">
        <f t="shared" si="9"/>
        <v>0</v>
      </c>
      <c r="B50" s="5">
        <f t="shared" si="9"/>
        <v>7</v>
      </c>
      <c r="C50" s="5">
        <f t="shared" si="9"/>
        <v>0</v>
      </c>
      <c r="D50" s="5">
        <f t="shared" si="9"/>
        <v>0</v>
      </c>
      <c r="E50" s="6" t="str">
        <f t="shared" si="9"/>
        <v>Se7</v>
      </c>
      <c r="F50" s="14">
        <f t="shared" ca="1" si="10"/>
        <v>-33.768000000000001</v>
      </c>
      <c r="G50" s="14">
        <f t="shared" ca="1" si="12"/>
        <v>-39.164999999999999</v>
      </c>
      <c r="H50" s="14">
        <f t="shared" ca="1" si="12"/>
        <v>-40.516000000000005</v>
      </c>
      <c r="I50" s="14">
        <f t="shared" ca="1" si="12"/>
        <v>-41.824999999999996</v>
      </c>
      <c r="J50" s="14">
        <f t="shared" ca="1" si="12"/>
        <v>-43.085000000000001</v>
      </c>
      <c r="K50" s="14">
        <f t="shared" ca="1" si="12"/>
        <v>-44.281999999999996</v>
      </c>
      <c r="L50" s="14">
        <f t="shared" ca="1" si="12"/>
        <v>-48.173999999999999</v>
      </c>
      <c r="M50" s="14">
        <f t="shared" ca="1" si="12"/>
        <v>-49.042000000000002</v>
      </c>
      <c r="N50" s="14">
        <f t="shared" ca="1" si="12"/>
        <v>-49.923999999999999</v>
      </c>
      <c r="O50" s="14">
        <f t="shared" ca="1" si="12"/>
        <v>-50.826999999999998</v>
      </c>
      <c r="P50" s="14">
        <f t="shared" ca="1" si="12"/>
        <v>-51.758000000000003</v>
      </c>
      <c r="Q50" s="14">
        <f t="shared" ca="1" si="12"/>
        <v>-56.287000000000006</v>
      </c>
      <c r="R50" s="14">
        <f t="shared" ca="1" si="12"/>
        <v>-57.764000000000003</v>
      </c>
      <c r="S50" s="14">
        <f t="shared" ca="1" si="12"/>
        <v>-59.373999999999995</v>
      </c>
      <c r="T50" s="14">
        <f t="shared" ca="1" si="12"/>
        <v>-61.095999999999997</v>
      </c>
      <c r="U50" s="14">
        <f t="shared" ca="1" si="12"/>
        <v>-62.873999999999995</v>
      </c>
      <c r="V50" s="14">
        <f t="shared" ca="1" si="12"/>
        <v>-69.775999999999996</v>
      </c>
      <c r="W50" s="14">
        <f t="shared" ca="1" si="12"/>
        <v>-75.81</v>
      </c>
      <c r="X50" s="14">
        <f t="shared" ca="1" si="12"/>
        <v>-80.92</v>
      </c>
      <c r="Y50" s="14">
        <f t="shared" ca="1" si="12"/>
        <v>0</v>
      </c>
      <c r="Z50" s="14">
        <f t="shared" ca="1" si="12"/>
        <v>0</v>
      </c>
      <c r="AA50" s="14">
        <f t="shared" ca="1" si="12"/>
        <v>0</v>
      </c>
      <c r="AB50" s="14">
        <f t="shared" ca="1" si="12"/>
        <v>0</v>
      </c>
      <c r="AC50" s="14">
        <f t="shared" ca="1" si="12"/>
        <v>0</v>
      </c>
      <c r="AD50" s="14">
        <f t="shared" ca="1" si="12"/>
        <v>0</v>
      </c>
      <c r="AE50" s="14">
        <f t="shared" ca="1" si="12"/>
        <v>0</v>
      </c>
      <c r="AF50" s="14">
        <f t="shared" ca="1" si="12"/>
        <v>0</v>
      </c>
      <c r="AG50" s="14">
        <f t="shared" ca="1" si="12"/>
        <v>0</v>
      </c>
      <c r="AH50" s="14">
        <f t="shared" ca="1" si="12"/>
        <v>0</v>
      </c>
      <c r="AI50" s="14">
        <f t="shared" ca="1" si="12"/>
        <v>0</v>
      </c>
      <c r="AJ50" s="14">
        <f t="shared" ca="1" si="12"/>
        <v>0</v>
      </c>
      <c r="AK50" s="14">
        <f t="shared" ca="1" si="12"/>
        <v>0</v>
      </c>
      <c r="AL50" s="14">
        <f t="shared" ca="1" si="12"/>
        <v>0</v>
      </c>
    </row>
    <row r="51" spans="1:38" ht="21" hidden="1" customHeight="1" outlineLevel="1" thickBot="1" x14ac:dyDescent="0.4">
      <c r="A51" s="5">
        <f t="shared" si="9"/>
        <v>0</v>
      </c>
      <c r="B51" s="5">
        <f t="shared" si="9"/>
        <v>8</v>
      </c>
      <c r="C51" s="5">
        <f t="shared" si="9"/>
        <v>0</v>
      </c>
      <c r="D51" s="5">
        <f t="shared" si="9"/>
        <v>0</v>
      </c>
      <c r="E51" s="6" t="str">
        <f t="shared" si="9"/>
        <v>Se8</v>
      </c>
      <c r="F51" s="14">
        <f t="shared" ca="1" si="10"/>
        <v>-38.591999999999999</v>
      </c>
      <c r="G51" s="14">
        <f t="shared" ca="1" si="12"/>
        <v>-44.76</v>
      </c>
      <c r="H51" s="14">
        <f t="shared" ca="1" si="12"/>
        <v>-46.304000000000002</v>
      </c>
      <c r="I51" s="14">
        <f t="shared" ca="1" si="12"/>
        <v>-47.8</v>
      </c>
      <c r="J51" s="14">
        <f t="shared" ca="1" si="12"/>
        <v>-49.24</v>
      </c>
      <c r="K51" s="14">
        <f t="shared" ca="1" si="12"/>
        <v>-50.607999999999997</v>
      </c>
      <c r="L51" s="14">
        <f t="shared" ca="1" si="12"/>
        <v>-55.055999999999997</v>
      </c>
      <c r="M51" s="14">
        <f t="shared" ca="1" si="12"/>
        <v>-56.048000000000002</v>
      </c>
      <c r="N51" s="14">
        <f t="shared" ca="1" si="12"/>
        <v>-57.055999999999997</v>
      </c>
      <c r="O51" s="14">
        <f t="shared" ca="1" si="12"/>
        <v>-58.088000000000001</v>
      </c>
      <c r="P51" s="14">
        <f t="shared" ca="1" si="12"/>
        <v>-59.152000000000001</v>
      </c>
      <c r="Q51" s="14">
        <f t="shared" ca="1" si="12"/>
        <v>-64.328000000000003</v>
      </c>
      <c r="R51" s="14">
        <f t="shared" ca="1" si="12"/>
        <v>-66.016000000000005</v>
      </c>
      <c r="S51" s="14">
        <f t="shared" ca="1" si="12"/>
        <v>-67.855999999999995</v>
      </c>
      <c r="T51" s="14">
        <f t="shared" ca="1" si="12"/>
        <v>-69.823999999999998</v>
      </c>
      <c r="U51" s="14">
        <f t="shared" ca="1" si="12"/>
        <v>-71.855999999999995</v>
      </c>
      <c r="V51" s="14">
        <f t="shared" ca="1" si="12"/>
        <v>-79.744</v>
      </c>
      <c r="W51" s="14">
        <f t="shared" ca="1" si="12"/>
        <v>-86.64</v>
      </c>
      <c r="X51" s="14">
        <f t="shared" ca="1" si="12"/>
        <v>-92.48</v>
      </c>
      <c r="Y51" s="14">
        <f t="shared" ca="1" si="12"/>
        <v>0</v>
      </c>
      <c r="Z51" s="14">
        <f t="shared" ca="1" si="12"/>
        <v>0</v>
      </c>
      <c r="AA51" s="14">
        <f t="shared" ca="1" si="12"/>
        <v>0</v>
      </c>
      <c r="AB51" s="14">
        <f t="shared" ca="1" si="12"/>
        <v>0</v>
      </c>
      <c r="AC51" s="14">
        <f t="shared" ca="1" si="12"/>
        <v>0</v>
      </c>
      <c r="AD51" s="14">
        <f t="shared" ca="1" si="12"/>
        <v>0</v>
      </c>
      <c r="AE51" s="14">
        <f t="shared" ca="1" si="12"/>
        <v>0</v>
      </c>
      <c r="AF51" s="14">
        <f t="shared" ca="1" si="12"/>
        <v>0</v>
      </c>
      <c r="AG51" s="14">
        <f t="shared" ca="1" si="12"/>
        <v>0</v>
      </c>
      <c r="AH51" s="14">
        <f t="shared" ca="1" si="12"/>
        <v>0</v>
      </c>
      <c r="AI51" s="14">
        <f t="shared" ca="1" si="12"/>
        <v>0</v>
      </c>
      <c r="AJ51" s="14">
        <f t="shared" ca="1" si="12"/>
        <v>0</v>
      </c>
      <c r="AK51" s="14">
        <f t="shared" ca="1" si="12"/>
        <v>0</v>
      </c>
      <c r="AL51" s="14">
        <f t="shared" ca="1" si="12"/>
        <v>0</v>
      </c>
    </row>
    <row r="52" spans="1:38" ht="21" hidden="1" customHeight="1" outlineLevel="1" thickBot="1" x14ac:dyDescent="0.4">
      <c r="A52" s="5">
        <f t="shared" si="9"/>
        <v>0</v>
      </c>
      <c r="B52" s="5">
        <f t="shared" si="9"/>
        <v>2</v>
      </c>
      <c r="C52" s="5">
        <f t="shared" si="9"/>
        <v>0</v>
      </c>
      <c r="D52" s="5">
        <f t="shared" si="9"/>
        <v>0</v>
      </c>
      <c r="E52" s="6" t="str">
        <f t="shared" si="9"/>
        <v>Se2</v>
      </c>
      <c r="F52" s="14">
        <f t="shared" ca="1" si="10"/>
        <v>-9.6479999999999997</v>
      </c>
      <c r="G52" s="14">
        <f t="shared" ca="1" si="12"/>
        <v>-11.19</v>
      </c>
      <c r="H52" s="14">
        <f t="shared" ca="1" si="12"/>
        <v>-11.576000000000001</v>
      </c>
      <c r="I52" s="14">
        <f t="shared" ca="1" si="12"/>
        <v>-11.95</v>
      </c>
      <c r="J52" s="14">
        <f t="shared" ca="1" si="12"/>
        <v>-12.31</v>
      </c>
      <c r="K52" s="14">
        <f t="shared" ca="1" si="12"/>
        <v>-12.651999999999999</v>
      </c>
      <c r="L52" s="14">
        <f t="shared" ca="1" si="12"/>
        <v>-13.763999999999999</v>
      </c>
      <c r="M52" s="14">
        <f t="shared" ca="1" si="12"/>
        <v>-14.012</v>
      </c>
      <c r="N52" s="14">
        <f t="shared" ca="1" si="12"/>
        <v>-14.263999999999999</v>
      </c>
      <c r="O52" s="14">
        <f t="shared" ca="1" si="12"/>
        <v>-14.522</v>
      </c>
      <c r="P52" s="14">
        <f t="shared" ca="1" si="12"/>
        <v>-14.788</v>
      </c>
      <c r="Q52" s="14">
        <f t="shared" ca="1" si="12"/>
        <v>-16.082000000000001</v>
      </c>
      <c r="R52" s="14">
        <f t="shared" ca="1" si="12"/>
        <v>-16.504000000000001</v>
      </c>
      <c r="S52" s="14">
        <f t="shared" ca="1" si="12"/>
        <v>-16.963999999999999</v>
      </c>
      <c r="T52" s="14">
        <f t="shared" ca="1" si="12"/>
        <v>-17.456</v>
      </c>
      <c r="U52" s="14">
        <f t="shared" ca="1" si="12"/>
        <v>-17.963999999999999</v>
      </c>
      <c r="V52" s="14">
        <f t="shared" ca="1" si="12"/>
        <v>-19.936</v>
      </c>
      <c r="W52" s="14">
        <f t="shared" ca="1" si="12"/>
        <v>-21.66</v>
      </c>
      <c r="X52" s="14">
        <f t="shared" ca="1" si="12"/>
        <v>-23.12</v>
      </c>
      <c r="Y52" s="14">
        <f t="shared" ca="1" si="12"/>
        <v>0</v>
      </c>
      <c r="Z52" s="14">
        <f t="shared" ca="1" si="12"/>
        <v>0</v>
      </c>
      <c r="AA52" s="14">
        <f t="shared" ca="1" si="12"/>
        <v>0</v>
      </c>
      <c r="AB52" s="14">
        <f t="shared" ca="1" si="12"/>
        <v>0</v>
      </c>
      <c r="AC52" s="14">
        <f t="shared" ca="1" si="12"/>
        <v>0</v>
      </c>
      <c r="AD52" s="14">
        <f t="shared" ca="1" si="12"/>
        <v>0</v>
      </c>
      <c r="AE52" s="14">
        <f t="shared" ca="1" si="12"/>
        <v>0</v>
      </c>
      <c r="AF52" s="14">
        <f t="shared" ca="1" si="12"/>
        <v>0</v>
      </c>
      <c r="AG52" s="14">
        <f t="shared" ca="1" si="12"/>
        <v>0</v>
      </c>
      <c r="AH52" s="14">
        <f t="shared" ca="1" si="12"/>
        <v>0</v>
      </c>
      <c r="AI52" s="14">
        <f t="shared" ca="1" si="12"/>
        <v>0</v>
      </c>
      <c r="AJ52" s="14">
        <f t="shared" ca="1" si="12"/>
        <v>0</v>
      </c>
      <c r="AK52" s="14">
        <f t="shared" ca="1" si="12"/>
        <v>0</v>
      </c>
      <c r="AL52" s="14">
        <f t="shared" ca="1" si="12"/>
        <v>0</v>
      </c>
    </row>
    <row r="53" spans="1:38" ht="21" hidden="1" customHeight="1" outlineLevel="1" thickBot="1" x14ac:dyDescent="0.4">
      <c r="A53" s="5">
        <f t="shared" si="9"/>
        <v>0</v>
      </c>
      <c r="B53" s="5">
        <f t="shared" si="9"/>
        <v>1</v>
      </c>
      <c r="C53" s="5">
        <f t="shared" si="9"/>
        <v>0</v>
      </c>
      <c r="D53" s="5">
        <f t="shared" si="9"/>
        <v>0</v>
      </c>
      <c r="E53" s="6" t="str">
        <f t="shared" si="9"/>
        <v>Se</v>
      </c>
      <c r="F53" s="14">
        <f t="shared" ca="1" si="10"/>
        <v>-4.8239999999999998</v>
      </c>
      <c r="G53" s="14">
        <f t="shared" ca="1" si="12"/>
        <v>-5.5949999999999998</v>
      </c>
      <c r="H53" s="14">
        <f t="shared" ca="1" si="12"/>
        <v>-5.7880000000000003</v>
      </c>
      <c r="I53" s="14">
        <f t="shared" ca="1" si="12"/>
        <v>-5.9749999999999996</v>
      </c>
      <c r="J53" s="14">
        <f t="shared" ca="1" si="12"/>
        <v>-6.1550000000000002</v>
      </c>
      <c r="K53" s="14">
        <f t="shared" ca="1" si="12"/>
        <v>-6.3259999999999996</v>
      </c>
      <c r="L53" s="14">
        <f t="shared" ca="1" si="12"/>
        <v>-6.8819999999999997</v>
      </c>
      <c r="M53" s="14">
        <f t="shared" ca="1" si="12"/>
        <v>-7.0060000000000002</v>
      </c>
      <c r="N53" s="14">
        <f t="shared" ca="1" si="12"/>
        <v>-7.1319999999999997</v>
      </c>
      <c r="O53" s="14">
        <f t="shared" ca="1" si="12"/>
        <v>-7.2610000000000001</v>
      </c>
      <c r="P53" s="14">
        <f t="shared" ca="1" si="12"/>
        <v>-7.3940000000000001</v>
      </c>
      <c r="Q53" s="14">
        <f t="shared" ca="1" si="12"/>
        <v>-8.0410000000000004</v>
      </c>
      <c r="R53" s="14">
        <f t="shared" ca="1" si="12"/>
        <v>-8.2520000000000007</v>
      </c>
      <c r="S53" s="14">
        <f t="shared" ca="1" si="12"/>
        <v>-8.4819999999999993</v>
      </c>
      <c r="T53" s="14">
        <f t="shared" ca="1" si="12"/>
        <v>-8.7279999999999998</v>
      </c>
      <c r="U53" s="14">
        <f t="shared" ca="1" si="12"/>
        <v>-8.9819999999999993</v>
      </c>
      <c r="V53" s="14">
        <f t="shared" ca="1" si="12"/>
        <v>-9.968</v>
      </c>
      <c r="W53" s="14">
        <f t="shared" ca="1" si="12"/>
        <v>-10.83</v>
      </c>
      <c r="X53" s="14">
        <f t="shared" ca="1" si="12"/>
        <v>-11.56</v>
      </c>
      <c r="Y53" s="14">
        <f t="shared" ca="1" si="12"/>
        <v>0</v>
      </c>
      <c r="Z53" s="14">
        <f t="shared" ca="1" si="12"/>
        <v>0</v>
      </c>
      <c r="AA53" s="14">
        <f t="shared" ca="1" si="12"/>
        <v>0</v>
      </c>
      <c r="AB53" s="14">
        <f t="shared" ca="1" si="12"/>
        <v>0</v>
      </c>
      <c r="AC53" s="14">
        <f t="shared" ca="1" si="12"/>
        <v>0</v>
      </c>
      <c r="AD53" s="14">
        <f t="shared" ca="1" si="12"/>
        <v>0</v>
      </c>
      <c r="AE53" s="14">
        <f t="shared" ca="1" si="12"/>
        <v>0</v>
      </c>
      <c r="AF53" s="14">
        <f t="shared" ca="1" si="12"/>
        <v>0</v>
      </c>
      <c r="AG53" s="14">
        <f t="shared" ca="1" si="12"/>
        <v>0</v>
      </c>
      <c r="AH53" s="14">
        <f t="shared" ca="1" si="12"/>
        <v>0</v>
      </c>
      <c r="AI53" s="14">
        <f t="shared" ca="1" si="12"/>
        <v>0</v>
      </c>
      <c r="AJ53" s="14">
        <f t="shared" ca="1" si="12"/>
        <v>0</v>
      </c>
      <c r="AK53" s="14">
        <f t="shared" ca="1" si="12"/>
        <v>0</v>
      </c>
      <c r="AL53" s="14">
        <f t="shared" ca="1" si="12"/>
        <v>0</v>
      </c>
    </row>
    <row r="54" spans="1:38" ht="21" hidden="1" customHeight="1" outlineLevel="1" thickBot="1" x14ac:dyDescent="0.4">
      <c r="A54" s="5">
        <f t="shared" si="9"/>
        <v>0</v>
      </c>
      <c r="B54" s="5">
        <f t="shared" si="9"/>
        <v>1</v>
      </c>
      <c r="C54" s="5">
        <f t="shared" si="9"/>
        <v>0</v>
      </c>
      <c r="D54" s="5">
        <f t="shared" si="9"/>
        <v>2</v>
      </c>
      <c r="E54" s="6" t="str">
        <f t="shared" si="9"/>
        <v>Ga2Se</v>
      </c>
      <c r="F54" s="14">
        <f t="shared" ca="1" si="10"/>
        <v>-17.316000000000003</v>
      </c>
      <c r="G54" s="14">
        <f t="shared" ca="1" si="12"/>
        <v>-19.890999999999998</v>
      </c>
      <c r="H54" s="14">
        <f t="shared" ca="1" si="12"/>
        <v>-20.475999999999999</v>
      </c>
      <c r="I54" s="14">
        <f t="shared" ca="1" si="12"/>
        <v>-21.036999999999999</v>
      </c>
      <c r="J54" s="14">
        <f t="shared" ca="1" si="12"/>
        <v>-21.587</v>
      </c>
      <c r="K54" s="14">
        <f t="shared" ca="1" si="12"/>
        <v>-22.14</v>
      </c>
      <c r="L54" s="14">
        <f t="shared" ca="1" si="12"/>
        <v>-24.841999999999999</v>
      </c>
      <c r="M54" s="14">
        <f t="shared" ca="1" si="12"/>
        <v>-25.64</v>
      </c>
      <c r="N54" s="14">
        <f t="shared" ca="1" si="12"/>
        <v>-26.426000000000002</v>
      </c>
      <c r="O54" s="14">
        <f t="shared" ca="1" si="12"/>
        <v>-27.186999999999998</v>
      </c>
      <c r="P54" s="14">
        <f t="shared" ca="1" si="12"/>
        <v>-27.914000000000001</v>
      </c>
      <c r="Q54" s="14">
        <f t="shared" ca="1" si="12"/>
        <v>-30.600999999999999</v>
      </c>
      <c r="R54" s="14">
        <f t="shared" ca="1" si="12"/>
        <v>-31.231999999999999</v>
      </c>
      <c r="S54" s="14">
        <f t="shared" ca="1" si="12"/>
        <v>-31.802</v>
      </c>
      <c r="T54" s="14">
        <f t="shared" ca="1" si="12"/>
        <v>-32.347999999999999</v>
      </c>
      <c r="U54" s="14">
        <f t="shared" ref="U54:AL54" ca="1" si="13">$A54*H.Ar + $B54*H.Se + $C54*H.Ge + $D54*H.Ga</f>
        <v>-32.861999999999995</v>
      </c>
      <c r="V54" s="14">
        <f t="shared" ca="1" si="13"/>
        <v>-34.647999999999996</v>
      </c>
      <c r="W54" s="14">
        <f t="shared" ca="1" si="13"/>
        <v>-36.130000000000003</v>
      </c>
      <c r="X54" s="14">
        <f t="shared" ca="1" si="13"/>
        <v>-37.4</v>
      </c>
      <c r="Y54" s="14">
        <f t="shared" ca="1" si="13"/>
        <v>0</v>
      </c>
      <c r="Z54" s="14">
        <f t="shared" ca="1" si="13"/>
        <v>0</v>
      </c>
      <c r="AA54" s="14">
        <f t="shared" ca="1" si="13"/>
        <v>0</v>
      </c>
      <c r="AB54" s="14">
        <f t="shared" ca="1" si="13"/>
        <v>0</v>
      </c>
      <c r="AC54" s="14">
        <f t="shared" ca="1" si="13"/>
        <v>0</v>
      </c>
      <c r="AD54" s="14">
        <f t="shared" ca="1" si="13"/>
        <v>0</v>
      </c>
      <c r="AE54" s="14">
        <f t="shared" ca="1" si="13"/>
        <v>0</v>
      </c>
      <c r="AF54" s="14">
        <f t="shared" ca="1" si="13"/>
        <v>0</v>
      </c>
      <c r="AG54" s="14">
        <f t="shared" ca="1" si="13"/>
        <v>0</v>
      </c>
      <c r="AH54" s="14">
        <f t="shared" ca="1" si="13"/>
        <v>0</v>
      </c>
      <c r="AI54" s="14">
        <f t="shared" ca="1" si="13"/>
        <v>0</v>
      </c>
      <c r="AJ54" s="14">
        <f t="shared" ca="1" si="13"/>
        <v>0</v>
      </c>
      <c r="AK54" s="14">
        <f t="shared" ca="1" si="13"/>
        <v>0</v>
      </c>
      <c r="AL54" s="14">
        <f t="shared" ca="1" si="13"/>
        <v>0</v>
      </c>
    </row>
    <row r="55" spans="1:38" ht="21" hidden="1" customHeight="1" outlineLevel="1" thickBot="1" x14ac:dyDescent="0.4">
      <c r="A55" s="5">
        <f t="shared" si="9"/>
        <v>1</v>
      </c>
      <c r="B55" s="5">
        <f t="shared" si="9"/>
        <v>0</v>
      </c>
      <c r="C55" s="5">
        <f t="shared" si="9"/>
        <v>0</v>
      </c>
      <c r="D55" s="5">
        <f t="shared" si="9"/>
        <v>0</v>
      </c>
      <c r="E55" s="6" t="str">
        <f t="shared" si="9"/>
        <v>Ar</v>
      </c>
      <c r="F55" s="14">
        <f t="shared" ca="1" si="10"/>
        <v>-18.61</v>
      </c>
      <c r="G55" s="14">
        <f t="shared" ref="G55:AL62" ca="1" si="14">$A55*H.Ar + $B55*H.Se + $C55*H.Ge + $D55*H.Ga</f>
        <v>-18.760000000000002</v>
      </c>
      <c r="H55" s="14">
        <f t="shared" ca="1" si="14"/>
        <v>-18.829999999999998</v>
      </c>
      <c r="I55" s="14">
        <f t="shared" ca="1" si="14"/>
        <v>-18.899999999999999</v>
      </c>
      <c r="J55" s="14">
        <f t="shared" ca="1" si="14"/>
        <v>-18.97</v>
      </c>
      <c r="K55" s="14">
        <f t="shared" ca="1" si="14"/>
        <v>-19.059999999999999</v>
      </c>
      <c r="L55" s="14">
        <f t="shared" ca="1" si="14"/>
        <v>-19.54</v>
      </c>
      <c r="M55" s="14">
        <f t="shared" ca="1" si="14"/>
        <v>-19.649999999999999</v>
      </c>
      <c r="N55" s="14">
        <f t="shared" ca="1" si="14"/>
        <v>-19.760000000000002</v>
      </c>
      <c r="O55" s="14">
        <f t="shared" ca="1" si="14"/>
        <v>-19.850000000000001</v>
      </c>
      <c r="P55" s="14">
        <f t="shared" ca="1" si="14"/>
        <v>-19.95</v>
      </c>
      <c r="Q55" s="14">
        <f t="shared" ca="1" si="14"/>
        <v>-20.420000000000002</v>
      </c>
      <c r="R55" s="14">
        <f t="shared" ca="1" si="14"/>
        <v>-20.54</v>
      </c>
      <c r="S55" s="14">
        <f t="shared" ca="1" si="14"/>
        <v>-20.66</v>
      </c>
      <c r="T55" s="14">
        <f t="shared" ca="1" si="14"/>
        <v>-20.76</v>
      </c>
      <c r="U55" s="14">
        <f t="shared" ca="1" si="14"/>
        <v>-20.85</v>
      </c>
      <c r="V55" s="14">
        <f t="shared" ca="1" si="14"/>
        <v>-21.12</v>
      </c>
      <c r="W55" s="14">
        <f t="shared" ca="1" si="14"/>
        <v>-21.34</v>
      </c>
      <c r="X55" s="14">
        <f t="shared" ca="1" si="14"/>
        <v>-21.53</v>
      </c>
      <c r="Y55" s="14">
        <f t="shared" ca="1" si="14"/>
        <v>0</v>
      </c>
      <c r="Z55" s="14">
        <f t="shared" ca="1" si="14"/>
        <v>0</v>
      </c>
      <c r="AA55" s="14">
        <f t="shared" ca="1" si="14"/>
        <v>0</v>
      </c>
      <c r="AB55" s="14">
        <f t="shared" ca="1" si="14"/>
        <v>0</v>
      </c>
      <c r="AC55" s="14">
        <f t="shared" ca="1" si="14"/>
        <v>0</v>
      </c>
      <c r="AD55" s="14">
        <f t="shared" ca="1" si="14"/>
        <v>0</v>
      </c>
      <c r="AE55" s="14">
        <f t="shared" ca="1" si="14"/>
        <v>0</v>
      </c>
      <c r="AF55" s="14">
        <f t="shared" ca="1" si="14"/>
        <v>0</v>
      </c>
      <c r="AG55" s="14">
        <f t="shared" ca="1" si="14"/>
        <v>0</v>
      </c>
      <c r="AH55" s="14">
        <f t="shared" ca="1" si="14"/>
        <v>0</v>
      </c>
      <c r="AI55" s="14">
        <f t="shared" ca="1" si="14"/>
        <v>0</v>
      </c>
      <c r="AJ55" s="14">
        <f t="shared" ca="1" si="14"/>
        <v>0</v>
      </c>
      <c r="AK55" s="14">
        <f t="shared" ca="1" si="14"/>
        <v>0</v>
      </c>
      <c r="AL55" s="14">
        <f t="shared" ca="1" si="14"/>
        <v>0</v>
      </c>
    </row>
    <row r="56" spans="1:38" ht="21" hidden="1" customHeight="1" outlineLevel="1" thickBot="1" x14ac:dyDescent="0.4">
      <c r="A56" s="5">
        <f t="shared" ref="A56:E65" si="15">A14</f>
        <v>0</v>
      </c>
      <c r="B56" s="5">
        <f t="shared" si="15"/>
        <v>0</v>
      </c>
      <c r="C56" s="5">
        <f t="shared" si="15"/>
        <v>0</v>
      </c>
      <c r="D56" s="5">
        <f t="shared" si="15"/>
        <v>1</v>
      </c>
      <c r="E56" s="6" t="str">
        <f t="shared" si="15"/>
        <v>(l)Ga[l]</v>
      </c>
      <c r="F56" s="14">
        <f t="shared" ref="F56:U65" ca="1" si="16">$A56*H.Ar + $B56*H.Se + $C56*H.Ge + $D56*H.Ga</f>
        <v>-6.2460000000000004</v>
      </c>
      <c r="G56" s="14">
        <f t="shared" ca="1" si="16"/>
        <v>-7.1479999999999997</v>
      </c>
      <c r="H56" s="14">
        <f t="shared" ca="1" si="16"/>
        <v>-7.3440000000000003</v>
      </c>
      <c r="I56" s="14">
        <f t="shared" ca="1" si="16"/>
        <v>-7.5309999999999997</v>
      </c>
      <c r="J56" s="14">
        <f t="shared" ca="1" si="16"/>
        <v>-7.7160000000000002</v>
      </c>
      <c r="K56" s="14">
        <f t="shared" ca="1" si="16"/>
        <v>-7.907</v>
      </c>
      <c r="L56" s="14">
        <f t="shared" ca="1" si="16"/>
        <v>-8.98</v>
      </c>
      <c r="M56" s="14">
        <f t="shared" ca="1" si="16"/>
        <v>-9.3170000000000002</v>
      </c>
      <c r="N56" s="14">
        <f t="shared" ca="1" si="16"/>
        <v>-9.6470000000000002</v>
      </c>
      <c r="O56" s="14">
        <f t="shared" ca="1" si="16"/>
        <v>-9.9629999999999992</v>
      </c>
      <c r="P56" s="14">
        <f t="shared" ca="1" si="16"/>
        <v>-10.26</v>
      </c>
      <c r="Q56" s="14">
        <f t="shared" ca="1" si="16"/>
        <v>-11.28</v>
      </c>
      <c r="R56" s="14">
        <f t="shared" ca="1" si="16"/>
        <v>-11.49</v>
      </c>
      <c r="S56" s="14">
        <f t="shared" ca="1" si="16"/>
        <v>-11.66</v>
      </c>
      <c r="T56" s="14">
        <f t="shared" ca="1" si="16"/>
        <v>-11.81</v>
      </c>
      <c r="U56" s="14">
        <f t="shared" ca="1" si="16"/>
        <v>-11.94</v>
      </c>
      <c r="V56" s="14">
        <f t="shared" ca="1" si="14"/>
        <v>-12.34</v>
      </c>
      <c r="W56" s="14">
        <f t="shared" ca="1" si="14"/>
        <v>-12.65</v>
      </c>
      <c r="X56" s="14">
        <f t="shared" ca="1" si="14"/>
        <v>-12.92</v>
      </c>
      <c r="Y56" s="14">
        <f t="shared" ca="1" si="14"/>
        <v>0</v>
      </c>
      <c r="Z56" s="14">
        <f t="shared" ca="1" si="14"/>
        <v>0</v>
      </c>
      <c r="AA56" s="14">
        <f t="shared" ca="1" si="14"/>
        <v>0</v>
      </c>
      <c r="AB56" s="14">
        <f t="shared" ca="1" si="14"/>
        <v>0</v>
      </c>
      <c r="AC56" s="14">
        <f t="shared" ca="1" si="14"/>
        <v>0</v>
      </c>
      <c r="AD56" s="14">
        <f t="shared" ca="1" si="14"/>
        <v>0</v>
      </c>
      <c r="AE56" s="14">
        <f t="shared" ca="1" si="14"/>
        <v>0</v>
      </c>
      <c r="AF56" s="14">
        <f t="shared" ca="1" si="14"/>
        <v>0</v>
      </c>
      <c r="AG56" s="14">
        <f t="shared" ca="1" si="14"/>
        <v>0</v>
      </c>
      <c r="AH56" s="14">
        <f t="shared" ca="1" si="14"/>
        <v>0</v>
      </c>
      <c r="AI56" s="14">
        <f t="shared" ca="1" si="14"/>
        <v>0</v>
      </c>
      <c r="AJ56" s="14">
        <f t="shared" ca="1" si="14"/>
        <v>0</v>
      </c>
      <c r="AK56" s="14">
        <f t="shared" ca="1" si="14"/>
        <v>0</v>
      </c>
      <c r="AL56" s="14">
        <f t="shared" ca="1" si="14"/>
        <v>0</v>
      </c>
    </row>
    <row r="57" spans="1:38" ht="21" hidden="1" customHeight="1" outlineLevel="1" thickBot="1" x14ac:dyDescent="0.4">
      <c r="A57" s="5">
        <f t="shared" si="15"/>
        <v>0</v>
      </c>
      <c r="B57" s="5">
        <f t="shared" si="15"/>
        <v>0</v>
      </c>
      <c r="C57" s="5">
        <f t="shared" si="15"/>
        <v>1</v>
      </c>
      <c r="D57" s="5">
        <f t="shared" si="15"/>
        <v>0</v>
      </c>
      <c r="E57" s="6" t="str">
        <f t="shared" si="15"/>
        <v>(l)Ge[l]</v>
      </c>
      <c r="F57" s="14">
        <f t="shared" ca="1" si="16"/>
        <v>5.367</v>
      </c>
      <c r="G57" s="14">
        <f t="shared" ca="1" si="14"/>
        <v>0.73660000000000003</v>
      </c>
      <c r="H57" s="14">
        <f t="shared" ca="1" si="14"/>
        <v>-5.534E-2</v>
      </c>
      <c r="I57" s="14">
        <f t="shared" ca="1" si="14"/>
        <v>-0.75560000000000005</v>
      </c>
      <c r="J57" s="14">
        <f t="shared" ca="1" si="14"/>
        <v>-1.3779999999999999</v>
      </c>
      <c r="K57" s="14">
        <f t="shared" ca="1" si="14"/>
        <v>-1.93</v>
      </c>
      <c r="L57" s="14">
        <f t="shared" ca="1" si="14"/>
        <v>-3.5449999999999999</v>
      </c>
      <c r="M57" s="14">
        <f t="shared" ca="1" si="14"/>
        <v>-3.8580000000000001</v>
      </c>
      <c r="N57" s="14">
        <f t="shared" ca="1" si="14"/>
        <v>-4.1520000000000001</v>
      </c>
      <c r="O57" s="14">
        <f t="shared" ca="1" si="14"/>
        <v>-4.423</v>
      </c>
      <c r="P57" s="14">
        <f t="shared" ca="1" si="14"/>
        <v>-4.6680000000000001</v>
      </c>
      <c r="Q57" s="14">
        <f t="shared" ca="1" si="14"/>
        <v>-5.2690000000000001</v>
      </c>
      <c r="R57" s="14">
        <f t="shared" ca="1" si="14"/>
        <v>-5.3449999999999998</v>
      </c>
      <c r="S57" s="14">
        <f t="shared" ca="1" si="14"/>
        <v>-5.4130000000000003</v>
      </c>
      <c r="T57" s="14">
        <f t="shared" ca="1" si="14"/>
        <v>-5.4939999999999998</v>
      </c>
      <c r="U57" s="14">
        <f t="shared" ca="1" si="14"/>
        <v>-5.5880000000000001</v>
      </c>
      <c r="V57" s="14">
        <f t="shared" ca="1" si="14"/>
        <v>-6.0519999999999996</v>
      </c>
      <c r="W57" s="14">
        <f t="shared" ca="1" si="14"/>
        <v>-6.5549999999999997</v>
      </c>
      <c r="X57" s="14">
        <f t="shared" ca="1" si="14"/>
        <v>-7.0309999999999997</v>
      </c>
      <c r="Y57" s="14">
        <f t="shared" ca="1" si="14"/>
        <v>0</v>
      </c>
      <c r="Z57" s="14">
        <f t="shared" ca="1" si="14"/>
        <v>0</v>
      </c>
      <c r="AA57" s="14">
        <f t="shared" ca="1" si="14"/>
        <v>0</v>
      </c>
      <c r="AB57" s="14">
        <f t="shared" ca="1" si="14"/>
        <v>0</v>
      </c>
      <c r="AC57" s="14">
        <f t="shared" ca="1" si="14"/>
        <v>0</v>
      </c>
      <c r="AD57" s="14">
        <f t="shared" ca="1" si="14"/>
        <v>0</v>
      </c>
      <c r="AE57" s="14">
        <f t="shared" ca="1" si="14"/>
        <v>0</v>
      </c>
      <c r="AF57" s="14">
        <f t="shared" ca="1" si="14"/>
        <v>0</v>
      </c>
      <c r="AG57" s="14">
        <f t="shared" ca="1" si="14"/>
        <v>0</v>
      </c>
      <c r="AH57" s="14">
        <f t="shared" ca="1" si="14"/>
        <v>0</v>
      </c>
      <c r="AI57" s="14">
        <f t="shared" ca="1" si="14"/>
        <v>0</v>
      </c>
      <c r="AJ57" s="14">
        <f t="shared" ca="1" si="14"/>
        <v>0</v>
      </c>
      <c r="AK57" s="14">
        <f t="shared" ca="1" si="14"/>
        <v>0</v>
      </c>
      <c r="AL57" s="14">
        <f t="shared" ca="1" si="14"/>
        <v>0</v>
      </c>
    </row>
    <row r="58" spans="1:38" ht="21" hidden="1" customHeight="1" outlineLevel="1" thickBot="1" x14ac:dyDescent="0.4">
      <c r="A58" s="5">
        <f t="shared" si="15"/>
        <v>0</v>
      </c>
      <c r="B58" s="5">
        <f t="shared" si="15"/>
        <v>1</v>
      </c>
      <c r="C58" s="5">
        <f t="shared" si="15"/>
        <v>0</v>
      </c>
      <c r="D58" s="5">
        <f t="shared" si="15"/>
        <v>0</v>
      </c>
      <c r="E58" s="6" t="str">
        <f t="shared" si="15"/>
        <v>(l)Se[l]</v>
      </c>
      <c r="F58" s="14">
        <f t="shared" ca="1" si="16"/>
        <v>-4.8239999999999998</v>
      </c>
      <c r="G58" s="14">
        <f t="shared" ca="1" si="14"/>
        <v>-5.5949999999999998</v>
      </c>
      <c r="H58" s="14">
        <f t="shared" ca="1" si="14"/>
        <v>-5.7880000000000003</v>
      </c>
      <c r="I58" s="14">
        <f t="shared" ca="1" si="14"/>
        <v>-5.9749999999999996</v>
      </c>
      <c r="J58" s="14">
        <f t="shared" ca="1" si="14"/>
        <v>-6.1550000000000002</v>
      </c>
      <c r="K58" s="14">
        <f t="shared" ca="1" si="14"/>
        <v>-6.3259999999999996</v>
      </c>
      <c r="L58" s="14">
        <f t="shared" ca="1" si="14"/>
        <v>-6.8819999999999997</v>
      </c>
      <c r="M58" s="14">
        <f t="shared" ca="1" si="14"/>
        <v>-7.0060000000000002</v>
      </c>
      <c r="N58" s="14">
        <f t="shared" ca="1" si="14"/>
        <v>-7.1319999999999997</v>
      </c>
      <c r="O58" s="14">
        <f t="shared" ca="1" si="14"/>
        <v>-7.2610000000000001</v>
      </c>
      <c r="P58" s="14">
        <f t="shared" ca="1" si="14"/>
        <v>-7.3940000000000001</v>
      </c>
      <c r="Q58" s="14">
        <f t="shared" ca="1" si="14"/>
        <v>-8.0410000000000004</v>
      </c>
      <c r="R58" s="14">
        <f t="shared" ca="1" si="14"/>
        <v>-8.2520000000000007</v>
      </c>
      <c r="S58" s="14">
        <f t="shared" ca="1" si="14"/>
        <v>-8.4819999999999993</v>
      </c>
      <c r="T58" s="14">
        <f t="shared" ca="1" si="14"/>
        <v>-8.7279999999999998</v>
      </c>
      <c r="U58" s="14">
        <f t="shared" ca="1" si="14"/>
        <v>-8.9819999999999993</v>
      </c>
      <c r="V58" s="14">
        <f t="shared" ca="1" si="14"/>
        <v>-9.968</v>
      </c>
      <c r="W58" s="14">
        <f t="shared" ca="1" si="14"/>
        <v>-10.83</v>
      </c>
      <c r="X58" s="14">
        <f t="shared" ca="1" si="14"/>
        <v>-11.56</v>
      </c>
      <c r="Y58" s="14">
        <f t="shared" ca="1" si="14"/>
        <v>0</v>
      </c>
      <c r="Z58" s="14">
        <f t="shared" ca="1" si="14"/>
        <v>0</v>
      </c>
      <c r="AA58" s="14">
        <f t="shared" ca="1" si="14"/>
        <v>0</v>
      </c>
      <c r="AB58" s="14">
        <f t="shared" ca="1" si="14"/>
        <v>0</v>
      </c>
      <c r="AC58" s="14">
        <f t="shared" ca="1" si="14"/>
        <v>0</v>
      </c>
      <c r="AD58" s="14">
        <f t="shared" ca="1" si="14"/>
        <v>0</v>
      </c>
      <c r="AE58" s="14">
        <f t="shared" ca="1" si="14"/>
        <v>0</v>
      </c>
      <c r="AF58" s="14">
        <f t="shared" ca="1" si="14"/>
        <v>0</v>
      </c>
      <c r="AG58" s="14">
        <f t="shared" ca="1" si="14"/>
        <v>0</v>
      </c>
      <c r="AH58" s="14">
        <f t="shared" ca="1" si="14"/>
        <v>0</v>
      </c>
      <c r="AI58" s="14">
        <f t="shared" ca="1" si="14"/>
        <v>0</v>
      </c>
      <c r="AJ58" s="14">
        <f t="shared" ca="1" si="14"/>
        <v>0</v>
      </c>
      <c r="AK58" s="14">
        <f t="shared" ca="1" si="14"/>
        <v>0</v>
      </c>
      <c r="AL58" s="14">
        <f t="shared" ca="1" si="14"/>
        <v>0</v>
      </c>
    </row>
    <row r="59" spans="1:38" ht="21" hidden="1" customHeight="1" outlineLevel="1" thickBot="1" x14ac:dyDescent="0.4">
      <c r="A59" s="5">
        <f t="shared" si="15"/>
        <v>0</v>
      </c>
      <c r="B59" s="5">
        <f t="shared" si="15"/>
        <v>0</v>
      </c>
      <c r="C59" s="5">
        <f t="shared" si="15"/>
        <v>0</v>
      </c>
      <c r="D59" s="5">
        <f t="shared" si="15"/>
        <v>0</v>
      </c>
      <c r="E59" s="6" t="str">
        <f t="shared" si="15"/>
        <v>H (Аг)</v>
      </c>
      <c r="F59" s="14">
        <f t="shared" ca="1" si="16"/>
        <v>0</v>
      </c>
      <c r="G59" s="14">
        <f t="shared" ca="1" si="14"/>
        <v>0</v>
      </c>
      <c r="H59" s="14">
        <f t="shared" ca="1" si="14"/>
        <v>0</v>
      </c>
      <c r="I59" s="14">
        <f t="shared" ca="1" si="14"/>
        <v>0</v>
      </c>
      <c r="J59" s="14">
        <f t="shared" ca="1" si="14"/>
        <v>0</v>
      </c>
      <c r="K59" s="14">
        <f t="shared" ca="1" si="14"/>
        <v>0</v>
      </c>
      <c r="L59" s="14">
        <f t="shared" ca="1" si="14"/>
        <v>0</v>
      </c>
      <c r="M59" s="14">
        <f t="shared" ca="1" si="14"/>
        <v>0</v>
      </c>
      <c r="N59" s="14">
        <f t="shared" ca="1" si="14"/>
        <v>0</v>
      </c>
      <c r="O59" s="14">
        <f t="shared" ca="1" si="14"/>
        <v>0</v>
      </c>
      <c r="P59" s="14">
        <f t="shared" ca="1" si="14"/>
        <v>0</v>
      </c>
      <c r="Q59" s="14">
        <f t="shared" ca="1" si="14"/>
        <v>0</v>
      </c>
      <c r="R59" s="14">
        <f t="shared" ca="1" si="14"/>
        <v>0</v>
      </c>
      <c r="S59" s="14">
        <f t="shared" ca="1" si="14"/>
        <v>0</v>
      </c>
      <c r="T59" s="14">
        <f t="shared" ca="1" si="14"/>
        <v>0</v>
      </c>
      <c r="U59" s="14">
        <f t="shared" ca="1" si="14"/>
        <v>0</v>
      </c>
      <c r="V59" s="14">
        <f t="shared" ca="1" si="14"/>
        <v>0</v>
      </c>
      <c r="W59" s="14">
        <f t="shared" ca="1" si="14"/>
        <v>0</v>
      </c>
      <c r="X59" s="14">
        <f t="shared" ca="1" si="14"/>
        <v>0</v>
      </c>
      <c r="Y59" s="14">
        <f t="shared" ca="1" si="14"/>
        <v>0</v>
      </c>
      <c r="Z59" s="14">
        <f t="shared" ca="1" si="14"/>
        <v>0</v>
      </c>
      <c r="AA59" s="14">
        <f t="shared" ca="1" si="14"/>
        <v>0</v>
      </c>
      <c r="AB59" s="14">
        <f t="shared" ca="1" si="14"/>
        <v>0</v>
      </c>
      <c r="AC59" s="14">
        <f t="shared" ca="1" si="14"/>
        <v>0</v>
      </c>
      <c r="AD59" s="14">
        <f t="shared" ca="1" si="14"/>
        <v>0</v>
      </c>
      <c r="AE59" s="14">
        <f t="shared" ca="1" si="14"/>
        <v>0</v>
      </c>
      <c r="AF59" s="14">
        <f t="shared" ca="1" si="14"/>
        <v>0</v>
      </c>
      <c r="AG59" s="14">
        <f t="shared" ca="1" si="14"/>
        <v>0</v>
      </c>
      <c r="AH59" s="14">
        <f t="shared" ca="1" si="14"/>
        <v>0</v>
      </c>
      <c r="AI59" s="14">
        <f t="shared" ca="1" si="14"/>
        <v>0</v>
      </c>
      <c r="AJ59" s="14">
        <f t="shared" ca="1" si="14"/>
        <v>0</v>
      </c>
      <c r="AK59" s="14">
        <f t="shared" ca="1" si="14"/>
        <v>0</v>
      </c>
      <c r="AL59" s="14">
        <f t="shared" ca="1" si="14"/>
        <v>0</v>
      </c>
    </row>
    <row r="60" spans="1:38" ht="21" hidden="1" customHeight="1" outlineLevel="1" thickBot="1" x14ac:dyDescent="0.4">
      <c r="A60" s="5">
        <f t="shared" si="15"/>
        <v>0</v>
      </c>
      <c r="B60" s="5">
        <f t="shared" si="15"/>
        <v>0</v>
      </c>
      <c r="C60" s="5">
        <f t="shared" si="15"/>
        <v>0</v>
      </c>
      <c r="D60" s="5">
        <f t="shared" si="15"/>
        <v>1</v>
      </c>
      <c r="E60" s="6" t="str">
        <f t="shared" si="15"/>
        <v>H (Ga)</v>
      </c>
      <c r="F60" s="14">
        <f t="shared" ca="1" si="16"/>
        <v>-6.2460000000000004</v>
      </c>
      <c r="G60" s="14">
        <f t="shared" ca="1" si="14"/>
        <v>-7.1479999999999997</v>
      </c>
      <c r="H60" s="14">
        <f t="shared" ca="1" si="14"/>
        <v>-7.3440000000000003</v>
      </c>
      <c r="I60" s="14">
        <f t="shared" ca="1" si="14"/>
        <v>-7.5309999999999997</v>
      </c>
      <c r="J60" s="14">
        <f t="shared" ca="1" si="14"/>
        <v>-7.7160000000000002</v>
      </c>
      <c r="K60" s="14">
        <f t="shared" ca="1" si="14"/>
        <v>-7.907</v>
      </c>
      <c r="L60" s="14">
        <f t="shared" ca="1" si="14"/>
        <v>-8.98</v>
      </c>
      <c r="M60" s="14">
        <f t="shared" ca="1" si="14"/>
        <v>-9.3170000000000002</v>
      </c>
      <c r="N60" s="14">
        <f t="shared" ca="1" si="14"/>
        <v>-9.6470000000000002</v>
      </c>
      <c r="O60" s="14">
        <f t="shared" ca="1" si="14"/>
        <v>-9.9629999999999992</v>
      </c>
      <c r="P60" s="14">
        <f t="shared" ca="1" si="14"/>
        <v>-10.26</v>
      </c>
      <c r="Q60" s="14">
        <f t="shared" ca="1" si="14"/>
        <v>-11.28</v>
      </c>
      <c r="R60" s="14">
        <f t="shared" ca="1" si="14"/>
        <v>-11.49</v>
      </c>
      <c r="S60" s="14">
        <f t="shared" ca="1" si="14"/>
        <v>-11.66</v>
      </c>
      <c r="T60" s="14">
        <f t="shared" ca="1" si="14"/>
        <v>-11.81</v>
      </c>
      <c r="U60" s="14">
        <f t="shared" ca="1" si="14"/>
        <v>-11.94</v>
      </c>
      <c r="V60" s="14">
        <f t="shared" ca="1" si="14"/>
        <v>-12.34</v>
      </c>
      <c r="W60" s="14">
        <f t="shared" ca="1" si="14"/>
        <v>-12.65</v>
      </c>
      <c r="X60" s="14">
        <f t="shared" ca="1" si="14"/>
        <v>-12.92</v>
      </c>
      <c r="Y60" s="14">
        <f t="shared" ca="1" si="14"/>
        <v>0</v>
      </c>
      <c r="Z60" s="14">
        <f t="shared" ca="1" si="14"/>
        <v>0</v>
      </c>
      <c r="AA60" s="14">
        <f t="shared" ca="1" si="14"/>
        <v>0</v>
      </c>
      <c r="AB60" s="14">
        <f t="shared" ca="1" si="14"/>
        <v>0</v>
      </c>
      <c r="AC60" s="14">
        <f t="shared" ca="1" si="14"/>
        <v>0</v>
      </c>
      <c r="AD60" s="14">
        <f t="shared" ca="1" si="14"/>
        <v>0</v>
      </c>
      <c r="AE60" s="14">
        <f t="shared" ca="1" si="14"/>
        <v>0</v>
      </c>
      <c r="AF60" s="14">
        <f t="shared" ca="1" si="14"/>
        <v>0</v>
      </c>
      <c r="AG60" s="14">
        <f t="shared" ca="1" si="14"/>
        <v>0</v>
      </c>
      <c r="AH60" s="14">
        <f t="shared" ca="1" si="14"/>
        <v>0</v>
      </c>
      <c r="AI60" s="14">
        <f t="shared" ca="1" si="14"/>
        <v>0</v>
      </c>
      <c r="AJ60" s="14">
        <f t="shared" ca="1" si="14"/>
        <v>0</v>
      </c>
      <c r="AK60" s="14">
        <f t="shared" ca="1" si="14"/>
        <v>0</v>
      </c>
      <c r="AL60" s="14">
        <f t="shared" ca="1" si="14"/>
        <v>0</v>
      </c>
    </row>
    <row r="61" spans="1:38" ht="21" hidden="1" customHeight="1" outlineLevel="1" thickBot="1" x14ac:dyDescent="0.4">
      <c r="A61" s="5">
        <f t="shared" si="15"/>
        <v>0</v>
      </c>
      <c r="B61" s="5">
        <f t="shared" si="15"/>
        <v>0</v>
      </c>
      <c r="C61" s="5">
        <f t="shared" si="15"/>
        <v>1</v>
      </c>
      <c r="D61" s="5">
        <f t="shared" si="15"/>
        <v>0</v>
      </c>
      <c r="E61" s="6" t="str">
        <f t="shared" si="15"/>
        <v>H (Ge)</v>
      </c>
      <c r="F61" s="14">
        <f t="shared" ca="1" si="16"/>
        <v>5.367</v>
      </c>
      <c r="G61" s="14">
        <f t="shared" ca="1" si="14"/>
        <v>0.73660000000000003</v>
      </c>
      <c r="H61" s="14">
        <f t="shared" ca="1" si="14"/>
        <v>-5.534E-2</v>
      </c>
      <c r="I61" s="14">
        <f t="shared" ca="1" si="14"/>
        <v>-0.75560000000000005</v>
      </c>
      <c r="J61" s="14">
        <f t="shared" ca="1" si="14"/>
        <v>-1.3779999999999999</v>
      </c>
      <c r="K61" s="14">
        <f t="shared" ca="1" si="14"/>
        <v>-1.93</v>
      </c>
      <c r="L61" s="14">
        <f t="shared" ca="1" si="14"/>
        <v>-3.5449999999999999</v>
      </c>
      <c r="M61" s="14">
        <f t="shared" ca="1" si="14"/>
        <v>-3.8580000000000001</v>
      </c>
      <c r="N61" s="14">
        <f t="shared" ca="1" si="14"/>
        <v>-4.1520000000000001</v>
      </c>
      <c r="O61" s="14">
        <f t="shared" ca="1" si="14"/>
        <v>-4.423</v>
      </c>
      <c r="P61" s="14">
        <f t="shared" ca="1" si="14"/>
        <v>-4.6680000000000001</v>
      </c>
      <c r="Q61" s="14">
        <f t="shared" ca="1" si="14"/>
        <v>-5.2690000000000001</v>
      </c>
      <c r="R61" s="14">
        <f t="shared" ca="1" si="14"/>
        <v>-5.3449999999999998</v>
      </c>
      <c r="S61" s="14">
        <f t="shared" ca="1" si="14"/>
        <v>-5.4130000000000003</v>
      </c>
      <c r="T61" s="14">
        <f t="shared" ca="1" si="14"/>
        <v>-5.4939999999999998</v>
      </c>
      <c r="U61" s="14">
        <f t="shared" ca="1" si="14"/>
        <v>-5.5880000000000001</v>
      </c>
      <c r="V61" s="14">
        <f t="shared" ca="1" si="14"/>
        <v>-6.0519999999999996</v>
      </c>
      <c r="W61" s="14">
        <f t="shared" ca="1" si="14"/>
        <v>-6.5549999999999997</v>
      </c>
      <c r="X61" s="14">
        <f t="shared" ca="1" si="14"/>
        <v>-7.0309999999999997</v>
      </c>
      <c r="Y61" s="14">
        <f t="shared" ca="1" si="14"/>
        <v>0</v>
      </c>
      <c r="Z61" s="14">
        <f t="shared" ca="1" si="14"/>
        <v>0</v>
      </c>
      <c r="AA61" s="14">
        <f t="shared" ca="1" si="14"/>
        <v>0</v>
      </c>
      <c r="AB61" s="14">
        <f t="shared" ca="1" si="14"/>
        <v>0</v>
      </c>
      <c r="AC61" s="14">
        <f t="shared" ca="1" si="14"/>
        <v>0</v>
      </c>
      <c r="AD61" s="14">
        <f t="shared" ca="1" si="14"/>
        <v>0</v>
      </c>
      <c r="AE61" s="14">
        <f t="shared" ca="1" si="14"/>
        <v>0</v>
      </c>
      <c r="AF61" s="14">
        <f t="shared" ca="1" si="14"/>
        <v>0</v>
      </c>
      <c r="AG61" s="14">
        <f t="shared" ca="1" si="14"/>
        <v>0</v>
      </c>
      <c r="AH61" s="14">
        <f t="shared" ca="1" si="14"/>
        <v>0</v>
      </c>
      <c r="AI61" s="14">
        <f t="shared" ca="1" si="14"/>
        <v>0</v>
      </c>
      <c r="AJ61" s="14">
        <f t="shared" ca="1" si="14"/>
        <v>0</v>
      </c>
      <c r="AK61" s="14">
        <f t="shared" ca="1" si="14"/>
        <v>0</v>
      </c>
      <c r="AL61" s="14">
        <f t="shared" ca="1" si="14"/>
        <v>0</v>
      </c>
    </row>
    <row r="62" spans="1:38" ht="21" hidden="1" customHeight="1" outlineLevel="1" thickBot="1" x14ac:dyDescent="0.4">
      <c r="A62" s="5">
        <f t="shared" si="15"/>
        <v>0</v>
      </c>
      <c r="B62" s="5">
        <f t="shared" si="15"/>
        <v>1</v>
      </c>
      <c r="C62" s="5">
        <f t="shared" si="15"/>
        <v>0</v>
      </c>
      <c r="D62" s="5">
        <f t="shared" si="15"/>
        <v>0</v>
      </c>
      <c r="E62" s="6" t="str">
        <f t="shared" si="15"/>
        <v>H (Se)</v>
      </c>
      <c r="F62" s="14">
        <f t="shared" ca="1" si="16"/>
        <v>-4.8239999999999998</v>
      </c>
      <c r="G62" s="14">
        <f t="shared" ca="1" si="14"/>
        <v>-5.5949999999999998</v>
      </c>
      <c r="H62" s="14">
        <f t="shared" ca="1" si="14"/>
        <v>-5.7880000000000003</v>
      </c>
      <c r="I62" s="14">
        <f t="shared" ca="1" si="14"/>
        <v>-5.9749999999999996</v>
      </c>
      <c r="J62" s="14">
        <f t="shared" ca="1" si="14"/>
        <v>-6.1550000000000002</v>
      </c>
      <c r="K62" s="14">
        <f t="shared" ca="1" si="14"/>
        <v>-6.3259999999999996</v>
      </c>
      <c r="L62" s="14">
        <f t="shared" ca="1" si="14"/>
        <v>-6.8819999999999997</v>
      </c>
      <c r="M62" s="14">
        <f t="shared" ca="1" si="14"/>
        <v>-7.0060000000000002</v>
      </c>
      <c r="N62" s="14">
        <f t="shared" ca="1" si="14"/>
        <v>-7.1319999999999997</v>
      </c>
      <c r="O62" s="14">
        <f t="shared" ca="1" si="14"/>
        <v>-7.2610000000000001</v>
      </c>
      <c r="P62" s="14">
        <f t="shared" ca="1" si="14"/>
        <v>-7.3940000000000001</v>
      </c>
      <c r="Q62" s="14">
        <f t="shared" ca="1" si="14"/>
        <v>-8.0410000000000004</v>
      </c>
      <c r="R62" s="14">
        <f t="shared" ca="1" si="14"/>
        <v>-8.2520000000000007</v>
      </c>
      <c r="S62" s="14">
        <f t="shared" ca="1" si="14"/>
        <v>-8.4819999999999993</v>
      </c>
      <c r="T62" s="14">
        <f t="shared" ca="1" si="14"/>
        <v>-8.7279999999999998</v>
      </c>
      <c r="U62" s="14">
        <f t="shared" ca="1" si="14"/>
        <v>-8.9819999999999993</v>
      </c>
      <c r="V62" s="14">
        <f t="shared" ca="1" si="14"/>
        <v>-9.968</v>
      </c>
      <c r="W62" s="14">
        <f t="shared" ca="1" si="14"/>
        <v>-10.83</v>
      </c>
      <c r="X62" s="14">
        <f t="shared" ca="1" si="14"/>
        <v>-11.56</v>
      </c>
      <c r="Y62" s="14">
        <f t="shared" ca="1" si="14"/>
        <v>0</v>
      </c>
      <c r="Z62" s="14">
        <f t="shared" ca="1" si="14"/>
        <v>0</v>
      </c>
      <c r="AA62" s="14">
        <f t="shared" ca="1" si="14"/>
        <v>0</v>
      </c>
      <c r="AB62" s="14">
        <f t="shared" ca="1" si="14"/>
        <v>0</v>
      </c>
      <c r="AC62" s="14">
        <f t="shared" ca="1" si="14"/>
        <v>0</v>
      </c>
      <c r="AD62" s="14">
        <f t="shared" ca="1" si="14"/>
        <v>0</v>
      </c>
      <c r="AE62" s="14">
        <f t="shared" ca="1" si="14"/>
        <v>0</v>
      </c>
      <c r="AF62" s="14">
        <f t="shared" ca="1" si="14"/>
        <v>0</v>
      </c>
      <c r="AG62" s="14">
        <f t="shared" ca="1" si="14"/>
        <v>0</v>
      </c>
      <c r="AH62" s="14">
        <f t="shared" ca="1" si="14"/>
        <v>0</v>
      </c>
      <c r="AI62" s="14">
        <f t="shared" ref="AI62:AL62" ca="1" si="17">$A62*H.Ar + $B62*H.Se + $C62*H.Ge + $D62*H.Ga</f>
        <v>0</v>
      </c>
      <c r="AJ62" s="14">
        <f t="shared" ca="1" si="17"/>
        <v>0</v>
      </c>
      <c r="AK62" s="14">
        <f t="shared" ca="1" si="17"/>
        <v>0</v>
      </c>
      <c r="AL62" s="14">
        <f t="shared" ca="1" si="17"/>
        <v>0</v>
      </c>
    </row>
    <row r="63" spans="1:38" ht="21" hidden="1" customHeight="1" outlineLevel="1" thickBot="1" x14ac:dyDescent="0.4">
      <c r="A63" s="5">
        <f t="shared" si="15"/>
        <v>0</v>
      </c>
      <c r="B63" s="5">
        <f t="shared" si="15"/>
        <v>0</v>
      </c>
      <c r="C63" s="5">
        <f t="shared" si="15"/>
        <v>0</v>
      </c>
      <c r="D63" s="5">
        <f t="shared" si="15"/>
        <v>0</v>
      </c>
      <c r="E63" s="6">
        <f t="shared" si="15"/>
        <v>0</v>
      </c>
      <c r="F63" s="14">
        <f t="shared" ca="1" si="16"/>
        <v>0</v>
      </c>
      <c r="G63" s="14">
        <f t="shared" ref="G63:AL71" ca="1" si="18">$A63*H.Ar + $B63*H.Se + $C63*H.Ge + $D63*H.Ga</f>
        <v>0</v>
      </c>
      <c r="H63" s="14">
        <f t="shared" ca="1" si="18"/>
        <v>0</v>
      </c>
      <c r="I63" s="14">
        <f t="shared" ca="1" si="18"/>
        <v>0</v>
      </c>
      <c r="J63" s="14">
        <f t="shared" ca="1" si="18"/>
        <v>0</v>
      </c>
      <c r="K63" s="14">
        <f t="shared" ca="1" si="18"/>
        <v>0</v>
      </c>
      <c r="L63" s="14">
        <f t="shared" ca="1" si="18"/>
        <v>0</v>
      </c>
      <c r="M63" s="14">
        <f t="shared" ca="1" si="18"/>
        <v>0</v>
      </c>
      <c r="N63" s="14">
        <f t="shared" ca="1" si="18"/>
        <v>0</v>
      </c>
      <c r="O63" s="14">
        <f t="shared" ca="1" si="18"/>
        <v>0</v>
      </c>
      <c r="P63" s="14">
        <f t="shared" ca="1" si="18"/>
        <v>0</v>
      </c>
      <c r="Q63" s="14">
        <f t="shared" ca="1" si="18"/>
        <v>0</v>
      </c>
      <c r="R63" s="14">
        <f t="shared" ca="1" si="18"/>
        <v>0</v>
      </c>
      <c r="S63" s="14">
        <f t="shared" ca="1" si="18"/>
        <v>0</v>
      </c>
      <c r="T63" s="14">
        <f t="shared" ca="1" si="18"/>
        <v>0</v>
      </c>
      <c r="U63" s="14">
        <f t="shared" ca="1" si="18"/>
        <v>0</v>
      </c>
      <c r="V63" s="14">
        <f t="shared" ca="1" si="18"/>
        <v>0</v>
      </c>
      <c r="W63" s="14">
        <f t="shared" ca="1" si="18"/>
        <v>0</v>
      </c>
      <c r="X63" s="14">
        <f t="shared" ca="1" si="18"/>
        <v>0</v>
      </c>
      <c r="Y63" s="14">
        <f t="shared" ca="1" si="18"/>
        <v>0</v>
      </c>
      <c r="Z63" s="14">
        <f t="shared" ca="1" si="18"/>
        <v>0</v>
      </c>
      <c r="AA63" s="14">
        <f t="shared" ca="1" si="18"/>
        <v>0</v>
      </c>
      <c r="AB63" s="14">
        <f t="shared" ca="1" si="18"/>
        <v>0</v>
      </c>
      <c r="AC63" s="14">
        <f t="shared" ca="1" si="18"/>
        <v>0</v>
      </c>
      <c r="AD63" s="14">
        <f t="shared" ca="1" si="18"/>
        <v>0</v>
      </c>
      <c r="AE63" s="14">
        <f t="shared" ca="1" si="18"/>
        <v>0</v>
      </c>
      <c r="AF63" s="14">
        <f t="shared" ca="1" si="18"/>
        <v>0</v>
      </c>
      <c r="AG63" s="14">
        <f t="shared" ca="1" si="18"/>
        <v>0</v>
      </c>
      <c r="AH63" s="14">
        <f t="shared" ca="1" si="18"/>
        <v>0</v>
      </c>
      <c r="AI63" s="14">
        <f t="shared" ca="1" si="18"/>
        <v>0</v>
      </c>
      <c r="AJ63" s="14">
        <f t="shared" ca="1" si="18"/>
        <v>0</v>
      </c>
      <c r="AK63" s="14">
        <f t="shared" ca="1" si="18"/>
        <v>0</v>
      </c>
      <c r="AL63" s="14">
        <f t="shared" ca="1" si="18"/>
        <v>0</v>
      </c>
    </row>
    <row r="64" spans="1:38" ht="21" hidden="1" customHeight="1" outlineLevel="1" thickBot="1" x14ac:dyDescent="0.4">
      <c r="A64" s="5">
        <f t="shared" si="15"/>
        <v>0</v>
      </c>
      <c r="B64" s="5">
        <f t="shared" si="15"/>
        <v>0</v>
      </c>
      <c r="C64" s="5">
        <f t="shared" si="15"/>
        <v>0</v>
      </c>
      <c r="D64" s="5">
        <f t="shared" si="15"/>
        <v>0</v>
      </c>
      <c r="E64" s="6">
        <f t="shared" si="15"/>
        <v>0</v>
      </c>
      <c r="F64" s="14">
        <f t="shared" ca="1" si="16"/>
        <v>0</v>
      </c>
      <c r="G64" s="14">
        <f t="shared" ca="1" si="18"/>
        <v>0</v>
      </c>
      <c r="H64" s="14">
        <f t="shared" ca="1" si="18"/>
        <v>0</v>
      </c>
      <c r="I64" s="14">
        <f t="shared" ca="1" si="18"/>
        <v>0</v>
      </c>
      <c r="J64" s="14">
        <f t="shared" ca="1" si="18"/>
        <v>0</v>
      </c>
      <c r="K64" s="14">
        <f t="shared" ca="1" si="18"/>
        <v>0</v>
      </c>
      <c r="L64" s="14">
        <f t="shared" ca="1" si="18"/>
        <v>0</v>
      </c>
      <c r="M64" s="14">
        <f t="shared" ca="1" si="18"/>
        <v>0</v>
      </c>
      <c r="N64" s="14">
        <f t="shared" ca="1" si="18"/>
        <v>0</v>
      </c>
      <c r="O64" s="14">
        <f t="shared" ca="1" si="18"/>
        <v>0</v>
      </c>
      <c r="P64" s="14">
        <f t="shared" ca="1" si="18"/>
        <v>0</v>
      </c>
      <c r="Q64" s="14">
        <f t="shared" ca="1" si="18"/>
        <v>0</v>
      </c>
      <c r="R64" s="14">
        <f t="shared" ca="1" si="18"/>
        <v>0</v>
      </c>
      <c r="S64" s="14">
        <f t="shared" ca="1" si="18"/>
        <v>0</v>
      </c>
      <c r="T64" s="14">
        <f t="shared" ca="1" si="18"/>
        <v>0</v>
      </c>
      <c r="U64" s="14">
        <f t="shared" ca="1" si="18"/>
        <v>0</v>
      </c>
      <c r="V64" s="14">
        <f t="shared" ca="1" si="18"/>
        <v>0</v>
      </c>
      <c r="W64" s="14">
        <f t="shared" ca="1" si="18"/>
        <v>0</v>
      </c>
      <c r="X64" s="14">
        <f t="shared" ca="1" si="18"/>
        <v>0</v>
      </c>
      <c r="Y64" s="14">
        <f t="shared" ca="1" si="18"/>
        <v>0</v>
      </c>
      <c r="Z64" s="14">
        <f t="shared" ca="1" si="18"/>
        <v>0</v>
      </c>
      <c r="AA64" s="14">
        <f t="shared" ca="1" si="18"/>
        <v>0</v>
      </c>
      <c r="AB64" s="14">
        <f t="shared" ca="1" si="18"/>
        <v>0</v>
      </c>
      <c r="AC64" s="14">
        <f t="shared" ca="1" si="18"/>
        <v>0</v>
      </c>
      <c r="AD64" s="14">
        <f t="shared" ca="1" si="18"/>
        <v>0</v>
      </c>
      <c r="AE64" s="14">
        <f t="shared" ca="1" si="18"/>
        <v>0</v>
      </c>
      <c r="AF64" s="14">
        <f t="shared" ca="1" si="18"/>
        <v>0</v>
      </c>
      <c r="AG64" s="14">
        <f t="shared" ca="1" si="18"/>
        <v>0</v>
      </c>
      <c r="AH64" s="14">
        <f t="shared" ca="1" si="18"/>
        <v>0</v>
      </c>
      <c r="AI64" s="14">
        <f t="shared" ca="1" si="18"/>
        <v>0</v>
      </c>
      <c r="AJ64" s="14">
        <f t="shared" ca="1" si="18"/>
        <v>0</v>
      </c>
      <c r="AK64" s="14">
        <f t="shared" ca="1" si="18"/>
        <v>0</v>
      </c>
      <c r="AL64" s="14">
        <f t="shared" ca="1" si="18"/>
        <v>0</v>
      </c>
    </row>
    <row r="65" spans="1:54" ht="21" hidden="1" customHeight="1" outlineLevel="1" thickBot="1" x14ac:dyDescent="0.4">
      <c r="A65" s="5">
        <f t="shared" si="15"/>
        <v>0</v>
      </c>
      <c r="B65" s="5">
        <f t="shared" si="15"/>
        <v>0</v>
      </c>
      <c r="C65" s="5">
        <f t="shared" si="15"/>
        <v>0</v>
      </c>
      <c r="D65" s="5">
        <f t="shared" si="15"/>
        <v>0</v>
      </c>
      <c r="E65" s="6">
        <f t="shared" si="15"/>
        <v>0</v>
      </c>
      <c r="F65" s="14">
        <f t="shared" ca="1" si="16"/>
        <v>0</v>
      </c>
      <c r="G65" s="14">
        <f t="shared" ca="1" si="18"/>
        <v>0</v>
      </c>
      <c r="H65" s="14">
        <f t="shared" ca="1" si="18"/>
        <v>0</v>
      </c>
      <c r="I65" s="14">
        <f t="shared" ca="1" si="18"/>
        <v>0</v>
      </c>
      <c r="J65" s="14">
        <f t="shared" ca="1" si="18"/>
        <v>0</v>
      </c>
      <c r="K65" s="14">
        <f t="shared" ca="1" si="18"/>
        <v>0</v>
      </c>
      <c r="L65" s="14">
        <f t="shared" ca="1" si="18"/>
        <v>0</v>
      </c>
      <c r="M65" s="14">
        <f t="shared" ca="1" si="18"/>
        <v>0</v>
      </c>
      <c r="N65" s="14">
        <f t="shared" ca="1" si="18"/>
        <v>0</v>
      </c>
      <c r="O65" s="14">
        <f t="shared" ca="1" si="18"/>
        <v>0</v>
      </c>
      <c r="P65" s="14">
        <f t="shared" ca="1" si="18"/>
        <v>0</v>
      </c>
      <c r="Q65" s="14">
        <f t="shared" ca="1" si="18"/>
        <v>0</v>
      </c>
      <c r="R65" s="14">
        <f t="shared" ca="1" si="18"/>
        <v>0</v>
      </c>
      <c r="S65" s="14">
        <f t="shared" ca="1" si="18"/>
        <v>0</v>
      </c>
      <c r="T65" s="14">
        <f t="shared" ca="1" si="18"/>
        <v>0</v>
      </c>
      <c r="U65" s="14">
        <f t="shared" ca="1" si="18"/>
        <v>0</v>
      </c>
      <c r="V65" s="14">
        <f t="shared" ca="1" si="18"/>
        <v>0</v>
      </c>
      <c r="W65" s="14">
        <f t="shared" ca="1" si="18"/>
        <v>0</v>
      </c>
      <c r="X65" s="14">
        <f t="shared" ca="1" si="18"/>
        <v>0</v>
      </c>
      <c r="Y65" s="14">
        <f t="shared" ca="1" si="18"/>
        <v>0</v>
      </c>
      <c r="Z65" s="14">
        <f t="shared" ca="1" si="18"/>
        <v>0</v>
      </c>
      <c r="AA65" s="14">
        <f t="shared" ca="1" si="18"/>
        <v>0</v>
      </c>
      <c r="AB65" s="14">
        <f t="shared" ca="1" si="18"/>
        <v>0</v>
      </c>
      <c r="AC65" s="14">
        <f t="shared" ca="1" si="18"/>
        <v>0</v>
      </c>
      <c r="AD65" s="14">
        <f t="shared" ca="1" si="18"/>
        <v>0</v>
      </c>
      <c r="AE65" s="14">
        <f t="shared" ca="1" si="18"/>
        <v>0</v>
      </c>
      <c r="AF65" s="14">
        <f t="shared" ca="1" si="18"/>
        <v>0</v>
      </c>
      <c r="AG65" s="14">
        <f t="shared" ca="1" si="18"/>
        <v>0</v>
      </c>
      <c r="AH65" s="14">
        <f t="shared" ca="1" si="18"/>
        <v>0</v>
      </c>
      <c r="AI65" s="14">
        <f t="shared" ca="1" si="18"/>
        <v>0</v>
      </c>
      <c r="AJ65" s="14">
        <f t="shared" ca="1" si="18"/>
        <v>0</v>
      </c>
      <c r="AK65" s="14">
        <f t="shared" ca="1" si="18"/>
        <v>0</v>
      </c>
      <c r="AL65" s="14">
        <f t="shared" ca="1" si="18"/>
        <v>0</v>
      </c>
    </row>
    <row r="66" spans="1:54" ht="21" hidden="1" customHeight="1" outlineLevel="1" thickBot="1" x14ac:dyDescent="0.4">
      <c r="A66" s="5">
        <f t="shared" ref="A66:E75" si="19">A24</f>
        <v>0</v>
      </c>
      <c r="B66" s="5">
        <f t="shared" si="19"/>
        <v>0</v>
      </c>
      <c r="C66" s="5">
        <f t="shared" si="19"/>
        <v>0</v>
      </c>
      <c r="D66" s="5">
        <f t="shared" si="19"/>
        <v>0</v>
      </c>
      <c r="E66" s="6">
        <f t="shared" si="19"/>
        <v>0</v>
      </c>
      <c r="F66" s="14">
        <f t="shared" ref="F66:U74" ca="1" si="20">$A66*H.Ar + $B66*H.Se + $C66*H.Ge + $D66*H.Ga</f>
        <v>0</v>
      </c>
      <c r="G66" s="14">
        <f t="shared" ca="1" si="20"/>
        <v>0</v>
      </c>
      <c r="H66" s="14">
        <f t="shared" ca="1" si="20"/>
        <v>0</v>
      </c>
      <c r="I66" s="14">
        <f t="shared" ca="1" si="20"/>
        <v>0</v>
      </c>
      <c r="J66" s="14">
        <f t="shared" ca="1" si="20"/>
        <v>0</v>
      </c>
      <c r="K66" s="14">
        <f t="shared" ca="1" si="20"/>
        <v>0</v>
      </c>
      <c r="L66" s="14">
        <f t="shared" ca="1" si="20"/>
        <v>0</v>
      </c>
      <c r="M66" s="14">
        <f t="shared" ca="1" si="20"/>
        <v>0</v>
      </c>
      <c r="N66" s="14">
        <f t="shared" ca="1" si="20"/>
        <v>0</v>
      </c>
      <c r="O66" s="14">
        <f t="shared" ca="1" si="20"/>
        <v>0</v>
      </c>
      <c r="P66" s="14">
        <f t="shared" ca="1" si="20"/>
        <v>0</v>
      </c>
      <c r="Q66" s="14">
        <f t="shared" ca="1" si="20"/>
        <v>0</v>
      </c>
      <c r="R66" s="14">
        <f t="shared" ca="1" si="20"/>
        <v>0</v>
      </c>
      <c r="S66" s="14">
        <f t="shared" ca="1" si="20"/>
        <v>0</v>
      </c>
      <c r="T66" s="14">
        <f t="shared" ca="1" si="20"/>
        <v>0</v>
      </c>
      <c r="U66" s="14">
        <f t="shared" ca="1" si="20"/>
        <v>0</v>
      </c>
      <c r="V66" s="14">
        <f t="shared" ca="1" si="18"/>
        <v>0</v>
      </c>
      <c r="W66" s="14">
        <f t="shared" ca="1" si="18"/>
        <v>0</v>
      </c>
      <c r="X66" s="14">
        <f t="shared" ca="1" si="18"/>
        <v>0</v>
      </c>
      <c r="Y66" s="14">
        <f t="shared" ca="1" si="18"/>
        <v>0</v>
      </c>
      <c r="Z66" s="14">
        <f t="shared" ca="1" si="18"/>
        <v>0</v>
      </c>
      <c r="AA66" s="14">
        <f t="shared" ca="1" si="18"/>
        <v>0</v>
      </c>
      <c r="AB66" s="14">
        <f t="shared" ca="1" si="18"/>
        <v>0</v>
      </c>
      <c r="AC66" s="14">
        <f t="shared" ca="1" si="18"/>
        <v>0</v>
      </c>
      <c r="AD66" s="14">
        <f t="shared" ca="1" si="18"/>
        <v>0</v>
      </c>
      <c r="AE66" s="14">
        <f t="shared" ca="1" si="18"/>
        <v>0</v>
      </c>
      <c r="AF66" s="14">
        <f t="shared" ca="1" si="18"/>
        <v>0</v>
      </c>
      <c r="AG66" s="14">
        <f t="shared" ca="1" si="18"/>
        <v>0</v>
      </c>
      <c r="AH66" s="14">
        <f t="shared" ca="1" si="18"/>
        <v>0</v>
      </c>
      <c r="AI66" s="14">
        <f t="shared" ca="1" si="18"/>
        <v>0</v>
      </c>
      <c r="AJ66" s="14">
        <f t="shared" ca="1" si="18"/>
        <v>0</v>
      </c>
      <c r="AK66" s="14">
        <f t="shared" ca="1" si="18"/>
        <v>0</v>
      </c>
      <c r="AL66" s="14">
        <f t="shared" ca="1" si="18"/>
        <v>0</v>
      </c>
    </row>
    <row r="67" spans="1:54" ht="21" hidden="1" customHeight="1" outlineLevel="1" thickBot="1" x14ac:dyDescent="0.4">
      <c r="A67" s="5">
        <f t="shared" si="19"/>
        <v>0</v>
      </c>
      <c r="B67" s="5">
        <f t="shared" si="19"/>
        <v>0</v>
      </c>
      <c r="C67" s="5">
        <f t="shared" si="19"/>
        <v>0</v>
      </c>
      <c r="D67" s="5">
        <f t="shared" si="19"/>
        <v>0</v>
      </c>
      <c r="E67" s="6">
        <f t="shared" si="19"/>
        <v>0</v>
      </c>
      <c r="F67" s="14">
        <f t="shared" ca="1" si="20"/>
        <v>0</v>
      </c>
      <c r="G67" s="14">
        <f t="shared" ca="1" si="18"/>
        <v>0</v>
      </c>
      <c r="H67" s="14">
        <f t="shared" ca="1" si="18"/>
        <v>0</v>
      </c>
      <c r="I67" s="14">
        <f t="shared" ca="1" si="18"/>
        <v>0</v>
      </c>
      <c r="J67" s="14">
        <f t="shared" ca="1" si="18"/>
        <v>0</v>
      </c>
      <c r="K67" s="14">
        <f t="shared" ca="1" si="18"/>
        <v>0</v>
      </c>
      <c r="L67" s="14">
        <f t="shared" ca="1" si="18"/>
        <v>0</v>
      </c>
      <c r="M67" s="14">
        <f t="shared" ca="1" si="18"/>
        <v>0</v>
      </c>
      <c r="N67" s="14">
        <f t="shared" ca="1" si="18"/>
        <v>0</v>
      </c>
      <c r="O67" s="14">
        <f t="shared" ca="1" si="18"/>
        <v>0</v>
      </c>
      <c r="P67" s="14">
        <f t="shared" ca="1" si="18"/>
        <v>0</v>
      </c>
      <c r="Q67" s="14">
        <f t="shared" ca="1" si="18"/>
        <v>0</v>
      </c>
      <c r="R67" s="14">
        <f t="shared" ca="1" si="18"/>
        <v>0</v>
      </c>
      <c r="S67" s="14">
        <f t="shared" ca="1" si="18"/>
        <v>0</v>
      </c>
      <c r="T67" s="14">
        <f t="shared" ca="1" si="18"/>
        <v>0</v>
      </c>
      <c r="U67" s="14">
        <f t="shared" ca="1" si="18"/>
        <v>0</v>
      </c>
      <c r="V67" s="14">
        <f t="shared" ca="1" si="18"/>
        <v>0</v>
      </c>
      <c r="W67" s="14">
        <f t="shared" ca="1" si="18"/>
        <v>0</v>
      </c>
      <c r="X67" s="14">
        <f t="shared" ca="1" si="18"/>
        <v>0</v>
      </c>
      <c r="Y67" s="14">
        <f t="shared" ca="1" si="18"/>
        <v>0</v>
      </c>
      <c r="Z67" s="14">
        <f t="shared" ca="1" si="18"/>
        <v>0</v>
      </c>
      <c r="AA67" s="14">
        <f t="shared" ca="1" si="18"/>
        <v>0</v>
      </c>
      <c r="AB67" s="14">
        <f t="shared" ca="1" si="18"/>
        <v>0</v>
      </c>
      <c r="AC67" s="14">
        <f t="shared" ca="1" si="18"/>
        <v>0</v>
      </c>
      <c r="AD67" s="14">
        <f t="shared" ca="1" si="18"/>
        <v>0</v>
      </c>
      <c r="AE67" s="14">
        <f t="shared" ca="1" si="18"/>
        <v>0</v>
      </c>
      <c r="AF67" s="14">
        <f t="shared" ca="1" si="18"/>
        <v>0</v>
      </c>
      <c r="AG67" s="14">
        <f t="shared" ca="1" si="18"/>
        <v>0</v>
      </c>
      <c r="AH67" s="14">
        <f t="shared" ca="1" si="18"/>
        <v>0</v>
      </c>
      <c r="AI67" s="14">
        <f t="shared" ca="1" si="18"/>
        <v>0</v>
      </c>
      <c r="AJ67" s="14">
        <f t="shared" ca="1" si="18"/>
        <v>0</v>
      </c>
      <c r="AK67" s="14">
        <f t="shared" ca="1" si="18"/>
        <v>0</v>
      </c>
      <c r="AL67" s="14">
        <f t="shared" ca="1" si="18"/>
        <v>0</v>
      </c>
    </row>
    <row r="68" spans="1:54" ht="21" hidden="1" customHeight="1" outlineLevel="1" thickBot="1" x14ac:dyDescent="0.4">
      <c r="A68" s="5">
        <f t="shared" si="19"/>
        <v>0</v>
      </c>
      <c r="B68" s="5">
        <f t="shared" si="19"/>
        <v>0</v>
      </c>
      <c r="C68" s="5">
        <f t="shared" si="19"/>
        <v>0</v>
      </c>
      <c r="D68" s="5">
        <f t="shared" si="19"/>
        <v>0</v>
      </c>
      <c r="E68" s="6">
        <f t="shared" si="19"/>
        <v>0</v>
      </c>
      <c r="F68" s="14">
        <f t="shared" ca="1" si="20"/>
        <v>0</v>
      </c>
      <c r="G68" s="14">
        <f t="shared" ca="1" si="18"/>
        <v>0</v>
      </c>
      <c r="H68" s="14">
        <f t="shared" ca="1" si="18"/>
        <v>0</v>
      </c>
      <c r="I68" s="14">
        <f t="shared" ca="1" si="18"/>
        <v>0</v>
      </c>
      <c r="J68" s="14">
        <f t="shared" ca="1" si="18"/>
        <v>0</v>
      </c>
      <c r="K68" s="14">
        <f t="shared" ca="1" si="18"/>
        <v>0</v>
      </c>
      <c r="L68" s="14">
        <f t="shared" ca="1" si="18"/>
        <v>0</v>
      </c>
      <c r="M68" s="14">
        <f t="shared" ca="1" si="18"/>
        <v>0</v>
      </c>
      <c r="N68" s="14">
        <f t="shared" ca="1" si="18"/>
        <v>0</v>
      </c>
      <c r="O68" s="14">
        <f t="shared" ca="1" si="18"/>
        <v>0</v>
      </c>
      <c r="P68" s="14">
        <f t="shared" ca="1" si="18"/>
        <v>0</v>
      </c>
      <c r="Q68" s="14">
        <f t="shared" ca="1" si="18"/>
        <v>0</v>
      </c>
      <c r="R68" s="14">
        <f t="shared" ca="1" si="18"/>
        <v>0</v>
      </c>
      <c r="S68" s="14">
        <f t="shared" ca="1" si="18"/>
        <v>0</v>
      </c>
      <c r="T68" s="14">
        <f t="shared" ca="1" si="18"/>
        <v>0</v>
      </c>
      <c r="U68" s="14">
        <f t="shared" ca="1" si="18"/>
        <v>0</v>
      </c>
      <c r="V68" s="14">
        <f t="shared" ca="1" si="18"/>
        <v>0</v>
      </c>
      <c r="W68" s="14">
        <f t="shared" ca="1" si="18"/>
        <v>0</v>
      </c>
      <c r="X68" s="14">
        <f t="shared" ca="1" si="18"/>
        <v>0</v>
      </c>
      <c r="Y68" s="14">
        <f t="shared" ca="1" si="18"/>
        <v>0</v>
      </c>
      <c r="Z68" s="14">
        <f t="shared" ca="1" si="18"/>
        <v>0</v>
      </c>
      <c r="AA68" s="14">
        <f t="shared" ca="1" si="18"/>
        <v>0</v>
      </c>
      <c r="AB68" s="14">
        <f t="shared" ca="1" si="18"/>
        <v>0</v>
      </c>
      <c r="AC68" s="14">
        <f t="shared" ca="1" si="18"/>
        <v>0</v>
      </c>
      <c r="AD68" s="14">
        <f t="shared" ca="1" si="18"/>
        <v>0</v>
      </c>
      <c r="AE68" s="14">
        <f t="shared" ca="1" si="18"/>
        <v>0</v>
      </c>
      <c r="AF68" s="14">
        <f t="shared" ca="1" si="18"/>
        <v>0</v>
      </c>
      <c r="AG68" s="14">
        <f t="shared" ca="1" si="18"/>
        <v>0</v>
      </c>
      <c r="AH68" s="14">
        <f t="shared" ca="1" si="18"/>
        <v>0</v>
      </c>
      <c r="AI68" s="14">
        <f t="shared" ca="1" si="18"/>
        <v>0</v>
      </c>
      <c r="AJ68" s="14">
        <f t="shared" ca="1" si="18"/>
        <v>0</v>
      </c>
      <c r="AK68" s="14">
        <f t="shared" ca="1" si="18"/>
        <v>0</v>
      </c>
      <c r="AL68" s="14">
        <f t="shared" ca="1" si="18"/>
        <v>0</v>
      </c>
    </row>
    <row r="69" spans="1:54" ht="21" hidden="1" customHeight="1" outlineLevel="1" thickBot="1" x14ac:dyDescent="0.4">
      <c r="A69" s="5">
        <f t="shared" si="19"/>
        <v>0</v>
      </c>
      <c r="B69" s="5">
        <f t="shared" si="19"/>
        <v>0</v>
      </c>
      <c r="C69" s="5">
        <f t="shared" si="19"/>
        <v>0</v>
      </c>
      <c r="D69" s="5">
        <f t="shared" si="19"/>
        <v>0</v>
      </c>
      <c r="E69" s="6">
        <f t="shared" si="19"/>
        <v>0</v>
      </c>
      <c r="F69" s="14">
        <f t="shared" ca="1" si="20"/>
        <v>0</v>
      </c>
      <c r="G69" s="14">
        <f t="shared" ca="1" si="18"/>
        <v>0</v>
      </c>
      <c r="H69" s="14">
        <f t="shared" ca="1" si="18"/>
        <v>0</v>
      </c>
      <c r="I69" s="14">
        <f t="shared" ca="1" si="18"/>
        <v>0</v>
      </c>
      <c r="J69" s="14">
        <f t="shared" ca="1" si="18"/>
        <v>0</v>
      </c>
      <c r="K69" s="14">
        <f t="shared" ca="1" si="18"/>
        <v>0</v>
      </c>
      <c r="L69" s="14">
        <f t="shared" ca="1" si="18"/>
        <v>0</v>
      </c>
      <c r="M69" s="14">
        <f t="shared" ca="1" si="18"/>
        <v>0</v>
      </c>
      <c r="N69" s="14">
        <f t="shared" ca="1" si="18"/>
        <v>0</v>
      </c>
      <c r="O69" s="14">
        <f t="shared" ca="1" si="18"/>
        <v>0</v>
      </c>
      <c r="P69" s="14">
        <f t="shared" ca="1" si="18"/>
        <v>0</v>
      </c>
      <c r="Q69" s="14">
        <f t="shared" ca="1" si="18"/>
        <v>0</v>
      </c>
      <c r="R69" s="14">
        <f t="shared" ca="1" si="18"/>
        <v>0</v>
      </c>
      <c r="S69" s="14">
        <f t="shared" ca="1" si="18"/>
        <v>0</v>
      </c>
      <c r="T69" s="14">
        <f t="shared" ca="1" si="18"/>
        <v>0</v>
      </c>
      <c r="U69" s="14">
        <f t="shared" ca="1" si="18"/>
        <v>0</v>
      </c>
      <c r="V69" s="14">
        <f t="shared" ca="1" si="18"/>
        <v>0</v>
      </c>
      <c r="W69" s="14">
        <f t="shared" ca="1" si="18"/>
        <v>0</v>
      </c>
      <c r="X69" s="14">
        <f t="shared" ca="1" si="18"/>
        <v>0</v>
      </c>
      <c r="Y69" s="14">
        <f t="shared" ca="1" si="18"/>
        <v>0</v>
      </c>
      <c r="Z69" s="14">
        <f t="shared" ca="1" si="18"/>
        <v>0</v>
      </c>
      <c r="AA69" s="14">
        <f t="shared" ca="1" si="18"/>
        <v>0</v>
      </c>
      <c r="AB69" s="14">
        <f t="shared" ca="1" si="18"/>
        <v>0</v>
      </c>
      <c r="AC69" s="14">
        <f t="shared" ca="1" si="18"/>
        <v>0</v>
      </c>
      <c r="AD69" s="14">
        <f t="shared" ca="1" si="18"/>
        <v>0</v>
      </c>
      <c r="AE69" s="14">
        <f t="shared" ca="1" si="18"/>
        <v>0</v>
      </c>
      <c r="AF69" s="14">
        <f t="shared" ca="1" si="18"/>
        <v>0</v>
      </c>
      <c r="AG69" s="14">
        <f t="shared" ca="1" si="18"/>
        <v>0</v>
      </c>
      <c r="AH69" s="14">
        <f t="shared" ca="1" si="18"/>
        <v>0</v>
      </c>
      <c r="AI69" s="14">
        <f t="shared" ca="1" si="18"/>
        <v>0</v>
      </c>
      <c r="AJ69" s="14">
        <f t="shared" ca="1" si="18"/>
        <v>0</v>
      </c>
      <c r="AK69" s="14">
        <f t="shared" ca="1" si="18"/>
        <v>0</v>
      </c>
      <c r="AL69" s="14">
        <f t="shared" ca="1" si="18"/>
        <v>0</v>
      </c>
    </row>
    <row r="70" spans="1:54" ht="21" hidden="1" customHeight="1" outlineLevel="1" thickBot="1" x14ac:dyDescent="0.4">
      <c r="A70" s="5">
        <f t="shared" si="19"/>
        <v>0</v>
      </c>
      <c r="B70" s="5">
        <f t="shared" si="19"/>
        <v>0</v>
      </c>
      <c r="C70" s="5">
        <f t="shared" si="19"/>
        <v>0</v>
      </c>
      <c r="D70" s="5">
        <f t="shared" si="19"/>
        <v>0</v>
      </c>
      <c r="E70" s="6">
        <f t="shared" si="19"/>
        <v>0</v>
      </c>
      <c r="F70" s="14">
        <f t="shared" ca="1" si="20"/>
        <v>0</v>
      </c>
      <c r="G70" s="14">
        <f t="shared" ca="1" si="18"/>
        <v>0</v>
      </c>
      <c r="H70" s="14">
        <f t="shared" ca="1" si="18"/>
        <v>0</v>
      </c>
      <c r="I70" s="14">
        <f t="shared" ca="1" si="18"/>
        <v>0</v>
      </c>
      <c r="J70" s="14">
        <f t="shared" ca="1" si="18"/>
        <v>0</v>
      </c>
      <c r="K70" s="14">
        <f t="shared" ca="1" si="18"/>
        <v>0</v>
      </c>
      <c r="L70" s="14">
        <f t="shared" ca="1" si="18"/>
        <v>0</v>
      </c>
      <c r="M70" s="14">
        <f t="shared" ca="1" si="18"/>
        <v>0</v>
      </c>
      <c r="N70" s="14">
        <f t="shared" ca="1" si="18"/>
        <v>0</v>
      </c>
      <c r="O70" s="14">
        <f t="shared" ca="1" si="18"/>
        <v>0</v>
      </c>
      <c r="P70" s="14">
        <f t="shared" ca="1" si="18"/>
        <v>0</v>
      </c>
      <c r="Q70" s="14">
        <f t="shared" ca="1" si="18"/>
        <v>0</v>
      </c>
      <c r="R70" s="14">
        <f t="shared" ca="1" si="18"/>
        <v>0</v>
      </c>
      <c r="S70" s="14">
        <f t="shared" ca="1" si="18"/>
        <v>0</v>
      </c>
      <c r="T70" s="14">
        <f t="shared" ca="1" si="18"/>
        <v>0</v>
      </c>
      <c r="U70" s="14">
        <f t="shared" ca="1" si="18"/>
        <v>0</v>
      </c>
      <c r="V70" s="14">
        <f t="shared" ca="1" si="18"/>
        <v>0</v>
      </c>
      <c r="W70" s="14">
        <f t="shared" ca="1" si="18"/>
        <v>0</v>
      </c>
      <c r="X70" s="14">
        <f t="shared" ca="1" si="18"/>
        <v>0</v>
      </c>
      <c r="Y70" s="14">
        <f t="shared" ca="1" si="18"/>
        <v>0</v>
      </c>
      <c r="Z70" s="14">
        <f t="shared" ca="1" si="18"/>
        <v>0</v>
      </c>
      <c r="AA70" s="14">
        <f t="shared" ca="1" si="18"/>
        <v>0</v>
      </c>
      <c r="AB70" s="14">
        <f t="shared" ca="1" si="18"/>
        <v>0</v>
      </c>
      <c r="AC70" s="14">
        <f t="shared" ca="1" si="18"/>
        <v>0</v>
      </c>
      <c r="AD70" s="14">
        <f t="shared" ca="1" si="18"/>
        <v>0</v>
      </c>
      <c r="AE70" s="14">
        <f t="shared" ca="1" si="18"/>
        <v>0</v>
      </c>
      <c r="AF70" s="14">
        <f t="shared" ca="1" si="18"/>
        <v>0</v>
      </c>
      <c r="AG70" s="14">
        <f t="shared" ca="1" si="18"/>
        <v>0</v>
      </c>
      <c r="AH70" s="14">
        <f t="shared" ca="1" si="18"/>
        <v>0</v>
      </c>
      <c r="AI70" s="14">
        <f t="shared" ca="1" si="18"/>
        <v>0</v>
      </c>
      <c r="AJ70" s="14">
        <f t="shared" ca="1" si="18"/>
        <v>0</v>
      </c>
      <c r="AK70" s="14">
        <f t="shared" ca="1" si="18"/>
        <v>0</v>
      </c>
      <c r="AL70" s="14">
        <f t="shared" ca="1" si="18"/>
        <v>0</v>
      </c>
    </row>
    <row r="71" spans="1:54" ht="21" hidden="1" customHeight="1" outlineLevel="1" thickBot="1" x14ac:dyDescent="0.4">
      <c r="A71" s="5">
        <f t="shared" si="19"/>
        <v>0</v>
      </c>
      <c r="B71" s="5">
        <f t="shared" si="19"/>
        <v>0</v>
      </c>
      <c r="C71" s="5">
        <f t="shared" si="19"/>
        <v>0</v>
      </c>
      <c r="D71" s="5">
        <f t="shared" si="19"/>
        <v>0</v>
      </c>
      <c r="E71" s="6">
        <f t="shared" si="19"/>
        <v>0</v>
      </c>
      <c r="F71" s="14">
        <f t="shared" ca="1" si="20"/>
        <v>0</v>
      </c>
      <c r="G71" s="14">
        <f t="shared" ca="1" si="18"/>
        <v>0</v>
      </c>
      <c r="H71" s="14">
        <f t="shared" ca="1" si="18"/>
        <v>0</v>
      </c>
      <c r="I71" s="14">
        <f t="shared" ca="1" si="18"/>
        <v>0</v>
      </c>
      <c r="J71" s="14">
        <f t="shared" ca="1" si="18"/>
        <v>0</v>
      </c>
      <c r="K71" s="14">
        <f t="shared" ca="1" si="18"/>
        <v>0</v>
      </c>
      <c r="L71" s="14">
        <f t="shared" ca="1" si="18"/>
        <v>0</v>
      </c>
      <c r="M71" s="14">
        <f t="shared" ca="1" si="18"/>
        <v>0</v>
      </c>
      <c r="N71" s="14">
        <f t="shared" ca="1" si="18"/>
        <v>0</v>
      </c>
      <c r="O71" s="14">
        <f t="shared" ca="1" si="18"/>
        <v>0</v>
      </c>
      <c r="P71" s="14">
        <f t="shared" ca="1" si="18"/>
        <v>0</v>
      </c>
      <c r="Q71" s="14">
        <f t="shared" ref="Q71:AL71" ca="1" si="21">$A71*H.Ar + $B71*H.Se + $C71*H.Ge + $D71*H.Ga</f>
        <v>0</v>
      </c>
      <c r="R71" s="14">
        <f t="shared" ca="1" si="21"/>
        <v>0</v>
      </c>
      <c r="S71" s="14">
        <f t="shared" ca="1" si="21"/>
        <v>0</v>
      </c>
      <c r="T71" s="14">
        <f t="shared" ca="1" si="21"/>
        <v>0</v>
      </c>
      <c r="U71" s="14">
        <f t="shared" ca="1" si="21"/>
        <v>0</v>
      </c>
      <c r="V71" s="14">
        <f t="shared" ca="1" si="21"/>
        <v>0</v>
      </c>
      <c r="W71" s="14">
        <f t="shared" ca="1" si="21"/>
        <v>0</v>
      </c>
      <c r="X71" s="14">
        <f t="shared" ca="1" si="21"/>
        <v>0</v>
      </c>
      <c r="Y71" s="14">
        <f t="shared" ca="1" si="21"/>
        <v>0</v>
      </c>
      <c r="Z71" s="14">
        <f t="shared" ca="1" si="21"/>
        <v>0</v>
      </c>
      <c r="AA71" s="14">
        <f t="shared" ca="1" si="21"/>
        <v>0</v>
      </c>
      <c r="AB71" s="14">
        <f t="shared" ca="1" si="21"/>
        <v>0</v>
      </c>
      <c r="AC71" s="14">
        <f t="shared" ca="1" si="21"/>
        <v>0</v>
      </c>
      <c r="AD71" s="14">
        <f t="shared" ca="1" si="21"/>
        <v>0</v>
      </c>
      <c r="AE71" s="14">
        <f t="shared" ca="1" si="21"/>
        <v>0</v>
      </c>
      <c r="AF71" s="14">
        <f t="shared" ca="1" si="21"/>
        <v>0</v>
      </c>
      <c r="AG71" s="14">
        <f t="shared" ca="1" si="21"/>
        <v>0</v>
      </c>
      <c r="AH71" s="14">
        <f t="shared" ca="1" si="21"/>
        <v>0</v>
      </c>
      <c r="AI71" s="14">
        <f t="shared" ca="1" si="21"/>
        <v>0</v>
      </c>
      <c r="AJ71" s="14">
        <f t="shared" ca="1" si="21"/>
        <v>0</v>
      </c>
      <c r="AK71" s="14">
        <f t="shared" ca="1" si="21"/>
        <v>0</v>
      </c>
      <c r="AL71" s="14">
        <f t="shared" ca="1" si="21"/>
        <v>0</v>
      </c>
    </row>
    <row r="72" spans="1:54" ht="21" hidden="1" customHeight="1" outlineLevel="1" thickBot="1" x14ac:dyDescent="0.4">
      <c r="A72" s="5">
        <f t="shared" si="19"/>
        <v>0</v>
      </c>
      <c r="B72" s="5">
        <f t="shared" si="19"/>
        <v>0</v>
      </c>
      <c r="C72" s="5">
        <f t="shared" si="19"/>
        <v>0</v>
      </c>
      <c r="D72" s="5">
        <f t="shared" si="19"/>
        <v>0</v>
      </c>
      <c r="E72" s="6">
        <f t="shared" si="19"/>
        <v>0</v>
      </c>
      <c r="F72" s="14">
        <f t="shared" ca="1" si="20"/>
        <v>0</v>
      </c>
      <c r="G72" s="14">
        <f t="shared" ref="G72:AL74" ca="1" si="22">$A72*H.Ar + $B72*H.Se + $C72*H.Ge + $D72*H.Ga</f>
        <v>0</v>
      </c>
      <c r="H72" s="14">
        <f t="shared" ca="1" si="22"/>
        <v>0</v>
      </c>
      <c r="I72" s="14">
        <f t="shared" ca="1" si="22"/>
        <v>0</v>
      </c>
      <c r="J72" s="14">
        <f t="shared" ca="1" si="22"/>
        <v>0</v>
      </c>
      <c r="K72" s="14">
        <f t="shared" ca="1" si="22"/>
        <v>0</v>
      </c>
      <c r="L72" s="14">
        <f t="shared" ca="1" si="22"/>
        <v>0</v>
      </c>
      <c r="M72" s="14">
        <f t="shared" ca="1" si="22"/>
        <v>0</v>
      </c>
      <c r="N72" s="14">
        <f t="shared" ca="1" si="22"/>
        <v>0</v>
      </c>
      <c r="O72" s="14">
        <f t="shared" ca="1" si="22"/>
        <v>0</v>
      </c>
      <c r="P72" s="14">
        <f t="shared" ca="1" si="22"/>
        <v>0</v>
      </c>
      <c r="Q72" s="14">
        <f t="shared" ca="1" si="22"/>
        <v>0</v>
      </c>
      <c r="R72" s="14">
        <f t="shared" ca="1" si="22"/>
        <v>0</v>
      </c>
      <c r="S72" s="14">
        <f t="shared" ca="1" si="22"/>
        <v>0</v>
      </c>
      <c r="T72" s="14">
        <f t="shared" ca="1" si="22"/>
        <v>0</v>
      </c>
      <c r="U72" s="14">
        <f t="shared" ca="1" si="22"/>
        <v>0</v>
      </c>
      <c r="V72" s="14">
        <f t="shared" ca="1" si="22"/>
        <v>0</v>
      </c>
      <c r="W72" s="14">
        <f t="shared" ca="1" si="22"/>
        <v>0</v>
      </c>
      <c r="X72" s="14">
        <f t="shared" ca="1" si="22"/>
        <v>0</v>
      </c>
      <c r="Y72" s="14">
        <f t="shared" ca="1" si="22"/>
        <v>0</v>
      </c>
      <c r="Z72" s="14">
        <f t="shared" ca="1" si="22"/>
        <v>0</v>
      </c>
      <c r="AA72" s="14">
        <f t="shared" ca="1" si="22"/>
        <v>0</v>
      </c>
      <c r="AB72" s="14">
        <f t="shared" ca="1" si="22"/>
        <v>0</v>
      </c>
      <c r="AC72" s="14">
        <f t="shared" ca="1" si="22"/>
        <v>0</v>
      </c>
      <c r="AD72" s="14">
        <f t="shared" ca="1" si="22"/>
        <v>0</v>
      </c>
      <c r="AE72" s="14">
        <f t="shared" ca="1" si="22"/>
        <v>0</v>
      </c>
      <c r="AF72" s="14">
        <f t="shared" ca="1" si="22"/>
        <v>0</v>
      </c>
      <c r="AG72" s="14">
        <f t="shared" ca="1" si="22"/>
        <v>0</v>
      </c>
      <c r="AH72" s="14">
        <f t="shared" ca="1" si="22"/>
        <v>0</v>
      </c>
      <c r="AI72" s="14">
        <f t="shared" ca="1" si="22"/>
        <v>0</v>
      </c>
      <c r="AJ72" s="14">
        <f t="shared" ca="1" si="22"/>
        <v>0</v>
      </c>
      <c r="AK72" s="14">
        <f t="shared" ca="1" si="22"/>
        <v>0</v>
      </c>
      <c r="AL72" s="14">
        <f t="shared" ca="1" si="22"/>
        <v>0</v>
      </c>
    </row>
    <row r="73" spans="1:54" ht="21" hidden="1" customHeight="1" outlineLevel="1" thickBot="1" x14ac:dyDescent="0.4">
      <c r="A73" s="5">
        <f t="shared" si="19"/>
        <v>0</v>
      </c>
      <c r="B73" s="5">
        <f t="shared" si="19"/>
        <v>0</v>
      </c>
      <c r="C73" s="5">
        <f t="shared" si="19"/>
        <v>0</v>
      </c>
      <c r="D73" s="5">
        <f t="shared" si="19"/>
        <v>0</v>
      </c>
      <c r="E73" s="6">
        <f t="shared" si="19"/>
        <v>0</v>
      </c>
      <c r="F73" s="14">
        <f t="shared" ca="1" si="20"/>
        <v>0</v>
      </c>
      <c r="G73" s="14">
        <f t="shared" ca="1" si="22"/>
        <v>0</v>
      </c>
      <c r="H73" s="14">
        <f t="shared" ca="1" si="22"/>
        <v>0</v>
      </c>
      <c r="I73" s="14">
        <f t="shared" ca="1" si="22"/>
        <v>0</v>
      </c>
      <c r="J73" s="14">
        <f t="shared" ca="1" si="22"/>
        <v>0</v>
      </c>
      <c r="K73" s="14">
        <f t="shared" ca="1" si="22"/>
        <v>0</v>
      </c>
      <c r="L73" s="14">
        <f t="shared" ca="1" si="22"/>
        <v>0</v>
      </c>
      <c r="M73" s="14">
        <f t="shared" ca="1" si="22"/>
        <v>0</v>
      </c>
      <c r="N73" s="14">
        <f t="shared" ca="1" si="22"/>
        <v>0</v>
      </c>
      <c r="O73" s="14">
        <f t="shared" ca="1" si="22"/>
        <v>0</v>
      </c>
      <c r="P73" s="14">
        <f t="shared" ca="1" si="22"/>
        <v>0</v>
      </c>
      <c r="Q73" s="14">
        <f t="shared" ca="1" si="22"/>
        <v>0</v>
      </c>
      <c r="R73" s="14">
        <f t="shared" ca="1" si="22"/>
        <v>0</v>
      </c>
      <c r="S73" s="14">
        <f t="shared" ca="1" si="22"/>
        <v>0</v>
      </c>
      <c r="T73" s="14">
        <f t="shared" ca="1" si="22"/>
        <v>0</v>
      </c>
      <c r="U73" s="14">
        <f t="shared" ca="1" si="22"/>
        <v>0</v>
      </c>
      <c r="V73" s="14">
        <f t="shared" ca="1" si="22"/>
        <v>0</v>
      </c>
      <c r="W73" s="14">
        <f t="shared" ca="1" si="22"/>
        <v>0</v>
      </c>
      <c r="X73" s="14">
        <f t="shared" ca="1" si="22"/>
        <v>0</v>
      </c>
      <c r="Y73" s="14">
        <f t="shared" ca="1" si="22"/>
        <v>0</v>
      </c>
      <c r="Z73" s="14">
        <f t="shared" ca="1" si="22"/>
        <v>0</v>
      </c>
      <c r="AA73" s="14">
        <f t="shared" ca="1" si="22"/>
        <v>0</v>
      </c>
      <c r="AB73" s="14">
        <f t="shared" ca="1" si="22"/>
        <v>0</v>
      </c>
      <c r="AC73" s="14">
        <f t="shared" ca="1" si="22"/>
        <v>0</v>
      </c>
      <c r="AD73" s="14">
        <f t="shared" ca="1" si="22"/>
        <v>0</v>
      </c>
      <c r="AE73" s="14">
        <f t="shared" ca="1" si="22"/>
        <v>0</v>
      </c>
      <c r="AF73" s="14">
        <f t="shared" ca="1" si="22"/>
        <v>0</v>
      </c>
      <c r="AG73" s="14">
        <f t="shared" ca="1" si="22"/>
        <v>0</v>
      </c>
      <c r="AH73" s="14">
        <f t="shared" ca="1" si="22"/>
        <v>0</v>
      </c>
      <c r="AI73" s="14">
        <f t="shared" ca="1" si="22"/>
        <v>0</v>
      </c>
      <c r="AJ73" s="14">
        <f t="shared" ca="1" si="22"/>
        <v>0</v>
      </c>
      <c r="AK73" s="14">
        <f t="shared" ca="1" si="22"/>
        <v>0</v>
      </c>
      <c r="AL73" s="14">
        <f t="shared" ca="1" si="22"/>
        <v>0</v>
      </c>
    </row>
    <row r="74" spans="1:54" ht="21" hidden="1" customHeight="1" outlineLevel="1" thickBot="1" x14ac:dyDescent="0.4">
      <c r="A74" s="5">
        <f t="shared" si="19"/>
        <v>0</v>
      </c>
      <c r="B74" s="5">
        <f t="shared" si="19"/>
        <v>0</v>
      </c>
      <c r="C74" s="5">
        <f t="shared" si="19"/>
        <v>0</v>
      </c>
      <c r="D74" s="5">
        <f t="shared" si="19"/>
        <v>0</v>
      </c>
      <c r="E74" s="6">
        <f t="shared" si="19"/>
        <v>0</v>
      </c>
      <c r="F74" s="14">
        <f t="shared" ca="1" si="20"/>
        <v>0</v>
      </c>
      <c r="G74" s="14">
        <f t="shared" ca="1" si="22"/>
        <v>0</v>
      </c>
      <c r="H74" s="14">
        <f t="shared" ca="1" si="22"/>
        <v>0</v>
      </c>
      <c r="I74" s="14">
        <f t="shared" ca="1" si="22"/>
        <v>0</v>
      </c>
      <c r="J74" s="14">
        <f t="shared" ca="1" si="22"/>
        <v>0</v>
      </c>
      <c r="K74" s="14">
        <f t="shared" ca="1" si="22"/>
        <v>0</v>
      </c>
      <c r="L74" s="14">
        <f t="shared" ca="1" si="22"/>
        <v>0</v>
      </c>
      <c r="M74" s="14">
        <f t="shared" ca="1" si="22"/>
        <v>0</v>
      </c>
      <c r="N74" s="14">
        <f t="shared" ca="1" si="22"/>
        <v>0</v>
      </c>
      <c r="O74" s="14">
        <f t="shared" ca="1" si="22"/>
        <v>0</v>
      </c>
      <c r="P74" s="14">
        <f t="shared" ca="1" si="22"/>
        <v>0</v>
      </c>
      <c r="Q74" s="14">
        <f t="shared" ca="1" si="22"/>
        <v>0</v>
      </c>
      <c r="R74" s="14">
        <f t="shared" ca="1" si="22"/>
        <v>0</v>
      </c>
      <c r="S74" s="14">
        <f t="shared" ca="1" si="22"/>
        <v>0</v>
      </c>
      <c r="T74" s="14">
        <f t="shared" ca="1" si="22"/>
        <v>0</v>
      </c>
      <c r="U74" s="14">
        <f t="shared" ca="1" si="22"/>
        <v>0</v>
      </c>
      <c r="V74" s="14">
        <f t="shared" ca="1" si="22"/>
        <v>0</v>
      </c>
      <c r="W74" s="14">
        <f t="shared" ca="1" si="22"/>
        <v>0</v>
      </c>
      <c r="X74" s="14">
        <f t="shared" ca="1" si="22"/>
        <v>0</v>
      </c>
      <c r="Y74" s="14">
        <f t="shared" ca="1" si="22"/>
        <v>0</v>
      </c>
      <c r="Z74" s="14">
        <f t="shared" ca="1" si="22"/>
        <v>0</v>
      </c>
      <c r="AA74" s="14">
        <f t="shared" ca="1" si="22"/>
        <v>0</v>
      </c>
      <c r="AB74" s="14">
        <f t="shared" ca="1" si="22"/>
        <v>0</v>
      </c>
      <c r="AC74" s="14">
        <f t="shared" ca="1" si="22"/>
        <v>0</v>
      </c>
      <c r="AD74" s="14">
        <f t="shared" ca="1" si="22"/>
        <v>0</v>
      </c>
      <c r="AE74" s="14">
        <f t="shared" ca="1" si="22"/>
        <v>0</v>
      </c>
      <c r="AF74" s="14">
        <f t="shared" ca="1" si="22"/>
        <v>0</v>
      </c>
      <c r="AG74" s="14">
        <f t="shared" ca="1" si="22"/>
        <v>0</v>
      </c>
      <c r="AH74" s="14">
        <f t="shared" ca="1" si="22"/>
        <v>0</v>
      </c>
      <c r="AI74" s="14">
        <f t="shared" ca="1" si="22"/>
        <v>0</v>
      </c>
      <c r="AJ74" s="14">
        <f t="shared" ca="1" si="22"/>
        <v>0</v>
      </c>
      <c r="AK74" s="14">
        <f t="shared" ca="1" si="22"/>
        <v>0</v>
      </c>
      <c r="AL74" s="14">
        <f t="shared" ca="1" si="22"/>
        <v>0</v>
      </c>
    </row>
    <row r="75" spans="1:54" ht="21" hidden="1" customHeight="1" outlineLevel="1" thickBot="1" x14ac:dyDescent="0.4">
      <c r="A75" s="5">
        <f t="shared" si="19"/>
        <v>0</v>
      </c>
      <c r="B75" s="5">
        <f t="shared" si="19"/>
        <v>0</v>
      </c>
      <c r="C75" s="5">
        <f t="shared" si="19"/>
        <v>0</v>
      </c>
      <c r="D75" s="5">
        <f t="shared" si="19"/>
        <v>0</v>
      </c>
      <c r="E75" s="6">
        <f t="shared" si="19"/>
        <v>1</v>
      </c>
      <c r="F75" s="14"/>
      <c r="G75" s="14"/>
      <c r="H75" s="14"/>
      <c r="I75" s="14"/>
      <c r="J75" s="14"/>
      <c r="K75" s="14"/>
      <c r="L75" s="14"/>
      <c r="M75" s="14"/>
      <c r="N75" s="14"/>
      <c r="O75" s="14"/>
      <c r="P75" s="14"/>
      <c r="Q75" s="14"/>
      <c r="R75" s="14"/>
      <c r="S75" s="14"/>
      <c r="T75" s="14"/>
      <c r="U75" s="14"/>
      <c r="V75" s="14"/>
      <c r="W75" s="14"/>
      <c r="X75" s="14"/>
      <c r="Y75" s="14"/>
      <c r="Z75" s="14"/>
      <c r="AA75" s="14"/>
      <c r="AB75" s="14"/>
      <c r="AC75" s="14"/>
      <c r="AD75" s="14"/>
      <c r="AE75" s="14"/>
      <c r="AF75" s="14"/>
      <c r="AG75" s="14"/>
      <c r="AH75" s="14"/>
      <c r="AI75" s="14"/>
      <c r="AJ75" s="14"/>
      <c r="AK75" s="14"/>
      <c r="AL75" s="14"/>
    </row>
    <row r="76" spans="1:54" ht="21" hidden="1" customHeight="1" outlineLevel="1" x14ac:dyDescent="0.35">
      <c r="U76" s="55"/>
      <c r="V76" s="55"/>
      <c r="W76" s="55"/>
    </row>
    <row r="77" spans="1:54" ht="21" customHeight="1" collapsed="1" x14ac:dyDescent="0.35">
      <c r="U77" s="55"/>
      <c r="V77" s="55"/>
      <c r="W77" s="55"/>
    </row>
    <row r="78" spans="1:54" ht="21" customHeight="1" x14ac:dyDescent="0.4">
      <c r="A78" s="88"/>
      <c r="B78" s="88"/>
      <c r="C78" s="89">
        <f>E41</f>
        <v>8.3333333333333339</v>
      </c>
      <c r="D78" s="75"/>
      <c r="E78" s="74" t="s">
        <v>23</v>
      </c>
      <c r="F78" s="75"/>
      <c r="G78" s="75"/>
      <c r="H78" s="75"/>
      <c r="I78" s="75"/>
      <c r="J78" s="75"/>
      <c r="K78" s="75"/>
      <c r="L78" s="75"/>
      <c r="M78" s="75"/>
      <c r="N78" s="75"/>
      <c r="O78" s="75"/>
      <c r="P78" s="75"/>
      <c r="Q78" s="75"/>
      <c r="R78" s="75"/>
      <c r="S78" s="75"/>
      <c r="T78" s="75"/>
      <c r="U78" s="75"/>
      <c r="V78" s="75"/>
      <c r="W78" s="75"/>
      <c r="X78" s="75"/>
      <c r="Y78" s="75"/>
      <c r="Z78" s="75"/>
      <c r="AA78" s="75"/>
      <c r="AB78" s="75"/>
      <c r="AC78" s="75"/>
      <c r="AD78" s="75"/>
      <c r="AE78" s="75"/>
      <c r="AF78" s="75"/>
      <c r="AG78" s="75"/>
      <c r="AH78" s="75"/>
      <c r="AI78" s="75"/>
      <c r="AJ78" s="75"/>
      <c r="AK78" s="75"/>
      <c r="AL78" s="75"/>
      <c r="AM78" s="75"/>
      <c r="AN78" s="75"/>
      <c r="AO78" s="75"/>
      <c r="AP78" s="75"/>
      <c r="AQ78" s="75"/>
      <c r="AR78" s="75"/>
      <c r="AS78" s="75"/>
      <c r="AT78" s="75"/>
      <c r="AU78" s="75"/>
      <c r="AV78" s="75"/>
      <c r="AW78" s="75"/>
      <c r="AX78" s="75"/>
      <c r="AY78" s="75"/>
      <c r="AZ78" s="75"/>
      <c r="BA78" s="75"/>
      <c r="BB78" s="75"/>
    </row>
    <row r="79" spans="1:54" ht="21" hidden="1" customHeight="1" outlineLevel="1" thickTop="1" thickBot="1" x14ac:dyDescent="0.4">
      <c r="A79" s="12" t="s">
        <v>1</v>
      </c>
      <c r="B79" s="2" t="s">
        <v>2</v>
      </c>
      <c r="C79" s="2" t="s">
        <v>3</v>
      </c>
      <c r="D79" s="13" t="s">
        <v>4</v>
      </c>
      <c r="E79" s="3">
        <f t="shared" ref="E79:E109" si="23">E45</f>
        <v>0</v>
      </c>
      <c r="F79" s="3">
        <f t="shared" ref="F79:AL79" si="24">F3</f>
        <v>298.2</v>
      </c>
      <c r="G79" s="3">
        <f t="shared" si="24"/>
        <v>431.7</v>
      </c>
      <c r="H79" s="3">
        <f t="shared" si="24"/>
        <v>465.1</v>
      </c>
      <c r="I79" s="3">
        <f t="shared" si="24"/>
        <v>498.5</v>
      </c>
      <c r="J79" s="3">
        <f t="shared" si="24"/>
        <v>531.79999999999995</v>
      </c>
      <c r="K79" s="3">
        <f t="shared" si="24"/>
        <v>565.20000000000005</v>
      </c>
      <c r="L79" s="3">
        <f t="shared" si="24"/>
        <v>698.8</v>
      </c>
      <c r="M79" s="3">
        <f t="shared" si="24"/>
        <v>732.2</v>
      </c>
      <c r="N79" s="3">
        <f t="shared" si="24"/>
        <v>765.5</v>
      </c>
      <c r="O79" s="3">
        <f t="shared" si="24"/>
        <v>798.9</v>
      </c>
      <c r="P79" s="3">
        <f t="shared" si="24"/>
        <v>832.3</v>
      </c>
      <c r="Q79" s="3">
        <f t="shared" si="24"/>
        <v>965.8</v>
      </c>
      <c r="R79" s="3">
        <f t="shared" si="24"/>
        <v>999.2</v>
      </c>
      <c r="S79" s="3">
        <f t="shared" si="24"/>
        <v>1033</v>
      </c>
      <c r="T79" s="3">
        <f t="shared" si="24"/>
        <v>1066</v>
      </c>
      <c r="U79" s="3">
        <f t="shared" si="24"/>
        <v>1099</v>
      </c>
      <c r="V79" s="3">
        <f t="shared" si="24"/>
        <v>1233</v>
      </c>
      <c r="W79" s="3">
        <f t="shared" si="24"/>
        <v>1366</v>
      </c>
      <c r="X79" s="3">
        <f t="shared" si="24"/>
        <v>1500</v>
      </c>
      <c r="Y79" s="3">
        <f t="shared" si="24"/>
        <v>0</v>
      </c>
      <c r="Z79" s="3">
        <f t="shared" si="24"/>
        <v>0</v>
      </c>
      <c r="AA79" s="3">
        <f t="shared" si="24"/>
        <v>0</v>
      </c>
      <c r="AB79" s="3">
        <f t="shared" si="24"/>
        <v>0</v>
      </c>
      <c r="AC79" s="3">
        <f t="shared" si="24"/>
        <v>0</v>
      </c>
      <c r="AD79" s="3">
        <f t="shared" si="24"/>
        <v>0</v>
      </c>
      <c r="AE79" s="3">
        <f t="shared" si="24"/>
        <v>0</v>
      </c>
      <c r="AF79" s="3">
        <f t="shared" si="24"/>
        <v>0</v>
      </c>
      <c r="AG79" s="3">
        <f t="shared" si="24"/>
        <v>0</v>
      </c>
      <c r="AH79" s="3">
        <f t="shared" si="24"/>
        <v>0</v>
      </c>
      <c r="AI79" s="3">
        <f t="shared" si="24"/>
        <v>0</v>
      </c>
      <c r="AJ79" s="3">
        <f t="shared" si="24"/>
        <v>0</v>
      </c>
      <c r="AK79" s="3">
        <f t="shared" si="24"/>
        <v>0</v>
      </c>
      <c r="AL79" s="3">
        <f t="shared" si="24"/>
        <v>0</v>
      </c>
    </row>
    <row r="80" spans="1:54" ht="21" hidden="1" customHeight="1" outlineLevel="1" thickTop="1" thickBot="1" x14ac:dyDescent="0.4">
      <c r="A80" s="5">
        <f>A46</f>
        <v>0</v>
      </c>
      <c r="B80" s="5">
        <f t="shared" ref="B80:D80" si="25">B46</f>
        <v>3</v>
      </c>
      <c r="C80" s="5">
        <f t="shared" si="25"/>
        <v>0</v>
      </c>
      <c r="D80" s="5">
        <f t="shared" si="25"/>
        <v>0</v>
      </c>
      <c r="E80" s="6" t="str">
        <f t="shared" si="23"/>
        <v>Se3</v>
      </c>
      <c r="F80" s="14">
        <f t="shared" ref="F80:AL80" si="26">F4*$C$78</f>
        <v>1.0880000000000002E-21</v>
      </c>
      <c r="G80" s="14">
        <f t="shared" si="26"/>
        <v>7.0588333333333336E-13</v>
      </c>
      <c r="H80" s="14">
        <f t="shared" si="26"/>
        <v>1.6442500000000002E-11</v>
      </c>
      <c r="I80" s="14">
        <f t="shared" si="26"/>
        <v>2.4471666666666672E-10</v>
      </c>
      <c r="J80" s="14">
        <f t="shared" si="26"/>
        <v>2.5568333333333334E-9</v>
      </c>
      <c r="K80" s="14">
        <f t="shared" si="26"/>
        <v>2.0269166666666669E-8</v>
      </c>
      <c r="L80" s="14">
        <f t="shared" si="26"/>
        <v>1.3811666666666667E-5</v>
      </c>
      <c r="M80" s="14">
        <f t="shared" si="26"/>
        <v>4.837166666666667E-5</v>
      </c>
      <c r="N80" s="14">
        <f t="shared" si="26"/>
        <v>1.47575E-4</v>
      </c>
      <c r="O80" s="14">
        <f t="shared" si="26"/>
        <v>3.9853333333333339E-4</v>
      </c>
      <c r="P80" s="14">
        <f t="shared" si="26"/>
        <v>9.6625000000000009E-4</v>
      </c>
      <c r="Q80" s="14">
        <f t="shared" si="26"/>
        <v>1.1886666666666667E-2</v>
      </c>
      <c r="R80" s="14">
        <f t="shared" si="26"/>
        <v>1.6613333333333334E-2</v>
      </c>
      <c r="S80" s="14">
        <f t="shared" si="26"/>
        <v>2.0700000000000003E-2</v>
      </c>
      <c r="T80" s="14">
        <f t="shared" si="26"/>
        <v>2.315416666666667E-2</v>
      </c>
      <c r="U80" s="14">
        <f t="shared" si="26"/>
        <v>2.3975833333333335E-2</v>
      </c>
      <c r="V80" s="14">
        <f t="shared" si="26"/>
        <v>1.9525833333333333E-2</v>
      </c>
      <c r="W80" s="14">
        <f t="shared" si="26"/>
        <v>1.4225833333333335E-2</v>
      </c>
      <c r="X80" s="14">
        <f t="shared" si="26"/>
        <v>1.0615833333333333E-2</v>
      </c>
      <c r="Y80" s="14">
        <f t="shared" si="26"/>
        <v>0</v>
      </c>
      <c r="Z80" s="14">
        <f t="shared" si="26"/>
        <v>0</v>
      </c>
      <c r="AA80" s="14">
        <f t="shared" si="26"/>
        <v>0</v>
      </c>
      <c r="AB80" s="14">
        <f t="shared" si="26"/>
        <v>0</v>
      </c>
      <c r="AC80" s="14">
        <f t="shared" si="26"/>
        <v>0</v>
      </c>
      <c r="AD80" s="14">
        <f t="shared" si="26"/>
        <v>0</v>
      </c>
      <c r="AE80" s="14">
        <f t="shared" si="26"/>
        <v>0</v>
      </c>
      <c r="AF80" s="14">
        <f t="shared" si="26"/>
        <v>0</v>
      </c>
      <c r="AG80" s="14">
        <f t="shared" si="26"/>
        <v>0</v>
      </c>
      <c r="AH80" s="14">
        <f t="shared" si="26"/>
        <v>0</v>
      </c>
      <c r="AI80" s="14">
        <f t="shared" si="26"/>
        <v>0</v>
      </c>
      <c r="AJ80" s="14">
        <f t="shared" si="26"/>
        <v>0</v>
      </c>
      <c r="AK80" s="14">
        <f t="shared" si="26"/>
        <v>0</v>
      </c>
      <c r="AL80" s="14">
        <f t="shared" si="26"/>
        <v>0</v>
      </c>
    </row>
    <row r="81" spans="1:38" ht="21" hidden="1" customHeight="1" outlineLevel="1" thickBot="1" x14ac:dyDescent="0.4">
      <c r="A81" s="5">
        <f t="shared" ref="A81:D96" si="27">A47</f>
        <v>0</v>
      </c>
      <c r="B81" s="5">
        <f t="shared" si="27"/>
        <v>4</v>
      </c>
      <c r="C81" s="5">
        <f t="shared" si="27"/>
        <v>0</v>
      </c>
      <c r="D81" s="5">
        <f t="shared" si="27"/>
        <v>0</v>
      </c>
      <c r="E81" s="6" t="str">
        <f t="shared" si="23"/>
        <v>Se4</v>
      </c>
      <c r="F81" s="14">
        <f t="shared" ref="F81:AL81" si="28">F5*$C$78</f>
        <v>6.3649166666666667E-20</v>
      </c>
      <c r="G81" s="14">
        <f t="shared" si="28"/>
        <v>4.9091666666666669E-12</v>
      </c>
      <c r="H81" s="14">
        <f t="shared" si="28"/>
        <v>7.9174166666666677E-11</v>
      </c>
      <c r="I81" s="14">
        <f t="shared" si="28"/>
        <v>8.5150000000000011E-10</v>
      </c>
      <c r="J81" s="14">
        <f t="shared" si="28"/>
        <v>6.6678333333333334E-9</v>
      </c>
      <c r="K81" s="14">
        <f t="shared" si="28"/>
        <v>4.0946666666666673E-8</v>
      </c>
      <c r="L81" s="14">
        <f t="shared" si="28"/>
        <v>1.3351666666666668E-5</v>
      </c>
      <c r="M81" s="14">
        <f t="shared" si="28"/>
        <v>4.0566666666666666E-5</v>
      </c>
      <c r="N81" s="14">
        <f t="shared" si="28"/>
        <v>1.0798333333333335E-4</v>
      </c>
      <c r="O81" s="14">
        <f t="shared" si="28"/>
        <v>2.5526666666666667E-4</v>
      </c>
      <c r="P81" s="14">
        <f t="shared" si="28"/>
        <v>5.4226666666666676E-4</v>
      </c>
      <c r="Q81" s="14">
        <f t="shared" si="28"/>
        <v>3.6450833333333335E-3</v>
      </c>
      <c r="R81" s="14">
        <f t="shared" si="28"/>
        <v>4.2002500000000009E-3</v>
      </c>
      <c r="S81" s="14">
        <f t="shared" si="28"/>
        <v>4.2420000000000001E-3</v>
      </c>
      <c r="T81" s="14">
        <f t="shared" si="28"/>
        <v>3.7907500000000003E-3</v>
      </c>
      <c r="U81" s="14">
        <f t="shared" si="28"/>
        <v>3.1166666666666669E-3</v>
      </c>
      <c r="V81" s="14">
        <f t="shared" si="28"/>
        <v>1.0497499999999999E-3</v>
      </c>
      <c r="W81" s="14">
        <f t="shared" si="28"/>
        <v>3.635E-4</v>
      </c>
      <c r="X81" s="14">
        <f t="shared" si="28"/>
        <v>1.46775E-4</v>
      </c>
      <c r="Y81" s="14">
        <f t="shared" si="28"/>
        <v>0</v>
      </c>
      <c r="Z81" s="14">
        <f t="shared" si="28"/>
        <v>0</v>
      </c>
      <c r="AA81" s="14">
        <f t="shared" si="28"/>
        <v>0</v>
      </c>
      <c r="AB81" s="14">
        <f t="shared" si="28"/>
        <v>0</v>
      </c>
      <c r="AC81" s="14">
        <f t="shared" si="28"/>
        <v>0</v>
      </c>
      <c r="AD81" s="14">
        <f t="shared" si="28"/>
        <v>0</v>
      </c>
      <c r="AE81" s="14">
        <f t="shared" si="28"/>
        <v>0</v>
      </c>
      <c r="AF81" s="14">
        <f t="shared" si="28"/>
        <v>0</v>
      </c>
      <c r="AG81" s="14">
        <f t="shared" si="28"/>
        <v>0</v>
      </c>
      <c r="AH81" s="14">
        <f t="shared" si="28"/>
        <v>0</v>
      </c>
      <c r="AI81" s="14">
        <f t="shared" si="28"/>
        <v>0</v>
      </c>
      <c r="AJ81" s="14">
        <f t="shared" si="28"/>
        <v>0</v>
      </c>
      <c r="AK81" s="14">
        <f t="shared" si="28"/>
        <v>0</v>
      </c>
      <c r="AL81" s="14">
        <f t="shared" si="28"/>
        <v>0</v>
      </c>
    </row>
    <row r="82" spans="1:38" ht="21" hidden="1" customHeight="1" outlineLevel="1" thickBot="1" x14ac:dyDescent="0.4">
      <c r="A82" s="5">
        <f t="shared" si="27"/>
        <v>0</v>
      </c>
      <c r="B82" s="5">
        <f t="shared" si="27"/>
        <v>5</v>
      </c>
      <c r="C82" s="5">
        <f t="shared" si="27"/>
        <v>0</v>
      </c>
      <c r="D82" s="5">
        <f t="shared" si="27"/>
        <v>0</v>
      </c>
      <c r="E82" s="6" t="str">
        <f t="shared" si="23"/>
        <v>Se5</v>
      </c>
      <c r="F82" s="14">
        <f t="shared" ref="F82:AL82" si="29">F6*$C$78</f>
        <v>1.146E-16</v>
      </c>
      <c r="G82" s="14">
        <f t="shared" si="29"/>
        <v>1.5887500000000001E-9</v>
      </c>
      <c r="H82" s="14">
        <f t="shared" si="29"/>
        <v>1.9027500000000003E-8</v>
      </c>
      <c r="I82" s="14">
        <f t="shared" si="29"/>
        <v>1.5724166666666666E-7</v>
      </c>
      <c r="J82" s="14">
        <f t="shared" si="29"/>
        <v>9.7458333333333346E-7</v>
      </c>
      <c r="K82" s="14">
        <f t="shared" si="29"/>
        <v>4.8672499999999999E-6</v>
      </c>
      <c r="L82" s="14">
        <f t="shared" si="29"/>
        <v>8.8325000000000014E-4</v>
      </c>
      <c r="M82" s="14">
        <f t="shared" si="29"/>
        <v>2.3982500000000002E-3</v>
      </c>
      <c r="N82" s="14">
        <f t="shared" si="29"/>
        <v>5.7239999999999999E-3</v>
      </c>
      <c r="O82" s="14">
        <f t="shared" si="29"/>
        <v>1.2145000000000001E-2</v>
      </c>
      <c r="P82" s="14">
        <f t="shared" si="29"/>
        <v>2.3135833333333338E-2</v>
      </c>
      <c r="Q82" s="14">
        <f t="shared" si="29"/>
        <v>9.1825000000000004E-2</v>
      </c>
      <c r="R82" s="14">
        <f t="shared" si="29"/>
        <v>8.8666666666666671E-2</v>
      </c>
      <c r="S82" s="14">
        <f t="shared" si="29"/>
        <v>7.3703333333333343E-2</v>
      </c>
      <c r="T82" s="14">
        <f t="shared" si="29"/>
        <v>5.3380000000000004E-2</v>
      </c>
      <c r="U82" s="14">
        <f t="shared" si="29"/>
        <v>3.5320833333333336E-2</v>
      </c>
      <c r="V82" s="14">
        <f t="shared" si="29"/>
        <v>5.156666666666667E-3</v>
      </c>
      <c r="W82" s="14">
        <f t="shared" si="29"/>
        <v>8.8175000000000016E-4</v>
      </c>
      <c r="X82" s="14">
        <f t="shared" si="29"/>
        <v>1.9881666666666668E-4</v>
      </c>
      <c r="Y82" s="14">
        <f t="shared" si="29"/>
        <v>0</v>
      </c>
      <c r="Z82" s="14">
        <f t="shared" si="29"/>
        <v>0</v>
      </c>
      <c r="AA82" s="14">
        <f t="shared" si="29"/>
        <v>0</v>
      </c>
      <c r="AB82" s="14">
        <f t="shared" si="29"/>
        <v>0</v>
      </c>
      <c r="AC82" s="14">
        <f t="shared" si="29"/>
        <v>0</v>
      </c>
      <c r="AD82" s="14">
        <f t="shared" si="29"/>
        <v>0</v>
      </c>
      <c r="AE82" s="14">
        <f t="shared" si="29"/>
        <v>0</v>
      </c>
      <c r="AF82" s="14">
        <f t="shared" si="29"/>
        <v>0</v>
      </c>
      <c r="AG82" s="14">
        <f t="shared" si="29"/>
        <v>0</v>
      </c>
      <c r="AH82" s="14">
        <f t="shared" si="29"/>
        <v>0</v>
      </c>
      <c r="AI82" s="14">
        <f t="shared" si="29"/>
        <v>0</v>
      </c>
      <c r="AJ82" s="14">
        <f t="shared" si="29"/>
        <v>0</v>
      </c>
      <c r="AK82" s="14">
        <f t="shared" si="29"/>
        <v>0</v>
      </c>
      <c r="AL82" s="14">
        <f t="shared" si="29"/>
        <v>0</v>
      </c>
    </row>
    <row r="83" spans="1:38" ht="21" hidden="1" customHeight="1" outlineLevel="1" thickBot="1" x14ac:dyDescent="0.4">
      <c r="A83" s="5">
        <f t="shared" si="27"/>
        <v>0</v>
      </c>
      <c r="B83" s="5">
        <f t="shared" si="27"/>
        <v>6</v>
      </c>
      <c r="C83" s="5">
        <f t="shared" si="27"/>
        <v>0</v>
      </c>
      <c r="D83" s="5">
        <f t="shared" si="27"/>
        <v>0</v>
      </c>
      <c r="E83" s="6" t="str">
        <f t="shared" si="23"/>
        <v>Se6</v>
      </c>
      <c r="F83" s="14">
        <f t="shared" ref="F83:AL83" si="30">F7*$C$78</f>
        <v>1.9293333333333332E-14</v>
      </c>
      <c r="G83" s="14">
        <f t="shared" si="30"/>
        <v>1.4455833333333334E-8</v>
      </c>
      <c r="H83" s="14">
        <f t="shared" si="30"/>
        <v>1.0587500000000001E-7</v>
      </c>
      <c r="I83" s="14">
        <f t="shared" si="30"/>
        <v>5.6799166666666665E-7</v>
      </c>
      <c r="J83" s="14">
        <f t="shared" si="30"/>
        <v>2.4037500000000005E-6</v>
      </c>
      <c r="K83" s="14">
        <f t="shared" si="30"/>
        <v>8.5675000000000006E-6</v>
      </c>
      <c r="L83" s="14">
        <f t="shared" si="30"/>
        <v>5.8075833333333328E-4</v>
      </c>
      <c r="M83" s="14">
        <f t="shared" si="30"/>
        <v>1.3045833333333336E-3</v>
      </c>
      <c r="N83" s="14">
        <f t="shared" si="30"/>
        <v>2.6017500000000003E-3</v>
      </c>
      <c r="O83" s="14">
        <f t="shared" si="30"/>
        <v>4.644583333333333E-3</v>
      </c>
      <c r="P83" s="14">
        <f t="shared" si="30"/>
        <v>7.4755833333333341E-3</v>
      </c>
      <c r="Q83" s="14">
        <f t="shared" si="30"/>
        <v>1.4380833333333334E-2</v>
      </c>
      <c r="R83" s="14">
        <f t="shared" si="30"/>
        <v>1.1168333333333334E-2</v>
      </c>
      <c r="S83" s="14">
        <f t="shared" si="30"/>
        <v>7.3520833333333337E-3</v>
      </c>
      <c r="T83" s="14">
        <f t="shared" si="30"/>
        <v>4.1625000000000004E-3</v>
      </c>
      <c r="U83" s="14">
        <f t="shared" si="30"/>
        <v>2.1426666666666669E-3</v>
      </c>
      <c r="V83" s="14">
        <f t="shared" si="30"/>
        <v>1.2056666666666667E-4</v>
      </c>
      <c r="W83" s="14">
        <f t="shared" si="30"/>
        <v>9.2600000000000011E-6</v>
      </c>
      <c r="X83" s="14">
        <f t="shared" si="30"/>
        <v>1.0786666666666667E-6</v>
      </c>
      <c r="Y83" s="14">
        <f t="shared" si="30"/>
        <v>0</v>
      </c>
      <c r="Z83" s="14">
        <f t="shared" si="30"/>
        <v>0</v>
      </c>
      <c r="AA83" s="14">
        <f t="shared" si="30"/>
        <v>0</v>
      </c>
      <c r="AB83" s="14">
        <f t="shared" si="30"/>
        <v>0</v>
      </c>
      <c r="AC83" s="14">
        <f t="shared" si="30"/>
        <v>0</v>
      </c>
      <c r="AD83" s="14">
        <f t="shared" si="30"/>
        <v>0</v>
      </c>
      <c r="AE83" s="14">
        <f t="shared" si="30"/>
        <v>0</v>
      </c>
      <c r="AF83" s="14">
        <f t="shared" si="30"/>
        <v>0</v>
      </c>
      <c r="AG83" s="14">
        <f t="shared" si="30"/>
        <v>0</v>
      </c>
      <c r="AH83" s="14">
        <f t="shared" si="30"/>
        <v>0</v>
      </c>
      <c r="AI83" s="14">
        <f t="shared" si="30"/>
        <v>0</v>
      </c>
      <c r="AJ83" s="14">
        <f t="shared" si="30"/>
        <v>0</v>
      </c>
      <c r="AK83" s="14">
        <f t="shared" si="30"/>
        <v>0</v>
      </c>
      <c r="AL83" s="14">
        <f t="shared" si="30"/>
        <v>0</v>
      </c>
    </row>
    <row r="84" spans="1:38" ht="21" hidden="1" customHeight="1" outlineLevel="1" thickBot="1" x14ac:dyDescent="0.4">
      <c r="A84" s="5">
        <f t="shared" si="27"/>
        <v>0</v>
      </c>
      <c r="B84" s="5">
        <f t="shared" si="27"/>
        <v>7</v>
      </c>
      <c r="C84" s="5">
        <f t="shared" si="27"/>
        <v>0</v>
      </c>
      <c r="D84" s="5">
        <f t="shared" si="27"/>
        <v>0</v>
      </c>
      <c r="E84" s="6" t="str">
        <f t="shared" si="23"/>
        <v>Se7</v>
      </c>
      <c r="F84" s="14">
        <f t="shared" ref="F84:AL84" si="31">F8*$C$78</f>
        <v>2.1278333333333336E-15</v>
      </c>
      <c r="G84" s="14">
        <f t="shared" si="31"/>
        <v>3.2456666666666667E-9</v>
      </c>
      <c r="H84" s="14">
        <f t="shared" si="31"/>
        <v>2.5979166666666669E-8</v>
      </c>
      <c r="I84" s="14">
        <f t="shared" si="31"/>
        <v>1.4958333333333334E-7</v>
      </c>
      <c r="J84" s="14">
        <f t="shared" si="31"/>
        <v>6.7072500000000005E-7</v>
      </c>
      <c r="K84" s="14">
        <f t="shared" si="31"/>
        <v>2.5135000000000006E-6</v>
      </c>
      <c r="L84" s="14">
        <f t="shared" si="31"/>
        <v>2.0681666666666666E-4</v>
      </c>
      <c r="M84" s="14">
        <f t="shared" si="31"/>
        <v>4.82475E-4</v>
      </c>
      <c r="N84" s="14">
        <f t="shared" si="31"/>
        <v>9.8933333333333338E-4</v>
      </c>
      <c r="O84" s="14">
        <f t="shared" si="31"/>
        <v>1.7970833333333335E-3</v>
      </c>
      <c r="P84" s="14">
        <f t="shared" si="31"/>
        <v>2.9107500000000001E-3</v>
      </c>
      <c r="Q84" s="14">
        <f t="shared" si="31"/>
        <v>4.8390000000000004E-3</v>
      </c>
      <c r="R84" s="14">
        <f t="shared" si="31"/>
        <v>3.4088333333333336E-3</v>
      </c>
      <c r="S84" s="14">
        <f t="shared" si="31"/>
        <v>1.9889166666666666E-3</v>
      </c>
      <c r="T84" s="14">
        <f t="shared" si="31"/>
        <v>9.7825000000000017E-4</v>
      </c>
      <c r="U84" s="14">
        <f t="shared" si="31"/>
        <v>4.3255833333333336E-4</v>
      </c>
      <c r="V84" s="14">
        <f t="shared" si="31"/>
        <v>1.3215833333333333E-5</v>
      </c>
      <c r="W84" s="14">
        <f t="shared" si="31"/>
        <v>6.0060000000000002E-7</v>
      </c>
      <c r="X84" s="14">
        <f t="shared" si="31"/>
        <v>4.5330000000000003E-8</v>
      </c>
      <c r="Y84" s="14">
        <f t="shared" si="31"/>
        <v>0</v>
      </c>
      <c r="Z84" s="14">
        <f t="shared" si="31"/>
        <v>0</v>
      </c>
      <c r="AA84" s="14">
        <f t="shared" si="31"/>
        <v>0</v>
      </c>
      <c r="AB84" s="14">
        <f t="shared" si="31"/>
        <v>0</v>
      </c>
      <c r="AC84" s="14">
        <f t="shared" si="31"/>
        <v>0</v>
      </c>
      <c r="AD84" s="14">
        <f t="shared" si="31"/>
        <v>0</v>
      </c>
      <c r="AE84" s="14">
        <f t="shared" si="31"/>
        <v>0</v>
      </c>
      <c r="AF84" s="14">
        <f t="shared" si="31"/>
        <v>0</v>
      </c>
      <c r="AG84" s="14">
        <f t="shared" si="31"/>
        <v>0</v>
      </c>
      <c r="AH84" s="14">
        <f t="shared" si="31"/>
        <v>0</v>
      </c>
      <c r="AI84" s="14">
        <f t="shared" si="31"/>
        <v>0</v>
      </c>
      <c r="AJ84" s="14">
        <f t="shared" si="31"/>
        <v>0</v>
      </c>
      <c r="AK84" s="14">
        <f t="shared" si="31"/>
        <v>0</v>
      </c>
      <c r="AL84" s="14">
        <f t="shared" si="31"/>
        <v>0</v>
      </c>
    </row>
    <row r="85" spans="1:38" ht="21" hidden="1" customHeight="1" outlineLevel="1" thickBot="1" x14ac:dyDescent="0.4">
      <c r="A85" s="5">
        <f t="shared" si="27"/>
        <v>0</v>
      </c>
      <c r="B85" s="5">
        <f t="shared" si="27"/>
        <v>8</v>
      </c>
      <c r="C85" s="5">
        <f t="shared" si="27"/>
        <v>0</v>
      </c>
      <c r="D85" s="5">
        <f t="shared" si="27"/>
        <v>0</v>
      </c>
      <c r="E85" s="6" t="str">
        <f t="shared" si="23"/>
        <v>Se8</v>
      </c>
      <c r="F85" s="14">
        <f t="shared" ref="F85:AL85" si="32">F9*$C$78</f>
        <v>4.6839166666666669E-17</v>
      </c>
      <c r="G85" s="14">
        <f t="shared" si="32"/>
        <v>1.2379166666666667E-10</v>
      </c>
      <c r="H85" s="14">
        <f t="shared" si="32"/>
        <v>1.0556666666666666E-9</v>
      </c>
      <c r="I85" s="14">
        <f t="shared" si="32"/>
        <v>6.3810833333333342E-9</v>
      </c>
      <c r="J85" s="14">
        <f t="shared" si="32"/>
        <v>2.974E-8</v>
      </c>
      <c r="K85" s="14">
        <f t="shared" si="32"/>
        <v>1.1521666666666666E-7</v>
      </c>
      <c r="L85" s="14">
        <f t="shared" si="32"/>
        <v>1.0933333333333334E-5</v>
      </c>
      <c r="M85" s="14">
        <f t="shared" si="32"/>
        <v>2.6227500000000003E-5</v>
      </c>
      <c r="N85" s="14">
        <f t="shared" si="32"/>
        <v>5.4802500000000003E-5</v>
      </c>
      <c r="O85" s="14">
        <f t="shared" si="32"/>
        <v>1.0046666666666666E-4</v>
      </c>
      <c r="P85" s="14">
        <f t="shared" si="32"/>
        <v>1.625166666666667E-4</v>
      </c>
      <c r="Q85" s="14">
        <f t="shared" si="32"/>
        <v>2.2775000000000003E-4</v>
      </c>
      <c r="R85" s="14">
        <f t="shared" si="32"/>
        <v>1.4478333333333335E-4</v>
      </c>
      <c r="S85" s="14">
        <f t="shared" si="32"/>
        <v>7.4511666666666674E-5</v>
      </c>
      <c r="T85" s="14">
        <f t="shared" si="32"/>
        <v>3.1693333333333337E-5</v>
      </c>
      <c r="U85" s="14">
        <f t="shared" si="32"/>
        <v>1.1986666666666668E-5</v>
      </c>
      <c r="V85" s="14">
        <f t="shared" si="32"/>
        <v>1.9594166666666668E-7</v>
      </c>
      <c r="W85" s="14">
        <f t="shared" si="32"/>
        <v>5.2075000000000005E-9</v>
      </c>
      <c r="X85" s="14">
        <f t="shared" si="32"/>
        <v>2.5220000000000002E-10</v>
      </c>
      <c r="Y85" s="14">
        <f t="shared" si="32"/>
        <v>0</v>
      </c>
      <c r="Z85" s="14">
        <f t="shared" si="32"/>
        <v>0</v>
      </c>
      <c r="AA85" s="14">
        <f t="shared" si="32"/>
        <v>0</v>
      </c>
      <c r="AB85" s="14">
        <f t="shared" si="32"/>
        <v>0</v>
      </c>
      <c r="AC85" s="14">
        <f t="shared" si="32"/>
        <v>0</v>
      </c>
      <c r="AD85" s="14">
        <f t="shared" si="32"/>
        <v>0</v>
      </c>
      <c r="AE85" s="14">
        <f t="shared" si="32"/>
        <v>0</v>
      </c>
      <c r="AF85" s="14">
        <f t="shared" si="32"/>
        <v>0</v>
      </c>
      <c r="AG85" s="14">
        <f t="shared" si="32"/>
        <v>0</v>
      </c>
      <c r="AH85" s="14">
        <f t="shared" si="32"/>
        <v>0</v>
      </c>
      <c r="AI85" s="14">
        <f t="shared" si="32"/>
        <v>0</v>
      </c>
      <c r="AJ85" s="14">
        <f t="shared" si="32"/>
        <v>0</v>
      </c>
      <c r="AK85" s="14">
        <f t="shared" si="32"/>
        <v>0</v>
      </c>
      <c r="AL85" s="14">
        <f t="shared" si="32"/>
        <v>0</v>
      </c>
    </row>
    <row r="86" spans="1:38" ht="21" hidden="1" customHeight="1" outlineLevel="1" thickBot="1" x14ac:dyDescent="0.4">
      <c r="A86" s="5">
        <f t="shared" si="27"/>
        <v>0</v>
      </c>
      <c r="B86" s="5">
        <f t="shared" si="27"/>
        <v>2</v>
      </c>
      <c r="C86" s="5">
        <f t="shared" si="27"/>
        <v>0</v>
      </c>
      <c r="D86" s="5">
        <f t="shared" si="27"/>
        <v>0</v>
      </c>
      <c r="E86" s="6" t="str">
        <f t="shared" si="23"/>
        <v>Se2</v>
      </c>
      <c r="F86" s="14">
        <f t="shared" ref="F86:AL86" si="33">F10*$C$78</f>
        <v>4.9639166666666673E-17</v>
      </c>
      <c r="G86" s="14">
        <f t="shared" si="33"/>
        <v>9.3308333333333334E-10</v>
      </c>
      <c r="H86" s="14">
        <f t="shared" si="33"/>
        <v>1.2854166666666667E-8</v>
      </c>
      <c r="I86" s="14">
        <f t="shared" si="33"/>
        <v>1.2278333333333334E-7</v>
      </c>
      <c r="J86" s="14">
        <f t="shared" si="33"/>
        <v>8.7758333333333337E-7</v>
      </c>
      <c r="K86" s="14">
        <f t="shared" si="33"/>
        <v>4.9994166666666675E-6</v>
      </c>
      <c r="L86" s="14">
        <f t="shared" si="33"/>
        <v>1.2245000000000001E-3</v>
      </c>
      <c r="M86" s="14">
        <f t="shared" si="33"/>
        <v>3.5357500000000003E-3</v>
      </c>
      <c r="N86" s="14">
        <f t="shared" si="33"/>
        <v>9.1191666666666678E-3</v>
      </c>
      <c r="O86" s="14">
        <f t="shared" si="33"/>
        <v>2.1315833333333336E-2</v>
      </c>
      <c r="P86" s="14">
        <f t="shared" si="33"/>
        <v>4.5752500000000002E-2</v>
      </c>
      <c r="Q86" s="14">
        <f t="shared" si="33"/>
        <v>0.44880000000000003</v>
      </c>
      <c r="R86" s="14">
        <f t="shared" si="33"/>
        <v>0.64131666666666665</v>
      </c>
      <c r="S86" s="14">
        <f t="shared" si="33"/>
        <v>0.84083333333333343</v>
      </c>
      <c r="T86" s="14">
        <f t="shared" si="33"/>
        <v>1.0150000000000001</v>
      </c>
      <c r="U86" s="14">
        <f t="shared" si="33"/>
        <v>1.1523333333333332</v>
      </c>
      <c r="V86" s="14">
        <f t="shared" si="33"/>
        <v>1.4131666666666669</v>
      </c>
      <c r="W86" s="14">
        <f t="shared" si="33"/>
        <v>1.4918333333333336</v>
      </c>
      <c r="X86" s="14">
        <f t="shared" si="33"/>
        <v>1.5245833333333334</v>
      </c>
      <c r="Y86" s="14">
        <f t="shared" si="33"/>
        <v>0</v>
      </c>
      <c r="Z86" s="14">
        <f t="shared" si="33"/>
        <v>0</v>
      </c>
      <c r="AA86" s="14">
        <f t="shared" si="33"/>
        <v>0</v>
      </c>
      <c r="AB86" s="14">
        <f t="shared" si="33"/>
        <v>0</v>
      </c>
      <c r="AC86" s="14">
        <f t="shared" si="33"/>
        <v>0</v>
      </c>
      <c r="AD86" s="14">
        <f t="shared" si="33"/>
        <v>0</v>
      </c>
      <c r="AE86" s="14">
        <f t="shared" si="33"/>
        <v>0</v>
      </c>
      <c r="AF86" s="14">
        <f t="shared" si="33"/>
        <v>0</v>
      </c>
      <c r="AG86" s="14">
        <f t="shared" si="33"/>
        <v>0</v>
      </c>
      <c r="AH86" s="14">
        <f t="shared" si="33"/>
        <v>0</v>
      </c>
      <c r="AI86" s="14">
        <f t="shared" si="33"/>
        <v>0</v>
      </c>
      <c r="AJ86" s="14">
        <f t="shared" si="33"/>
        <v>0</v>
      </c>
      <c r="AK86" s="14">
        <f t="shared" si="33"/>
        <v>0</v>
      </c>
      <c r="AL86" s="14">
        <f t="shared" si="33"/>
        <v>0</v>
      </c>
    </row>
    <row r="87" spans="1:38" ht="21" hidden="1" customHeight="1" outlineLevel="1" thickBot="1" x14ac:dyDescent="0.4">
      <c r="A87" s="5">
        <f t="shared" si="27"/>
        <v>0</v>
      </c>
      <c r="B87" s="5">
        <f t="shared" si="27"/>
        <v>1</v>
      </c>
      <c r="C87" s="5">
        <f t="shared" si="27"/>
        <v>0</v>
      </c>
      <c r="D87" s="5">
        <f t="shared" si="27"/>
        <v>0</v>
      </c>
      <c r="E87" s="6" t="str">
        <f t="shared" si="23"/>
        <v>Se</v>
      </c>
      <c r="F87" s="14">
        <f t="shared" ref="F87:AL87" si="34">F11*$C$78</f>
        <v>5.3360833333333337E-35</v>
      </c>
      <c r="G87" s="14">
        <f t="shared" si="34"/>
        <v>2.1621666666666667E-22</v>
      </c>
      <c r="H87" s="14">
        <f t="shared" si="34"/>
        <v>2.2006666666666669E-20</v>
      </c>
      <c r="I87" s="14">
        <f t="shared" si="34"/>
        <v>1.1986666666666667E-18</v>
      </c>
      <c r="J87" s="14">
        <f t="shared" si="34"/>
        <v>3.9517500000000006E-17</v>
      </c>
      <c r="K87" s="14">
        <f t="shared" si="34"/>
        <v>8.6974999999999998E-16</v>
      </c>
      <c r="L87" s="14">
        <f t="shared" si="34"/>
        <v>1.27775E-11</v>
      </c>
      <c r="M87" s="14">
        <f t="shared" si="34"/>
        <v>8.1681666666666668E-11</v>
      </c>
      <c r="N87" s="14">
        <f t="shared" si="34"/>
        <v>4.3888333333333338E-10</v>
      </c>
      <c r="O87" s="14">
        <f t="shared" si="34"/>
        <v>2.0298333333333335E-9</v>
      </c>
      <c r="P87" s="14">
        <f t="shared" si="34"/>
        <v>8.2550000000000018E-9</v>
      </c>
      <c r="Q87" s="14">
        <f t="shared" si="34"/>
        <v>8.0377499999999998E-7</v>
      </c>
      <c r="R87" s="14">
        <f t="shared" si="34"/>
        <v>1.9872499999999999E-6</v>
      </c>
      <c r="S87" s="14">
        <f t="shared" si="34"/>
        <v>4.4866666666666672E-6</v>
      </c>
      <c r="T87" s="14">
        <f t="shared" si="34"/>
        <v>9.2766666666666671E-6</v>
      </c>
      <c r="U87" s="14">
        <f t="shared" si="34"/>
        <v>1.7827500000000002E-5</v>
      </c>
      <c r="V87" s="14">
        <f t="shared" si="34"/>
        <v>1.4827500000000001E-4</v>
      </c>
      <c r="W87" s="14">
        <f t="shared" si="34"/>
        <v>7.6382499999999999E-4</v>
      </c>
      <c r="X87" s="14">
        <f t="shared" si="34"/>
        <v>2.9072500000000001E-3</v>
      </c>
      <c r="Y87" s="14">
        <f t="shared" si="34"/>
        <v>0</v>
      </c>
      <c r="Z87" s="14">
        <f t="shared" si="34"/>
        <v>0</v>
      </c>
      <c r="AA87" s="14">
        <f t="shared" si="34"/>
        <v>0</v>
      </c>
      <c r="AB87" s="14">
        <f t="shared" si="34"/>
        <v>0</v>
      </c>
      <c r="AC87" s="14">
        <f t="shared" si="34"/>
        <v>0</v>
      </c>
      <c r="AD87" s="14">
        <f t="shared" si="34"/>
        <v>0</v>
      </c>
      <c r="AE87" s="14">
        <f t="shared" si="34"/>
        <v>0</v>
      </c>
      <c r="AF87" s="14">
        <f t="shared" si="34"/>
        <v>0</v>
      </c>
      <c r="AG87" s="14">
        <f t="shared" si="34"/>
        <v>0</v>
      </c>
      <c r="AH87" s="14">
        <f t="shared" si="34"/>
        <v>0</v>
      </c>
      <c r="AI87" s="14">
        <f t="shared" si="34"/>
        <v>0</v>
      </c>
      <c r="AJ87" s="14">
        <f t="shared" si="34"/>
        <v>0</v>
      </c>
      <c r="AK87" s="14">
        <f t="shared" si="34"/>
        <v>0</v>
      </c>
      <c r="AL87" s="14">
        <f t="shared" si="34"/>
        <v>0</v>
      </c>
    </row>
    <row r="88" spans="1:38" ht="21" hidden="1" customHeight="1" outlineLevel="1" thickBot="1" x14ac:dyDescent="0.4">
      <c r="A88" s="5">
        <f t="shared" si="27"/>
        <v>0</v>
      </c>
      <c r="B88" s="5">
        <f t="shared" si="27"/>
        <v>1</v>
      </c>
      <c r="C88" s="5">
        <f t="shared" si="27"/>
        <v>0</v>
      </c>
      <c r="D88" s="5">
        <f t="shared" si="27"/>
        <v>2</v>
      </c>
      <c r="E88" s="6" t="str">
        <f t="shared" si="23"/>
        <v>Ga2Se</v>
      </c>
      <c r="F88" s="14">
        <f t="shared" ref="F88:AL88" si="35">F12*$C$78</f>
        <v>2.1291666666666667E-8</v>
      </c>
      <c r="G88" s="14">
        <f t="shared" si="35"/>
        <v>3.9760000000000002E-4</v>
      </c>
      <c r="H88" s="14">
        <f t="shared" si="35"/>
        <v>1.7964166666666669E-3</v>
      </c>
      <c r="I88" s="14">
        <f t="shared" si="35"/>
        <v>6.4875833333333339E-3</v>
      </c>
      <c r="J88" s="14">
        <f t="shared" si="35"/>
        <v>1.9484166666666667E-2</v>
      </c>
      <c r="K88" s="14">
        <f t="shared" si="35"/>
        <v>4.9871666666666668E-2</v>
      </c>
      <c r="L88" s="14">
        <f t="shared" si="35"/>
        <v>0.43657499999999999</v>
      </c>
      <c r="M88" s="14">
        <f t="shared" si="35"/>
        <v>0.52650000000000008</v>
      </c>
      <c r="N88" s="14">
        <f t="shared" si="35"/>
        <v>0.59495833333333337</v>
      </c>
      <c r="O88" s="14">
        <f t="shared" si="35"/>
        <v>0.6463416666666667</v>
      </c>
      <c r="P88" s="14">
        <f t="shared" si="35"/>
        <v>0.68597500000000011</v>
      </c>
      <c r="Q88" s="14">
        <f t="shared" si="35"/>
        <v>0.78056666666666674</v>
      </c>
      <c r="R88" s="14">
        <f t="shared" si="35"/>
        <v>0.79231666666666667</v>
      </c>
      <c r="S88" s="14">
        <f t="shared" si="35"/>
        <v>0.80061666666666675</v>
      </c>
      <c r="T88" s="14">
        <f t="shared" si="35"/>
        <v>0.80600833333333344</v>
      </c>
      <c r="U88" s="14">
        <f t="shared" si="35"/>
        <v>0.80959166666666671</v>
      </c>
      <c r="V88" s="14">
        <f t="shared" si="35"/>
        <v>0.81568333333333332</v>
      </c>
      <c r="W88" s="14">
        <f t="shared" si="35"/>
        <v>0.81739166666666663</v>
      </c>
      <c r="X88" s="14">
        <f t="shared" si="35"/>
        <v>0.81794166666666679</v>
      </c>
      <c r="Y88" s="14">
        <f t="shared" si="35"/>
        <v>0</v>
      </c>
      <c r="Z88" s="14">
        <f t="shared" si="35"/>
        <v>0</v>
      </c>
      <c r="AA88" s="14">
        <f t="shared" si="35"/>
        <v>0</v>
      </c>
      <c r="AB88" s="14">
        <f t="shared" si="35"/>
        <v>0</v>
      </c>
      <c r="AC88" s="14">
        <f t="shared" si="35"/>
        <v>0</v>
      </c>
      <c r="AD88" s="14">
        <f t="shared" si="35"/>
        <v>0</v>
      </c>
      <c r="AE88" s="14">
        <f t="shared" si="35"/>
        <v>0</v>
      </c>
      <c r="AF88" s="14">
        <f t="shared" si="35"/>
        <v>0</v>
      </c>
      <c r="AG88" s="14">
        <f t="shared" si="35"/>
        <v>0</v>
      </c>
      <c r="AH88" s="14">
        <f t="shared" si="35"/>
        <v>0</v>
      </c>
      <c r="AI88" s="14">
        <f t="shared" si="35"/>
        <v>0</v>
      </c>
      <c r="AJ88" s="14">
        <f t="shared" si="35"/>
        <v>0</v>
      </c>
      <c r="AK88" s="14">
        <f t="shared" si="35"/>
        <v>0</v>
      </c>
      <c r="AL88" s="14">
        <f t="shared" si="35"/>
        <v>0</v>
      </c>
    </row>
    <row r="89" spans="1:38" ht="21" hidden="1" customHeight="1" outlineLevel="1" thickBot="1" x14ac:dyDescent="0.4">
      <c r="A89" s="5">
        <f t="shared" si="27"/>
        <v>1</v>
      </c>
      <c r="B89" s="5">
        <f t="shared" si="27"/>
        <v>0</v>
      </c>
      <c r="C89" s="5">
        <f t="shared" si="27"/>
        <v>0</v>
      </c>
      <c r="D89" s="5">
        <f t="shared" si="27"/>
        <v>0</v>
      </c>
      <c r="E89" s="6" t="str">
        <f t="shared" si="23"/>
        <v>Ar</v>
      </c>
      <c r="F89" s="14">
        <f t="shared" ref="F89:AL89" si="36">F13*$C$78</f>
        <v>1.666666666666667</v>
      </c>
      <c r="G89" s="14">
        <f t="shared" si="36"/>
        <v>1.666666666666667</v>
      </c>
      <c r="H89" s="14">
        <f t="shared" si="36"/>
        <v>1.666666666666667</v>
      </c>
      <c r="I89" s="14">
        <f t="shared" si="36"/>
        <v>1.666666666666667</v>
      </c>
      <c r="J89" s="14">
        <f t="shared" si="36"/>
        <v>1.666666666666667</v>
      </c>
      <c r="K89" s="14">
        <f t="shared" si="36"/>
        <v>1.666666666666667</v>
      </c>
      <c r="L89" s="14">
        <f t="shared" si="36"/>
        <v>1.666666666666667</v>
      </c>
      <c r="M89" s="14">
        <f t="shared" si="36"/>
        <v>1.666666666666667</v>
      </c>
      <c r="N89" s="14">
        <f t="shared" si="36"/>
        <v>1.666666666666667</v>
      </c>
      <c r="O89" s="14">
        <f t="shared" si="36"/>
        <v>1.666666666666667</v>
      </c>
      <c r="P89" s="14">
        <f t="shared" si="36"/>
        <v>1.666666666666667</v>
      </c>
      <c r="Q89" s="14">
        <f t="shared" si="36"/>
        <v>1.666666666666667</v>
      </c>
      <c r="R89" s="14">
        <f t="shared" si="36"/>
        <v>1.666666666666667</v>
      </c>
      <c r="S89" s="14">
        <f t="shared" si="36"/>
        <v>1.666666666666667</v>
      </c>
      <c r="T89" s="14">
        <f t="shared" si="36"/>
        <v>1.666666666666667</v>
      </c>
      <c r="U89" s="14">
        <f t="shared" si="36"/>
        <v>1.666666666666667</v>
      </c>
      <c r="V89" s="14">
        <f t="shared" si="36"/>
        <v>1.666666666666667</v>
      </c>
      <c r="W89" s="14">
        <f t="shared" si="36"/>
        <v>1.666666666666667</v>
      </c>
      <c r="X89" s="14">
        <f t="shared" si="36"/>
        <v>1.666666666666667</v>
      </c>
      <c r="Y89" s="14">
        <f t="shared" si="36"/>
        <v>0</v>
      </c>
      <c r="Z89" s="14">
        <f t="shared" si="36"/>
        <v>0</v>
      </c>
      <c r="AA89" s="14">
        <f t="shared" si="36"/>
        <v>0</v>
      </c>
      <c r="AB89" s="14">
        <f t="shared" si="36"/>
        <v>0</v>
      </c>
      <c r="AC89" s="14">
        <f t="shared" si="36"/>
        <v>0</v>
      </c>
      <c r="AD89" s="14">
        <f t="shared" si="36"/>
        <v>0</v>
      </c>
      <c r="AE89" s="14">
        <f t="shared" si="36"/>
        <v>0</v>
      </c>
      <c r="AF89" s="14">
        <f t="shared" si="36"/>
        <v>0</v>
      </c>
      <c r="AG89" s="14">
        <f t="shared" si="36"/>
        <v>0</v>
      </c>
      <c r="AH89" s="14">
        <f t="shared" si="36"/>
        <v>0</v>
      </c>
      <c r="AI89" s="14">
        <f t="shared" si="36"/>
        <v>0</v>
      </c>
      <c r="AJ89" s="14">
        <f t="shared" si="36"/>
        <v>0</v>
      </c>
      <c r="AK89" s="14">
        <f t="shared" si="36"/>
        <v>0</v>
      </c>
      <c r="AL89" s="14">
        <f t="shared" si="36"/>
        <v>0</v>
      </c>
    </row>
    <row r="90" spans="1:38" ht="21" hidden="1" customHeight="1" outlineLevel="1" thickBot="1" x14ac:dyDescent="0.4">
      <c r="A90" s="5">
        <f t="shared" si="27"/>
        <v>0</v>
      </c>
      <c r="B90" s="5">
        <f t="shared" si="27"/>
        <v>0</v>
      </c>
      <c r="C90" s="5">
        <f t="shared" si="27"/>
        <v>0</v>
      </c>
      <c r="D90" s="5">
        <f t="shared" si="27"/>
        <v>1</v>
      </c>
      <c r="E90" s="6" t="str">
        <f t="shared" si="23"/>
        <v>(l)Ga[l]</v>
      </c>
      <c r="F90" s="14">
        <f t="shared" ref="F90:AL90" si="37">F14*$C$78</f>
        <v>1.666666666666667</v>
      </c>
      <c r="G90" s="14">
        <f t="shared" si="37"/>
        <v>1.6658333333333335</v>
      </c>
      <c r="H90" s="14">
        <f t="shared" si="37"/>
        <v>1.6630833333333335</v>
      </c>
      <c r="I90" s="14">
        <f t="shared" si="37"/>
        <v>1.6536666666666668</v>
      </c>
      <c r="J90" s="14">
        <f t="shared" si="37"/>
        <v>1.6276666666666668</v>
      </c>
      <c r="K90" s="14">
        <f t="shared" si="37"/>
        <v>1.5669166666666667</v>
      </c>
      <c r="L90" s="14">
        <f t="shared" si="37"/>
        <v>0.79352500000000004</v>
      </c>
      <c r="M90" s="14">
        <f t="shared" si="37"/>
        <v>0.61366666666666669</v>
      </c>
      <c r="N90" s="14">
        <f t="shared" si="37"/>
        <v>0.47675000000000001</v>
      </c>
      <c r="O90" s="14">
        <f t="shared" si="37"/>
        <v>0.37398333333333339</v>
      </c>
      <c r="P90" s="14">
        <f t="shared" si="37"/>
        <v>0.29472500000000007</v>
      </c>
      <c r="Q90" s="14">
        <f t="shared" si="37"/>
        <v>0.10554166666666667</v>
      </c>
      <c r="R90" s="14">
        <f t="shared" si="37"/>
        <v>8.2029166666666667E-2</v>
      </c>
      <c r="S90" s="14">
        <f t="shared" si="37"/>
        <v>6.5436666666666671E-2</v>
      </c>
      <c r="T90" s="14">
        <f t="shared" si="37"/>
        <v>5.4655833333333334E-2</v>
      </c>
      <c r="U90" s="14">
        <f t="shared" si="37"/>
        <v>4.7478333333333338E-2</v>
      </c>
      <c r="V90" s="14">
        <f t="shared" si="37"/>
        <v>3.5303333333333339E-2</v>
      </c>
      <c r="W90" s="14">
        <f t="shared" si="37"/>
        <v>3.1876666666666671E-2</v>
      </c>
      <c r="X90" s="14">
        <f t="shared" si="37"/>
        <v>3.0763333333333337E-2</v>
      </c>
      <c r="Y90" s="14">
        <f t="shared" si="37"/>
        <v>0</v>
      </c>
      <c r="Z90" s="14">
        <f t="shared" si="37"/>
        <v>0</v>
      </c>
      <c r="AA90" s="14">
        <f t="shared" si="37"/>
        <v>0</v>
      </c>
      <c r="AB90" s="14">
        <f t="shared" si="37"/>
        <v>0</v>
      </c>
      <c r="AC90" s="14">
        <f t="shared" si="37"/>
        <v>0</v>
      </c>
      <c r="AD90" s="14">
        <f t="shared" si="37"/>
        <v>0</v>
      </c>
      <c r="AE90" s="14">
        <f t="shared" si="37"/>
        <v>0</v>
      </c>
      <c r="AF90" s="14">
        <f t="shared" si="37"/>
        <v>0</v>
      </c>
      <c r="AG90" s="14">
        <f t="shared" si="37"/>
        <v>0</v>
      </c>
      <c r="AH90" s="14">
        <f t="shared" si="37"/>
        <v>0</v>
      </c>
      <c r="AI90" s="14">
        <f t="shared" si="37"/>
        <v>0</v>
      </c>
      <c r="AJ90" s="14">
        <f t="shared" si="37"/>
        <v>0</v>
      </c>
      <c r="AK90" s="14">
        <f t="shared" si="37"/>
        <v>0</v>
      </c>
      <c r="AL90" s="14">
        <f t="shared" si="37"/>
        <v>0</v>
      </c>
    </row>
    <row r="91" spans="1:38" ht="21" hidden="1" customHeight="1" outlineLevel="1" thickBot="1" x14ac:dyDescent="0.4">
      <c r="A91" s="5">
        <f t="shared" si="27"/>
        <v>0</v>
      </c>
      <c r="B91" s="5">
        <f t="shared" si="27"/>
        <v>0</v>
      </c>
      <c r="C91" s="5">
        <f t="shared" si="27"/>
        <v>1</v>
      </c>
      <c r="D91" s="5">
        <f t="shared" si="27"/>
        <v>0</v>
      </c>
      <c r="E91" s="6" t="str">
        <f t="shared" si="23"/>
        <v>(l)Ge[l]</v>
      </c>
      <c r="F91" s="14">
        <f t="shared" ref="F91:AL91" si="38">F15*$C$78</f>
        <v>1</v>
      </c>
      <c r="G91" s="14">
        <f t="shared" si="38"/>
        <v>1</v>
      </c>
      <c r="H91" s="14">
        <f t="shared" si="38"/>
        <v>1</v>
      </c>
      <c r="I91" s="14">
        <f t="shared" si="38"/>
        <v>1</v>
      </c>
      <c r="J91" s="14">
        <f t="shared" si="38"/>
        <v>1</v>
      </c>
      <c r="K91" s="14">
        <f t="shared" si="38"/>
        <v>1</v>
      </c>
      <c r="L91" s="14">
        <f t="shared" si="38"/>
        <v>1</v>
      </c>
      <c r="M91" s="14">
        <f t="shared" si="38"/>
        <v>1</v>
      </c>
      <c r="N91" s="14">
        <f t="shared" si="38"/>
        <v>1</v>
      </c>
      <c r="O91" s="14">
        <f t="shared" si="38"/>
        <v>1</v>
      </c>
      <c r="P91" s="14">
        <f t="shared" si="38"/>
        <v>1</v>
      </c>
      <c r="Q91" s="14">
        <f t="shared" si="38"/>
        <v>1</v>
      </c>
      <c r="R91" s="14">
        <f t="shared" si="38"/>
        <v>1</v>
      </c>
      <c r="S91" s="14">
        <f t="shared" si="38"/>
        <v>1</v>
      </c>
      <c r="T91" s="14">
        <f t="shared" si="38"/>
        <v>1</v>
      </c>
      <c r="U91" s="14">
        <f t="shared" si="38"/>
        <v>1</v>
      </c>
      <c r="V91" s="14">
        <f t="shared" si="38"/>
        <v>1</v>
      </c>
      <c r="W91" s="14">
        <f t="shared" si="38"/>
        <v>1</v>
      </c>
      <c r="X91" s="14">
        <f t="shared" si="38"/>
        <v>1</v>
      </c>
      <c r="Y91" s="14">
        <f t="shared" si="38"/>
        <v>0</v>
      </c>
      <c r="Z91" s="14">
        <f t="shared" si="38"/>
        <v>0</v>
      </c>
      <c r="AA91" s="14">
        <f t="shared" si="38"/>
        <v>0</v>
      </c>
      <c r="AB91" s="14">
        <f t="shared" si="38"/>
        <v>0</v>
      </c>
      <c r="AC91" s="14">
        <f t="shared" si="38"/>
        <v>0</v>
      </c>
      <c r="AD91" s="14">
        <f t="shared" si="38"/>
        <v>0</v>
      </c>
      <c r="AE91" s="14">
        <f t="shared" si="38"/>
        <v>0</v>
      </c>
      <c r="AF91" s="14">
        <f t="shared" si="38"/>
        <v>0</v>
      </c>
      <c r="AG91" s="14">
        <f t="shared" si="38"/>
        <v>0</v>
      </c>
      <c r="AH91" s="14">
        <f t="shared" si="38"/>
        <v>0</v>
      </c>
      <c r="AI91" s="14">
        <f t="shared" si="38"/>
        <v>0</v>
      </c>
      <c r="AJ91" s="14">
        <f t="shared" si="38"/>
        <v>0</v>
      </c>
      <c r="AK91" s="14">
        <f t="shared" si="38"/>
        <v>0</v>
      </c>
      <c r="AL91" s="14">
        <f t="shared" si="38"/>
        <v>0</v>
      </c>
    </row>
    <row r="92" spans="1:38" ht="21" hidden="1" customHeight="1" outlineLevel="1" thickBot="1" x14ac:dyDescent="0.4">
      <c r="A92" s="5">
        <f t="shared" si="27"/>
        <v>0</v>
      </c>
      <c r="B92" s="5">
        <f t="shared" si="27"/>
        <v>1</v>
      </c>
      <c r="C92" s="5">
        <f t="shared" si="27"/>
        <v>0</v>
      </c>
      <c r="D92" s="5">
        <f t="shared" si="27"/>
        <v>0</v>
      </c>
      <c r="E92" s="6" t="str">
        <f t="shared" si="23"/>
        <v>(l)Se[l]</v>
      </c>
      <c r="F92" s="14">
        <f t="shared" ref="F92:AL92" si="39">F16*$C$78</f>
        <v>4</v>
      </c>
      <c r="G92" s="14">
        <f t="shared" si="39"/>
        <v>3.9995833333333337</v>
      </c>
      <c r="H92" s="14">
        <f t="shared" si="39"/>
        <v>3.9981666666666666</v>
      </c>
      <c r="I92" s="14">
        <f t="shared" si="39"/>
        <v>3.9935</v>
      </c>
      <c r="J92" s="14">
        <f t="shared" si="39"/>
        <v>3.9805000000000001</v>
      </c>
      <c r="K92" s="14">
        <f t="shared" si="39"/>
        <v>3.95</v>
      </c>
      <c r="L92" s="14">
        <f t="shared" si="39"/>
        <v>3.5514166666666669</v>
      </c>
      <c r="M92" s="14">
        <f t="shared" si="39"/>
        <v>3.4427500000000002</v>
      </c>
      <c r="N92" s="14">
        <f t="shared" si="39"/>
        <v>3.3343333333333334</v>
      </c>
      <c r="O92" s="14">
        <f t="shared" si="39"/>
        <v>3.2068333333333334</v>
      </c>
      <c r="P92" s="14">
        <f t="shared" si="39"/>
        <v>3.03525</v>
      </c>
      <c r="Q92" s="14">
        <f t="shared" si="39"/>
        <v>1.6905000000000001</v>
      </c>
      <c r="R92" s="14">
        <f t="shared" si="39"/>
        <v>1.3230833333333334</v>
      </c>
      <c r="S92" s="14">
        <f t="shared" si="39"/>
        <v>1.0115000000000001</v>
      </c>
      <c r="T92" s="14">
        <f t="shared" si="39"/>
        <v>0.78046666666666675</v>
      </c>
      <c r="U92" s="14">
        <f t="shared" si="39"/>
        <v>0.60879166666666662</v>
      </c>
      <c r="V92" s="14">
        <f t="shared" si="39"/>
        <v>0.26844166666666669</v>
      </c>
      <c r="W92" s="14">
        <f t="shared" si="39"/>
        <v>0.14959166666666668</v>
      </c>
      <c r="X92" s="14">
        <f t="shared" si="39"/>
        <v>9.6491666666666684E-2</v>
      </c>
      <c r="Y92" s="14">
        <f t="shared" si="39"/>
        <v>0</v>
      </c>
      <c r="Z92" s="14">
        <f t="shared" si="39"/>
        <v>0</v>
      </c>
      <c r="AA92" s="14">
        <f t="shared" si="39"/>
        <v>0</v>
      </c>
      <c r="AB92" s="14">
        <f t="shared" si="39"/>
        <v>0</v>
      </c>
      <c r="AC92" s="14">
        <f t="shared" si="39"/>
        <v>0</v>
      </c>
      <c r="AD92" s="14">
        <f t="shared" si="39"/>
        <v>0</v>
      </c>
      <c r="AE92" s="14">
        <f t="shared" si="39"/>
        <v>0</v>
      </c>
      <c r="AF92" s="14">
        <f t="shared" si="39"/>
        <v>0</v>
      </c>
      <c r="AG92" s="14">
        <f t="shared" si="39"/>
        <v>0</v>
      </c>
      <c r="AH92" s="14">
        <f t="shared" si="39"/>
        <v>0</v>
      </c>
      <c r="AI92" s="14">
        <f t="shared" si="39"/>
        <v>0</v>
      </c>
      <c r="AJ92" s="14">
        <f t="shared" si="39"/>
        <v>0</v>
      </c>
      <c r="AK92" s="14">
        <f t="shared" si="39"/>
        <v>0</v>
      </c>
      <c r="AL92" s="14">
        <f t="shared" si="39"/>
        <v>0</v>
      </c>
    </row>
    <row r="93" spans="1:38" ht="21" hidden="1" customHeight="1" outlineLevel="1" thickBot="1" x14ac:dyDescent="0.4">
      <c r="A93" s="5">
        <f t="shared" si="27"/>
        <v>0</v>
      </c>
      <c r="B93" s="5">
        <f t="shared" si="27"/>
        <v>0</v>
      </c>
      <c r="C93" s="5">
        <f t="shared" si="27"/>
        <v>0</v>
      </c>
      <c r="D93" s="5">
        <f t="shared" si="27"/>
        <v>0</v>
      </c>
      <c r="E93" s="6" t="str">
        <f t="shared" si="23"/>
        <v>H (Аг)</v>
      </c>
      <c r="F93" s="14">
        <f t="shared" ref="F93:AL93" si="40">F17*$C$78</f>
        <v>-155.08333333333334</v>
      </c>
      <c r="G93" s="14">
        <f t="shared" si="40"/>
        <v>-156.33333333333337</v>
      </c>
      <c r="H93" s="14">
        <f t="shared" si="40"/>
        <v>-156.91666666666666</v>
      </c>
      <c r="I93" s="14">
        <f t="shared" si="40"/>
        <v>-157.5</v>
      </c>
      <c r="J93" s="14">
        <f t="shared" si="40"/>
        <v>-158.08333333333334</v>
      </c>
      <c r="K93" s="14">
        <f t="shared" si="40"/>
        <v>-158.83333333333334</v>
      </c>
      <c r="L93" s="14">
        <f t="shared" si="40"/>
        <v>-162.83333333333334</v>
      </c>
      <c r="M93" s="14">
        <f t="shared" si="40"/>
        <v>-163.75</v>
      </c>
      <c r="N93" s="14">
        <f t="shared" si="40"/>
        <v>-164.66666666666669</v>
      </c>
      <c r="O93" s="14">
        <f t="shared" si="40"/>
        <v>-165.41666666666669</v>
      </c>
      <c r="P93" s="14">
        <f t="shared" si="40"/>
        <v>-166.25</v>
      </c>
      <c r="Q93" s="14">
        <f t="shared" si="40"/>
        <v>-170.16666666666669</v>
      </c>
      <c r="R93" s="14">
        <f t="shared" si="40"/>
        <v>-171.16666666666669</v>
      </c>
      <c r="S93" s="14">
        <f t="shared" si="40"/>
        <v>-172.16666666666669</v>
      </c>
      <c r="T93" s="14">
        <f t="shared" si="40"/>
        <v>-173.00000000000003</v>
      </c>
      <c r="U93" s="14">
        <f t="shared" si="40"/>
        <v>-173.75000000000003</v>
      </c>
      <c r="V93" s="14">
        <f t="shared" si="40"/>
        <v>-176.00000000000003</v>
      </c>
      <c r="W93" s="14">
        <f t="shared" si="40"/>
        <v>-177.83333333333334</v>
      </c>
      <c r="X93" s="14">
        <f t="shared" si="40"/>
        <v>-179.41666666666669</v>
      </c>
      <c r="Y93" s="14">
        <f t="shared" si="40"/>
        <v>0</v>
      </c>
      <c r="Z93" s="14">
        <f t="shared" si="40"/>
        <v>0</v>
      </c>
      <c r="AA93" s="14">
        <f t="shared" si="40"/>
        <v>0</v>
      </c>
      <c r="AB93" s="14">
        <f t="shared" si="40"/>
        <v>0</v>
      </c>
      <c r="AC93" s="14">
        <f t="shared" si="40"/>
        <v>0</v>
      </c>
      <c r="AD93" s="14">
        <f t="shared" si="40"/>
        <v>0</v>
      </c>
      <c r="AE93" s="14">
        <f t="shared" si="40"/>
        <v>0</v>
      </c>
      <c r="AF93" s="14">
        <f t="shared" si="40"/>
        <v>0</v>
      </c>
      <c r="AG93" s="14">
        <f t="shared" si="40"/>
        <v>0</v>
      </c>
      <c r="AH93" s="14">
        <f t="shared" si="40"/>
        <v>0</v>
      </c>
      <c r="AI93" s="14">
        <f t="shared" si="40"/>
        <v>0</v>
      </c>
      <c r="AJ93" s="14">
        <f t="shared" si="40"/>
        <v>0</v>
      </c>
      <c r="AK93" s="14">
        <f t="shared" si="40"/>
        <v>0</v>
      </c>
      <c r="AL93" s="14">
        <f t="shared" si="40"/>
        <v>0</v>
      </c>
    </row>
    <row r="94" spans="1:38" ht="21" hidden="1" customHeight="1" outlineLevel="1" thickBot="1" x14ac:dyDescent="0.4">
      <c r="A94" s="5">
        <f t="shared" si="27"/>
        <v>0</v>
      </c>
      <c r="B94" s="5">
        <f t="shared" si="27"/>
        <v>0</v>
      </c>
      <c r="C94" s="5">
        <f t="shared" si="27"/>
        <v>0</v>
      </c>
      <c r="D94" s="5">
        <f t="shared" si="27"/>
        <v>1</v>
      </c>
      <c r="E94" s="6" t="str">
        <f t="shared" si="23"/>
        <v>H (Ga)</v>
      </c>
      <c r="F94" s="14">
        <f t="shared" ref="F94:AL94" si="41">F18*$C$78</f>
        <v>-52.050000000000004</v>
      </c>
      <c r="G94" s="14">
        <f t="shared" si="41"/>
        <v>-59.56666666666667</v>
      </c>
      <c r="H94" s="14">
        <f t="shared" si="41"/>
        <v>-61.20000000000001</v>
      </c>
      <c r="I94" s="14">
        <f t="shared" si="41"/>
        <v>-62.758333333333333</v>
      </c>
      <c r="J94" s="14">
        <f t="shared" si="41"/>
        <v>-64.300000000000011</v>
      </c>
      <c r="K94" s="14">
        <f t="shared" si="41"/>
        <v>-65.891666666666666</v>
      </c>
      <c r="L94" s="14">
        <f t="shared" si="41"/>
        <v>-74.833333333333343</v>
      </c>
      <c r="M94" s="14">
        <f t="shared" si="41"/>
        <v>-77.64166666666668</v>
      </c>
      <c r="N94" s="14">
        <f t="shared" si="41"/>
        <v>-80.39166666666668</v>
      </c>
      <c r="O94" s="14">
        <f t="shared" si="41"/>
        <v>-83.025000000000006</v>
      </c>
      <c r="P94" s="14">
        <f t="shared" si="41"/>
        <v>-85.5</v>
      </c>
      <c r="Q94" s="14">
        <f t="shared" si="41"/>
        <v>-94</v>
      </c>
      <c r="R94" s="14">
        <f t="shared" si="41"/>
        <v>-95.750000000000014</v>
      </c>
      <c r="S94" s="14">
        <f t="shared" si="41"/>
        <v>-97.166666666666671</v>
      </c>
      <c r="T94" s="14">
        <f t="shared" si="41"/>
        <v>-98.416666666666671</v>
      </c>
      <c r="U94" s="14">
        <f t="shared" si="41"/>
        <v>-99.5</v>
      </c>
      <c r="V94" s="14">
        <f t="shared" si="41"/>
        <v>-102.83333333333334</v>
      </c>
      <c r="W94" s="14">
        <f t="shared" si="41"/>
        <v>-105.41666666666667</v>
      </c>
      <c r="X94" s="14">
        <f t="shared" si="41"/>
        <v>-107.66666666666667</v>
      </c>
      <c r="Y94" s="14">
        <f t="shared" si="41"/>
        <v>0</v>
      </c>
      <c r="Z94" s="14">
        <f t="shared" si="41"/>
        <v>0</v>
      </c>
      <c r="AA94" s="14">
        <f t="shared" si="41"/>
        <v>0</v>
      </c>
      <c r="AB94" s="14">
        <f t="shared" si="41"/>
        <v>0</v>
      </c>
      <c r="AC94" s="14">
        <f t="shared" si="41"/>
        <v>0</v>
      </c>
      <c r="AD94" s="14">
        <f t="shared" si="41"/>
        <v>0</v>
      </c>
      <c r="AE94" s="14">
        <f t="shared" si="41"/>
        <v>0</v>
      </c>
      <c r="AF94" s="14">
        <f t="shared" si="41"/>
        <v>0</v>
      </c>
      <c r="AG94" s="14">
        <f t="shared" si="41"/>
        <v>0</v>
      </c>
      <c r="AH94" s="14">
        <f t="shared" si="41"/>
        <v>0</v>
      </c>
      <c r="AI94" s="14">
        <f t="shared" si="41"/>
        <v>0</v>
      </c>
      <c r="AJ94" s="14">
        <f t="shared" si="41"/>
        <v>0</v>
      </c>
      <c r="AK94" s="14">
        <f t="shared" si="41"/>
        <v>0</v>
      </c>
      <c r="AL94" s="14">
        <f t="shared" si="41"/>
        <v>0</v>
      </c>
    </row>
    <row r="95" spans="1:38" ht="21" hidden="1" customHeight="1" outlineLevel="1" thickBot="1" x14ac:dyDescent="0.4">
      <c r="A95" s="5">
        <f t="shared" si="27"/>
        <v>0</v>
      </c>
      <c r="B95" s="5">
        <f t="shared" si="27"/>
        <v>0</v>
      </c>
      <c r="C95" s="5">
        <f t="shared" si="27"/>
        <v>1</v>
      </c>
      <c r="D95" s="5">
        <f t="shared" si="27"/>
        <v>0</v>
      </c>
      <c r="E95" s="6" t="str">
        <f t="shared" si="23"/>
        <v>H (Ge)</v>
      </c>
      <c r="F95" s="14">
        <f t="shared" ref="F95:AL95" si="42">F19*$C$78</f>
        <v>44.725000000000001</v>
      </c>
      <c r="G95" s="14">
        <f t="shared" si="42"/>
        <v>6.1383333333333336</v>
      </c>
      <c r="H95" s="14">
        <f t="shared" si="42"/>
        <v>-0.46116666666666672</v>
      </c>
      <c r="I95" s="14">
        <f t="shared" si="42"/>
        <v>-6.2966666666666677</v>
      </c>
      <c r="J95" s="14">
        <f t="shared" si="42"/>
        <v>-11.483333333333333</v>
      </c>
      <c r="K95" s="14">
        <f t="shared" si="42"/>
        <v>-16.083333333333336</v>
      </c>
      <c r="L95" s="14">
        <f t="shared" si="42"/>
        <v>-29.541666666666668</v>
      </c>
      <c r="M95" s="14">
        <f t="shared" si="42"/>
        <v>-32.150000000000006</v>
      </c>
      <c r="N95" s="14">
        <f t="shared" si="42"/>
        <v>-34.6</v>
      </c>
      <c r="O95" s="14">
        <f t="shared" si="42"/>
        <v>-36.858333333333334</v>
      </c>
      <c r="P95" s="14">
        <f t="shared" si="42"/>
        <v>-38.900000000000006</v>
      </c>
      <c r="Q95" s="14">
        <f t="shared" si="42"/>
        <v>-43.908333333333339</v>
      </c>
      <c r="R95" s="14">
        <f t="shared" si="42"/>
        <v>-44.541666666666664</v>
      </c>
      <c r="S95" s="14">
        <f t="shared" si="42"/>
        <v>-45.108333333333341</v>
      </c>
      <c r="T95" s="14">
        <f t="shared" si="42"/>
        <v>-45.783333333333331</v>
      </c>
      <c r="U95" s="14">
        <f t="shared" si="42"/>
        <v>-46.56666666666667</v>
      </c>
      <c r="V95" s="14">
        <f t="shared" si="42"/>
        <v>-50.433333333333337</v>
      </c>
      <c r="W95" s="14">
        <f t="shared" si="42"/>
        <v>-54.625</v>
      </c>
      <c r="X95" s="14">
        <f t="shared" si="42"/>
        <v>-58.591666666666669</v>
      </c>
      <c r="Y95" s="14">
        <f t="shared" si="42"/>
        <v>0</v>
      </c>
      <c r="Z95" s="14">
        <f t="shared" si="42"/>
        <v>0</v>
      </c>
      <c r="AA95" s="14">
        <f t="shared" si="42"/>
        <v>0</v>
      </c>
      <c r="AB95" s="14">
        <f t="shared" si="42"/>
        <v>0</v>
      </c>
      <c r="AC95" s="14">
        <f t="shared" si="42"/>
        <v>0</v>
      </c>
      <c r="AD95" s="14">
        <f t="shared" si="42"/>
        <v>0</v>
      </c>
      <c r="AE95" s="14">
        <f t="shared" si="42"/>
        <v>0</v>
      </c>
      <c r="AF95" s="14">
        <f t="shared" si="42"/>
        <v>0</v>
      </c>
      <c r="AG95" s="14">
        <f t="shared" si="42"/>
        <v>0</v>
      </c>
      <c r="AH95" s="14">
        <f t="shared" si="42"/>
        <v>0</v>
      </c>
      <c r="AI95" s="14">
        <f t="shared" si="42"/>
        <v>0</v>
      </c>
      <c r="AJ95" s="14">
        <f t="shared" si="42"/>
        <v>0</v>
      </c>
      <c r="AK95" s="14">
        <f t="shared" si="42"/>
        <v>0</v>
      </c>
      <c r="AL95" s="14">
        <f t="shared" si="42"/>
        <v>0</v>
      </c>
    </row>
    <row r="96" spans="1:38" ht="21" hidden="1" customHeight="1" outlineLevel="1" thickBot="1" x14ac:dyDescent="0.4">
      <c r="A96" s="5">
        <f t="shared" si="27"/>
        <v>0</v>
      </c>
      <c r="B96" s="5">
        <f t="shared" si="27"/>
        <v>1</v>
      </c>
      <c r="C96" s="5">
        <f t="shared" si="27"/>
        <v>0</v>
      </c>
      <c r="D96" s="5">
        <f t="shared" si="27"/>
        <v>0</v>
      </c>
      <c r="E96" s="6" t="str">
        <f t="shared" si="23"/>
        <v>H (Se)</v>
      </c>
      <c r="F96" s="14">
        <f t="shared" ref="F96:AL96" si="43">F20*$C$78</f>
        <v>-40.200000000000003</v>
      </c>
      <c r="G96" s="14">
        <f t="shared" si="43"/>
        <v>-46.625</v>
      </c>
      <c r="H96" s="14">
        <f t="shared" si="43"/>
        <v>-48.233333333333341</v>
      </c>
      <c r="I96" s="14">
        <f t="shared" si="43"/>
        <v>-49.791666666666664</v>
      </c>
      <c r="J96" s="14">
        <f t="shared" si="43"/>
        <v>-51.291666666666671</v>
      </c>
      <c r="K96" s="14">
        <f t="shared" si="43"/>
        <v>-52.716666666666669</v>
      </c>
      <c r="L96" s="14">
        <f t="shared" si="43"/>
        <v>-57.35</v>
      </c>
      <c r="M96" s="14">
        <f t="shared" si="43"/>
        <v>-58.38333333333334</v>
      </c>
      <c r="N96" s="14">
        <f t="shared" si="43"/>
        <v>-59.433333333333337</v>
      </c>
      <c r="O96" s="14">
        <f t="shared" si="43"/>
        <v>-60.50833333333334</v>
      </c>
      <c r="P96" s="14">
        <f t="shared" si="43"/>
        <v>-61.616666666666674</v>
      </c>
      <c r="Q96" s="14">
        <f t="shared" si="43"/>
        <v>-67.00833333333334</v>
      </c>
      <c r="R96" s="14">
        <f t="shared" si="43"/>
        <v>-68.76666666666668</v>
      </c>
      <c r="S96" s="14">
        <f t="shared" si="43"/>
        <v>-70.683333333333337</v>
      </c>
      <c r="T96" s="14">
        <f t="shared" si="43"/>
        <v>-72.733333333333334</v>
      </c>
      <c r="U96" s="14">
        <f t="shared" si="43"/>
        <v>-74.849999999999994</v>
      </c>
      <c r="V96" s="14">
        <f t="shared" si="43"/>
        <v>-83.066666666666677</v>
      </c>
      <c r="W96" s="14">
        <f t="shared" si="43"/>
        <v>-90.25</v>
      </c>
      <c r="X96" s="14">
        <f t="shared" si="43"/>
        <v>-96.333333333333343</v>
      </c>
      <c r="Y96" s="14">
        <f t="shared" si="43"/>
        <v>0</v>
      </c>
      <c r="Z96" s="14">
        <f t="shared" si="43"/>
        <v>0</v>
      </c>
      <c r="AA96" s="14">
        <f t="shared" si="43"/>
        <v>0</v>
      </c>
      <c r="AB96" s="14">
        <f t="shared" si="43"/>
        <v>0</v>
      </c>
      <c r="AC96" s="14">
        <f t="shared" si="43"/>
        <v>0</v>
      </c>
      <c r="AD96" s="14">
        <f t="shared" si="43"/>
        <v>0</v>
      </c>
      <c r="AE96" s="14">
        <f t="shared" si="43"/>
        <v>0</v>
      </c>
      <c r="AF96" s="14">
        <f t="shared" si="43"/>
        <v>0</v>
      </c>
      <c r="AG96" s="14">
        <f t="shared" si="43"/>
        <v>0</v>
      </c>
      <c r="AH96" s="14">
        <f t="shared" si="43"/>
        <v>0</v>
      </c>
      <c r="AI96" s="14">
        <f t="shared" si="43"/>
        <v>0</v>
      </c>
      <c r="AJ96" s="14">
        <f t="shared" si="43"/>
        <v>0</v>
      </c>
      <c r="AK96" s="14">
        <f t="shared" si="43"/>
        <v>0</v>
      </c>
      <c r="AL96" s="14">
        <f t="shared" si="43"/>
        <v>0</v>
      </c>
    </row>
    <row r="97" spans="1:54" ht="21" hidden="1" customHeight="1" outlineLevel="1" thickBot="1" x14ac:dyDescent="0.4">
      <c r="A97" s="5">
        <f t="shared" ref="A97:D109" si="44">A63</f>
        <v>0</v>
      </c>
      <c r="B97" s="5">
        <f t="shared" si="44"/>
        <v>0</v>
      </c>
      <c r="C97" s="5">
        <f t="shared" si="44"/>
        <v>0</v>
      </c>
      <c r="D97" s="5">
        <f t="shared" si="44"/>
        <v>0</v>
      </c>
      <c r="E97" s="6">
        <f t="shared" si="23"/>
        <v>0</v>
      </c>
      <c r="F97" s="14">
        <f t="shared" ref="F97:AL97" si="45">F21*$C$78</f>
        <v>0</v>
      </c>
      <c r="G97" s="14">
        <f t="shared" si="45"/>
        <v>0</v>
      </c>
      <c r="H97" s="14">
        <f t="shared" si="45"/>
        <v>0</v>
      </c>
      <c r="I97" s="14">
        <f t="shared" si="45"/>
        <v>0</v>
      </c>
      <c r="J97" s="14">
        <f t="shared" si="45"/>
        <v>0</v>
      </c>
      <c r="K97" s="14">
        <f t="shared" si="45"/>
        <v>0</v>
      </c>
      <c r="L97" s="14">
        <f t="shared" si="45"/>
        <v>0</v>
      </c>
      <c r="M97" s="14">
        <f t="shared" si="45"/>
        <v>0</v>
      </c>
      <c r="N97" s="14">
        <f t="shared" si="45"/>
        <v>0</v>
      </c>
      <c r="O97" s="14">
        <f t="shared" si="45"/>
        <v>0</v>
      </c>
      <c r="P97" s="14">
        <f t="shared" si="45"/>
        <v>0</v>
      </c>
      <c r="Q97" s="14">
        <f t="shared" si="45"/>
        <v>0</v>
      </c>
      <c r="R97" s="14">
        <f t="shared" si="45"/>
        <v>0</v>
      </c>
      <c r="S97" s="14">
        <f t="shared" si="45"/>
        <v>0</v>
      </c>
      <c r="T97" s="14">
        <f t="shared" si="45"/>
        <v>0</v>
      </c>
      <c r="U97" s="14">
        <f t="shared" si="45"/>
        <v>0</v>
      </c>
      <c r="V97" s="14">
        <f t="shared" si="45"/>
        <v>0</v>
      </c>
      <c r="W97" s="14">
        <f t="shared" si="45"/>
        <v>0</v>
      </c>
      <c r="X97" s="14">
        <f t="shared" si="45"/>
        <v>0</v>
      </c>
      <c r="Y97" s="14">
        <f t="shared" si="45"/>
        <v>0</v>
      </c>
      <c r="Z97" s="14">
        <f t="shared" si="45"/>
        <v>0</v>
      </c>
      <c r="AA97" s="14">
        <f t="shared" si="45"/>
        <v>0</v>
      </c>
      <c r="AB97" s="14">
        <f t="shared" si="45"/>
        <v>0</v>
      </c>
      <c r="AC97" s="14">
        <f t="shared" si="45"/>
        <v>0</v>
      </c>
      <c r="AD97" s="14">
        <f t="shared" si="45"/>
        <v>0</v>
      </c>
      <c r="AE97" s="14">
        <f t="shared" si="45"/>
        <v>0</v>
      </c>
      <c r="AF97" s="14">
        <f t="shared" si="45"/>
        <v>0</v>
      </c>
      <c r="AG97" s="14">
        <f t="shared" si="45"/>
        <v>0</v>
      </c>
      <c r="AH97" s="14">
        <f t="shared" si="45"/>
        <v>0</v>
      </c>
      <c r="AI97" s="14">
        <f t="shared" si="45"/>
        <v>0</v>
      </c>
      <c r="AJ97" s="14">
        <f t="shared" si="45"/>
        <v>0</v>
      </c>
      <c r="AK97" s="14">
        <f t="shared" si="45"/>
        <v>0</v>
      </c>
      <c r="AL97" s="14">
        <f t="shared" si="45"/>
        <v>0</v>
      </c>
    </row>
    <row r="98" spans="1:54" ht="21" hidden="1" customHeight="1" outlineLevel="1" thickBot="1" x14ac:dyDescent="0.4">
      <c r="A98" s="5">
        <f t="shared" si="44"/>
        <v>0</v>
      </c>
      <c r="B98" s="5">
        <f t="shared" si="44"/>
        <v>0</v>
      </c>
      <c r="C98" s="5">
        <f t="shared" si="44"/>
        <v>0</v>
      </c>
      <c r="D98" s="5">
        <f t="shared" si="44"/>
        <v>0</v>
      </c>
      <c r="E98" s="6">
        <f t="shared" si="23"/>
        <v>0</v>
      </c>
      <c r="F98" s="14">
        <f t="shared" ref="F98:AL98" si="46">F22*$C$78</f>
        <v>0</v>
      </c>
      <c r="G98" s="14">
        <f t="shared" si="46"/>
        <v>0</v>
      </c>
      <c r="H98" s="14">
        <f t="shared" si="46"/>
        <v>0</v>
      </c>
      <c r="I98" s="14">
        <f t="shared" si="46"/>
        <v>0</v>
      </c>
      <c r="J98" s="14">
        <f t="shared" si="46"/>
        <v>0</v>
      </c>
      <c r="K98" s="14">
        <f t="shared" si="46"/>
        <v>0</v>
      </c>
      <c r="L98" s="14">
        <f t="shared" si="46"/>
        <v>0</v>
      </c>
      <c r="M98" s="14">
        <f t="shared" si="46"/>
        <v>0</v>
      </c>
      <c r="N98" s="14">
        <f t="shared" si="46"/>
        <v>0</v>
      </c>
      <c r="O98" s="14">
        <f t="shared" si="46"/>
        <v>0</v>
      </c>
      <c r="P98" s="14">
        <f t="shared" si="46"/>
        <v>0</v>
      </c>
      <c r="Q98" s="14">
        <f t="shared" si="46"/>
        <v>0</v>
      </c>
      <c r="R98" s="14">
        <f t="shared" si="46"/>
        <v>0</v>
      </c>
      <c r="S98" s="14">
        <f t="shared" si="46"/>
        <v>0</v>
      </c>
      <c r="T98" s="14">
        <f t="shared" si="46"/>
        <v>0</v>
      </c>
      <c r="U98" s="14">
        <f t="shared" si="46"/>
        <v>0</v>
      </c>
      <c r="V98" s="14">
        <f t="shared" si="46"/>
        <v>0</v>
      </c>
      <c r="W98" s="14">
        <f t="shared" si="46"/>
        <v>0</v>
      </c>
      <c r="X98" s="14">
        <f t="shared" si="46"/>
        <v>0</v>
      </c>
      <c r="Y98" s="14">
        <f t="shared" si="46"/>
        <v>0</v>
      </c>
      <c r="Z98" s="14">
        <f t="shared" si="46"/>
        <v>0</v>
      </c>
      <c r="AA98" s="14">
        <f t="shared" si="46"/>
        <v>0</v>
      </c>
      <c r="AB98" s="14">
        <f t="shared" si="46"/>
        <v>0</v>
      </c>
      <c r="AC98" s="14">
        <f t="shared" si="46"/>
        <v>0</v>
      </c>
      <c r="AD98" s="14">
        <f t="shared" si="46"/>
        <v>0</v>
      </c>
      <c r="AE98" s="14">
        <f t="shared" si="46"/>
        <v>0</v>
      </c>
      <c r="AF98" s="14">
        <f t="shared" si="46"/>
        <v>0</v>
      </c>
      <c r="AG98" s="14">
        <f t="shared" si="46"/>
        <v>0</v>
      </c>
      <c r="AH98" s="14">
        <f t="shared" si="46"/>
        <v>0</v>
      </c>
      <c r="AI98" s="14">
        <f t="shared" si="46"/>
        <v>0</v>
      </c>
      <c r="AJ98" s="14">
        <f t="shared" si="46"/>
        <v>0</v>
      </c>
      <c r="AK98" s="14">
        <f t="shared" si="46"/>
        <v>0</v>
      </c>
      <c r="AL98" s="14">
        <f t="shared" si="46"/>
        <v>0</v>
      </c>
    </row>
    <row r="99" spans="1:54" ht="21" hidden="1" customHeight="1" outlineLevel="1" thickBot="1" x14ac:dyDescent="0.4">
      <c r="A99" s="5">
        <f t="shared" si="44"/>
        <v>0</v>
      </c>
      <c r="B99" s="5">
        <f t="shared" si="44"/>
        <v>0</v>
      </c>
      <c r="C99" s="5">
        <f t="shared" si="44"/>
        <v>0</v>
      </c>
      <c r="D99" s="5">
        <f t="shared" si="44"/>
        <v>0</v>
      </c>
      <c r="E99" s="6">
        <f t="shared" si="23"/>
        <v>0</v>
      </c>
      <c r="F99" s="14">
        <f t="shared" ref="F99:AL99" si="47">F23*$C$78</f>
        <v>0</v>
      </c>
      <c r="G99" s="14">
        <f t="shared" si="47"/>
        <v>0</v>
      </c>
      <c r="H99" s="14">
        <f t="shared" si="47"/>
        <v>0</v>
      </c>
      <c r="I99" s="14">
        <f t="shared" si="47"/>
        <v>0</v>
      </c>
      <c r="J99" s="14">
        <f t="shared" si="47"/>
        <v>0</v>
      </c>
      <c r="K99" s="14">
        <f t="shared" si="47"/>
        <v>0</v>
      </c>
      <c r="L99" s="14">
        <f t="shared" si="47"/>
        <v>0</v>
      </c>
      <c r="M99" s="14">
        <f t="shared" si="47"/>
        <v>0</v>
      </c>
      <c r="N99" s="14">
        <f t="shared" si="47"/>
        <v>0</v>
      </c>
      <c r="O99" s="14">
        <f t="shared" si="47"/>
        <v>0</v>
      </c>
      <c r="P99" s="14">
        <f t="shared" si="47"/>
        <v>0</v>
      </c>
      <c r="Q99" s="14">
        <f t="shared" si="47"/>
        <v>0</v>
      </c>
      <c r="R99" s="14">
        <f t="shared" si="47"/>
        <v>0</v>
      </c>
      <c r="S99" s="14">
        <f t="shared" si="47"/>
        <v>0</v>
      </c>
      <c r="T99" s="14">
        <f t="shared" si="47"/>
        <v>0</v>
      </c>
      <c r="U99" s="14">
        <f t="shared" si="47"/>
        <v>0</v>
      </c>
      <c r="V99" s="14">
        <f t="shared" si="47"/>
        <v>0</v>
      </c>
      <c r="W99" s="14">
        <f t="shared" si="47"/>
        <v>0</v>
      </c>
      <c r="X99" s="14">
        <f t="shared" si="47"/>
        <v>0</v>
      </c>
      <c r="Y99" s="14">
        <f t="shared" si="47"/>
        <v>0</v>
      </c>
      <c r="Z99" s="14">
        <f t="shared" si="47"/>
        <v>0</v>
      </c>
      <c r="AA99" s="14">
        <f t="shared" si="47"/>
        <v>0</v>
      </c>
      <c r="AB99" s="14">
        <f t="shared" si="47"/>
        <v>0</v>
      </c>
      <c r="AC99" s="14">
        <f t="shared" si="47"/>
        <v>0</v>
      </c>
      <c r="AD99" s="14">
        <f t="shared" si="47"/>
        <v>0</v>
      </c>
      <c r="AE99" s="14">
        <f t="shared" si="47"/>
        <v>0</v>
      </c>
      <c r="AF99" s="14">
        <f t="shared" si="47"/>
        <v>0</v>
      </c>
      <c r="AG99" s="14">
        <f t="shared" si="47"/>
        <v>0</v>
      </c>
      <c r="AH99" s="14">
        <f t="shared" si="47"/>
        <v>0</v>
      </c>
      <c r="AI99" s="14">
        <f t="shared" si="47"/>
        <v>0</v>
      </c>
      <c r="AJ99" s="14">
        <f t="shared" si="47"/>
        <v>0</v>
      </c>
      <c r="AK99" s="14">
        <f t="shared" si="47"/>
        <v>0</v>
      </c>
      <c r="AL99" s="14">
        <f t="shared" si="47"/>
        <v>0</v>
      </c>
    </row>
    <row r="100" spans="1:54" ht="21" hidden="1" customHeight="1" outlineLevel="1" thickBot="1" x14ac:dyDescent="0.4">
      <c r="A100" s="5">
        <f t="shared" si="44"/>
        <v>0</v>
      </c>
      <c r="B100" s="5">
        <f t="shared" si="44"/>
        <v>0</v>
      </c>
      <c r="C100" s="5">
        <f t="shared" si="44"/>
        <v>0</v>
      </c>
      <c r="D100" s="5">
        <f t="shared" si="44"/>
        <v>0</v>
      </c>
      <c r="E100" s="6">
        <f t="shared" si="23"/>
        <v>0</v>
      </c>
      <c r="F100" s="14">
        <f t="shared" ref="F100:AL100" si="48">F24*$C$78</f>
        <v>0</v>
      </c>
      <c r="G100" s="14">
        <f t="shared" si="48"/>
        <v>0</v>
      </c>
      <c r="H100" s="14">
        <f t="shared" si="48"/>
        <v>0</v>
      </c>
      <c r="I100" s="14">
        <f t="shared" si="48"/>
        <v>0</v>
      </c>
      <c r="J100" s="14">
        <f t="shared" si="48"/>
        <v>0</v>
      </c>
      <c r="K100" s="14">
        <f t="shared" si="48"/>
        <v>0</v>
      </c>
      <c r="L100" s="14">
        <f t="shared" si="48"/>
        <v>0</v>
      </c>
      <c r="M100" s="14">
        <f t="shared" si="48"/>
        <v>0</v>
      </c>
      <c r="N100" s="14">
        <f t="shared" si="48"/>
        <v>0</v>
      </c>
      <c r="O100" s="14">
        <f t="shared" si="48"/>
        <v>0</v>
      </c>
      <c r="P100" s="14">
        <f t="shared" si="48"/>
        <v>0</v>
      </c>
      <c r="Q100" s="14">
        <f t="shared" si="48"/>
        <v>0</v>
      </c>
      <c r="R100" s="14">
        <f t="shared" si="48"/>
        <v>0</v>
      </c>
      <c r="S100" s="14">
        <f t="shared" si="48"/>
        <v>0</v>
      </c>
      <c r="T100" s="14">
        <f t="shared" si="48"/>
        <v>0</v>
      </c>
      <c r="U100" s="14">
        <f t="shared" si="48"/>
        <v>0</v>
      </c>
      <c r="V100" s="14">
        <f t="shared" si="48"/>
        <v>0</v>
      </c>
      <c r="W100" s="14">
        <f t="shared" si="48"/>
        <v>0</v>
      </c>
      <c r="X100" s="14">
        <f t="shared" si="48"/>
        <v>0</v>
      </c>
      <c r="Y100" s="14">
        <f t="shared" si="48"/>
        <v>0</v>
      </c>
      <c r="Z100" s="14">
        <f t="shared" si="48"/>
        <v>0</v>
      </c>
      <c r="AA100" s="14">
        <f t="shared" si="48"/>
        <v>0</v>
      </c>
      <c r="AB100" s="14">
        <f t="shared" si="48"/>
        <v>0</v>
      </c>
      <c r="AC100" s="14">
        <f t="shared" si="48"/>
        <v>0</v>
      </c>
      <c r="AD100" s="14">
        <f t="shared" si="48"/>
        <v>0</v>
      </c>
      <c r="AE100" s="14">
        <f t="shared" si="48"/>
        <v>0</v>
      </c>
      <c r="AF100" s="14">
        <f t="shared" si="48"/>
        <v>0</v>
      </c>
      <c r="AG100" s="14">
        <f t="shared" si="48"/>
        <v>0</v>
      </c>
      <c r="AH100" s="14">
        <f t="shared" si="48"/>
        <v>0</v>
      </c>
      <c r="AI100" s="14">
        <f t="shared" si="48"/>
        <v>0</v>
      </c>
      <c r="AJ100" s="14">
        <f t="shared" si="48"/>
        <v>0</v>
      </c>
      <c r="AK100" s="14">
        <f t="shared" si="48"/>
        <v>0</v>
      </c>
      <c r="AL100" s="14">
        <f t="shared" si="48"/>
        <v>0</v>
      </c>
    </row>
    <row r="101" spans="1:54" ht="21" hidden="1" customHeight="1" outlineLevel="1" thickBot="1" x14ac:dyDescent="0.4">
      <c r="A101" s="5">
        <f t="shared" si="44"/>
        <v>0</v>
      </c>
      <c r="B101" s="5">
        <f t="shared" si="44"/>
        <v>0</v>
      </c>
      <c r="C101" s="5">
        <f t="shared" si="44"/>
        <v>0</v>
      </c>
      <c r="D101" s="5">
        <f t="shared" si="44"/>
        <v>0</v>
      </c>
      <c r="E101" s="6">
        <f t="shared" si="23"/>
        <v>0</v>
      </c>
      <c r="F101" s="14">
        <f t="shared" ref="F101:AL101" si="49">F25*$C$78</f>
        <v>0</v>
      </c>
      <c r="G101" s="14">
        <f t="shared" si="49"/>
        <v>0</v>
      </c>
      <c r="H101" s="14">
        <f t="shared" si="49"/>
        <v>0</v>
      </c>
      <c r="I101" s="14">
        <f t="shared" si="49"/>
        <v>0</v>
      </c>
      <c r="J101" s="14">
        <f t="shared" si="49"/>
        <v>0</v>
      </c>
      <c r="K101" s="14">
        <f t="shared" si="49"/>
        <v>0</v>
      </c>
      <c r="L101" s="14">
        <f t="shared" si="49"/>
        <v>0</v>
      </c>
      <c r="M101" s="14">
        <f t="shared" si="49"/>
        <v>0</v>
      </c>
      <c r="N101" s="14">
        <f t="shared" si="49"/>
        <v>0</v>
      </c>
      <c r="O101" s="14">
        <f t="shared" si="49"/>
        <v>0</v>
      </c>
      <c r="P101" s="14">
        <f t="shared" si="49"/>
        <v>0</v>
      </c>
      <c r="Q101" s="14">
        <f t="shared" si="49"/>
        <v>0</v>
      </c>
      <c r="R101" s="14">
        <f t="shared" si="49"/>
        <v>0</v>
      </c>
      <c r="S101" s="14">
        <f t="shared" si="49"/>
        <v>0</v>
      </c>
      <c r="T101" s="14">
        <f t="shared" si="49"/>
        <v>0</v>
      </c>
      <c r="U101" s="14">
        <f t="shared" si="49"/>
        <v>0</v>
      </c>
      <c r="V101" s="14">
        <f t="shared" si="49"/>
        <v>0</v>
      </c>
      <c r="W101" s="14">
        <f t="shared" si="49"/>
        <v>0</v>
      </c>
      <c r="X101" s="14">
        <f t="shared" si="49"/>
        <v>0</v>
      </c>
      <c r="Y101" s="14">
        <f t="shared" si="49"/>
        <v>0</v>
      </c>
      <c r="Z101" s="14">
        <f t="shared" si="49"/>
        <v>0</v>
      </c>
      <c r="AA101" s="14">
        <f t="shared" si="49"/>
        <v>0</v>
      </c>
      <c r="AB101" s="14">
        <f t="shared" si="49"/>
        <v>0</v>
      </c>
      <c r="AC101" s="14">
        <f t="shared" si="49"/>
        <v>0</v>
      </c>
      <c r="AD101" s="14">
        <f t="shared" si="49"/>
        <v>0</v>
      </c>
      <c r="AE101" s="14">
        <f t="shared" si="49"/>
        <v>0</v>
      </c>
      <c r="AF101" s="14">
        <f t="shared" si="49"/>
        <v>0</v>
      </c>
      <c r="AG101" s="14">
        <f t="shared" si="49"/>
        <v>0</v>
      </c>
      <c r="AH101" s="14">
        <f t="shared" si="49"/>
        <v>0</v>
      </c>
      <c r="AI101" s="14">
        <f t="shared" si="49"/>
        <v>0</v>
      </c>
      <c r="AJ101" s="14">
        <f t="shared" si="49"/>
        <v>0</v>
      </c>
      <c r="AK101" s="14">
        <f t="shared" si="49"/>
        <v>0</v>
      </c>
      <c r="AL101" s="14">
        <f t="shared" si="49"/>
        <v>0</v>
      </c>
    </row>
    <row r="102" spans="1:54" ht="21" hidden="1" customHeight="1" outlineLevel="1" thickBot="1" x14ac:dyDescent="0.4">
      <c r="A102" s="5">
        <f t="shared" si="44"/>
        <v>0</v>
      </c>
      <c r="B102" s="5">
        <f t="shared" si="44"/>
        <v>0</v>
      </c>
      <c r="C102" s="5">
        <f t="shared" si="44"/>
        <v>0</v>
      </c>
      <c r="D102" s="5">
        <f t="shared" si="44"/>
        <v>0</v>
      </c>
      <c r="E102" s="6">
        <f t="shared" si="23"/>
        <v>0</v>
      </c>
      <c r="F102" s="14">
        <f t="shared" ref="F102:AL102" si="50">F26*$C$78</f>
        <v>0</v>
      </c>
      <c r="G102" s="14">
        <f t="shared" si="50"/>
        <v>0</v>
      </c>
      <c r="H102" s="14">
        <f t="shared" si="50"/>
        <v>0</v>
      </c>
      <c r="I102" s="14">
        <f t="shared" si="50"/>
        <v>0</v>
      </c>
      <c r="J102" s="14">
        <f t="shared" si="50"/>
        <v>0</v>
      </c>
      <c r="K102" s="14">
        <f t="shared" si="50"/>
        <v>0</v>
      </c>
      <c r="L102" s="14">
        <f t="shared" si="50"/>
        <v>0</v>
      </c>
      <c r="M102" s="14">
        <f t="shared" si="50"/>
        <v>0</v>
      </c>
      <c r="N102" s="14">
        <f t="shared" si="50"/>
        <v>0</v>
      </c>
      <c r="O102" s="14">
        <f t="shared" si="50"/>
        <v>0</v>
      </c>
      <c r="P102" s="14">
        <f t="shared" si="50"/>
        <v>0</v>
      </c>
      <c r="Q102" s="14">
        <f t="shared" si="50"/>
        <v>0</v>
      </c>
      <c r="R102" s="14">
        <f t="shared" si="50"/>
        <v>0</v>
      </c>
      <c r="S102" s="14">
        <f t="shared" si="50"/>
        <v>0</v>
      </c>
      <c r="T102" s="14">
        <f t="shared" si="50"/>
        <v>0</v>
      </c>
      <c r="U102" s="14">
        <f t="shared" si="50"/>
        <v>0</v>
      </c>
      <c r="V102" s="14">
        <f t="shared" si="50"/>
        <v>0</v>
      </c>
      <c r="W102" s="14">
        <f t="shared" si="50"/>
        <v>0</v>
      </c>
      <c r="X102" s="14">
        <f t="shared" si="50"/>
        <v>0</v>
      </c>
      <c r="Y102" s="14">
        <f t="shared" si="50"/>
        <v>0</v>
      </c>
      <c r="Z102" s="14">
        <f t="shared" si="50"/>
        <v>0</v>
      </c>
      <c r="AA102" s="14">
        <f t="shared" si="50"/>
        <v>0</v>
      </c>
      <c r="AB102" s="14">
        <f t="shared" si="50"/>
        <v>0</v>
      </c>
      <c r="AC102" s="14">
        <f t="shared" si="50"/>
        <v>0</v>
      </c>
      <c r="AD102" s="14">
        <f t="shared" si="50"/>
        <v>0</v>
      </c>
      <c r="AE102" s="14">
        <f t="shared" si="50"/>
        <v>0</v>
      </c>
      <c r="AF102" s="14">
        <f t="shared" si="50"/>
        <v>0</v>
      </c>
      <c r="AG102" s="14">
        <f t="shared" si="50"/>
        <v>0</v>
      </c>
      <c r="AH102" s="14">
        <f t="shared" si="50"/>
        <v>0</v>
      </c>
      <c r="AI102" s="14">
        <f t="shared" si="50"/>
        <v>0</v>
      </c>
      <c r="AJ102" s="14">
        <f t="shared" si="50"/>
        <v>0</v>
      </c>
      <c r="AK102" s="14">
        <f t="shared" si="50"/>
        <v>0</v>
      </c>
      <c r="AL102" s="14">
        <f t="shared" si="50"/>
        <v>0</v>
      </c>
    </row>
    <row r="103" spans="1:54" ht="21" hidden="1" customHeight="1" outlineLevel="1" thickBot="1" x14ac:dyDescent="0.4">
      <c r="A103" s="5">
        <f t="shared" si="44"/>
        <v>0</v>
      </c>
      <c r="B103" s="5">
        <f t="shared" si="44"/>
        <v>0</v>
      </c>
      <c r="C103" s="5">
        <f t="shared" si="44"/>
        <v>0</v>
      </c>
      <c r="D103" s="5">
        <f t="shared" si="44"/>
        <v>0</v>
      </c>
      <c r="E103" s="6">
        <f t="shared" si="23"/>
        <v>0</v>
      </c>
      <c r="F103" s="14">
        <f t="shared" ref="F103:AL103" si="51">F27*$C$78</f>
        <v>0</v>
      </c>
      <c r="G103" s="14">
        <f t="shared" si="51"/>
        <v>0</v>
      </c>
      <c r="H103" s="14">
        <f t="shared" si="51"/>
        <v>0</v>
      </c>
      <c r="I103" s="14">
        <f t="shared" si="51"/>
        <v>0</v>
      </c>
      <c r="J103" s="14">
        <f t="shared" si="51"/>
        <v>0</v>
      </c>
      <c r="K103" s="14">
        <f t="shared" si="51"/>
        <v>0</v>
      </c>
      <c r="L103" s="14">
        <f t="shared" si="51"/>
        <v>0</v>
      </c>
      <c r="M103" s="14">
        <f t="shared" si="51"/>
        <v>0</v>
      </c>
      <c r="N103" s="14">
        <f t="shared" si="51"/>
        <v>0</v>
      </c>
      <c r="O103" s="14">
        <f t="shared" si="51"/>
        <v>0</v>
      </c>
      <c r="P103" s="14">
        <f t="shared" si="51"/>
        <v>0</v>
      </c>
      <c r="Q103" s="14">
        <f t="shared" si="51"/>
        <v>0</v>
      </c>
      <c r="R103" s="14">
        <f t="shared" si="51"/>
        <v>0</v>
      </c>
      <c r="S103" s="14">
        <f t="shared" si="51"/>
        <v>0</v>
      </c>
      <c r="T103" s="14">
        <f t="shared" si="51"/>
        <v>0</v>
      </c>
      <c r="U103" s="14">
        <f t="shared" si="51"/>
        <v>0</v>
      </c>
      <c r="V103" s="14">
        <f t="shared" si="51"/>
        <v>0</v>
      </c>
      <c r="W103" s="14">
        <f t="shared" si="51"/>
        <v>0</v>
      </c>
      <c r="X103" s="14">
        <f t="shared" si="51"/>
        <v>0</v>
      </c>
      <c r="Y103" s="14">
        <f t="shared" si="51"/>
        <v>0</v>
      </c>
      <c r="Z103" s="14">
        <f t="shared" si="51"/>
        <v>0</v>
      </c>
      <c r="AA103" s="14">
        <f t="shared" si="51"/>
        <v>0</v>
      </c>
      <c r="AB103" s="14">
        <f t="shared" si="51"/>
        <v>0</v>
      </c>
      <c r="AC103" s="14">
        <f t="shared" si="51"/>
        <v>0</v>
      </c>
      <c r="AD103" s="14">
        <f t="shared" si="51"/>
        <v>0</v>
      </c>
      <c r="AE103" s="14">
        <f t="shared" si="51"/>
        <v>0</v>
      </c>
      <c r="AF103" s="14">
        <f t="shared" si="51"/>
        <v>0</v>
      </c>
      <c r="AG103" s="14">
        <f t="shared" si="51"/>
        <v>0</v>
      </c>
      <c r="AH103" s="14">
        <f t="shared" si="51"/>
        <v>0</v>
      </c>
      <c r="AI103" s="14">
        <f t="shared" si="51"/>
        <v>0</v>
      </c>
      <c r="AJ103" s="14">
        <f t="shared" si="51"/>
        <v>0</v>
      </c>
      <c r="AK103" s="14">
        <f t="shared" si="51"/>
        <v>0</v>
      </c>
      <c r="AL103" s="14">
        <f t="shared" si="51"/>
        <v>0</v>
      </c>
    </row>
    <row r="104" spans="1:54" ht="21" hidden="1" customHeight="1" outlineLevel="1" thickBot="1" x14ac:dyDescent="0.4">
      <c r="A104" s="5">
        <f t="shared" si="44"/>
        <v>0</v>
      </c>
      <c r="B104" s="5">
        <f t="shared" si="44"/>
        <v>0</v>
      </c>
      <c r="C104" s="5">
        <f t="shared" si="44"/>
        <v>0</v>
      </c>
      <c r="D104" s="5">
        <f t="shared" si="44"/>
        <v>0</v>
      </c>
      <c r="E104" s="6">
        <f t="shared" si="23"/>
        <v>0</v>
      </c>
      <c r="F104" s="14">
        <f t="shared" ref="F104:AL104" si="52">F28*$C$78</f>
        <v>0</v>
      </c>
      <c r="G104" s="14">
        <f t="shared" si="52"/>
        <v>0</v>
      </c>
      <c r="H104" s="14">
        <f t="shared" si="52"/>
        <v>0</v>
      </c>
      <c r="I104" s="14">
        <f t="shared" si="52"/>
        <v>0</v>
      </c>
      <c r="J104" s="14">
        <f t="shared" si="52"/>
        <v>0</v>
      </c>
      <c r="K104" s="14">
        <f t="shared" si="52"/>
        <v>0</v>
      </c>
      <c r="L104" s="14">
        <f t="shared" si="52"/>
        <v>0</v>
      </c>
      <c r="M104" s="14">
        <f t="shared" si="52"/>
        <v>0</v>
      </c>
      <c r="N104" s="14">
        <f t="shared" si="52"/>
        <v>0</v>
      </c>
      <c r="O104" s="14">
        <f t="shared" si="52"/>
        <v>0</v>
      </c>
      <c r="P104" s="14">
        <f t="shared" si="52"/>
        <v>0</v>
      </c>
      <c r="Q104" s="14">
        <f t="shared" si="52"/>
        <v>0</v>
      </c>
      <c r="R104" s="14">
        <f t="shared" si="52"/>
        <v>0</v>
      </c>
      <c r="S104" s="14">
        <f t="shared" si="52"/>
        <v>0</v>
      </c>
      <c r="T104" s="14">
        <f t="shared" si="52"/>
        <v>0</v>
      </c>
      <c r="U104" s="14">
        <f t="shared" si="52"/>
        <v>0</v>
      </c>
      <c r="V104" s="14">
        <f t="shared" si="52"/>
        <v>0</v>
      </c>
      <c r="W104" s="14">
        <f t="shared" si="52"/>
        <v>0</v>
      </c>
      <c r="X104" s="14">
        <f t="shared" si="52"/>
        <v>0</v>
      </c>
      <c r="Y104" s="14">
        <f t="shared" si="52"/>
        <v>0</v>
      </c>
      <c r="Z104" s="14">
        <f t="shared" si="52"/>
        <v>0</v>
      </c>
      <c r="AA104" s="14">
        <f t="shared" si="52"/>
        <v>0</v>
      </c>
      <c r="AB104" s="14">
        <f t="shared" si="52"/>
        <v>0</v>
      </c>
      <c r="AC104" s="14">
        <f t="shared" si="52"/>
        <v>0</v>
      </c>
      <c r="AD104" s="14">
        <f t="shared" si="52"/>
        <v>0</v>
      </c>
      <c r="AE104" s="14">
        <f t="shared" si="52"/>
        <v>0</v>
      </c>
      <c r="AF104" s="14">
        <f t="shared" si="52"/>
        <v>0</v>
      </c>
      <c r="AG104" s="14">
        <f t="shared" si="52"/>
        <v>0</v>
      </c>
      <c r="AH104" s="14">
        <f t="shared" si="52"/>
        <v>0</v>
      </c>
      <c r="AI104" s="14">
        <f t="shared" si="52"/>
        <v>0</v>
      </c>
      <c r="AJ104" s="14">
        <f t="shared" si="52"/>
        <v>0</v>
      </c>
      <c r="AK104" s="14">
        <f t="shared" si="52"/>
        <v>0</v>
      </c>
      <c r="AL104" s="14">
        <f t="shared" si="52"/>
        <v>0</v>
      </c>
    </row>
    <row r="105" spans="1:54" ht="21" hidden="1" customHeight="1" outlineLevel="1" thickBot="1" x14ac:dyDescent="0.4">
      <c r="A105" s="5">
        <f t="shared" si="44"/>
        <v>0</v>
      </c>
      <c r="B105" s="5">
        <f t="shared" si="44"/>
        <v>0</v>
      </c>
      <c r="C105" s="5">
        <f t="shared" si="44"/>
        <v>0</v>
      </c>
      <c r="D105" s="5">
        <f t="shared" si="44"/>
        <v>0</v>
      </c>
      <c r="E105" s="6">
        <f t="shared" si="23"/>
        <v>0</v>
      </c>
      <c r="F105" s="14">
        <f t="shared" ref="F105:AL105" si="53">F29*$C$78</f>
        <v>0</v>
      </c>
      <c r="G105" s="14">
        <f t="shared" si="53"/>
        <v>0</v>
      </c>
      <c r="H105" s="14">
        <f t="shared" si="53"/>
        <v>0</v>
      </c>
      <c r="I105" s="14">
        <f t="shared" si="53"/>
        <v>0</v>
      </c>
      <c r="J105" s="14">
        <f t="shared" si="53"/>
        <v>0</v>
      </c>
      <c r="K105" s="14">
        <f t="shared" si="53"/>
        <v>0</v>
      </c>
      <c r="L105" s="14">
        <f t="shared" si="53"/>
        <v>0</v>
      </c>
      <c r="M105" s="14">
        <f t="shared" si="53"/>
        <v>0</v>
      </c>
      <c r="N105" s="14">
        <f t="shared" si="53"/>
        <v>0</v>
      </c>
      <c r="O105" s="14">
        <f t="shared" si="53"/>
        <v>0</v>
      </c>
      <c r="P105" s="14">
        <f t="shared" si="53"/>
        <v>0</v>
      </c>
      <c r="Q105" s="14">
        <f t="shared" si="53"/>
        <v>0</v>
      </c>
      <c r="R105" s="14">
        <f t="shared" si="53"/>
        <v>0</v>
      </c>
      <c r="S105" s="14">
        <f t="shared" si="53"/>
        <v>0</v>
      </c>
      <c r="T105" s="14">
        <f t="shared" si="53"/>
        <v>0</v>
      </c>
      <c r="U105" s="14">
        <f t="shared" si="53"/>
        <v>0</v>
      </c>
      <c r="V105" s="14">
        <f t="shared" si="53"/>
        <v>0</v>
      </c>
      <c r="W105" s="14">
        <f t="shared" si="53"/>
        <v>0</v>
      </c>
      <c r="X105" s="14">
        <f t="shared" si="53"/>
        <v>0</v>
      </c>
      <c r="Y105" s="14">
        <f t="shared" si="53"/>
        <v>0</v>
      </c>
      <c r="Z105" s="14">
        <f t="shared" si="53"/>
        <v>0</v>
      </c>
      <c r="AA105" s="14">
        <f t="shared" si="53"/>
        <v>0</v>
      </c>
      <c r="AB105" s="14">
        <f t="shared" si="53"/>
        <v>0</v>
      </c>
      <c r="AC105" s="14">
        <f t="shared" si="53"/>
        <v>0</v>
      </c>
      <c r="AD105" s="14">
        <f t="shared" si="53"/>
        <v>0</v>
      </c>
      <c r="AE105" s="14">
        <f t="shared" si="53"/>
        <v>0</v>
      </c>
      <c r="AF105" s="14">
        <f t="shared" si="53"/>
        <v>0</v>
      </c>
      <c r="AG105" s="14">
        <f t="shared" si="53"/>
        <v>0</v>
      </c>
      <c r="AH105" s="14">
        <f t="shared" si="53"/>
        <v>0</v>
      </c>
      <c r="AI105" s="14">
        <f t="shared" si="53"/>
        <v>0</v>
      </c>
      <c r="AJ105" s="14">
        <f t="shared" si="53"/>
        <v>0</v>
      </c>
      <c r="AK105" s="14">
        <f t="shared" si="53"/>
        <v>0</v>
      </c>
      <c r="AL105" s="14">
        <f t="shared" si="53"/>
        <v>0</v>
      </c>
    </row>
    <row r="106" spans="1:54" ht="21" hidden="1" customHeight="1" outlineLevel="1" thickBot="1" x14ac:dyDescent="0.4">
      <c r="A106" s="5">
        <f t="shared" si="44"/>
        <v>0</v>
      </c>
      <c r="B106" s="5">
        <f t="shared" si="44"/>
        <v>0</v>
      </c>
      <c r="C106" s="5">
        <f t="shared" si="44"/>
        <v>0</v>
      </c>
      <c r="D106" s="5">
        <f t="shared" si="44"/>
        <v>0</v>
      </c>
      <c r="E106" s="6">
        <f t="shared" si="23"/>
        <v>0</v>
      </c>
      <c r="F106" s="14">
        <f t="shared" ref="F106:AL106" si="54">F30*$C$78</f>
        <v>0</v>
      </c>
      <c r="G106" s="14">
        <f t="shared" si="54"/>
        <v>0</v>
      </c>
      <c r="H106" s="14">
        <f t="shared" si="54"/>
        <v>0</v>
      </c>
      <c r="I106" s="14">
        <f t="shared" si="54"/>
        <v>0</v>
      </c>
      <c r="J106" s="14">
        <f t="shared" si="54"/>
        <v>0</v>
      </c>
      <c r="K106" s="14">
        <f t="shared" si="54"/>
        <v>0</v>
      </c>
      <c r="L106" s="14">
        <f t="shared" si="54"/>
        <v>0</v>
      </c>
      <c r="M106" s="14">
        <f t="shared" si="54"/>
        <v>0</v>
      </c>
      <c r="N106" s="14">
        <f t="shared" si="54"/>
        <v>0</v>
      </c>
      <c r="O106" s="14">
        <f t="shared" si="54"/>
        <v>0</v>
      </c>
      <c r="P106" s="14">
        <f t="shared" si="54"/>
        <v>0</v>
      </c>
      <c r="Q106" s="14">
        <f t="shared" si="54"/>
        <v>0</v>
      </c>
      <c r="R106" s="14">
        <f t="shared" si="54"/>
        <v>0</v>
      </c>
      <c r="S106" s="14">
        <f t="shared" si="54"/>
        <v>0</v>
      </c>
      <c r="T106" s="14">
        <f t="shared" si="54"/>
        <v>0</v>
      </c>
      <c r="U106" s="14">
        <f t="shared" si="54"/>
        <v>0</v>
      </c>
      <c r="V106" s="14">
        <f t="shared" si="54"/>
        <v>0</v>
      </c>
      <c r="W106" s="14">
        <f t="shared" si="54"/>
        <v>0</v>
      </c>
      <c r="X106" s="14">
        <f t="shared" si="54"/>
        <v>0</v>
      </c>
      <c r="Y106" s="14">
        <f t="shared" si="54"/>
        <v>0</v>
      </c>
      <c r="Z106" s="14">
        <f t="shared" si="54"/>
        <v>0</v>
      </c>
      <c r="AA106" s="14">
        <f t="shared" si="54"/>
        <v>0</v>
      </c>
      <c r="AB106" s="14">
        <f t="shared" si="54"/>
        <v>0</v>
      </c>
      <c r="AC106" s="14">
        <f t="shared" si="54"/>
        <v>0</v>
      </c>
      <c r="AD106" s="14">
        <f t="shared" si="54"/>
        <v>0</v>
      </c>
      <c r="AE106" s="14">
        <f t="shared" si="54"/>
        <v>0</v>
      </c>
      <c r="AF106" s="14">
        <f t="shared" si="54"/>
        <v>0</v>
      </c>
      <c r="AG106" s="14">
        <f t="shared" si="54"/>
        <v>0</v>
      </c>
      <c r="AH106" s="14">
        <f t="shared" si="54"/>
        <v>0</v>
      </c>
      <c r="AI106" s="14">
        <f t="shared" si="54"/>
        <v>0</v>
      </c>
      <c r="AJ106" s="14">
        <f t="shared" si="54"/>
        <v>0</v>
      </c>
      <c r="AK106" s="14">
        <f t="shared" si="54"/>
        <v>0</v>
      </c>
      <c r="AL106" s="14">
        <f t="shared" si="54"/>
        <v>0</v>
      </c>
    </row>
    <row r="107" spans="1:54" ht="21" hidden="1" customHeight="1" outlineLevel="1" thickBot="1" x14ac:dyDescent="0.4">
      <c r="A107" s="5">
        <f t="shared" si="44"/>
        <v>0</v>
      </c>
      <c r="B107" s="5">
        <f t="shared" si="44"/>
        <v>0</v>
      </c>
      <c r="C107" s="5">
        <f t="shared" si="44"/>
        <v>0</v>
      </c>
      <c r="D107" s="5">
        <f t="shared" si="44"/>
        <v>0</v>
      </c>
      <c r="E107" s="6">
        <f t="shared" si="23"/>
        <v>0</v>
      </c>
      <c r="F107" s="14">
        <f t="shared" ref="F107:AL107" si="55">F31*$C$78</f>
        <v>0</v>
      </c>
      <c r="G107" s="14">
        <f t="shared" si="55"/>
        <v>0</v>
      </c>
      <c r="H107" s="14">
        <f t="shared" si="55"/>
        <v>0</v>
      </c>
      <c r="I107" s="14">
        <f t="shared" si="55"/>
        <v>0</v>
      </c>
      <c r="J107" s="14">
        <f t="shared" si="55"/>
        <v>0</v>
      </c>
      <c r="K107" s="14">
        <f t="shared" si="55"/>
        <v>0</v>
      </c>
      <c r="L107" s="14">
        <f t="shared" si="55"/>
        <v>0</v>
      </c>
      <c r="M107" s="14">
        <f t="shared" si="55"/>
        <v>0</v>
      </c>
      <c r="N107" s="14">
        <f t="shared" si="55"/>
        <v>0</v>
      </c>
      <c r="O107" s="14">
        <f t="shared" si="55"/>
        <v>0</v>
      </c>
      <c r="P107" s="14">
        <f t="shared" si="55"/>
        <v>0</v>
      </c>
      <c r="Q107" s="14">
        <f t="shared" si="55"/>
        <v>0</v>
      </c>
      <c r="R107" s="14">
        <f t="shared" si="55"/>
        <v>0</v>
      </c>
      <c r="S107" s="14">
        <f t="shared" si="55"/>
        <v>0</v>
      </c>
      <c r="T107" s="14">
        <f t="shared" si="55"/>
        <v>0</v>
      </c>
      <c r="U107" s="14">
        <f t="shared" si="55"/>
        <v>0</v>
      </c>
      <c r="V107" s="14">
        <f t="shared" si="55"/>
        <v>0</v>
      </c>
      <c r="W107" s="14">
        <f t="shared" si="55"/>
        <v>0</v>
      </c>
      <c r="X107" s="14">
        <f t="shared" si="55"/>
        <v>0</v>
      </c>
      <c r="Y107" s="14">
        <f t="shared" si="55"/>
        <v>0</v>
      </c>
      <c r="Z107" s="14">
        <f t="shared" si="55"/>
        <v>0</v>
      </c>
      <c r="AA107" s="14">
        <f t="shared" si="55"/>
        <v>0</v>
      </c>
      <c r="AB107" s="14">
        <f t="shared" si="55"/>
        <v>0</v>
      </c>
      <c r="AC107" s="14">
        <f t="shared" si="55"/>
        <v>0</v>
      </c>
      <c r="AD107" s="14">
        <f t="shared" si="55"/>
        <v>0</v>
      </c>
      <c r="AE107" s="14">
        <f t="shared" si="55"/>
        <v>0</v>
      </c>
      <c r="AF107" s="14">
        <f t="shared" si="55"/>
        <v>0</v>
      </c>
      <c r="AG107" s="14">
        <f t="shared" si="55"/>
        <v>0</v>
      </c>
      <c r="AH107" s="14">
        <f t="shared" si="55"/>
        <v>0</v>
      </c>
      <c r="AI107" s="14">
        <f t="shared" si="55"/>
        <v>0</v>
      </c>
      <c r="AJ107" s="14">
        <f t="shared" si="55"/>
        <v>0</v>
      </c>
      <c r="AK107" s="14">
        <f t="shared" si="55"/>
        <v>0</v>
      </c>
      <c r="AL107" s="14">
        <f t="shared" si="55"/>
        <v>0</v>
      </c>
    </row>
    <row r="108" spans="1:54" ht="21" hidden="1" customHeight="1" outlineLevel="1" thickBot="1" x14ac:dyDescent="0.4">
      <c r="A108" s="5">
        <f t="shared" si="44"/>
        <v>0</v>
      </c>
      <c r="B108" s="5">
        <f t="shared" si="44"/>
        <v>0</v>
      </c>
      <c r="C108" s="5">
        <f t="shared" si="44"/>
        <v>0</v>
      </c>
      <c r="D108" s="5">
        <f t="shared" si="44"/>
        <v>0</v>
      </c>
      <c r="E108" s="6">
        <f t="shared" si="23"/>
        <v>0</v>
      </c>
      <c r="F108" s="14">
        <f t="shared" ref="F108:AL108" si="56">F32*$C$78</f>
        <v>0</v>
      </c>
      <c r="G108" s="14">
        <f t="shared" si="56"/>
        <v>0</v>
      </c>
      <c r="H108" s="14">
        <f t="shared" si="56"/>
        <v>0</v>
      </c>
      <c r="I108" s="14">
        <f t="shared" si="56"/>
        <v>0</v>
      </c>
      <c r="J108" s="14">
        <f t="shared" si="56"/>
        <v>0</v>
      </c>
      <c r="K108" s="14">
        <f t="shared" si="56"/>
        <v>0</v>
      </c>
      <c r="L108" s="14">
        <f t="shared" si="56"/>
        <v>0</v>
      </c>
      <c r="M108" s="14">
        <f t="shared" si="56"/>
        <v>0</v>
      </c>
      <c r="N108" s="14">
        <f t="shared" si="56"/>
        <v>0</v>
      </c>
      <c r="O108" s="14">
        <f t="shared" si="56"/>
        <v>0</v>
      </c>
      <c r="P108" s="14">
        <f t="shared" si="56"/>
        <v>0</v>
      </c>
      <c r="Q108" s="14">
        <f t="shared" si="56"/>
        <v>0</v>
      </c>
      <c r="R108" s="14">
        <f t="shared" si="56"/>
        <v>0</v>
      </c>
      <c r="S108" s="14">
        <f t="shared" si="56"/>
        <v>0</v>
      </c>
      <c r="T108" s="14">
        <f t="shared" si="56"/>
        <v>0</v>
      </c>
      <c r="U108" s="14">
        <f t="shared" si="56"/>
        <v>0</v>
      </c>
      <c r="V108" s="14">
        <f t="shared" si="56"/>
        <v>0</v>
      </c>
      <c r="W108" s="14">
        <f t="shared" si="56"/>
        <v>0</v>
      </c>
      <c r="X108" s="14">
        <f t="shared" si="56"/>
        <v>0</v>
      </c>
      <c r="Y108" s="14">
        <f t="shared" si="56"/>
        <v>0</v>
      </c>
      <c r="Z108" s="14">
        <f t="shared" si="56"/>
        <v>0</v>
      </c>
      <c r="AA108" s="14">
        <f t="shared" si="56"/>
        <v>0</v>
      </c>
      <c r="AB108" s="14">
        <f t="shared" si="56"/>
        <v>0</v>
      </c>
      <c r="AC108" s="14">
        <f t="shared" si="56"/>
        <v>0</v>
      </c>
      <c r="AD108" s="14">
        <f t="shared" si="56"/>
        <v>0</v>
      </c>
      <c r="AE108" s="14">
        <f t="shared" si="56"/>
        <v>0</v>
      </c>
      <c r="AF108" s="14">
        <f t="shared" si="56"/>
        <v>0</v>
      </c>
      <c r="AG108" s="14">
        <f t="shared" si="56"/>
        <v>0</v>
      </c>
      <c r="AH108" s="14">
        <f t="shared" si="56"/>
        <v>0</v>
      </c>
      <c r="AI108" s="14">
        <f t="shared" si="56"/>
        <v>0</v>
      </c>
      <c r="AJ108" s="14">
        <f t="shared" si="56"/>
        <v>0</v>
      </c>
      <c r="AK108" s="14">
        <f t="shared" si="56"/>
        <v>0</v>
      </c>
      <c r="AL108" s="14">
        <f t="shared" si="56"/>
        <v>0</v>
      </c>
    </row>
    <row r="109" spans="1:54" ht="21" hidden="1" customHeight="1" outlineLevel="1" thickBot="1" x14ac:dyDescent="0.4">
      <c r="A109" s="5">
        <f t="shared" si="44"/>
        <v>0</v>
      </c>
      <c r="B109" s="5">
        <f t="shared" si="44"/>
        <v>0</v>
      </c>
      <c r="C109" s="5">
        <f t="shared" si="44"/>
        <v>0</v>
      </c>
      <c r="D109" s="5">
        <f t="shared" si="44"/>
        <v>0</v>
      </c>
      <c r="E109" s="6">
        <f t="shared" si="23"/>
        <v>1</v>
      </c>
      <c r="F109" s="14"/>
      <c r="G109" s="14"/>
      <c r="H109" s="14"/>
      <c r="I109" s="14"/>
      <c r="J109" s="14"/>
      <c r="K109" s="14"/>
      <c r="L109" s="14"/>
      <c r="M109" s="14"/>
      <c r="N109" s="14"/>
      <c r="O109" s="14"/>
      <c r="P109" s="14"/>
      <c r="Q109" s="14"/>
      <c r="R109" s="14"/>
      <c r="S109" s="14"/>
      <c r="T109" s="14"/>
      <c r="U109" s="14"/>
      <c r="V109" s="14"/>
      <c r="W109" s="14"/>
      <c r="X109" s="14"/>
      <c r="Y109" s="14"/>
      <c r="Z109" s="14"/>
      <c r="AA109" s="14"/>
      <c r="AB109" s="14"/>
      <c r="AC109" s="14"/>
      <c r="AD109" s="14"/>
      <c r="AE109" s="14"/>
      <c r="AF109" s="14"/>
      <c r="AG109" s="14"/>
      <c r="AH109" s="14"/>
      <c r="AI109" s="14"/>
      <c r="AJ109" s="14"/>
      <c r="AK109" s="14"/>
      <c r="AL109" s="14"/>
    </row>
    <row r="110" spans="1:54" ht="21" hidden="1" customHeight="1" outlineLevel="1" x14ac:dyDescent="0.35">
      <c r="U110" s="55"/>
      <c r="V110" s="55"/>
      <c r="W110" s="55"/>
    </row>
    <row r="111" spans="1:54" ht="21" customHeight="1" collapsed="1" x14ac:dyDescent="0.35">
      <c r="U111" s="55"/>
      <c r="V111" s="55"/>
      <c r="W111" s="55"/>
    </row>
    <row r="112" spans="1:54" ht="21" customHeight="1" thickBot="1" x14ac:dyDescent="0.45">
      <c r="A112" s="75"/>
      <c r="B112" s="75"/>
      <c r="C112" s="75"/>
      <c r="D112" s="75"/>
      <c r="E112" s="74" t="s">
        <v>24</v>
      </c>
      <c r="F112" s="75"/>
      <c r="G112" s="75"/>
      <c r="H112" s="75"/>
      <c r="I112" s="75"/>
      <c r="J112" s="75"/>
      <c r="K112" s="75"/>
      <c r="L112" s="75"/>
      <c r="M112" s="75"/>
      <c r="N112" s="75"/>
      <c r="O112" s="75"/>
      <c r="P112" s="75"/>
      <c r="Q112" s="75"/>
      <c r="R112" s="75"/>
      <c r="S112" s="75"/>
      <c r="T112" s="75"/>
      <c r="U112" s="75"/>
      <c r="V112" s="75"/>
      <c r="W112" s="75"/>
      <c r="X112" s="75"/>
      <c r="Y112" s="75"/>
      <c r="Z112" s="75"/>
      <c r="AA112" s="75"/>
      <c r="AB112" s="75"/>
      <c r="AC112" s="75"/>
      <c r="AD112" s="75"/>
      <c r="AE112" s="75"/>
      <c r="AF112" s="75"/>
      <c r="AG112" s="75"/>
      <c r="AH112" s="75"/>
      <c r="AI112" s="75"/>
      <c r="AJ112" s="75"/>
      <c r="AK112" s="75"/>
      <c r="AL112" s="75"/>
      <c r="AM112" s="75"/>
      <c r="AN112" s="75"/>
      <c r="AO112" s="75"/>
      <c r="AP112" s="75"/>
      <c r="AQ112" s="75"/>
      <c r="AR112" s="75"/>
      <c r="AS112" s="75"/>
      <c r="AT112" s="75"/>
      <c r="AU112" s="75"/>
      <c r="AV112" s="75"/>
      <c r="AW112" s="75"/>
      <c r="AX112" s="75"/>
      <c r="AY112" s="75"/>
      <c r="AZ112" s="75"/>
      <c r="BA112" s="75"/>
      <c r="BB112" s="75"/>
    </row>
    <row r="113" spans="1:38" ht="21" customHeight="1" outlineLevel="1" thickTop="1" thickBot="1" x14ac:dyDescent="0.4">
      <c r="A113" s="92" t="s">
        <v>10</v>
      </c>
      <c r="B113" s="93"/>
      <c r="C113" s="23" t="s">
        <v>11</v>
      </c>
      <c r="D113" s="15" t="s">
        <v>12</v>
      </c>
      <c r="E113" s="15"/>
      <c r="F113" s="4">
        <f t="shared" ref="F113:AL113" si="57">F3</f>
        <v>298.2</v>
      </c>
      <c r="G113" s="4">
        <f t="shared" si="57"/>
        <v>431.7</v>
      </c>
      <c r="H113" s="4">
        <f t="shared" si="57"/>
        <v>465.1</v>
      </c>
      <c r="I113" s="4">
        <f t="shared" si="57"/>
        <v>498.5</v>
      </c>
      <c r="J113" s="4">
        <f t="shared" si="57"/>
        <v>531.79999999999995</v>
      </c>
      <c r="K113" s="4">
        <f t="shared" si="57"/>
        <v>565.20000000000005</v>
      </c>
      <c r="L113" s="4">
        <f t="shared" si="57"/>
        <v>698.8</v>
      </c>
      <c r="M113" s="4">
        <f t="shared" si="57"/>
        <v>732.2</v>
      </c>
      <c r="N113" s="4">
        <f t="shared" si="57"/>
        <v>765.5</v>
      </c>
      <c r="O113" s="4">
        <f t="shared" si="57"/>
        <v>798.9</v>
      </c>
      <c r="P113" s="4">
        <f t="shared" si="57"/>
        <v>832.3</v>
      </c>
      <c r="Q113" s="4">
        <f t="shared" si="57"/>
        <v>965.8</v>
      </c>
      <c r="R113" s="4">
        <f t="shared" si="57"/>
        <v>999.2</v>
      </c>
      <c r="S113" s="4">
        <f t="shared" si="57"/>
        <v>1033</v>
      </c>
      <c r="T113" s="4">
        <f t="shared" si="57"/>
        <v>1066</v>
      </c>
      <c r="U113" s="4">
        <f t="shared" si="57"/>
        <v>1099</v>
      </c>
      <c r="V113" s="4">
        <f t="shared" si="57"/>
        <v>1233</v>
      </c>
      <c r="W113" s="4">
        <f t="shared" si="57"/>
        <v>1366</v>
      </c>
      <c r="X113" s="4">
        <f t="shared" si="57"/>
        <v>1500</v>
      </c>
      <c r="Y113" s="4">
        <f t="shared" si="57"/>
        <v>0</v>
      </c>
      <c r="Z113" s="4">
        <f t="shared" si="57"/>
        <v>0</v>
      </c>
      <c r="AA113" s="4">
        <f t="shared" si="57"/>
        <v>0</v>
      </c>
      <c r="AB113" s="4">
        <f t="shared" si="57"/>
        <v>0</v>
      </c>
      <c r="AC113" s="4">
        <f t="shared" si="57"/>
        <v>0</v>
      </c>
      <c r="AD113" s="4">
        <f t="shared" si="57"/>
        <v>0</v>
      </c>
      <c r="AE113" s="4">
        <f t="shared" si="57"/>
        <v>0</v>
      </c>
      <c r="AF113" s="4">
        <f t="shared" si="57"/>
        <v>0</v>
      </c>
      <c r="AG113" s="4">
        <f t="shared" si="57"/>
        <v>0</v>
      </c>
      <c r="AH113" s="4">
        <f t="shared" si="57"/>
        <v>0</v>
      </c>
      <c r="AI113" s="4">
        <f t="shared" si="57"/>
        <v>0</v>
      </c>
      <c r="AJ113" s="4">
        <f t="shared" si="57"/>
        <v>0</v>
      </c>
      <c r="AK113" s="4">
        <f t="shared" si="57"/>
        <v>0</v>
      </c>
      <c r="AL113" s="4">
        <f t="shared" si="57"/>
        <v>0</v>
      </c>
    </row>
    <row r="114" spans="1:38" ht="21" customHeight="1" outlineLevel="1" thickTop="1" thickBot="1" x14ac:dyDescent="0.4">
      <c r="A114" s="21">
        <f>$A$2</f>
        <v>700</v>
      </c>
      <c r="B114" s="50">
        <f ca="1">MIN(MIN(F114:AL117),MIN(F41:AL41))</f>
        <v>-932.94094425000003</v>
      </c>
      <c r="C114" s="24">
        <f>COUNTA(E114:E121)+1</f>
        <v>6</v>
      </c>
      <c r="E114" s="17" t="s">
        <v>13</v>
      </c>
      <c r="F114" s="52">
        <f ca="1">F$113*$B$2*SUMPRODUCT(F$90:F$92,F$56:F$58)/1000</f>
        <v>-60.34572474210001</v>
      </c>
      <c r="G114" s="52">
        <f t="shared" ref="G114:AL114" ca="1" si="58">G$113*$B$2*SUMPRODUCT(G$90:G$92,G$56:G$58)/1000</f>
        <v>-120.41777178326494</v>
      </c>
      <c r="H114" s="52">
        <f t="shared" ca="1" si="58"/>
        <v>-136.93468438201671</v>
      </c>
      <c r="I114" s="52">
        <f t="shared" ca="1" si="58"/>
        <v>-153.64911057165588</v>
      </c>
      <c r="J114" s="52">
        <f t="shared" ca="1" si="58"/>
        <v>-169.95523988903386</v>
      </c>
      <c r="K114" s="52">
        <f t="shared" ca="1" si="58"/>
        <v>-184.71901989958698</v>
      </c>
      <c r="L114" s="52">
        <f t="shared" ca="1" si="58"/>
        <v>-204.00506052011042</v>
      </c>
      <c r="M114" s="52">
        <f t="shared" ca="1" si="58"/>
        <v>-205.13368370881298</v>
      </c>
      <c r="N114" s="52">
        <f t="shared" ca="1" si="58"/>
        <v>-207.05595494185272</v>
      </c>
      <c r="O114" s="52">
        <f t="shared" ca="1" si="58"/>
        <v>-208.79765702959429</v>
      </c>
      <c r="P114" s="52">
        <f t="shared" ca="1" si="58"/>
        <v>-208.535629440767</v>
      </c>
      <c r="Q114" s="52">
        <f t="shared" ca="1" si="58"/>
        <v>-161.02703822643409</v>
      </c>
      <c r="R114" s="52">
        <f t="shared" ca="1" si="58"/>
        <v>-142.94150639238987</v>
      </c>
      <c r="S114" s="52">
        <f t="shared" ca="1" si="58"/>
        <v>-126.7334933093542</v>
      </c>
      <c r="T114" s="52">
        <f t="shared" ca="1" si="58"/>
        <v>-114.79157304561214</v>
      </c>
      <c r="U114" s="52">
        <f t="shared" ca="1" si="58"/>
        <v>-106.20726785624076</v>
      </c>
      <c r="V114" s="52">
        <f t="shared" ca="1" si="58"/>
        <v>-93.941861314135522</v>
      </c>
      <c r="W114" s="52">
        <f t="shared" ca="1" si="58"/>
        <v>-97.429159832689763</v>
      </c>
      <c r="X114" s="52">
        <f t="shared" ca="1" si="58"/>
        <v>-106.55745882405002</v>
      </c>
      <c r="Y114" s="52">
        <f t="shared" ca="1" si="58"/>
        <v>0</v>
      </c>
      <c r="Z114" s="52">
        <f t="shared" ca="1" si="58"/>
        <v>0</v>
      </c>
      <c r="AA114" s="52">
        <f t="shared" ca="1" si="58"/>
        <v>0</v>
      </c>
      <c r="AB114" s="52">
        <f t="shared" ca="1" si="58"/>
        <v>0</v>
      </c>
      <c r="AC114" s="52">
        <f t="shared" ca="1" si="58"/>
        <v>0</v>
      </c>
      <c r="AD114" s="52">
        <f t="shared" ca="1" si="58"/>
        <v>0</v>
      </c>
      <c r="AE114" s="52">
        <f t="shared" ca="1" si="58"/>
        <v>0</v>
      </c>
      <c r="AF114" s="52">
        <f t="shared" ca="1" si="58"/>
        <v>0</v>
      </c>
      <c r="AG114" s="52">
        <f t="shared" ca="1" si="58"/>
        <v>0</v>
      </c>
      <c r="AH114" s="52">
        <f t="shared" ca="1" si="58"/>
        <v>0</v>
      </c>
      <c r="AI114" s="52">
        <f t="shared" ca="1" si="58"/>
        <v>0</v>
      </c>
      <c r="AJ114" s="52">
        <f t="shared" ca="1" si="58"/>
        <v>0</v>
      </c>
      <c r="AK114" s="52">
        <f t="shared" ca="1" si="58"/>
        <v>0</v>
      </c>
      <c r="AL114" s="52">
        <f t="shared" ca="1" si="58"/>
        <v>0</v>
      </c>
    </row>
    <row r="115" spans="1:38" ht="21" customHeight="1" outlineLevel="1" thickBot="1" x14ac:dyDescent="0.4">
      <c r="A115" s="22">
        <f>$A$114</f>
        <v>700</v>
      </c>
      <c r="B115" s="51">
        <f ca="1">MAX(MAX(F114:AL117),MAX(F41:AL41))</f>
        <v>0</v>
      </c>
      <c r="C115" s="25">
        <f xml:space="preserve"> COUNTIF(F113:AL113,"&lt;&gt;"&amp;0)</f>
        <v>19</v>
      </c>
      <c r="E115" s="17" t="s">
        <v>14</v>
      </c>
      <c r="F115" s="14">
        <f ca="1">F$113*$B$2*SUMPRODUCT(F$80:F$88,F$46:F$54)/1000</f>
        <v>-9.1411694747642525E-7</v>
      </c>
      <c r="G115" s="14">
        <f t="shared" ref="G115:AL115" ca="1" si="59">G$113*$B$2*SUMPRODUCT(G$80:G$88,G$46:G$54)/1000</f>
        <v>-2.8389525378194894E-2</v>
      </c>
      <c r="H115" s="14">
        <f t="shared" ca="1" si="59"/>
        <v>-0.14226542592498001</v>
      </c>
      <c r="I115" s="14">
        <f t="shared" ca="1" si="59"/>
        <v>-0.56581364302199189</v>
      </c>
      <c r="J115" s="14">
        <f t="shared" ca="1" si="59"/>
        <v>-1.860475344740709</v>
      </c>
      <c r="K115" s="14">
        <f t="shared" ca="1" si="59"/>
        <v>-5.1919401705931376</v>
      </c>
      <c r="L115" s="14">
        <f t="shared" ca="1" si="59"/>
        <v>-63.492644131746765</v>
      </c>
      <c r="M115" s="14">
        <f t="shared" ca="1" si="59"/>
        <v>-83.496072698726948</v>
      </c>
      <c r="N115" s="14">
        <f t="shared" ca="1" si="59"/>
        <v>-103.27858556867463</v>
      </c>
      <c r="O115" s="14">
        <f t="shared" ca="1" si="59"/>
        <v>-123.8032612636763</v>
      </c>
      <c r="P115" s="14">
        <f t="shared" ca="1" si="59"/>
        <v>-146.77387316111256</v>
      </c>
      <c r="Q115" s="14">
        <f t="shared" ca="1" si="59"/>
        <v>-290.53363652714012</v>
      </c>
      <c r="R115" s="14">
        <f t="shared" ca="1" si="59"/>
        <v>-334.78702779858907</v>
      </c>
      <c r="S115" s="14">
        <f t="shared" ca="1" si="59"/>
        <v>-378.07270316542338</v>
      </c>
      <c r="T115" s="14">
        <f t="shared" ca="1" si="59"/>
        <v>-417.80290035550229</v>
      </c>
      <c r="U115" s="14">
        <f t="shared" ca="1" si="59"/>
        <v>-454.99298083227058</v>
      </c>
      <c r="V115" s="14">
        <f t="shared" ca="1" si="59"/>
        <v>-587.70450415226549</v>
      </c>
      <c r="W115" s="14">
        <f t="shared" ca="1" si="59"/>
        <v>-708.48845310326317</v>
      </c>
      <c r="X115" s="14">
        <f t="shared" ca="1" si="59"/>
        <v>-826.37200514366259</v>
      </c>
      <c r="Y115" s="14">
        <f t="shared" ca="1" si="59"/>
        <v>0</v>
      </c>
      <c r="Z115" s="14">
        <f t="shared" ca="1" si="59"/>
        <v>0</v>
      </c>
      <c r="AA115" s="14">
        <f t="shared" ca="1" si="59"/>
        <v>0</v>
      </c>
      <c r="AB115" s="14">
        <f t="shared" ca="1" si="59"/>
        <v>0</v>
      </c>
      <c r="AC115" s="14">
        <f t="shared" ca="1" si="59"/>
        <v>0</v>
      </c>
      <c r="AD115" s="14">
        <f t="shared" ca="1" si="59"/>
        <v>0</v>
      </c>
      <c r="AE115" s="14">
        <f t="shared" ca="1" si="59"/>
        <v>0</v>
      </c>
      <c r="AF115" s="14">
        <f t="shared" ca="1" si="59"/>
        <v>0</v>
      </c>
      <c r="AG115" s="14">
        <f t="shared" ca="1" si="59"/>
        <v>0</v>
      </c>
      <c r="AH115" s="14">
        <f t="shared" ca="1" si="59"/>
        <v>0</v>
      </c>
      <c r="AI115" s="14">
        <f t="shared" ca="1" si="59"/>
        <v>0</v>
      </c>
      <c r="AJ115" s="14">
        <f t="shared" ca="1" si="59"/>
        <v>0</v>
      </c>
      <c r="AK115" s="14">
        <f t="shared" ca="1" si="59"/>
        <v>0</v>
      </c>
      <c r="AL115" s="14">
        <f t="shared" ca="1" si="59"/>
        <v>0</v>
      </c>
    </row>
    <row r="116" spans="1:38" ht="21" customHeight="1" outlineLevel="1" thickBot="1" x14ac:dyDescent="0.4">
      <c r="E116" s="17" t="s">
        <v>15</v>
      </c>
      <c r="F116" s="14">
        <f ca="1">F115+F89*F55</f>
        <v>-31.016667580783622</v>
      </c>
      <c r="G116" s="14">
        <f t="shared" ref="G116:AL116" ca="1" si="60">G115+G89*G55</f>
        <v>-31.295056192044871</v>
      </c>
      <c r="H116" s="14">
        <f t="shared" ca="1" si="60"/>
        <v>-31.525598759258315</v>
      </c>
      <c r="I116" s="14">
        <f t="shared" ca="1" si="60"/>
        <v>-32.065813643021997</v>
      </c>
      <c r="J116" s="14">
        <f t="shared" ca="1" si="60"/>
        <v>-33.477142011407381</v>
      </c>
      <c r="K116" s="14">
        <f t="shared" ca="1" si="60"/>
        <v>-36.958606837259808</v>
      </c>
      <c r="L116" s="14">
        <f t="shared" ca="1" si="60"/>
        <v>-96.059310798413435</v>
      </c>
      <c r="M116" s="14">
        <f t="shared" ca="1" si="60"/>
        <v>-116.24607269872695</v>
      </c>
      <c r="N116" s="14">
        <f t="shared" ca="1" si="60"/>
        <v>-136.21191890200797</v>
      </c>
      <c r="O116" s="14">
        <f t="shared" ca="1" si="60"/>
        <v>-156.88659459700966</v>
      </c>
      <c r="P116" s="14">
        <f t="shared" ca="1" si="60"/>
        <v>-180.02387316111256</v>
      </c>
      <c r="Q116" s="14">
        <f t="shared" ca="1" si="60"/>
        <v>-324.56696986047348</v>
      </c>
      <c r="R116" s="14">
        <f t="shared" ca="1" si="60"/>
        <v>-369.02036113192241</v>
      </c>
      <c r="S116" s="14">
        <f t="shared" ca="1" si="60"/>
        <v>-412.50603649875671</v>
      </c>
      <c r="T116" s="14">
        <f t="shared" ca="1" si="60"/>
        <v>-452.40290035550231</v>
      </c>
      <c r="U116" s="14">
        <f t="shared" ca="1" si="60"/>
        <v>-489.74298083227058</v>
      </c>
      <c r="V116" s="14">
        <f t="shared" ca="1" si="60"/>
        <v>-622.90450415226553</v>
      </c>
      <c r="W116" s="14">
        <f t="shared" ca="1" si="60"/>
        <v>-744.05511976992989</v>
      </c>
      <c r="X116" s="14">
        <f t="shared" ca="1" si="60"/>
        <v>-862.25533847699592</v>
      </c>
      <c r="Y116" s="14">
        <f t="shared" ca="1" si="60"/>
        <v>0</v>
      </c>
      <c r="Z116" s="14">
        <f t="shared" ca="1" si="60"/>
        <v>0</v>
      </c>
      <c r="AA116" s="14">
        <f t="shared" ca="1" si="60"/>
        <v>0</v>
      </c>
      <c r="AB116" s="14">
        <f t="shared" ca="1" si="60"/>
        <v>0</v>
      </c>
      <c r="AC116" s="14">
        <f t="shared" ca="1" si="60"/>
        <v>0</v>
      </c>
      <c r="AD116" s="14">
        <f t="shared" ca="1" si="60"/>
        <v>0</v>
      </c>
      <c r="AE116" s="14">
        <f t="shared" ca="1" si="60"/>
        <v>0</v>
      </c>
      <c r="AF116" s="14">
        <f t="shared" ca="1" si="60"/>
        <v>0</v>
      </c>
      <c r="AG116" s="14">
        <f t="shared" ca="1" si="60"/>
        <v>0</v>
      </c>
      <c r="AH116" s="14">
        <f t="shared" ca="1" si="60"/>
        <v>0</v>
      </c>
      <c r="AI116" s="14">
        <f t="shared" ca="1" si="60"/>
        <v>0</v>
      </c>
      <c r="AJ116" s="14">
        <f t="shared" ca="1" si="60"/>
        <v>0</v>
      </c>
      <c r="AK116" s="14">
        <f t="shared" ca="1" si="60"/>
        <v>0</v>
      </c>
      <c r="AL116" s="14">
        <f t="shared" ca="1" si="60"/>
        <v>0</v>
      </c>
    </row>
    <row r="117" spans="1:38" ht="21" customHeight="1" outlineLevel="1" thickBot="1" x14ac:dyDescent="0.4">
      <c r="E117" s="17" t="s">
        <v>16</v>
      </c>
      <c r="F117" s="14">
        <f ca="1">F115+F114</f>
        <v>-60.345725656216956</v>
      </c>
      <c r="G117" s="14">
        <f t="shared" ref="G117:AL117" ca="1" si="61">G115+G114</f>
        <v>-120.44616130864313</v>
      </c>
      <c r="H117" s="14">
        <f t="shared" ca="1" si="61"/>
        <v>-137.0769498079417</v>
      </c>
      <c r="I117" s="14">
        <f t="shared" ca="1" si="61"/>
        <v>-154.21492421467786</v>
      </c>
      <c r="J117" s="14">
        <f t="shared" ca="1" si="61"/>
        <v>-171.81571523377457</v>
      </c>
      <c r="K117" s="14">
        <f t="shared" ca="1" si="61"/>
        <v>-189.91096007018012</v>
      </c>
      <c r="L117" s="14">
        <f t="shared" ca="1" si="61"/>
        <v>-267.49770465185719</v>
      </c>
      <c r="M117" s="14">
        <f t="shared" ca="1" si="61"/>
        <v>-288.62975640753996</v>
      </c>
      <c r="N117" s="14">
        <f t="shared" ca="1" si="61"/>
        <v>-310.33454051052735</v>
      </c>
      <c r="O117" s="14">
        <f t="shared" ca="1" si="61"/>
        <v>-332.60091829327058</v>
      </c>
      <c r="P117" s="14">
        <f t="shared" ca="1" si="61"/>
        <v>-355.30950260187956</v>
      </c>
      <c r="Q117" s="14">
        <f t="shared" ca="1" si="61"/>
        <v>-451.56067475357418</v>
      </c>
      <c r="R117" s="14">
        <f t="shared" ca="1" si="61"/>
        <v>-477.72853419097896</v>
      </c>
      <c r="S117" s="14">
        <f t="shared" ca="1" si="61"/>
        <v>-504.80619647477761</v>
      </c>
      <c r="T117" s="14">
        <f t="shared" ca="1" si="61"/>
        <v>-532.59447340111444</v>
      </c>
      <c r="U117" s="14">
        <f t="shared" ca="1" si="61"/>
        <v>-561.20024868851135</v>
      </c>
      <c r="V117" s="14">
        <f t="shared" ca="1" si="61"/>
        <v>-681.64636546640099</v>
      </c>
      <c r="W117" s="14">
        <f t="shared" ca="1" si="61"/>
        <v>-805.91761293595289</v>
      </c>
      <c r="X117" s="14">
        <f t="shared" ca="1" si="61"/>
        <v>-932.92946396771265</v>
      </c>
      <c r="Y117" s="14">
        <f t="shared" ca="1" si="61"/>
        <v>0</v>
      </c>
      <c r="Z117" s="14">
        <f t="shared" ca="1" si="61"/>
        <v>0</v>
      </c>
      <c r="AA117" s="14">
        <f t="shared" ca="1" si="61"/>
        <v>0</v>
      </c>
      <c r="AB117" s="14">
        <f t="shared" ca="1" si="61"/>
        <v>0</v>
      </c>
      <c r="AC117" s="14">
        <f t="shared" ca="1" si="61"/>
        <v>0</v>
      </c>
      <c r="AD117" s="14">
        <f t="shared" ca="1" si="61"/>
        <v>0</v>
      </c>
      <c r="AE117" s="14">
        <f t="shared" ca="1" si="61"/>
        <v>0</v>
      </c>
      <c r="AF117" s="14">
        <f t="shared" ca="1" si="61"/>
        <v>0</v>
      </c>
      <c r="AG117" s="14">
        <f t="shared" ca="1" si="61"/>
        <v>0</v>
      </c>
      <c r="AH117" s="14">
        <f t="shared" ca="1" si="61"/>
        <v>0</v>
      </c>
      <c r="AI117" s="14">
        <f t="shared" ca="1" si="61"/>
        <v>0</v>
      </c>
      <c r="AJ117" s="14">
        <f t="shared" ca="1" si="61"/>
        <v>0</v>
      </c>
      <c r="AK117" s="14">
        <f t="shared" ca="1" si="61"/>
        <v>0</v>
      </c>
      <c r="AL117" s="14">
        <f t="shared" ca="1" si="61"/>
        <v>0</v>
      </c>
    </row>
    <row r="118" spans="1:38" ht="21" customHeight="1" outlineLevel="1" thickBot="1" x14ac:dyDescent="0.4">
      <c r="E118" s="17" t="s">
        <v>17</v>
      </c>
      <c r="F118" s="14">
        <f ca="1">F116+F114</f>
        <v>-91.362392322883636</v>
      </c>
      <c r="G118" s="14">
        <f t="shared" ref="G118:AL118" ca="1" si="62">G116+G114</f>
        <v>-151.71282797530981</v>
      </c>
      <c r="H118" s="14">
        <f t="shared" ca="1" si="62"/>
        <v>-168.46028314127503</v>
      </c>
      <c r="I118" s="14">
        <f t="shared" ca="1" si="62"/>
        <v>-185.71492421467786</v>
      </c>
      <c r="J118" s="14">
        <f t="shared" ca="1" si="62"/>
        <v>-203.43238190044124</v>
      </c>
      <c r="K118" s="14">
        <f t="shared" ca="1" si="62"/>
        <v>-221.67762673684678</v>
      </c>
      <c r="L118" s="14">
        <f t="shared" ca="1" si="62"/>
        <v>-300.06437131852385</v>
      </c>
      <c r="M118" s="14">
        <f t="shared" ca="1" si="62"/>
        <v>-321.37975640753996</v>
      </c>
      <c r="N118" s="14">
        <f t="shared" ca="1" si="62"/>
        <v>-343.26787384386068</v>
      </c>
      <c r="O118" s="14">
        <f t="shared" ca="1" si="62"/>
        <v>-365.68425162660395</v>
      </c>
      <c r="P118" s="14">
        <f t="shared" ca="1" si="62"/>
        <v>-388.55950260187956</v>
      </c>
      <c r="Q118" s="14">
        <f t="shared" ca="1" si="62"/>
        <v>-485.59400808690759</v>
      </c>
      <c r="R118" s="14">
        <f t="shared" ca="1" si="62"/>
        <v>-511.96186752431231</v>
      </c>
      <c r="S118" s="14">
        <f t="shared" ca="1" si="62"/>
        <v>-539.23952980811089</v>
      </c>
      <c r="T118" s="14">
        <f t="shared" ca="1" si="62"/>
        <v>-567.19447340111446</v>
      </c>
      <c r="U118" s="14">
        <f t="shared" ca="1" si="62"/>
        <v>-595.95024868851135</v>
      </c>
      <c r="V118" s="14">
        <f t="shared" ca="1" si="62"/>
        <v>-716.84636546640104</v>
      </c>
      <c r="W118" s="14">
        <f t="shared" ca="1" si="62"/>
        <v>-841.48427960261961</v>
      </c>
      <c r="X118" s="14">
        <f t="shared" ca="1" si="62"/>
        <v>-968.81279730104598</v>
      </c>
      <c r="Y118" s="14">
        <f t="shared" ca="1" si="62"/>
        <v>0</v>
      </c>
      <c r="Z118" s="14">
        <f t="shared" ca="1" si="62"/>
        <v>0</v>
      </c>
      <c r="AA118" s="14">
        <f t="shared" ca="1" si="62"/>
        <v>0</v>
      </c>
      <c r="AB118" s="14">
        <f t="shared" ca="1" si="62"/>
        <v>0</v>
      </c>
      <c r="AC118" s="14">
        <f t="shared" ca="1" si="62"/>
        <v>0</v>
      </c>
      <c r="AD118" s="14">
        <f t="shared" ca="1" si="62"/>
        <v>0</v>
      </c>
      <c r="AE118" s="14">
        <f t="shared" ca="1" si="62"/>
        <v>0</v>
      </c>
      <c r="AF118" s="14">
        <f t="shared" ca="1" si="62"/>
        <v>0</v>
      </c>
      <c r="AG118" s="14">
        <f t="shared" ca="1" si="62"/>
        <v>0</v>
      </c>
      <c r="AH118" s="14">
        <f t="shared" ca="1" si="62"/>
        <v>0</v>
      </c>
      <c r="AI118" s="14">
        <f t="shared" ca="1" si="62"/>
        <v>0</v>
      </c>
      <c r="AJ118" s="14">
        <f t="shared" ca="1" si="62"/>
        <v>0</v>
      </c>
      <c r="AK118" s="14">
        <f t="shared" ca="1" si="62"/>
        <v>0</v>
      </c>
      <c r="AL118" s="14">
        <f t="shared" ca="1" si="62"/>
        <v>0</v>
      </c>
    </row>
    <row r="119" spans="1:38" ht="21" customHeight="1" outlineLevel="1" thickBot="1" x14ac:dyDescent="0.4">
      <c r="E119" s="17"/>
      <c r="F119" s="14"/>
      <c r="G119" s="14"/>
      <c r="H119" s="14"/>
      <c r="I119" s="14"/>
      <c r="J119" s="14"/>
      <c r="K119" s="14"/>
      <c r="L119" s="14"/>
      <c r="M119" s="14"/>
      <c r="N119" s="14"/>
      <c r="O119" s="14"/>
      <c r="P119" s="14"/>
      <c r="Q119" s="14"/>
      <c r="R119" s="14"/>
      <c r="S119" s="14"/>
      <c r="T119" s="14"/>
      <c r="U119" s="14"/>
      <c r="V119" s="14"/>
      <c r="W119" s="14"/>
      <c r="X119" s="14"/>
      <c r="Y119" s="14"/>
      <c r="Z119" s="14"/>
      <c r="AA119" s="14"/>
      <c r="AB119" s="14"/>
      <c r="AC119" s="14"/>
      <c r="AD119" s="14"/>
      <c r="AE119" s="14"/>
      <c r="AF119" s="14"/>
      <c r="AG119" s="14"/>
      <c r="AH119" s="14"/>
      <c r="AI119" s="14"/>
      <c r="AJ119" s="14"/>
      <c r="AK119" s="14"/>
      <c r="AL119" s="14"/>
    </row>
    <row r="120" spans="1:38" ht="21" customHeight="1" outlineLevel="1" thickBot="1" x14ac:dyDescent="0.4">
      <c r="E120" s="17"/>
      <c r="F120" s="14"/>
      <c r="G120" s="14"/>
      <c r="H120" s="14"/>
      <c r="I120" s="14"/>
      <c r="J120" s="14"/>
      <c r="K120" s="14"/>
      <c r="L120" s="14"/>
      <c r="M120" s="14"/>
      <c r="N120" s="14"/>
      <c r="O120" s="14"/>
      <c r="P120" s="14"/>
      <c r="Q120" s="14"/>
      <c r="R120" s="14"/>
      <c r="S120" s="14"/>
      <c r="T120" s="14"/>
      <c r="U120" s="14"/>
      <c r="V120" s="14"/>
      <c r="W120" s="14"/>
      <c r="X120" s="14"/>
      <c r="Y120" s="14"/>
      <c r="Z120" s="14"/>
      <c r="AA120" s="14"/>
      <c r="AB120" s="14"/>
      <c r="AC120" s="14"/>
      <c r="AD120" s="14"/>
      <c r="AE120" s="14"/>
      <c r="AF120" s="14"/>
      <c r="AG120" s="14"/>
      <c r="AH120" s="14"/>
      <c r="AI120" s="14"/>
      <c r="AJ120" s="14"/>
      <c r="AK120" s="14"/>
      <c r="AL120" s="14"/>
    </row>
    <row r="121" spans="1:38" ht="21" customHeight="1" outlineLevel="1" thickBot="1" x14ac:dyDescent="0.4">
      <c r="E121" s="18"/>
      <c r="U121" s="55"/>
      <c r="V121" s="55"/>
      <c r="W121" s="55"/>
    </row>
    <row r="122" spans="1:38" ht="21" customHeight="1" outlineLevel="1" thickTop="1" thickBot="1" x14ac:dyDescent="0.4">
      <c r="E122" s="4">
        <f t="array" aca="1" ref="E122:AL135" ca="1">OFFSET(E113,0,0,C114,C115+1)</f>
        <v>0</v>
      </c>
      <c r="F122" s="4">
        <f ca="1"/>
        <v>298.2</v>
      </c>
      <c r="G122" s="4">
        <f ca="1"/>
        <v>431.7</v>
      </c>
      <c r="H122" s="4">
        <f ca="1"/>
        <v>465.1</v>
      </c>
      <c r="I122" s="4">
        <f ca="1"/>
        <v>498.5</v>
      </c>
      <c r="J122" s="4">
        <f ca="1"/>
        <v>531.79999999999995</v>
      </c>
      <c r="K122" s="4">
        <f ca="1"/>
        <v>565.20000000000005</v>
      </c>
      <c r="L122" s="4">
        <f ca="1"/>
        <v>698.8</v>
      </c>
      <c r="M122" s="4">
        <f ca="1"/>
        <v>732.2</v>
      </c>
      <c r="N122" s="4">
        <f ca="1"/>
        <v>765.5</v>
      </c>
      <c r="O122" s="4">
        <f ca="1"/>
        <v>798.9</v>
      </c>
      <c r="P122" s="4">
        <f ca="1"/>
        <v>832.3</v>
      </c>
      <c r="Q122" s="4">
        <f ca="1"/>
        <v>965.8</v>
      </c>
      <c r="R122" s="4">
        <f ca="1"/>
        <v>999.2</v>
      </c>
      <c r="S122" s="4">
        <f ca="1"/>
        <v>1033</v>
      </c>
      <c r="T122" s="20">
        <f ca="1"/>
        <v>1066</v>
      </c>
      <c r="U122" s="65">
        <f ca="1"/>
        <v>1099</v>
      </c>
      <c r="V122" s="66">
        <f ca="1"/>
        <v>1233</v>
      </c>
      <c r="W122" s="68">
        <f ca="1"/>
        <v>1366</v>
      </c>
      <c r="X122" s="62">
        <f ca="1"/>
        <v>1500</v>
      </c>
      <c r="Y122" s="4" t="e">
        <f ca="1"/>
        <v>#N/A</v>
      </c>
      <c r="Z122" s="4" t="e">
        <f ca="1"/>
        <v>#N/A</v>
      </c>
      <c r="AA122" s="4" t="e">
        <f ca="1"/>
        <v>#N/A</v>
      </c>
      <c r="AB122" s="4" t="e">
        <f ca="1"/>
        <v>#N/A</v>
      </c>
      <c r="AC122" s="4" t="e">
        <f ca="1"/>
        <v>#N/A</v>
      </c>
      <c r="AD122" s="4" t="e">
        <f ca="1"/>
        <v>#N/A</v>
      </c>
      <c r="AE122" s="4" t="e">
        <f ca="1"/>
        <v>#N/A</v>
      </c>
      <c r="AF122" s="4" t="e">
        <f ca="1"/>
        <v>#N/A</v>
      </c>
      <c r="AG122" s="4" t="e">
        <f ca="1"/>
        <v>#N/A</v>
      </c>
      <c r="AH122" s="4" t="e">
        <f ca="1"/>
        <v>#N/A</v>
      </c>
      <c r="AI122" s="4" t="e">
        <f ca="1"/>
        <v>#N/A</v>
      </c>
      <c r="AJ122" s="4" t="e">
        <f ca="1"/>
        <v>#N/A</v>
      </c>
      <c r="AK122" s="4" t="e">
        <f ca="1"/>
        <v>#N/A</v>
      </c>
      <c r="AL122" s="4" t="e">
        <f ca="1"/>
        <v>#N/A</v>
      </c>
    </row>
    <row r="123" spans="1:38" ht="21" customHeight="1" outlineLevel="1" thickTop="1" thickBot="1" x14ac:dyDescent="0.4">
      <c r="E123" s="17" t="str">
        <f ca="1"/>
        <v xml:space="preserve">Раствор (жид): </v>
      </c>
      <c r="F123" s="55">
        <f ca="1"/>
        <v>-60.34572474210001</v>
      </c>
      <c r="G123" s="55">
        <f ca="1"/>
        <v>-120.41777178326494</v>
      </c>
      <c r="H123" s="55">
        <f ca="1"/>
        <v>-136.93468438201671</v>
      </c>
      <c r="I123" s="55">
        <f ca="1"/>
        <v>-153.64911057165588</v>
      </c>
      <c r="J123" s="55">
        <f ca="1"/>
        <v>-169.95523988903386</v>
      </c>
      <c r="K123" s="55">
        <f ca="1"/>
        <v>-184.71901989958698</v>
      </c>
      <c r="L123" s="55">
        <f ca="1"/>
        <v>-204.00506052011042</v>
      </c>
      <c r="M123" s="55">
        <f ca="1"/>
        <v>-205.13368370881298</v>
      </c>
      <c r="N123" s="55">
        <f ca="1"/>
        <v>-207.05595494185272</v>
      </c>
      <c r="O123" s="55">
        <f ca="1"/>
        <v>-208.79765702959429</v>
      </c>
      <c r="P123" s="55">
        <f ca="1"/>
        <v>-208.535629440767</v>
      </c>
      <c r="Q123" s="55">
        <f ca="1"/>
        <v>-161.02703822643409</v>
      </c>
      <c r="R123" s="55">
        <f ca="1"/>
        <v>-142.94150639238987</v>
      </c>
      <c r="S123" s="55">
        <f ca="1"/>
        <v>-126.7334933093542</v>
      </c>
      <c r="T123" s="55">
        <f ca="1"/>
        <v>-114.79157304561214</v>
      </c>
      <c r="U123" s="55">
        <f ca="1"/>
        <v>-106.20726785624076</v>
      </c>
      <c r="V123" s="55">
        <f ca="1"/>
        <v>-93.941861314135522</v>
      </c>
      <c r="W123" s="55">
        <f ca="1"/>
        <v>-97.429159832689763</v>
      </c>
      <c r="X123" s="55">
        <f ca="1"/>
        <v>-106.55745882405002</v>
      </c>
      <c r="Y123" s="55" t="e">
        <f ca="1"/>
        <v>#N/A</v>
      </c>
      <c r="Z123" s="55" t="e">
        <f ca="1"/>
        <v>#N/A</v>
      </c>
      <c r="AA123" s="55" t="e">
        <f ca="1"/>
        <v>#N/A</v>
      </c>
      <c r="AB123" s="55" t="e">
        <f ca="1"/>
        <v>#N/A</v>
      </c>
      <c r="AC123" s="55" t="e">
        <f ca="1"/>
        <v>#N/A</v>
      </c>
      <c r="AD123" s="55" t="e">
        <f ca="1"/>
        <v>#N/A</v>
      </c>
      <c r="AE123" s="55" t="e">
        <f ca="1"/>
        <v>#N/A</v>
      </c>
      <c r="AF123" s="55" t="e">
        <f ca="1"/>
        <v>#N/A</v>
      </c>
      <c r="AG123" s="55" t="e">
        <f ca="1"/>
        <v>#N/A</v>
      </c>
      <c r="AH123" s="55" t="e">
        <f ca="1"/>
        <v>#N/A</v>
      </c>
      <c r="AI123" s="55" t="e">
        <f ca="1"/>
        <v>#N/A</v>
      </c>
      <c r="AJ123" s="55" t="e">
        <f ca="1"/>
        <v>#N/A</v>
      </c>
      <c r="AK123" s="55" t="e">
        <f ca="1"/>
        <v>#N/A</v>
      </c>
      <c r="AL123" s="55" t="e">
        <f ca="1"/>
        <v>#N/A</v>
      </c>
    </row>
    <row r="124" spans="1:38" ht="21" customHeight="1" outlineLevel="1" thickBot="1" x14ac:dyDescent="0.4">
      <c r="E124" s="17" t="str">
        <f ca="1"/>
        <v xml:space="preserve">Газовая без Ar: </v>
      </c>
      <c r="F124" s="55">
        <f ca="1"/>
        <v>-9.1411694747642525E-7</v>
      </c>
      <c r="G124" s="55">
        <f ca="1"/>
        <v>-2.8389525378194894E-2</v>
      </c>
      <c r="H124" s="55">
        <f ca="1"/>
        <v>-0.14226542592498001</v>
      </c>
      <c r="I124" s="55">
        <f ca="1"/>
        <v>-0.56581364302199189</v>
      </c>
      <c r="J124" s="55">
        <f ca="1"/>
        <v>-1.860475344740709</v>
      </c>
      <c r="K124" s="55">
        <f ca="1"/>
        <v>-5.1919401705931376</v>
      </c>
      <c r="L124" s="55">
        <f ca="1"/>
        <v>-63.492644131746765</v>
      </c>
      <c r="M124" s="55">
        <f ca="1"/>
        <v>-83.496072698726948</v>
      </c>
      <c r="N124" s="55">
        <f ca="1"/>
        <v>-103.27858556867463</v>
      </c>
      <c r="O124" s="55">
        <f ca="1"/>
        <v>-123.8032612636763</v>
      </c>
      <c r="P124" s="55">
        <f ca="1"/>
        <v>-146.77387316111256</v>
      </c>
      <c r="Q124" s="55">
        <f ca="1"/>
        <v>-290.53363652714012</v>
      </c>
      <c r="R124" s="55">
        <f ca="1"/>
        <v>-334.78702779858907</v>
      </c>
      <c r="S124" s="55">
        <f ca="1"/>
        <v>-378.07270316542338</v>
      </c>
      <c r="T124" s="55">
        <f ca="1"/>
        <v>-417.80290035550229</v>
      </c>
      <c r="U124" s="55">
        <f ca="1"/>
        <v>-454.99298083227058</v>
      </c>
      <c r="V124" s="55">
        <f ca="1"/>
        <v>-587.70450415226549</v>
      </c>
      <c r="W124" s="55">
        <f ca="1"/>
        <v>-708.48845310326317</v>
      </c>
      <c r="X124" s="55">
        <f ca="1"/>
        <v>-826.37200514366259</v>
      </c>
      <c r="Y124" s="55" t="e">
        <f ca="1"/>
        <v>#N/A</v>
      </c>
      <c r="Z124" s="55" t="e">
        <f ca="1"/>
        <v>#N/A</v>
      </c>
      <c r="AA124" s="55" t="e">
        <f ca="1"/>
        <v>#N/A</v>
      </c>
      <c r="AB124" s="55" t="e">
        <f ca="1"/>
        <v>#N/A</v>
      </c>
      <c r="AC124" s="55" t="e">
        <f ca="1"/>
        <v>#N/A</v>
      </c>
      <c r="AD124" s="55" t="e">
        <f ca="1"/>
        <v>#N/A</v>
      </c>
      <c r="AE124" s="55" t="e">
        <f ca="1"/>
        <v>#N/A</v>
      </c>
      <c r="AF124" s="55" t="e">
        <f ca="1"/>
        <v>#N/A</v>
      </c>
      <c r="AG124" s="55" t="e">
        <f ca="1"/>
        <v>#N/A</v>
      </c>
      <c r="AH124" s="55" t="e">
        <f ca="1"/>
        <v>#N/A</v>
      </c>
      <c r="AI124" s="55" t="e">
        <f ca="1"/>
        <v>#N/A</v>
      </c>
      <c r="AJ124" s="55" t="e">
        <f ca="1"/>
        <v>#N/A</v>
      </c>
      <c r="AK124" s="55" t="e">
        <f ca="1"/>
        <v>#N/A</v>
      </c>
      <c r="AL124" s="55" t="e">
        <f ca="1"/>
        <v>#N/A</v>
      </c>
    </row>
    <row r="125" spans="1:38" ht="21" customHeight="1" outlineLevel="1" thickBot="1" x14ac:dyDescent="0.4">
      <c r="E125" s="17" t="str">
        <f ca="1"/>
        <v xml:space="preserve">Газовая: </v>
      </c>
      <c r="F125" s="55">
        <f ca="1"/>
        <v>-31.016667580783622</v>
      </c>
      <c r="G125" s="55">
        <f ca="1"/>
        <v>-31.295056192044871</v>
      </c>
      <c r="H125" s="55">
        <f ca="1"/>
        <v>-31.525598759258315</v>
      </c>
      <c r="I125" s="55">
        <f ca="1"/>
        <v>-32.065813643021997</v>
      </c>
      <c r="J125" s="55">
        <f ca="1"/>
        <v>-33.477142011407381</v>
      </c>
      <c r="K125" s="55">
        <f ca="1"/>
        <v>-36.958606837259808</v>
      </c>
      <c r="L125" s="55">
        <f ca="1"/>
        <v>-96.059310798413435</v>
      </c>
      <c r="M125" s="55">
        <f ca="1"/>
        <v>-116.24607269872695</v>
      </c>
      <c r="N125" s="55">
        <f ca="1"/>
        <v>-136.21191890200797</v>
      </c>
      <c r="O125" s="55">
        <f ca="1"/>
        <v>-156.88659459700966</v>
      </c>
      <c r="P125" s="55">
        <f ca="1"/>
        <v>-180.02387316111256</v>
      </c>
      <c r="Q125" s="55">
        <f ca="1"/>
        <v>-324.56696986047348</v>
      </c>
      <c r="R125" s="55">
        <f ca="1"/>
        <v>-369.02036113192241</v>
      </c>
      <c r="S125" s="55">
        <f ca="1"/>
        <v>-412.50603649875671</v>
      </c>
      <c r="T125" s="55">
        <f ca="1"/>
        <v>-452.40290035550231</v>
      </c>
      <c r="U125" s="55">
        <f ca="1"/>
        <v>-489.74298083227058</v>
      </c>
      <c r="V125" s="55">
        <f ca="1"/>
        <v>-622.90450415226553</v>
      </c>
      <c r="W125" s="55">
        <f ca="1"/>
        <v>-744.05511976992989</v>
      </c>
      <c r="X125" s="55">
        <f ca="1"/>
        <v>-862.25533847699592</v>
      </c>
      <c r="Y125" s="55" t="e">
        <f ca="1"/>
        <v>#N/A</v>
      </c>
      <c r="Z125" s="55" t="e">
        <f ca="1"/>
        <v>#N/A</v>
      </c>
      <c r="AA125" s="55" t="e">
        <f ca="1"/>
        <v>#N/A</v>
      </c>
      <c r="AB125" s="55" t="e">
        <f ca="1"/>
        <v>#N/A</v>
      </c>
      <c r="AC125" s="55" t="e">
        <f ca="1"/>
        <v>#N/A</v>
      </c>
      <c r="AD125" s="55" t="e">
        <f ca="1"/>
        <v>#N/A</v>
      </c>
      <c r="AE125" s="55" t="e">
        <f ca="1"/>
        <v>#N/A</v>
      </c>
      <c r="AF125" s="55" t="e">
        <f ca="1"/>
        <v>#N/A</v>
      </c>
      <c r="AG125" s="55" t="e">
        <f ca="1"/>
        <v>#N/A</v>
      </c>
      <c r="AH125" s="55" t="e">
        <f ca="1"/>
        <v>#N/A</v>
      </c>
      <c r="AI125" s="55" t="e">
        <f ca="1"/>
        <v>#N/A</v>
      </c>
      <c r="AJ125" s="55" t="e">
        <f ca="1"/>
        <v>#N/A</v>
      </c>
      <c r="AK125" s="55" t="e">
        <f ca="1"/>
        <v>#N/A</v>
      </c>
      <c r="AL125" s="55" t="e">
        <f ca="1"/>
        <v>#N/A</v>
      </c>
    </row>
    <row r="126" spans="1:38" ht="21" customHeight="1" outlineLevel="1" thickBot="1" x14ac:dyDescent="0.4">
      <c r="E126" s="17" t="str">
        <f ca="1"/>
        <v xml:space="preserve">Раствор + газовая без Ar: </v>
      </c>
      <c r="F126" s="55">
        <f ca="1"/>
        <v>-60.345725656216956</v>
      </c>
      <c r="G126" s="55">
        <f ca="1"/>
        <v>-120.44616130864313</v>
      </c>
      <c r="H126" s="55">
        <f ca="1"/>
        <v>-137.0769498079417</v>
      </c>
      <c r="I126" s="55">
        <f ca="1"/>
        <v>-154.21492421467786</v>
      </c>
      <c r="J126" s="55">
        <f ca="1"/>
        <v>-171.81571523377457</v>
      </c>
      <c r="K126" s="55">
        <f ca="1"/>
        <v>-189.91096007018012</v>
      </c>
      <c r="L126" s="55">
        <f ca="1"/>
        <v>-267.49770465185719</v>
      </c>
      <c r="M126" s="55">
        <f ca="1"/>
        <v>-288.62975640753996</v>
      </c>
      <c r="N126" s="55">
        <f ca="1"/>
        <v>-310.33454051052735</v>
      </c>
      <c r="O126" s="55">
        <f ca="1"/>
        <v>-332.60091829327058</v>
      </c>
      <c r="P126" s="55">
        <f ca="1"/>
        <v>-355.30950260187956</v>
      </c>
      <c r="Q126" s="55">
        <f ca="1"/>
        <v>-451.56067475357418</v>
      </c>
      <c r="R126" s="55">
        <f ca="1"/>
        <v>-477.72853419097896</v>
      </c>
      <c r="S126" s="55">
        <f ca="1"/>
        <v>-504.80619647477761</v>
      </c>
      <c r="T126" s="55">
        <f ca="1"/>
        <v>-532.59447340111444</v>
      </c>
      <c r="U126" s="55">
        <f ca="1"/>
        <v>-561.20024868851135</v>
      </c>
      <c r="V126" s="55">
        <f ca="1"/>
        <v>-681.64636546640099</v>
      </c>
      <c r="W126" s="55">
        <f ca="1"/>
        <v>-805.91761293595289</v>
      </c>
      <c r="X126" s="55">
        <f ca="1"/>
        <v>-932.92946396771265</v>
      </c>
      <c r="Y126" s="55" t="e">
        <f ca="1"/>
        <v>#N/A</v>
      </c>
      <c r="Z126" s="55" t="e">
        <f ca="1"/>
        <v>#N/A</v>
      </c>
      <c r="AA126" s="55" t="e">
        <f ca="1"/>
        <v>#N/A</v>
      </c>
      <c r="AB126" s="55" t="e">
        <f ca="1"/>
        <v>#N/A</v>
      </c>
      <c r="AC126" s="55" t="e">
        <f ca="1"/>
        <v>#N/A</v>
      </c>
      <c r="AD126" s="55" t="e">
        <f ca="1"/>
        <v>#N/A</v>
      </c>
      <c r="AE126" s="55" t="e">
        <f ca="1"/>
        <v>#N/A</v>
      </c>
      <c r="AF126" s="55" t="e">
        <f ca="1"/>
        <v>#N/A</v>
      </c>
      <c r="AG126" s="55" t="e">
        <f ca="1"/>
        <v>#N/A</v>
      </c>
      <c r="AH126" s="55" t="e">
        <f ca="1"/>
        <v>#N/A</v>
      </c>
      <c r="AI126" s="55" t="e">
        <f ca="1"/>
        <v>#N/A</v>
      </c>
      <c r="AJ126" s="55" t="e">
        <f ca="1"/>
        <v>#N/A</v>
      </c>
      <c r="AK126" s="55" t="e">
        <f ca="1"/>
        <v>#N/A</v>
      </c>
      <c r="AL126" s="55" t="e">
        <f ca="1"/>
        <v>#N/A</v>
      </c>
    </row>
    <row r="127" spans="1:38" ht="21" customHeight="1" outlineLevel="1" thickBot="1" x14ac:dyDescent="0.4">
      <c r="E127" s="17" t="str">
        <f ca="1"/>
        <v xml:space="preserve">Раствор + газовая: </v>
      </c>
      <c r="F127" s="55">
        <f ca="1"/>
        <v>-91.362392322883636</v>
      </c>
      <c r="G127" s="55">
        <f ca="1"/>
        <v>-151.71282797530981</v>
      </c>
      <c r="H127" s="55">
        <f ca="1"/>
        <v>-168.46028314127503</v>
      </c>
      <c r="I127" s="55">
        <f ca="1"/>
        <v>-185.71492421467786</v>
      </c>
      <c r="J127" s="55">
        <f ca="1"/>
        <v>-203.43238190044124</v>
      </c>
      <c r="K127" s="55">
        <f ca="1"/>
        <v>-221.67762673684678</v>
      </c>
      <c r="L127" s="55">
        <f ca="1"/>
        <v>-300.06437131852385</v>
      </c>
      <c r="M127" s="55">
        <f ca="1"/>
        <v>-321.37975640753996</v>
      </c>
      <c r="N127" s="55">
        <f ca="1"/>
        <v>-343.26787384386068</v>
      </c>
      <c r="O127" s="55">
        <f ca="1"/>
        <v>-365.68425162660395</v>
      </c>
      <c r="P127" s="55">
        <f ca="1"/>
        <v>-388.55950260187956</v>
      </c>
      <c r="Q127" s="55">
        <f ca="1"/>
        <v>-485.59400808690759</v>
      </c>
      <c r="R127" s="55">
        <f ca="1"/>
        <v>-511.96186752431231</v>
      </c>
      <c r="S127" s="55">
        <f ca="1"/>
        <v>-539.23952980811089</v>
      </c>
      <c r="T127" s="55">
        <f ca="1"/>
        <v>-567.19447340111446</v>
      </c>
      <c r="U127" s="55">
        <f ca="1"/>
        <v>-595.95024868851135</v>
      </c>
      <c r="V127" s="55">
        <f ca="1"/>
        <v>-716.84636546640104</v>
      </c>
      <c r="W127" s="55">
        <f ca="1"/>
        <v>-841.48427960261961</v>
      </c>
      <c r="X127" s="55">
        <f ca="1"/>
        <v>-968.81279730104598</v>
      </c>
      <c r="Y127" s="55" t="e">
        <f ca="1"/>
        <v>#N/A</v>
      </c>
      <c r="Z127" s="55" t="e">
        <f ca="1"/>
        <v>#N/A</v>
      </c>
      <c r="AA127" s="55" t="e">
        <f ca="1"/>
        <v>#N/A</v>
      </c>
      <c r="AB127" s="55" t="e">
        <f ca="1"/>
        <v>#N/A</v>
      </c>
      <c r="AC127" s="55" t="e">
        <f ca="1"/>
        <v>#N/A</v>
      </c>
      <c r="AD127" s="55" t="e">
        <f ca="1"/>
        <v>#N/A</v>
      </c>
      <c r="AE127" s="55" t="e">
        <f ca="1"/>
        <v>#N/A</v>
      </c>
      <c r="AF127" s="55" t="e">
        <f ca="1"/>
        <v>#N/A</v>
      </c>
      <c r="AG127" s="55" t="e">
        <f ca="1"/>
        <v>#N/A</v>
      </c>
      <c r="AH127" s="55" t="e">
        <f ca="1"/>
        <v>#N/A</v>
      </c>
      <c r="AI127" s="55" t="e">
        <f ca="1"/>
        <v>#N/A</v>
      </c>
      <c r="AJ127" s="55" t="e">
        <f ca="1"/>
        <v>#N/A</v>
      </c>
      <c r="AK127" s="55" t="e">
        <f ca="1"/>
        <v>#N/A</v>
      </c>
      <c r="AL127" s="55" t="e">
        <f ca="1"/>
        <v>#N/A</v>
      </c>
    </row>
    <row r="128" spans="1:38" ht="21" customHeight="1" outlineLevel="1" thickBot="1" x14ac:dyDescent="0.4">
      <c r="E128" s="17" t="e">
        <f ca="1"/>
        <v>#N/A</v>
      </c>
      <c r="F128" s="55" t="e">
        <f ca="1"/>
        <v>#N/A</v>
      </c>
      <c r="G128" s="55" t="e">
        <f ca="1"/>
        <v>#N/A</v>
      </c>
      <c r="H128" s="55" t="e">
        <f ca="1"/>
        <v>#N/A</v>
      </c>
      <c r="I128" s="55" t="e">
        <f ca="1"/>
        <v>#N/A</v>
      </c>
      <c r="J128" s="55" t="e">
        <f ca="1"/>
        <v>#N/A</v>
      </c>
      <c r="K128" s="55" t="e">
        <f ca="1"/>
        <v>#N/A</v>
      </c>
      <c r="L128" s="55" t="e">
        <f ca="1"/>
        <v>#N/A</v>
      </c>
      <c r="M128" s="55" t="e">
        <f ca="1"/>
        <v>#N/A</v>
      </c>
      <c r="N128" s="55" t="e">
        <f ca="1"/>
        <v>#N/A</v>
      </c>
      <c r="O128" s="55" t="e">
        <f ca="1"/>
        <v>#N/A</v>
      </c>
      <c r="P128" s="55" t="e">
        <f ca="1"/>
        <v>#N/A</v>
      </c>
      <c r="Q128" s="55" t="e">
        <f ca="1"/>
        <v>#N/A</v>
      </c>
      <c r="R128" s="55" t="e">
        <f ca="1"/>
        <v>#N/A</v>
      </c>
      <c r="S128" s="55" t="e">
        <f ca="1"/>
        <v>#N/A</v>
      </c>
      <c r="T128" s="55" t="e">
        <f ca="1"/>
        <v>#N/A</v>
      </c>
      <c r="U128" s="55" t="e">
        <f ca="1"/>
        <v>#N/A</v>
      </c>
      <c r="V128" s="55" t="e">
        <f ca="1"/>
        <v>#N/A</v>
      </c>
      <c r="W128" s="55" t="e">
        <f ca="1"/>
        <v>#N/A</v>
      </c>
      <c r="X128" s="55" t="e">
        <f ca="1"/>
        <v>#N/A</v>
      </c>
      <c r="Y128" s="55" t="e">
        <f ca="1"/>
        <v>#N/A</v>
      </c>
      <c r="Z128" s="55" t="e">
        <f ca="1"/>
        <v>#N/A</v>
      </c>
      <c r="AA128" s="55" t="e">
        <f ca="1"/>
        <v>#N/A</v>
      </c>
      <c r="AB128" s="55" t="e">
        <f ca="1"/>
        <v>#N/A</v>
      </c>
      <c r="AC128" s="55" t="e">
        <f ca="1"/>
        <v>#N/A</v>
      </c>
      <c r="AD128" s="55" t="e">
        <f ca="1"/>
        <v>#N/A</v>
      </c>
      <c r="AE128" s="55" t="e">
        <f ca="1"/>
        <v>#N/A</v>
      </c>
      <c r="AF128" s="55" t="e">
        <f ca="1"/>
        <v>#N/A</v>
      </c>
      <c r="AG128" s="55" t="e">
        <f ca="1"/>
        <v>#N/A</v>
      </c>
      <c r="AH128" s="55" t="e">
        <f ca="1"/>
        <v>#N/A</v>
      </c>
      <c r="AI128" s="55" t="e">
        <f ca="1"/>
        <v>#N/A</v>
      </c>
      <c r="AJ128" s="55" t="e">
        <f ca="1"/>
        <v>#N/A</v>
      </c>
      <c r="AK128" s="55" t="e">
        <f ca="1"/>
        <v>#N/A</v>
      </c>
      <c r="AL128" s="55" t="e">
        <f ca="1"/>
        <v>#N/A</v>
      </c>
    </row>
    <row r="129" spans="5:38" ht="21" customHeight="1" outlineLevel="1" thickBot="1" x14ac:dyDescent="0.4">
      <c r="E129" s="17" t="e">
        <f ca="1"/>
        <v>#N/A</v>
      </c>
      <c r="F129" s="55" t="e">
        <f ca="1"/>
        <v>#N/A</v>
      </c>
      <c r="G129" s="55" t="e">
        <f ca="1"/>
        <v>#N/A</v>
      </c>
      <c r="H129" s="55" t="e">
        <f ca="1"/>
        <v>#N/A</v>
      </c>
      <c r="I129" s="55" t="e">
        <f ca="1"/>
        <v>#N/A</v>
      </c>
      <c r="J129" s="55" t="e">
        <f ca="1"/>
        <v>#N/A</v>
      </c>
      <c r="K129" s="55" t="e">
        <f ca="1"/>
        <v>#N/A</v>
      </c>
      <c r="L129" s="55" t="e">
        <f ca="1"/>
        <v>#N/A</v>
      </c>
      <c r="M129" s="55" t="e">
        <f ca="1"/>
        <v>#N/A</v>
      </c>
      <c r="N129" s="55" t="e">
        <f ca="1"/>
        <v>#N/A</v>
      </c>
      <c r="O129" s="55" t="e">
        <f ca="1"/>
        <v>#N/A</v>
      </c>
      <c r="P129" s="55" t="e">
        <f ca="1"/>
        <v>#N/A</v>
      </c>
      <c r="Q129" s="55" t="e">
        <f ca="1"/>
        <v>#N/A</v>
      </c>
      <c r="R129" s="55" t="e">
        <f ca="1"/>
        <v>#N/A</v>
      </c>
      <c r="S129" s="55" t="e">
        <f ca="1"/>
        <v>#N/A</v>
      </c>
      <c r="T129" s="55" t="e">
        <f ca="1"/>
        <v>#N/A</v>
      </c>
      <c r="U129" s="55" t="e">
        <f ca="1"/>
        <v>#N/A</v>
      </c>
      <c r="V129" s="55" t="e">
        <f ca="1"/>
        <v>#N/A</v>
      </c>
      <c r="W129" s="55" t="e">
        <f ca="1"/>
        <v>#N/A</v>
      </c>
      <c r="X129" s="55" t="e">
        <f ca="1"/>
        <v>#N/A</v>
      </c>
      <c r="Y129" s="55" t="e">
        <f ca="1"/>
        <v>#N/A</v>
      </c>
      <c r="Z129" s="55" t="e">
        <f ca="1"/>
        <v>#N/A</v>
      </c>
      <c r="AA129" s="55" t="e">
        <f ca="1"/>
        <v>#N/A</v>
      </c>
      <c r="AB129" s="55" t="e">
        <f ca="1"/>
        <v>#N/A</v>
      </c>
      <c r="AC129" s="55" t="e">
        <f ca="1"/>
        <v>#N/A</v>
      </c>
      <c r="AD129" s="55" t="e">
        <f ca="1"/>
        <v>#N/A</v>
      </c>
      <c r="AE129" s="55" t="e">
        <f ca="1"/>
        <v>#N/A</v>
      </c>
      <c r="AF129" s="55" t="e">
        <f ca="1"/>
        <v>#N/A</v>
      </c>
      <c r="AG129" s="55" t="e">
        <f ca="1"/>
        <v>#N/A</v>
      </c>
      <c r="AH129" s="55" t="e">
        <f ca="1"/>
        <v>#N/A</v>
      </c>
      <c r="AI129" s="55" t="e">
        <f ca="1"/>
        <v>#N/A</v>
      </c>
      <c r="AJ129" s="55" t="e">
        <f ca="1"/>
        <v>#N/A</v>
      </c>
      <c r="AK129" s="55" t="e">
        <f ca="1"/>
        <v>#N/A</v>
      </c>
      <c r="AL129" s="55" t="e">
        <f ca="1"/>
        <v>#N/A</v>
      </c>
    </row>
    <row r="130" spans="5:38" ht="21" customHeight="1" outlineLevel="1" thickBot="1" x14ac:dyDescent="0.4">
      <c r="E130" s="17" t="e">
        <f ca="1"/>
        <v>#N/A</v>
      </c>
      <c r="F130" s="55" t="e">
        <f ca="1"/>
        <v>#N/A</v>
      </c>
      <c r="G130" s="55" t="e">
        <f ca="1"/>
        <v>#N/A</v>
      </c>
      <c r="H130" s="55" t="e">
        <f ca="1"/>
        <v>#N/A</v>
      </c>
      <c r="I130" s="55" t="e">
        <f ca="1"/>
        <v>#N/A</v>
      </c>
      <c r="J130" s="55" t="e">
        <f ca="1"/>
        <v>#N/A</v>
      </c>
      <c r="K130" s="55" t="e">
        <f ca="1"/>
        <v>#N/A</v>
      </c>
      <c r="L130" s="55" t="e">
        <f ca="1"/>
        <v>#N/A</v>
      </c>
      <c r="M130" s="55" t="e">
        <f ca="1"/>
        <v>#N/A</v>
      </c>
      <c r="N130" s="55" t="e">
        <f ca="1"/>
        <v>#N/A</v>
      </c>
      <c r="O130" s="55" t="e">
        <f ca="1"/>
        <v>#N/A</v>
      </c>
      <c r="P130" s="55" t="e">
        <f ca="1"/>
        <v>#N/A</v>
      </c>
      <c r="Q130" s="55" t="e">
        <f ca="1"/>
        <v>#N/A</v>
      </c>
      <c r="R130" s="55" t="e">
        <f ca="1"/>
        <v>#N/A</v>
      </c>
      <c r="S130" s="55" t="e">
        <f ca="1"/>
        <v>#N/A</v>
      </c>
      <c r="T130" s="55" t="e">
        <f ca="1"/>
        <v>#N/A</v>
      </c>
      <c r="U130" s="55" t="e">
        <f ca="1"/>
        <v>#N/A</v>
      </c>
      <c r="V130" s="55" t="e">
        <f ca="1"/>
        <v>#N/A</v>
      </c>
      <c r="W130" s="55" t="e">
        <f ca="1"/>
        <v>#N/A</v>
      </c>
      <c r="X130" s="55" t="e">
        <f ca="1"/>
        <v>#N/A</v>
      </c>
      <c r="Y130" s="55" t="e">
        <f ca="1"/>
        <v>#N/A</v>
      </c>
      <c r="Z130" s="55" t="e">
        <f ca="1"/>
        <v>#N/A</v>
      </c>
      <c r="AA130" s="55" t="e">
        <f ca="1"/>
        <v>#N/A</v>
      </c>
      <c r="AB130" s="55" t="e">
        <f ca="1"/>
        <v>#N/A</v>
      </c>
      <c r="AC130" s="55" t="e">
        <f ca="1"/>
        <v>#N/A</v>
      </c>
      <c r="AD130" s="55" t="e">
        <f ca="1"/>
        <v>#N/A</v>
      </c>
      <c r="AE130" s="55" t="e">
        <f ca="1"/>
        <v>#N/A</v>
      </c>
      <c r="AF130" s="55" t="e">
        <f ca="1"/>
        <v>#N/A</v>
      </c>
      <c r="AG130" s="55" t="e">
        <f ca="1"/>
        <v>#N/A</v>
      </c>
      <c r="AH130" s="55" t="e">
        <f ca="1"/>
        <v>#N/A</v>
      </c>
      <c r="AI130" s="55" t="e">
        <f ca="1"/>
        <v>#N/A</v>
      </c>
      <c r="AJ130" s="55" t="e">
        <f ca="1"/>
        <v>#N/A</v>
      </c>
      <c r="AK130" s="55" t="e">
        <f ca="1"/>
        <v>#N/A</v>
      </c>
      <c r="AL130" s="55" t="e">
        <f ca="1"/>
        <v>#N/A</v>
      </c>
    </row>
    <row r="131" spans="5:38" ht="21" customHeight="1" outlineLevel="1" thickBot="1" x14ac:dyDescent="0.4">
      <c r="E131" s="17" t="e">
        <f ca="1"/>
        <v>#N/A</v>
      </c>
      <c r="F131" s="55" t="e">
        <f ca="1"/>
        <v>#N/A</v>
      </c>
      <c r="G131" s="55" t="e">
        <f ca="1"/>
        <v>#N/A</v>
      </c>
      <c r="H131" s="55" t="e">
        <f ca="1"/>
        <v>#N/A</v>
      </c>
      <c r="I131" s="55" t="e">
        <f ca="1"/>
        <v>#N/A</v>
      </c>
      <c r="J131" s="55" t="e">
        <f ca="1"/>
        <v>#N/A</v>
      </c>
      <c r="K131" s="55" t="e">
        <f ca="1"/>
        <v>#N/A</v>
      </c>
      <c r="L131" s="55" t="e">
        <f ca="1"/>
        <v>#N/A</v>
      </c>
      <c r="M131" s="55" t="e">
        <f ca="1"/>
        <v>#N/A</v>
      </c>
      <c r="N131" s="55" t="e">
        <f ca="1"/>
        <v>#N/A</v>
      </c>
      <c r="O131" s="55" t="e">
        <f ca="1"/>
        <v>#N/A</v>
      </c>
      <c r="P131" s="55" t="e">
        <f ca="1"/>
        <v>#N/A</v>
      </c>
      <c r="Q131" s="55" t="e">
        <f ca="1"/>
        <v>#N/A</v>
      </c>
      <c r="R131" s="55" t="e">
        <f ca="1"/>
        <v>#N/A</v>
      </c>
      <c r="S131" s="55" t="e">
        <f ca="1"/>
        <v>#N/A</v>
      </c>
      <c r="T131" s="55" t="e">
        <f ca="1"/>
        <v>#N/A</v>
      </c>
      <c r="U131" s="55" t="e">
        <f ca="1"/>
        <v>#N/A</v>
      </c>
      <c r="V131" s="55" t="e">
        <f ca="1"/>
        <v>#N/A</v>
      </c>
      <c r="W131" s="55" t="e">
        <f ca="1"/>
        <v>#N/A</v>
      </c>
      <c r="X131" s="55" t="e">
        <f ca="1"/>
        <v>#N/A</v>
      </c>
      <c r="Y131" s="55" t="e">
        <f ca="1"/>
        <v>#N/A</v>
      </c>
      <c r="Z131" s="55" t="e">
        <f ca="1"/>
        <v>#N/A</v>
      </c>
      <c r="AA131" s="55" t="e">
        <f ca="1"/>
        <v>#N/A</v>
      </c>
      <c r="AB131" s="55" t="e">
        <f ca="1"/>
        <v>#N/A</v>
      </c>
      <c r="AC131" s="55" t="e">
        <f ca="1"/>
        <v>#N/A</v>
      </c>
      <c r="AD131" s="55" t="e">
        <f ca="1"/>
        <v>#N/A</v>
      </c>
      <c r="AE131" s="55" t="e">
        <f ca="1"/>
        <v>#N/A</v>
      </c>
      <c r="AF131" s="55" t="e">
        <f ca="1"/>
        <v>#N/A</v>
      </c>
      <c r="AG131" s="55" t="e">
        <f ca="1"/>
        <v>#N/A</v>
      </c>
      <c r="AH131" s="55" t="e">
        <f ca="1"/>
        <v>#N/A</v>
      </c>
      <c r="AI131" s="55" t="e">
        <f ca="1"/>
        <v>#N/A</v>
      </c>
      <c r="AJ131" s="55" t="e">
        <f ca="1"/>
        <v>#N/A</v>
      </c>
      <c r="AK131" s="55" t="e">
        <f ca="1"/>
        <v>#N/A</v>
      </c>
      <c r="AL131" s="55" t="e">
        <f ca="1"/>
        <v>#N/A</v>
      </c>
    </row>
    <row r="132" spans="5:38" ht="21" customHeight="1" outlineLevel="1" thickBot="1" x14ac:dyDescent="0.4">
      <c r="E132" s="17" t="e">
        <f ca="1"/>
        <v>#N/A</v>
      </c>
      <c r="F132" s="55" t="e">
        <f ca="1"/>
        <v>#N/A</v>
      </c>
      <c r="G132" s="55" t="e">
        <f ca="1"/>
        <v>#N/A</v>
      </c>
      <c r="H132" s="55" t="e">
        <f ca="1"/>
        <v>#N/A</v>
      </c>
      <c r="I132" s="55" t="e">
        <f ca="1"/>
        <v>#N/A</v>
      </c>
      <c r="J132" s="55" t="e">
        <f ca="1"/>
        <v>#N/A</v>
      </c>
      <c r="K132" s="55" t="e">
        <f ca="1"/>
        <v>#N/A</v>
      </c>
      <c r="L132" s="55" t="e">
        <f ca="1"/>
        <v>#N/A</v>
      </c>
      <c r="M132" s="55" t="e">
        <f ca="1"/>
        <v>#N/A</v>
      </c>
      <c r="N132" s="55" t="e">
        <f ca="1"/>
        <v>#N/A</v>
      </c>
      <c r="O132" s="55" t="e">
        <f ca="1"/>
        <v>#N/A</v>
      </c>
      <c r="P132" s="55" t="e">
        <f ca="1"/>
        <v>#N/A</v>
      </c>
      <c r="Q132" s="55" t="e">
        <f ca="1"/>
        <v>#N/A</v>
      </c>
      <c r="R132" s="55" t="e">
        <f ca="1"/>
        <v>#N/A</v>
      </c>
      <c r="S132" s="55" t="e">
        <f ca="1"/>
        <v>#N/A</v>
      </c>
      <c r="T132" s="55" t="e">
        <f ca="1"/>
        <v>#N/A</v>
      </c>
      <c r="U132" s="55" t="e">
        <f ca="1"/>
        <v>#N/A</v>
      </c>
      <c r="V132" s="55" t="e">
        <f ca="1"/>
        <v>#N/A</v>
      </c>
      <c r="W132" s="55" t="e">
        <f ca="1"/>
        <v>#N/A</v>
      </c>
      <c r="X132" s="55" t="e">
        <f ca="1"/>
        <v>#N/A</v>
      </c>
      <c r="Y132" s="55" t="e">
        <f ca="1"/>
        <v>#N/A</v>
      </c>
      <c r="Z132" s="55" t="e">
        <f ca="1"/>
        <v>#N/A</v>
      </c>
      <c r="AA132" s="55" t="e">
        <f ca="1"/>
        <v>#N/A</v>
      </c>
      <c r="AB132" s="55" t="e">
        <f ca="1"/>
        <v>#N/A</v>
      </c>
      <c r="AC132" s="55" t="e">
        <f ca="1"/>
        <v>#N/A</v>
      </c>
      <c r="AD132" s="55" t="e">
        <f ca="1"/>
        <v>#N/A</v>
      </c>
      <c r="AE132" s="55" t="e">
        <f ca="1"/>
        <v>#N/A</v>
      </c>
      <c r="AF132" s="55" t="e">
        <f ca="1"/>
        <v>#N/A</v>
      </c>
      <c r="AG132" s="55" t="e">
        <f ca="1"/>
        <v>#N/A</v>
      </c>
      <c r="AH132" s="55" t="e">
        <f ca="1"/>
        <v>#N/A</v>
      </c>
      <c r="AI132" s="55" t="e">
        <f ca="1"/>
        <v>#N/A</v>
      </c>
      <c r="AJ132" s="55" t="e">
        <f ca="1"/>
        <v>#N/A</v>
      </c>
      <c r="AK132" s="55" t="e">
        <f ca="1"/>
        <v>#N/A</v>
      </c>
      <c r="AL132" s="55" t="e">
        <f ca="1"/>
        <v>#N/A</v>
      </c>
    </row>
    <row r="133" spans="5:38" ht="21" customHeight="1" outlineLevel="1" thickBot="1" x14ac:dyDescent="0.4">
      <c r="E133" s="17" t="e">
        <f ca="1"/>
        <v>#N/A</v>
      </c>
      <c r="F133" s="55" t="e">
        <f ca="1"/>
        <v>#N/A</v>
      </c>
      <c r="G133" s="55" t="e">
        <f ca="1"/>
        <v>#N/A</v>
      </c>
      <c r="H133" s="55" t="e">
        <f ca="1"/>
        <v>#N/A</v>
      </c>
      <c r="I133" s="55" t="e">
        <f ca="1"/>
        <v>#N/A</v>
      </c>
      <c r="J133" s="55" t="e">
        <f ca="1"/>
        <v>#N/A</v>
      </c>
      <c r="K133" s="55" t="e">
        <f ca="1"/>
        <v>#N/A</v>
      </c>
      <c r="L133" s="55" t="e">
        <f ca="1"/>
        <v>#N/A</v>
      </c>
      <c r="M133" s="55" t="e">
        <f ca="1"/>
        <v>#N/A</v>
      </c>
      <c r="N133" s="55" t="e">
        <f ca="1"/>
        <v>#N/A</v>
      </c>
      <c r="O133" s="55" t="e">
        <f ca="1"/>
        <v>#N/A</v>
      </c>
      <c r="P133" s="55" t="e">
        <f ca="1"/>
        <v>#N/A</v>
      </c>
      <c r="Q133" s="55" t="e">
        <f ca="1"/>
        <v>#N/A</v>
      </c>
      <c r="R133" s="55" t="e">
        <f ca="1"/>
        <v>#N/A</v>
      </c>
      <c r="S133" s="55" t="e">
        <f ca="1"/>
        <v>#N/A</v>
      </c>
      <c r="T133" s="55" t="e">
        <f ca="1"/>
        <v>#N/A</v>
      </c>
      <c r="U133" s="55" t="e">
        <f ca="1"/>
        <v>#N/A</v>
      </c>
      <c r="V133" s="55" t="e">
        <f ca="1"/>
        <v>#N/A</v>
      </c>
      <c r="W133" s="55" t="e">
        <f ca="1"/>
        <v>#N/A</v>
      </c>
      <c r="X133" s="55" t="e">
        <f ca="1"/>
        <v>#N/A</v>
      </c>
      <c r="Y133" s="55" t="e">
        <f ca="1"/>
        <v>#N/A</v>
      </c>
      <c r="Z133" s="55" t="e">
        <f ca="1"/>
        <v>#N/A</v>
      </c>
      <c r="AA133" s="55" t="e">
        <f ca="1"/>
        <v>#N/A</v>
      </c>
      <c r="AB133" s="55" t="e">
        <f ca="1"/>
        <v>#N/A</v>
      </c>
      <c r="AC133" s="55" t="e">
        <f ca="1"/>
        <v>#N/A</v>
      </c>
      <c r="AD133" s="55" t="e">
        <f ca="1"/>
        <v>#N/A</v>
      </c>
      <c r="AE133" s="55" t="e">
        <f ca="1"/>
        <v>#N/A</v>
      </c>
      <c r="AF133" s="55" t="e">
        <f ca="1"/>
        <v>#N/A</v>
      </c>
      <c r="AG133" s="55" t="e">
        <f ca="1"/>
        <v>#N/A</v>
      </c>
      <c r="AH133" s="55" t="e">
        <f ca="1"/>
        <v>#N/A</v>
      </c>
      <c r="AI133" s="55" t="e">
        <f ca="1"/>
        <v>#N/A</v>
      </c>
      <c r="AJ133" s="55" t="e">
        <f ca="1"/>
        <v>#N/A</v>
      </c>
      <c r="AK133" s="55" t="e">
        <f ca="1"/>
        <v>#N/A</v>
      </c>
      <c r="AL133" s="55" t="e">
        <f ca="1"/>
        <v>#N/A</v>
      </c>
    </row>
    <row r="134" spans="5:38" ht="21" customHeight="1" outlineLevel="1" thickBot="1" x14ac:dyDescent="0.4">
      <c r="E134" s="17" t="e">
        <f ca="1"/>
        <v>#N/A</v>
      </c>
      <c r="F134" s="55" t="e">
        <f ca="1"/>
        <v>#N/A</v>
      </c>
      <c r="G134" s="55" t="e">
        <f ca="1"/>
        <v>#N/A</v>
      </c>
      <c r="H134" s="55" t="e">
        <f ca="1"/>
        <v>#N/A</v>
      </c>
      <c r="I134" s="55" t="e">
        <f ca="1"/>
        <v>#N/A</v>
      </c>
      <c r="J134" s="55" t="e">
        <f ca="1"/>
        <v>#N/A</v>
      </c>
      <c r="K134" s="55" t="e">
        <f ca="1"/>
        <v>#N/A</v>
      </c>
      <c r="L134" s="55" t="e">
        <f ca="1"/>
        <v>#N/A</v>
      </c>
      <c r="M134" s="55" t="e">
        <f ca="1"/>
        <v>#N/A</v>
      </c>
      <c r="N134" s="55" t="e">
        <f ca="1"/>
        <v>#N/A</v>
      </c>
      <c r="O134" s="55" t="e">
        <f ca="1"/>
        <v>#N/A</v>
      </c>
      <c r="P134" s="55" t="e">
        <f ca="1"/>
        <v>#N/A</v>
      </c>
      <c r="Q134" s="55" t="e">
        <f ca="1"/>
        <v>#N/A</v>
      </c>
      <c r="R134" s="55" t="e">
        <f ca="1"/>
        <v>#N/A</v>
      </c>
      <c r="S134" s="55" t="e">
        <f ca="1"/>
        <v>#N/A</v>
      </c>
      <c r="T134" s="55" t="e">
        <f ca="1"/>
        <v>#N/A</v>
      </c>
      <c r="U134" s="55" t="e">
        <f ca="1"/>
        <v>#N/A</v>
      </c>
      <c r="V134" s="55" t="e">
        <f ca="1"/>
        <v>#N/A</v>
      </c>
      <c r="W134" s="55" t="e">
        <f ca="1"/>
        <v>#N/A</v>
      </c>
      <c r="X134" s="55" t="e">
        <f ca="1"/>
        <v>#N/A</v>
      </c>
      <c r="Y134" s="55" t="e">
        <f ca="1"/>
        <v>#N/A</v>
      </c>
      <c r="Z134" s="55" t="e">
        <f ca="1"/>
        <v>#N/A</v>
      </c>
      <c r="AA134" s="55" t="e">
        <f ca="1"/>
        <v>#N/A</v>
      </c>
      <c r="AB134" s="55" t="e">
        <f ca="1"/>
        <v>#N/A</v>
      </c>
      <c r="AC134" s="55" t="e">
        <f ca="1"/>
        <v>#N/A</v>
      </c>
      <c r="AD134" s="55" t="e">
        <f ca="1"/>
        <v>#N/A</v>
      </c>
      <c r="AE134" s="55" t="e">
        <f ca="1"/>
        <v>#N/A</v>
      </c>
      <c r="AF134" s="55" t="e">
        <f ca="1"/>
        <v>#N/A</v>
      </c>
      <c r="AG134" s="55" t="e">
        <f ca="1"/>
        <v>#N/A</v>
      </c>
      <c r="AH134" s="55" t="e">
        <f ca="1"/>
        <v>#N/A</v>
      </c>
      <c r="AI134" s="55" t="e">
        <f ca="1"/>
        <v>#N/A</v>
      </c>
      <c r="AJ134" s="55" t="e">
        <f ca="1"/>
        <v>#N/A</v>
      </c>
      <c r="AK134" s="55" t="e">
        <f ca="1"/>
        <v>#N/A</v>
      </c>
      <c r="AL134" s="55" t="e">
        <f ca="1"/>
        <v>#N/A</v>
      </c>
    </row>
    <row r="135" spans="5:38" ht="21" customHeight="1" outlineLevel="1" thickBot="1" x14ac:dyDescent="0.4">
      <c r="E135" s="17" t="e">
        <f ca="1"/>
        <v>#N/A</v>
      </c>
      <c r="F135" s="55" t="e">
        <f ca="1"/>
        <v>#N/A</v>
      </c>
      <c r="G135" s="55" t="e">
        <f ca="1"/>
        <v>#N/A</v>
      </c>
      <c r="H135" s="55" t="e">
        <f ca="1"/>
        <v>#N/A</v>
      </c>
      <c r="I135" s="55" t="e">
        <f ca="1"/>
        <v>#N/A</v>
      </c>
      <c r="J135" s="55" t="e">
        <f ca="1"/>
        <v>#N/A</v>
      </c>
      <c r="K135" s="55" t="e">
        <f ca="1"/>
        <v>#N/A</v>
      </c>
      <c r="L135" s="55" t="e">
        <f ca="1"/>
        <v>#N/A</v>
      </c>
      <c r="M135" s="55" t="e">
        <f ca="1"/>
        <v>#N/A</v>
      </c>
      <c r="N135" s="55" t="e">
        <f ca="1"/>
        <v>#N/A</v>
      </c>
      <c r="O135" s="55" t="e">
        <f ca="1"/>
        <v>#N/A</v>
      </c>
      <c r="P135" s="55" t="e">
        <f ca="1"/>
        <v>#N/A</v>
      </c>
      <c r="Q135" s="55" t="e">
        <f ca="1"/>
        <v>#N/A</v>
      </c>
      <c r="R135" s="55" t="e">
        <f ca="1"/>
        <v>#N/A</v>
      </c>
      <c r="S135" s="55" t="e">
        <f ca="1"/>
        <v>#N/A</v>
      </c>
      <c r="T135" s="55" t="e">
        <f ca="1"/>
        <v>#N/A</v>
      </c>
      <c r="U135" s="55" t="e">
        <f ca="1"/>
        <v>#N/A</v>
      </c>
      <c r="V135" s="55" t="e">
        <f ca="1"/>
        <v>#N/A</v>
      </c>
      <c r="W135" s="55" t="e">
        <f ca="1"/>
        <v>#N/A</v>
      </c>
      <c r="X135" s="55" t="e">
        <f ca="1"/>
        <v>#N/A</v>
      </c>
      <c r="Y135" s="55" t="e">
        <f ca="1"/>
        <v>#N/A</v>
      </c>
      <c r="Z135" s="55" t="e">
        <f ca="1"/>
        <v>#N/A</v>
      </c>
      <c r="AA135" s="55" t="e">
        <f ca="1"/>
        <v>#N/A</v>
      </c>
      <c r="AB135" s="55" t="e">
        <f ca="1"/>
        <v>#N/A</v>
      </c>
      <c r="AC135" s="55" t="e">
        <f ca="1"/>
        <v>#N/A</v>
      </c>
      <c r="AD135" s="55" t="e">
        <f ca="1"/>
        <v>#N/A</v>
      </c>
      <c r="AE135" s="55" t="e">
        <f ca="1"/>
        <v>#N/A</v>
      </c>
      <c r="AF135" s="55" t="e">
        <f ca="1"/>
        <v>#N/A</v>
      </c>
      <c r="AG135" s="55" t="e">
        <f ca="1"/>
        <v>#N/A</v>
      </c>
      <c r="AH135" s="55" t="e">
        <f ca="1"/>
        <v>#N/A</v>
      </c>
      <c r="AI135" s="55" t="e">
        <f ca="1"/>
        <v>#N/A</v>
      </c>
      <c r="AJ135" s="55" t="e">
        <f ca="1"/>
        <v>#N/A</v>
      </c>
      <c r="AK135" s="55" t="e">
        <f ca="1"/>
        <v>#N/A</v>
      </c>
      <c r="AL135" s="55" t="e">
        <f ca="1"/>
        <v>#N/A</v>
      </c>
    </row>
    <row r="136" spans="5:38" ht="21" customHeight="1" outlineLevel="1" thickBot="1" x14ac:dyDescent="0.4">
      <c r="E136" s="18"/>
    </row>
  </sheetData>
  <mergeCells count="2">
    <mergeCell ref="A1:BB1"/>
    <mergeCell ref="A113:B113"/>
  </mergeCells>
  <conditionalFormatting sqref="A4:D33">
    <cfRule type="cellIs" dxfId="6" priority="49" operator="equal">
      <formula>0</formula>
    </cfRule>
  </conditionalFormatting>
  <conditionalFormatting sqref="A80:D109">
    <cfRule type="cellIs" dxfId="5" priority="48" operator="equal">
      <formula>0</formula>
    </cfRule>
  </conditionalFormatting>
  <conditionalFormatting sqref="F32:AL32">
    <cfRule type="colorScale" priority="47">
      <colorScale>
        <cfvo type="min"/>
        <cfvo type="max"/>
        <color rgb="FFFFEF9C"/>
        <color rgb="FF63BE7B"/>
      </colorScale>
    </cfRule>
  </conditionalFormatting>
  <conditionalFormatting sqref="F31:AL31">
    <cfRule type="colorScale" priority="46">
      <colorScale>
        <cfvo type="min"/>
        <cfvo type="max"/>
        <color rgb="FFFFEF9C"/>
        <color rgb="FF63BE7B"/>
      </colorScale>
    </cfRule>
  </conditionalFormatting>
  <conditionalFormatting sqref="F30:AL30">
    <cfRule type="colorScale" priority="45">
      <colorScale>
        <cfvo type="min"/>
        <cfvo type="max"/>
        <color rgb="FFFFEF9C"/>
        <color rgb="FF63BE7B"/>
      </colorScale>
    </cfRule>
  </conditionalFormatting>
  <conditionalFormatting sqref="F29:AL29">
    <cfRule type="colorScale" priority="44">
      <colorScale>
        <cfvo type="min"/>
        <cfvo type="max"/>
        <color rgb="FFFFEF9C"/>
        <color rgb="FF63BE7B"/>
      </colorScale>
    </cfRule>
  </conditionalFormatting>
  <conditionalFormatting sqref="F28:AL28">
    <cfRule type="colorScale" priority="43">
      <colorScale>
        <cfvo type="min"/>
        <cfvo type="max"/>
        <color rgb="FFFFEF9C"/>
        <color rgb="FF63BE7B"/>
      </colorScale>
    </cfRule>
  </conditionalFormatting>
  <conditionalFormatting sqref="F27:AL27">
    <cfRule type="colorScale" priority="42">
      <colorScale>
        <cfvo type="min"/>
        <cfvo type="max"/>
        <color rgb="FFFFEF9C"/>
        <color rgb="FF63BE7B"/>
      </colorScale>
    </cfRule>
  </conditionalFormatting>
  <conditionalFormatting sqref="F26:AL26">
    <cfRule type="colorScale" priority="41">
      <colorScale>
        <cfvo type="min"/>
        <cfvo type="max"/>
        <color rgb="FFFFEF9C"/>
        <color rgb="FF63BE7B"/>
      </colorScale>
    </cfRule>
  </conditionalFormatting>
  <conditionalFormatting sqref="F25:AL25">
    <cfRule type="colorScale" priority="2">
      <colorScale>
        <cfvo type="min"/>
        <cfvo type="max"/>
        <color rgb="FFFFEF9C"/>
        <color rgb="FF63BE7B"/>
      </colorScale>
    </cfRule>
  </conditionalFormatting>
  <conditionalFormatting sqref="F24:G24">
    <cfRule type="colorScale" priority="40">
      <colorScale>
        <cfvo type="min"/>
        <cfvo type="max"/>
        <color rgb="FFFFEF9C"/>
        <color rgb="FF63BE7B"/>
      </colorScale>
    </cfRule>
  </conditionalFormatting>
  <conditionalFormatting sqref="F23:G23">
    <cfRule type="colorScale" priority="39">
      <colorScale>
        <cfvo type="min"/>
        <cfvo type="max"/>
        <color rgb="FFFFEF9C"/>
        <color rgb="FF63BE7B"/>
      </colorScale>
    </cfRule>
  </conditionalFormatting>
  <conditionalFormatting sqref="F21:AK21">
    <cfRule type="colorScale" priority="6">
      <colorScale>
        <cfvo type="min"/>
        <cfvo type="max"/>
        <color rgb="FFFFEF9C"/>
        <color rgb="FF63BE7B"/>
      </colorScale>
    </cfRule>
    <cfRule type="colorScale" priority="37">
      <colorScale>
        <cfvo type="min"/>
        <cfvo type="max"/>
        <color rgb="FFFFEF9C"/>
        <color rgb="FF63BE7B"/>
      </colorScale>
    </cfRule>
  </conditionalFormatting>
  <conditionalFormatting sqref="F22:AK22">
    <cfRule type="colorScale" priority="5">
      <colorScale>
        <cfvo type="min"/>
        <cfvo type="max"/>
        <color rgb="FFFFEF9C"/>
        <color rgb="FF63BE7B"/>
      </colorScale>
    </cfRule>
    <cfRule type="colorScale" priority="38">
      <colorScale>
        <cfvo type="min"/>
        <cfvo type="max"/>
        <color rgb="FFFFEF9C"/>
        <color rgb="FF63BE7B"/>
      </colorScale>
    </cfRule>
  </conditionalFormatting>
  <conditionalFormatting sqref="F23:AL23">
    <cfRule type="colorScale" priority="4">
      <colorScale>
        <cfvo type="min"/>
        <cfvo type="max"/>
        <color rgb="FFFFEF9C"/>
        <color rgb="FF63BE7B"/>
      </colorScale>
    </cfRule>
  </conditionalFormatting>
  <conditionalFormatting sqref="F24:AL24">
    <cfRule type="colorScale" priority="3">
      <colorScale>
        <cfvo type="min"/>
        <cfvo type="max"/>
        <color rgb="FFFFEF9C"/>
        <color rgb="FF63BE7B"/>
      </colorScale>
    </cfRule>
  </conditionalFormatting>
  <conditionalFormatting sqref="A46:D75">
    <cfRule type="cellIs" dxfId="4" priority="1" operator="equal">
      <formula>0</formula>
    </cfRule>
  </conditionalFormatting>
  <pageMargins left="0.7" right="0.7" top="0.75" bottom="0.75" header="0.3" footer="0.3"/>
  <pageSetup paperSize="9" orientation="portrait" horizontalDpi="0" verticalDpi="0" r:id="rId1"/>
  <drawing r:id="rId2"/>
  <extLst>
    <ext xmlns:x14="http://schemas.microsoft.com/office/spreadsheetml/2009/9/main" uri="{05C60535-1F16-4fd2-B633-F4F36F0B64E0}">
      <x14:sparklineGroups xmlns:xm="http://schemas.microsoft.com/office/excel/2006/main">
        <x14:sparklineGroup displayEmptyCellsAs="gap" xr2:uid="{99467FA4-E0FB-4D01-8E75-9A948969DF3C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FLUID!F29:AK29</xm:f>
              <xm:sqref>AL29</xm:sqref>
            </x14:sparkline>
            <x14:sparkline>
              <xm:f>FLUID!F30:AK30</xm:f>
              <xm:sqref>AL30</xm:sqref>
            </x14:sparkline>
            <x14:sparkline>
              <xm:f>FLUID!F31:AK31</xm:f>
              <xm:sqref>AL31</xm:sqref>
            </x14:sparkline>
            <x14:sparkline>
              <xm:f>FLUID!F32:AK32</xm:f>
              <xm:sqref>AL32</xm:sqref>
            </x14:sparkline>
          </x14:sparklines>
        </x14:sparklineGroup>
      </x14:sparklineGroup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D00D06-5D3F-4749-B1C6-1187E604B8CB}">
  <sheetPr codeName="Лист4">
    <tabColor rgb="FF0070C0"/>
  </sheetPr>
  <dimension ref="A1:BB136"/>
  <sheetViews>
    <sheetView topLeftCell="A120" zoomScale="85" zoomScaleNormal="85" zoomScaleSheetLayoutView="25" workbookViewId="0">
      <selection activeCell="AN139" sqref="AN139"/>
    </sheetView>
  </sheetViews>
  <sheetFormatPr defaultRowHeight="21" customHeight="1" outlineLevelRow="1" x14ac:dyDescent="0.35"/>
  <cols>
    <col min="1" max="4" width="5.6328125" style="55" customWidth="1"/>
    <col min="5" max="5" width="11.6328125" style="55" customWidth="1"/>
    <col min="6" max="6" width="8.90625" style="55" customWidth="1"/>
    <col min="7" max="20" width="8.6328125" style="55" hidden="1" customWidth="1"/>
    <col min="21" max="21" width="8.6328125" style="28" hidden="1" customWidth="1"/>
    <col min="22" max="22" width="8.6328125" style="29" hidden="1" customWidth="1"/>
    <col min="23" max="23" width="8.6328125" style="67" hidden="1" customWidth="1"/>
    <col min="24" max="37" width="8.6328125" style="55" hidden="1" customWidth="1"/>
    <col min="38" max="38" width="3" style="55" customWidth="1"/>
    <col min="39" max="16384" width="8.7265625" style="55"/>
  </cols>
  <sheetData>
    <row r="1" spans="1:54" ht="29.25" customHeight="1" thickBot="1" x14ac:dyDescent="0.4">
      <c r="A1" s="96" t="s">
        <v>26</v>
      </c>
      <c r="B1" s="96"/>
      <c r="C1" s="96"/>
      <c r="D1" s="96"/>
      <c r="E1" s="96"/>
      <c r="F1" s="96"/>
      <c r="G1" s="96"/>
      <c r="H1" s="96"/>
      <c r="I1" s="96"/>
      <c r="J1" s="96"/>
      <c r="K1" s="96"/>
      <c r="L1" s="96"/>
      <c r="M1" s="96"/>
      <c r="N1" s="96"/>
      <c r="O1" s="96"/>
      <c r="P1" s="96"/>
      <c r="Q1" s="96"/>
      <c r="R1" s="96"/>
      <c r="S1" s="96"/>
      <c r="T1" s="96"/>
      <c r="U1" s="96"/>
      <c r="V1" s="96"/>
      <c r="W1" s="96"/>
      <c r="X1" s="96"/>
      <c r="Y1" s="96"/>
      <c r="Z1" s="96"/>
      <c r="AA1" s="96"/>
      <c r="AB1" s="96"/>
      <c r="AC1" s="96"/>
      <c r="AD1" s="96"/>
      <c r="AE1" s="96"/>
      <c r="AF1" s="96"/>
      <c r="AG1" s="96"/>
      <c r="AH1" s="96"/>
      <c r="AI1" s="96"/>
      <c r="AJ1" s="96"/>
      <c r="AK1" s="96"/>
      <c r="AL1" s="96"/>
      <c r="AM1" s="96"/>
      <c r="AN1" s="96"/>
      <c r="AO1" s="96"/>
      <c r="AP1" s="96"/>
      <c r="AQ1" s="96"/>
      <c r="AR1" s="96"/>
      <c r="AS1" s="96"/>
      <c r="AT1" s="96"/>
      <c r="AU1" s="96"/>
      <c r="AV1" s="96"/>
      <c r="AW1" s="96"/>
      <c r="AX1" s="96"/>
      <c r="AY1" s="96"/>
      <c r="AZ1" s="96"/>
      <c r="BA1" s="96"/>
      <c r="BB1" s="96"/>
    </row>
    <row r="2" spans="1:54" ht="21" customHeight="1" thickBot="1" x14ac:dyDescent="0.45">
      <c r="A2" s="85">
        <f>Values!B1</f>
        <v>700</v>
      </c>
      <c r="B2" s="86">
        <v>8.3145000000000007</v>
      </c>
      <c r="C2" s="75"/>
      <c r="D2" s="75"/>
      <c r="E2" s="74" t="s">
        <v>20</v>
      </c>
      <c r="F2" s="75"/>
      <c r="G2" s="74"/>
      <c r="H2" s="74"/>
      <c r="I2" s="74"/>
      <c r="J2" s="74"/>
      <c r="K2" s="76"/>
      <c r="L2" s="76"/>
      <c r="M2" s="76"/>
      <c r="N2" s="76"/>
      <c r="O2" s="76"/>
      <c r="P2" s="76"/>
      <c r="Q2" s="76"/>
      <c r="R2" s="76"/>
      <c r="S2" s="76"/>
      <c r="T2" s="76"/>
      <c r="U2" s="77"/>
      <c r="V2" s="78"/>
      <c r="W2" s="79"/>
      <c r="X2" s="76"/>
      <c r="Y2" s="76"/>
      <c r="Z2" s="76"/>
      <c r="AA2" s="76"/>
      <c r="AB2" s="76"/>
      <c r="AC2" s="76"/>
      <c r="AD2" s="76"/>
      <c r="AE2" s="76"/>
      <c r="AF2" s="76"/>
      <c r="AG2" s="76"/>
      <c r="AH2" s="76"/>
      <c r="AI2" s="76"/>
      <c r="AJ2" s="76"/>
      <c r="AK2" s="76"/>
      <c r="AL2" s="76"/>
      <c r="AM2" s="80"/>
      <c r="AN2" s="84"/>
      <c r="AO2" s="84"/>
      <c r="AP2" s="84"/>
      <c r="AQ2" s="84"/>
      <c r="AR2" s="84"/>
      <c r="AS2" s="84"/>
      <c r="AT2" s="84"/>
      <c r="AU2" s="84"/>
      <c r="AV2" s="84"/>
      <c r="AW2" s="84"/>
      <c r="AX2" s="84"/>
      <c r="AY2" s="84"/>
      <c r="AZ2" s="84"/>
      <c r="BA2" s="84"/>
      <c r="BB2" s="87"/>
    </row>
    <row r="3" spans="1:54" ht="21" customHeight="1" outlineLevel="1" thickTop="1" thickBot="1" x14ac:dyDescent="0.4">
      <c r="A3" s="42" t="s">
        <v>1</v>
      </c>
      <c r="B3" s="42" t="s">
        <v>2</v>
      </c>
      <c r="C3" s="42" t="s">
        <v>3</v>
      </c>
      <c r="D3" s="43" t="s">
        <v>4</v>
      </c>
      <c r="E3" s="3"/>
      <c r="F3" s="3">
        <v>298.2</v>
      </c>
      <c r="G3" s="3">
        <v>331.5</v>
      </c>
      <c r="H3" s="3">
        <v>364.9</v>
      </c>
      <c r="I3" s="3">
        <v>398.3</v>
      </c>
      <c r="J3" s="3">
        <v>431.7</v>
      </c>
      <c r="K3" s="3">
        <v>465.1</v>
      </c>
      <c r="L3" s="3">
        <v>498.5</v>
      </c>
      <c r="M3" s="3">
        <v>531.79999999999995</v>
      </c>
      <c r="N3" s="3">
        <v>565.20000000000005</v>
      </c>
      <c r="O3" s="3">
        <v>698.8</v>
      </c>
      <c r="P3" s="3">
        <v>832.3</v>
      </c>
      <c r="Q3" s="3">
        <v>965.8</v>
      </c>
      <c r="R3" s="3">
        <v>999.2</v>
      </c>
      <c r="S3" s="3">
        <v>1033</v>
      </c>
      <c r="T3" s="3">
        <v>1066</v>
      </c>
      <c r="U3" s="3">
        <v>1099</v>
      </c>
      <c r="V3" s="3">
        <v>1233</v>
      </c>
      <c r="W3" s="3">
        <v>1366</v>
      </c>
      <c r="X3" s="3">
        <v>1400</v>
      </c>
      <c r="Y3" s="4">
        <v>1433</v>
      </c>
      <c r="Z3" s="4">
        <v>1467</v>
      </c>
      <c r="AA3" s="4">
        <v>1500</v>
      </c>
      <c r="AB3" s="4"/>
      <c r="AC3" s="4"/>
      <c r="AD3" s="4"/>
      <c r="AE3" s="4"/>
      <c r="AF3" s="4"/>
      <c r="AG3" s="4"/>
      <c r="AH3" s="4"/>
      <c r="AI3" s="4"/>
      <c r="AJ3" s="4"/>
      <c r="AK3" s="4"/>
      <c r="AL3" s="20"/>
      <c r="AM3" s="28"/>
      <c r="AN3" s="29"/>
      <c r="AO3" s="29"/>
      <c r="AP3" s="29"/>
      <c r="AQ3" s="29"/>
      <c r="AR3" s="29"/>
      <c r="AS3" s="29"/>
      <c r="AT3" s="29"/>
      <c r="AU3" s="29"/>
      <c r="AV3" s="29"/>
      <c r="AW3" s="29"/>
      <c r="AX3" s="29"/>
      <c r="AY3" s="29"/>
      <c r="AZ3" s="29"/>
      <c r="BA3" s="26">
        <f>$A$2</f>
        <v>700</v>
      </c>
      <c r="BB3" s="27">
        <v>0</v>
      </c>
    </row>
    <row r="4" spans="1:54" ht="21" customHeight="1" outlineLevel="1" thickTop="1" thickBot="1" x14ac:dyDescent="0.4">
      <c r="A4" s="44">
        <f>IF( ISNUMBER( FIND(A$3,$E4,1)),   IF( ISNUMBER( VALUE(MID($E4,FIND(A$3,$E4,1)+2,1)) ), VALUE( MID($E4,FIND(A$3,$E4,1)+2,1) ),1),0)</f>
        <v>0</v>
      </c>
      <c r="B4" s="44">
        <f t="shared" ref="B4:D19" si="0">IF( ISNUMBER( FIND(B$3,$E4,1)),   IF( ISNUMBER( VALUE(MID($E4,FIND(B$3,$E4,1)+2,1)) ), VALUE( MID($E4,FIND(B$3,$E4,1)+2,1) ),1),0)</f>
        <v>0</v>
      </c>
      <c r="C4" s="44">
        <f t="shared" si="0"/>
        <v>1</v>
      </c>
      <c r="D4" s="44">
        <f t="shared" si="0"/>
        <v>0</v>
      </c>
      <c r="E4" s="6" t="s">
        <v>68</v>
      </c>
      <c r="F4" s="49">
        <v>0</v>
      </c>
      <c r="G4" s="49">
        <v>0</v>
      </c>
      <c r="H4" s="49">
        <v>0</v>
      </c>
      <c r="I4" s="49">
        <v>0</v>
      </c>
      <c r="J4" s="49">
        <v>0</v>
      </c>
      <c r="K4" s="49">
        <v>0</v>
      </c>
      <c r="L4" s="49">
        <v>0</v>
      </c>
      <c r="M4" s="49">
        <v>0</v>
      </c>
      <c r="N4" s="49">
        <v>5.4464E-24</v>
      </c>
      <c r="O4" s="49">
        <v>2.7126E-13</v>
      </c>
      <c r="P4" s="49">
        <v>4.3304999999999999E-11</v>
      </c>
      <c r="Q4" s="49">
        <v>1.4366E-9</v>
      </c>
      <c r="R4" s="49">
        <v>2.4853000000000001E-9</v>
      </c>
      <c r="S4" s="49">
        <v>4.4833E-9</v>
      </c>
      <c r="T4" s="49">
        <v>1.1865000000000001E-8</v>
      </c>
      <c r="U4" s="49">
        <v>2.9401E-8</v>
      </c>
      <c r="V4" s="49">
        <v>5.9993999999999999E-2</v>
      </c>
      <c r="W4" s="49">
        <v>0.06</v>
      </c>
      <c r="X4" s="49">
        <v>0.06</v>
      </c>
      <c r="Y4" s="55">
        <v>0.06</v>
      </c>
      <c r="Z4" s="55">
        <v>0.06</v>
      </c>
      <c r="AA4" s="55">
        <v>0.06</v>
      </c>
      <c r="AM4" s="28"/>
      <c r="AN4" s="29"/>
      <c r="AO4" s="29"/>
      <c r="AP4" s="29"/>
      <c r="AQ4" s="29"/>
      <c r="AR4" s="29"/>
      <c r="AS4" s="29"/>
      <c r="AT4" s="29"/>
      <c r="AU4" s="29"/>
      <c r="AV4" s="29"/>
      <c r="AW4" s="29"/>
      <c r="AX4" s="29"/>
      <c r="AY4" s="29"/>
      <c r="AZ4" s="29"/>
      <c r="BA4" s="31">
        <f>$A$2</f>
        <v>700</v>
      </c>
      <c r="BB4" s="59">
        <v>1</v>
      </c>
    </row>
    <row r="5" spans="1:54" ht="21" customHeight="1" outlineLevel="1" thickBot="1" x14ac:dyDescent="0.4">
      <c r="A5" s="44">
        <f t="shared" ref="A5:D27" si="1">IF( ISNUMBER( FIND(A$3,$E5,1)),   IF( ISNUMBER( VALUE(MID($E5,FIND(A$3,$E5,1)+2,1)) ), VALUE( MID($E5,FIND(A$3,$E5,1)+2,1) ),1),0)</f>
        <v>0</v>
      </c>
      <c r="B5" s="44">
        <f t="shared" si="0"/>
        <v>0</v>
      </c>
      <c r="C5" s="44">
        <f t="shared" si="0"/>
        <v>1</v>
      </c>
      <c r="D5" s="44">
        <f t="shared" si="0"/>
        <v>0</v>
      </c>
      <c r="E5" s="6" t="s">
        <v>42</v>
      </c>
      <c r="F5" s="49">
        <v>0</v>
      </c>
      <c r="G5" s="49">
        <v>0</v>
      </c>
      <c r="H5" s="49">
        <v>0</v>
      </c>
      <c r="I5" s="49">
        <v>2.4355E-24</v>
      </c>
      <c r="J5" s="49">
        <v>9.869100000000001E-16</v>
      </c>
      <c r="K5" s="49">
        <v>1.9321999999999999E-11</v>
      </c>
      <c r="L5" s="49">
        <v>4.5759999999999999E-9</v>
      </c>
      <c r="M5" s="49">
        <v>0.06</v>
      </c>
      <c r="N5" s="49">
        <v>0.06</v>
      </c>
      <c r="O5" s="49">
        <v>0.06</v>
      </c>
      <c r="P5" s="49">
        <v>0.06</v>
      </c>
      <c r="Q5" s="49">
        <v>0.06</v>
      </c>
      <c r="R5" s="49">
        <v>0.06</v>
      </c>
      <c r="S5" s="49">
        <v>0.06</v>
      </c>
      <c r="T5" s="49">
        <v>0.06</v>
      </c>
      <c r="U5" s="49">
        <v>0.06</v>
      </c>
      <c r="V5" s="49">
        <v>5.8922000000000001E-6</v>
      </c>
      <c r="W5" s="49">
        <v>1.9743E-8</v>
      </c>
      <c r="X5" s="49">
        <v>1.4553E-8</v>
      </c>
      <c r="Y5" s="55">
        <v>8.2159000000000001E-9</v>
      </c>
      <c r="Z5" s="55">
        <v>7.8679999999999997E-9</v>
      </c>
      <c r="AA5" s="55">
        <v>6.0850000000000004E-9</v>
      </c>
      <c r="AM5" s="28"/>
      <c r="AN5" s="29"/>
      <c r="AO5" s="29"/>
      <c r="AP5" s="29"/>
      <c r="AQ5" s="29"/>
      <c r="AR5" s="29"/>
      <c r="AS5" s="29"/>
      <c r="AT5" s="29"/>
      <c r="AU5" s="29"/>
      <c r="AV5" s="29"/>
      <c r="AW5" s="29"/>
      <c r="AX5" s="29"/>
      <c r="AY5" s="29"/>
      <c r="AZ5" s="29"/>
      <c r="BA5" s="29"/>
      <c r="BB5" s="30"/>
    </row>
    <row r="6" spans="1:54" ht="21" customHeight="1" outlineLevel="1" thickBot="1" x14ac:dyDescent="0.4">
      <c r="A6" s="44">
        <f t="shared" si="1"/>
        <v>0</v>
      </c>
      <c r="B6" s="44">
        <f t="shared" si="0"/>
        <v>1</v>
      </c>
      <c r="C6" s="44">
        <f t="shared" si="0"/>
        <v>1</v>
      </c>
      <c r="D6" s="44">
        <f t="shared" si="0"/>
        <v>0</v>
      </c>
      <c r="E6" s="6" t="s">
        <v>41</v>
      </c>
      <c r="F6" s="49">
        <v>0.06</v>
      </c>
      <c r="G6" s="49">
        <v>0.06</v>
      </c>
      <c r="H6" s="49">
        <v>0.12</v>
      </c>
      <c r="I6" s="49">
        <v>0.12</v>
      </c>
      <c r="J6" s="49">
        <v>0.12</v>
      </c>
      <c r="K6" s="49">
        <v>0.12</v>
      </c>
      <c r="L6" s="49">
        <v>0.12</v>
      </c>
      <c r="M6" s="49">
        <v>8.4004999999999997E-9</v>
      </c>
      <c r="N6" s="49">
        <v>8.1328000000000001E-11</v>
      </c>
      <c r="O6" s="49">
        <v>7.2548999999999998E-26</v>
      </c>
      <c r="P6" s="49">
        <v>0</v>
      </c>
      <c r="Q6" s="49">
        <v>0</v>
      </c>
      <c r="R6" s="49">
        <v>0</v>
      </c>
      <c r="S6" s="49">
        <v>0</v>
      </c>
      <c r="T6" s="49">
        <v>0</v>
      </c>
      <c r="U6" s="49">
        <v>0</v>
      </c>
      <c r="V6" s="49">
        <v>0</v>
      </c>
      <c r="W6" s="49">
        <v>0</v>
      </c>
      <c r="X6" s="49">
        <v>0</v>
      </c>
      <c r="Y6" s="55">
        <v>0</v>
      </c>
      <c r="Z6" s="55">
        <v>0</v>
      </c>
      <c r="AA6" s="55">
        <v>0</v>
      </c>
      <c r="AM6" s="28"/>
      <c r="AN6" s="29"/>
      <c r="AO6" s="29"/>
      <c r="AP6" s="29"/>
      <c r="AQ6" s="29"/>
      <c r="AR6" s="29"/>
      <c r="AS6" s="29"/>
      <c r="AT6" s="29"/>
      <c r="AU6" s="29"/>
      <c r="AV6" s="29"/>
      <c r="AW6" s="29"/>
      <c r="AX6" s="29"/>
      <c r="AY6" s="29"/>
      <c r="AZ6" s="29"/>
      <c r="BA6" s="29"/>
      <c r="BB6" s="30"/>
    </row>
    <row r="7" spans="1:54" ht="21" customHeight="1" outlineLevel="1" thickBot="1" x14ac:dyDescent="0.4">
      <c r="A7" s="44">
        <f t="shared" si="1"/>
        <v>0</v>
      </c>
      <c r="B7" s="44">
        <f t="shared" si="0"/>
        <v>0</v>
      </c>
      <c r="C7" s="44">
        <f t="shared" si="0"/>
        <v>0</v>
      </c>
      <c r="D7" s="44">
        <f t="shared" si="0"/>
        <v>1</v>
      </c>
      <c r="E7" s="6" t="s">
        <v>69</v>
      </c>
      <c r="F7" s="49">
        <v>0</v>
      </c>
      <c r="G7" s="49">
        <v>0</v>
      </c>
      <c r="H7" s="49">
        <v>0</v>
      </c>
      <c r="I7" s="49">
        <v>0</v>
      </c>
      <c r="J7" s="49">
        <v>0</v>
      </c>
      <c r="K7" s="49">
        <v>0</v>
      </c>
      <c r="L7" s="49">
        <v>0</v>
      </c>
      <c r="M7" s="49">
        <v>0.15512999999999999</v>
      </c>
      <c r="N7" s="49">
        <v>0.2</v>
      </c>
      <c r="O7" s="49">
        <v>0.2</v>
      </c>
      <c r="P7" s="49">
        <v>0.2</v>
      </c>
      <c r="Q7" s="49">
        <v>0.2</v>
      </c>
      <c r="R7" s="49">
        <v>0.2</v>
      </c>
      <c r="S7" s="49">
        <v>0.2</v>
      </c>
      <c r="T7" s="49">
        <v>0.2</v>
      </c>
      <c r="U7" s="49">
        <v>0.2</v>
      </c>
      <c r="V7" s="49">
        <v>0.2</v>
      </c>
      <c r="W7" s="49">
        <v>0.2</v>
      </c>
      <c r="X7" s="49">
        <v>0.2</v>
      </c>
      <c r="Y7" s="55">
        <v>0.2</v>
      </c>
      <c r="Z7" s="55">
        <v>0.2</v>
      </c>
      <c r="AA7" s="55">
        <v>0.2</v>
      </c>
      <c r="AM7" s="28"/>
      <c r="AN7" s="29"/>
      <c r="AO7" s="29"/>
      <c r="AP7" s="29"/>
      <c r="AQ7" s="29"/>
      <c r="AR7" s="29"/>
      <c r="AS7" s="29"/>
      <c r="AT7" s="29"/>
      <c r="AU7" s="29"/>
      <c r="AV7" s="29"/>
      <c r="AW7" s="29"/>
      <c r="AX7" s="29"/>
      <c r="AY7" s="29"/>
      <c r="AZ7" s="29"/>
      <c r="BA7" s="29"/>
      <c r="BB7" s="30"/>
    </row>
    <row r="8" spans="1:54" ht="21" customHeight="1" outlineLevel="1" thickBot="1" x14ac:dyDescent="0.4">
      <c r="A8" s="44">
        <f t="shared" si="1"/>
        <v>0</v>
      </c>
      <c r="B8" s="44">
        <f t="shared" si="0"/>
        <v>0</v>
      </c>
      <c r="C8" s="44">
        <f t="shared" si="0"/>
        <v>1</v>
      </c>
      <c r="D8" s="44">
        <f t="shared" si="0"/>
        <v>0</v>
      </c>
      <c r="E8" s="6" t="s">
        <v>40</v>
      </c>
      <c r="F8" s="49">
        <v>0</v>
      </c>
      <c r="G8" s="49">
        <v>0</v>
      </c>
      <c r="H8" s="49">
        <v>0</v>
      </c>
      <c r="I8" s="49">
        <v>2.4355E-24</v>
      </c>
      <c r="J8" s="49">
        <v>9.869100000000001E-16</v>
      </c>
      <c r="K8" s="49">
        <v>1.9321999999999999E-11</v>
      </c>
      <c r="L8" s="49">
        <v>4.5759999999999999E-9</v>
      </c>
      <c r="M8" s="49">
        <v>0.06</v>
      </c>
      <c r="N8" s="49">
        <v>0.06</v>
      </c>
      <c r="O8" s="49">
        <v>0.06</v>
      </c>
      <c r="P8" s="49">
        <v>0.06</v>
      </c>
      <c r="Q8" s="49">
        <v>0.06</v>
      </c>
      <c r="R8" s="49">
        <v>0.06</v>
      </c>
      <c r="S8" s="49">
        <v>0.06</v>
      </c>
      <c r="T8" s="49">
        <v>0.06</v>
      </c>
      <c r="U8" s="49">
        <v>0.06</v>
      </c>
      <c r="V8" s="49">
        <v>5.8922000000000001E-6</v>
      </c>
      <c r="W8" s="49">
        <v>1.9743E-8</v>
      </c>
      <c r="X8" s="49">
        <v>1.4553E-8</v>
      </c>
      <c r="Y8" s="55">
        <v>8.2159000000000001E-9</v>
      </c>
      <c r="Z8" s="55">
        <v>7.8679999999999997E-9</v>
      </c>
      <c r="AA8" s="55">
        <v>6.0850000000000004E-9</v>
      </c>
      <c r="AM8" s="28"/>
      <c r="AN8" s="29"/>
      <c r="AO8" s="29"/>
      <c r="AP8" s="29"/>
      <c r="AQ8" s="29"/>
      <c r="AR8" s="29"/>
      <c r="AS8" s="29"/>
      <c r="AT8" s="29"/>
      <c r="AU8" s="29"/>
      <c r="AV8" s="29"/>
      <c r="AW8" s="29"/>
      <c r="AX8" s="29"/>
      <c r="AY8" s="29"/>
      <c r="AZ8" s="29"/>
      <c r="BA8" s="29"/>
      <c r="BB8" s="30"/>
    </row>
    <row r="9" spans="1:54" ht="21" customHeight="1" outlineLevel="1" thickBot="1" x14ac:dyDescent="0.4">
      <c r="A9" s="44">
        <f t="shared" si="1"/>
        <v>0</v>
      </c>
      <c r="B9" s="44">
        <f t="shared" si="0"/>
        <v>1</v>
      </c>
      <c r="C9" s="44">
        <f t="shared" si="0"/>
        <v>0</v>
      </c>
      <c r="D9" s="44">
        <f t="shared" si="0"/>
        <v>0</v>
      </c>
      <c r="E9" s="6" t="s">
        <v>39</v>
      </c>
      <c r="F9" s="49">
        <v>8.7129E-15</v>
      </c>
      <c r="G9" s="49">
        <v>9.8545999999999994E-9</v>
      </c>
      <c r="H9" s="49">
        <v>0.06</v>
      </c>
      <c r="I9" s="49">
        <v>0.06</v>
      </c>
      <c r="J9" s="49">
        <v>0.06</v>
      </c>
      <c r="K9" s="49">
        <v>0.06</v>
      </c>
      <c r="L9" s="49">
        <v>0.06</v>
      </c>
      <c r="M9" s="49">
        <v>0.41270000000000001</v>
      </c>
      <c r="N9" s="49">
        <v>0.47999000000000003</v>
      </c>
      <c r="O9" s="49">
        <v>0.48</v>
      </c>
      <c r="P9" s="49">
        <v>0.48</v>
      </c>
      <c r="Q9" s="49">
        <v>0.48</v>
      </c>
      <c r="R9" s="49">
        <v>0.48</v>
      </c>
      <c r="S9" s="49">
        <v>0.48</v>
      </c>
      <c r="T9" s="49">
        <v>0.48</v>
      </c>
      <c r="U9" s="49">
        <v>0.48</v>
      </c>
      <c r="V9" s="49">
        <v>0.48</v>
      </c>
      <c r="W9" s="49">
        <v>0.48</v>
      </c>
      <c r="X9" s="49">
        <v>0.48</v>
      </c>
      <c r="Y9" s="55">
        <v>0.48</v>
      </c>
      <c r="Z9" s="55">
        <v>0.48</v>
      </c>
      <c r="AA9" s="55">
        <v>0.48</v>
      </c>
      <c r="AM9" s="28"/>
      <c r="AN9" s="29"/>
      <c r="AO9" s="29"/>
      <c r="AP9" s="29"/>
      <c r="AQ9" s="29"/>
      <c r="AR9" s="29"/>
      <c r="AS9" s="29"/>
      <c r="AT9" s="29"/>
      <c r="AU9" s="29"/>
      <c r="AV9" s="29"/>
      <c r="AW9" s="29"/>
      <c r="AX9" s="29"/>
      <c r="AY9" s="29"/>
      <c r="AZ9" s="29"/>
      <c r="BA9" s="29"/>
      <c r="BB9" s="30"/>
    </row>
    <row r="10" spans="1:54" ht="21" customHeight="1" outlineLevel="1" thickBot="1" x14ac:dyDescent="0.4">
      <c r="A10" s="44">
        <f t="shared" si="1"/>
        <v>0</v>
      </c>
      <c r="B10" s="44">
        <f t="shared" si="0"/>
        <v>2</v>
      </c>
      <c r="C10" s="44">
        <f t="shared" si="0"/>
        <v>1</v>
      </c>
      <c r="D10" s="44">
        <f t="shared" si="0"/>
        <v>0</v>
      </c>
      <c r="E10" s="6" t="s">
        <v>50</v>
      </c>
      <c r="F10" s="49">
        <v>0.06</v>
      </c>
      <c r="G10" s="49">
        <v>0.06</v>
      </c>
      <c r="H10" s="49">
        <v>3.7176000000000002E-10</v>
      </c>
      <c r="I10" s="49">
        <v>3.6682999999999996E-12</v>
      </c>
      <c r="J10" s="49">
        <v>2.1788000000000001E-17</v>
      </c>
      <c r="K10" s="49">
        <v>1.974E-29</v>
      </c>
      <c r="L10" s="49">
        <v>0</v>
      </c>
      <c r="M10" s="49">
        <v>0</v>
      </c>
      <c r="N10" s="49">
        <v>0</v>
      </c>
      <c r="O10" s="49">
        <v>0</v>
      </c>
      <c r="P10" s="49">
        <v>0</v>
      </c>
      <c r="Q10" s="49">
        <v>0</v>
      </c>
      <c r="R10" s="49">
        <v>0</v>
      </c>
      <c r="S10" s="49">
        <v>0</v>
      </c>
      <c r="T10" s="49">
        <v>0</v>
      </c>
      <c r="U10" s="49">
        <v>0</v>
      </c>
      <c r="V10" s="49">
        <v>0</v>
      </c>
      <c r="W10" s="49">
        <v>0</v>
      </c>
      <c r="X10" s="49">
        <v>0</v>
      </c>
      <c r="Y10" s="55">
        <v>0</v>
      </c>
      <c r="Z10" s="55">
        <v>0</v>
      </c>
      <c r="AA10" s="55">
        <v>0</v>
      </c>
      <c r="AM10" s="28"/>
      <c r="AN10" s="29"/>
      <c r="AO10" s="29"/>
      <c r="AP10" s="29"/>
      <c r="AQ10" s="29"/>
      <c r="AR10" s="29"/>
      <c r="AS10" s="29"/>
      <c r="AT10" s="29"/>
      <c r="AU10" s="29"/>
      <c r="AV10" s="29"/>
      <c r="AW10" s="29"/>
      <c r="AX10" s="29"/>
      <c r="AY10" s="29"/>
      <c r="AZ10" s="29"/>
      <c r="BA10" s="29"/>
      <c r="BB10" s="30"/>
    </row>
    <row r="11" spans="1:54" ht="21" customHeight="1" outlineLevel="1" thickBot="1" x14ac:dyDescent="0.4">
      <c r="A11" s="44">
        <f t="shared" si="1"/>
        <v>0</v>
      </c>
      <c r="B11" s="44">
        <f t="shared" si="0"/>
        <v>3</v>
      </c>
      <c r="C11" s="44">
        <f t="shared" si="0"/>
        <v>0</v>
      </c>
      <c r="D11" s="44">
        <f t="shared" si="0"/>
        <v>2</v>
      </c>
      <c r="E11" s="6" t="s">
        <v>49</v>
      </c>
      <c r="F11" s="49">
        <v>0.1</v>
      </c>
      <c r="G11" s="49">
        <v>0.1</v>
      </c>
      <c r="H11" s="49">
        <v>0.1</v>
      </c>
      <c r="I11" s="49">
        <v>0.1</v>
      </c>
      <c r="J11" s="49">
        <v>0.1</v>
      </c>
      <c r="K11" s="49">
        <v>0.1</v>
      </c>
      <c r="L11" s="49">
        <v>0.1</v>
      </c>
      <c r="M11" s="49">
        <v>2.2433000000000002E-2</v>
      </c>
      <c r="N11" s="49">
        <v>2.0362000000000001E-6</v>
      </c>
      <c r="O11" s="49">
        <v>7.7761000000000004E-20</v>
      </c>
      <c r="P11" s="49">
        <v>2.5107E-30</v>
      </c>
      <c r="Q11" s="49">
        <v>0</v>
      </c>
      <c r="R11" s="49">
        <v>0</v>
      </c>
      <c r="S11" s="49">
        <v>0</v>
      </c>
      <c r="T11" s="49">
        <v>0</v>
      </c>
      <c r="U11" s="49">
        <v>0</v>
      </c>
      <c r="V11" s="49">
        <v>0</v>
      </c>
      <c r="W11" s="49">
        <v>0</v>
      </c>
      <c r="X11" s="49">
        <v>0</v>
      </c>
      <c r="Y11" s="55">
        <v>0</v>
      </c>
      <c r="Z11" s="55">
        <v>0</v>
      </c>
      <c r="AA11" s="55">
        <v>0</v>
      </c>
      <c r="AM11" s="28"/>
      <c r="AN11" s="29"/>
      <c r="AO11" s="29"/>
      <c r="AP11" s="29"/>
      <c r="AQ11" s="29"/>
      <c r="AR11" s="29"/>
      <c r="AS11" s="29"/>
      <c r="AT11" s="29"/>
      <c r="AU11" s="29"/>
      <c r="AV11" s="29"/>
      <c r="AW11" s="29"/>
      <c r="AX11" s="29"/>
      <c r="AY11" s="29"/>
      <c r="AZ11" s="29"/>
      <c r="BA11" s="29"/>
      <c r="BB11" s="30"/>
    </row>
    <row r="12" spans="1:54" ht="21" customHeight="1" outlineLevel="1" thickBot="1" x14ac:dyDescent="0.4">
      <c r="A12" s="44">
        <f t="shared" si="1"/>
        <v>0</v>
      </c>
      <c r="B12" s="44">
        <f t="shared" si="0"/>
        <v>0</v>
      </c>
      <c r="C12" s="44">
        <f t="shared" si="0"/>
        <v>2</v>
      </c>
      <c r="D12" s="44">
        <f t="shared" si="0"/>
        <v>0</v>
      </c>
      <c r="E12" s="6" t="s">
        <v>70</v>
      </c>
      <c r="F12" s="49">
        <v>0</v>
      </c>
      <c r="G12" s="49">
        <v>0</v>
      </c>
      <c r="H12" s="49">
        <v>0</v>
      </c>
      <c r="I12" s="49">
        <v>0</v>
      </c>
      <c r="J12" s="49">
        <v>0</v>
      </c>
      <c r="K12" s="49">
        <v>0</v>
      </c>
      <c r="L12" s="49">
        <v>0</v>
      </c>
      <c r="M12" s="49">
        <v>0</v>
      </c>
      <c r="N12" s="49">
        <v>4.1590999999999998E-36</v>
      </c>
      <c r="O12" s="49">
        <v>1.3659000000000001E-27</v>
      </c>
      <c r="P12" s="49">
        <v>8.0203000000000004E-22</v>
      </c>
      <c r="Q12" s="49">
        <v>1.1604999999999999E-17</v>
      </c>
      <c r="R12" s="49">
        <v>8.4930999999999999E-17</v>
      </c>
      <c r="S12" s="49">
        <v>5.4554999999999996E-16</v>
      </c>
      <c r="T12" s="49">
        <v>3.1137999999999998E-15</v>
      </c>
      <c r="U12" s="49">
        <v>1.5962999999999998E-14</v>
      </c>
      <c r="V12" s="49">
        <v>3.9470999999999996E-12</v>
      </c>
      <c r="W12" s="49">
        <v>1.7847999999999999E-10</v>
      </c>
      <c r="X12" s="49">
        <v>4.1200000000000002E-10</v>
      </c>
      <c r="Y12" s="55">
        <v>9.1374999999999997E-10</v>
      </c>
      <c r="Z12" s="55">
        <v>1.9525E-9</v>
      </c>
      <c r="AA12" s="55">
        <v>4.0296000000000002E-9</v>
      </c>
      <c r="AM12" s="28"/>
      <c r="AN12" s="29"/>
      <c r="AO12" s="29"/>
      <c r="AP12" s="29"/>
      <c r="AQ12" s="29"/>
      <c r="AR12" s="29"/>
      <c r="AS12" s="29"/>
      <c r="AT12" s="29"/>
      <c r="AU12" s="29"/>
      <c r="AV12" s="29"/>
      <c r="AW12" s="29"/>
      <c r="AX12" s="29"/>
      <c r="AY12" s="29"/>
      <c r="AZ12" s="29"/>
      <c r="BA12" s="29"/>
      <c r="BB12" s="30"/>
    </row>
    <row r="13" spans="1:54" ht="21" customHeight="1" outlineLevel="1" thickBot="1" x14ac:dyDescent="0.4">
      <c r="A13" s="44">
        <f t="shared" si="1"/>
        <v>0</v>
      </c>
      <c r="B13" s="44">
        <f t="shared" si="0"/>
        <v>0</v>
      </c>
      <c r="C13" s="44">
        <f t="shared" si="0"/>
        <v>1</v>
      </c>
      <c r="D13" s="44">
        <f t="shared" si="0"/>
        <v>0</v>
      </c>
      <c r="E13" s="6" t="s">
        <v>3</v>
      </c>
      <c r="F13" s="49">
        <v>0</v>
      </c>
      <c r="G13" s="49">
        <v>0</v>
      </c>
      <c r="H13" s="49">
        <v>0</v>
      </c>
      <c r="I13" s="49">
        <v>0</v>
      </c>
      <c r="J13" s="49">
        <v>0</v>
      </c>
      <c r="K13" s="49">
        <v>0</v>
      </c>
      <c r="L13" s="49">
        <v>2.5350000000000001E-33</v>
      </c>
      <c r="M13" s="49">
        <v>1.0517999999999999E-30</v>
      </c>
      <c r="N13" s="49">
        <v>1.3863000000000001E-28</v>
      </c>
      <c r="O13" s="49">
        <v>5.5174000000000001E-22</v>
      </c>
      <c r="P13" s="49">
        <v>1.6886000000000001E-17</v>
      </c>
      <c r="Q13" s="49">
        <v>2.9747000000000003E-14</v>
      </c>
      <c r="R13" s="49">
        <v>1.4100000000000001E-13</v>
      </c>
      <c r="S13" s="49">
        <v>6.0427000000000001E-13</v>
      </c>
      <c r="T13" s="49">
        <v>2.3635000000000002E-12</v>
      </c>
      <c r="U13" s="49">
        <v>8.5073000000000003E-12</v>
      </c>
      <c r="V13" s="49">
        <v>6.6755000000000004E-10</v>
      </c>
      <c r="W13" s="49">
        <v>1.6446E-8</v>
      </c>
      <c r="X13" s="49">
        <v>3.3279000000000003E-8</v>
      </c>
      <c r="Y13" s="55">
        <v>6.5148999999999997E-8</v>
      </c>
      <c r="Z13" s="55">
        <v>1.2367E-7</v>
      </c>
      <c r="AA13" s="55">
        <v>2.2807999999999999E-7</v>
      </c>
      <c r="AM13" s="28"/>
      <c r="AN13" s="29"/>
      <c r="AO13" s="29"/>
      <c r="AP13" s="29"/>
      <c r="AQ13" s="29"/>
      <c r="AR13" s="29"/>
      <c r="AS13" s="29"/>
      <c r="AT13" s="29"/>
      <c r="AU13" s="29"/>
      <c r="AV13" s="29"/>
      <c r="AW13" s="29"/>
      <c r="AX13" s="29"/>
      <c r="AY13" s="29"/>
      <c r="BB13" s="30"/>
    </row>
    <row r="14" spans="1:54" ht="21" customHeight="1" outlineLevel="1" thickBot="1" x14ac:dyDescent="0.4">
      <c r="A14" s="44">
        <f t="shared" si="1"/>
        <v>1</v>
      </c>
      <c r="B14" s="44">
        <f t="shared" si="0"/>
        <v>0</v>
      </c>
      <c r="C14" s="44">
        <f t="shared" si="0"/>
        <v>0</v>
      </c>
      <c r="D14" s="44">
        <f t="shared" si="0"/>
        <v>0</v>
      </c>
      <c r="E14" s="6" t="s">
        <v>1</v>
      </c>
      <c r="F14" s="49">
        <v>0.2</v>
      </c>
      <c r="G14" s="49">
        <v>0.2</v>
      </c>
      <c r="H14" s="49">
        <v>0.2</v>
      </c>
      <c r="I14" s="49">
        <v>0.2</v>
      </c>
      <c r="J14" s="49">
        <v>0.2</v>
      </c>
      <c r="K14" s="49">
        <v>0.2</v>
      </c>
      <c r="L14" s="49">
        <v>0.2</v>
      </c>
      <c r="M14" s="49">
        <v>0.2</v>
      </c>
      <c r="N14" s="49">
        <v>0.2</v>
      </c>
      <c r="O14" s="49">
        <v>0.2</v>
      </c>
      <c r="P14" s="49">
        <v>0.2</v>
      </c>
      <c r="Q14" s="49">
        <v>0.2</v>
      </c>
      <c r="R14" s="49">
        <v>0.2</v>
      </c>
      <c r="S14" s="49">
        <v>0.2</v>
      </c>
      <c r="T14" s="49">
        <v>0.2</v>
      </c>
      <c r="U14" s="49">
        <v>0.2</v>
      </c>
      <c r="V14" s="49">
        <v>0.2</v>
      </c>
      <c r="W14" s="49">
        <v>0.2</v>
      </c>
      <c r="X14" s="49">
        <v>0.2</v>
      </c>
      <c r="Y14" s="55">
        <v>0.2</v>
      </c>
      <c r="Z14" s="55">
        <v>0.2</v>
      </c>
      <c r="AA14" s="55">
        <v>0.2</v>
      </c>
      <c r="AM14" s="28"/>
      <c r="AN14" s="29"/>
      <c r="AO14" s="29"/>
      <c r="AP14" s="29"/>
      <c r="AQ14" s="29"/>
      <c r="AR14" s="29"/>
      <c r="AS14" s="29"/>
      <c r="AT14" s="29"/>
      <c r="AU14" s="29"/>
      <c r="AV14" s="29"/>
      <c r="AW14" s="29"/>
      <c r="AX14" s="29"/>
      <c r="AY14" s="29"/>
      <c r="BB14" s="30"/>
    </row>
    <row r="15" spans="1:54" ht="21" customHeight="1" outlineLevel="1" thickBot="1" x14ac:dyDescent="0.4">
      <c r="A15" s="44">
        <f t="shared" si="1"/>
        <v>0</v>
      </c>
      <c r="B15" s="44">
        <f t="shared" si="0"/>
        <v>0</v>
      </c>
      <c r="C15" s="44">
        <f t="shared" si="0"/>
        <v>1</v>
      </c>
      <c r="D15" s="44">
        <f t="shared" si="0"/>
        <v>0</v>
      </c>
      <c r="E15" s="6" t="s">
        <v>37</v>
      </c>
      <c r="F15" s="49">
        <v>0</v>
      </c>
      <c r="G15" s="49">
        <v>0</v>
      </c>
      <c r="H15" s="49">
        <v>0</v>
      </c>
      <c r="I15" s="49">
        <v>0</v>
      </c>
      <c r="J15" s="49">
        <v>0</v>
      </c>
      <c r="K15" s="49">
        <v>0</v>
      </c>
      <c r="L15" s="49">
        <v>0</v>
      </c>
      <c r="M15" s="49">
        <v>0</v>
      </c>
      <c r="N15" s="49">
        <v>2.0058000000000001E-22</v>
      </c>
      <c r="O15" s="49">
        <v>7.6130999999999995E-12</v>
      </c>
      <c r="P15" s="49">
        <v>5.2134000000000001E-11</v>
      </c>
      <c r="Q15" s="49">
        <v>1.4366E-9</v>
      </c>
      <c r="R15" s="49">
        <v>2.4853000000000001E-9</v>
      </c>
      <c r="S15" s="49">
        <v>4.4833E-9</v>
      </c>
      <c r="T15" s="49">
        <v>1.1865000000000001E-8</v>
      </c>
      <c r="U15" s="49">
        <v>2.9401E-8</v>
      </c>
      <c r="V15" s="49">
        <v>5.9993999999999999E-2</v>
      </c>
      <c r="W15" s="49">
        <v>0.06</v>
      </c>
      <c r="X15" s="49">
        <v>0.06</v>
      </c>
      <c r="Y15" s="55">
        <v>0.06</v>
      </c>
      <c r="Z15" s="55">
        <v>0.06</v>
      </c>
      <c r="AA15" s="55">
        <v>0.06</v>
      </c>
      <c r="AM15" s="28"/>
      <c r="AN15" s="29"/>
      <c r="AO15" s="29"/>
      <c r="AP15" s="29"/>
      <c r="AQ15" s="29"/>
      <c r="AR15" s="29"/>
      <c r="AS15" s="29"/>
      <c r="AT15" s="29"/>
      <c r="AU15" s="29"/>
      <c r="AV15" s="29"/>
      <c r="AW15" s="29"/>
      <c r="AX15" s="29"/>
      <c r="AY15" s="29"/>
      <c r="AZ15" s="29"/>
      <c r="BA15" s="29"/>
      <c r="BB15" s="30"/>
    </row>
    <row r="16" spans="1:54" ht="21" customHeight="1" outlineLevel="1" thickBot="1" x14ac:dyDescent="0.4">
      <c r="A16" s="44">
        <f t="shared" si="1"/>
        <v>1</v>
      </c>
      <c r="B16" s="44">
        <f t="shared" si="0"/>
        <v>0</v>
      </c>
      <c r="C16" s="44">
        <f t="shared" si="0"/>
        <v>0</v>
      </c>
      <c r="D16" s="44">
        <f t="shared" si="0"/>
        <v>0</v>
      </c>
      <c r="E16" s="6" t="s">
        <v>28</v>
      </c>
      <c r="F16" s="49">
        <v>-19.02</v>
      </c>
      <c r="G16" s="49">
        <v>-19.03</v>
      </c>
      <c r="H16" s="49">
        <v>-19.059999999999999</v>
      </c>
      <c r="I16" s="49">
        <v>-19.11</v>
      </c>
      <c r="J16" s="49">
        <v>-19.170000000000002</v>
      </c>
      <c r="K16" s="49">
        <v>-19.23</v>
      </c>
      <c r="L16" s="49">
        <v>-19.3</v>
      </c>
      <c r="M16" s="49">
        <v>-19.07</v>
      </c>
      <c r="N16" s="49">
        <v>-19.03</v>
      </c>
      <c r="O16" s="49">
        <v>-19.309999999999999</v>
      </c>
      <c r="P16" s="49">
        <v>-19.57</v>
      </c>
      <c r="Q16" s="49">
        <v>-19.82</v>
      </c>
      <c r="R16" s="49">
        <v>-19.88</v>
      </c>
      <c r="S16" s="49">
        <v>-19.940000000000001</v>
      </c>
      <c r="T16" s="49">
        <v>-20</v>
      </c>
      <c r="U16" s="49">
        <v>-20.05</v>
      </c>
      <c r="V16" s="49">
        <v>-20.260000000000002</v>
      </c>
      <c r="W16" s="49">
        <v>-20.46</v>
      </c>
      <c r="X16" s="49">
        <v>-20.51</v>
      </c>
      <c r="Y16" s="55">
        <v>-20.56</v>
      </c>
      <c r="Z16" s="55">
        <v>-20.6</v>
      </c>
      <c r="AA16" s="55">
        <v>-20.65</v>
      </c>
      <c r="AM16" s="28"/>
      <c r="AN16" s="29"/>
      <c r="AO16" s="29"/>
      <c r="AP16" s="29"/>
      <c r="AQ16" s="29"/>
      <c r="AR16" s="29"/>
      <c r="AS16" s="29"/>
      <c r="AT16" s="29"/>
      <c r="AU16" s="29"/>
      <c r="AV16" s="29"/>
      <c r="AW16" s="29"/>
      <c r="AX16" s="29"/>
      <c r="AY16" s="29"/>
      <c r="AZ16" s="29"/>
      <c r="BA16" s="29"/>
      <c r="BB16" s="30"/>
    </row>
    <row r="17" spans="1:54" ht="21" customHeight="1" outlineLevel="1" thickBot="1" x14ac:dyDescent="0.4">
      <c r="A17" s="44">
        <f t="shared" si="1"/>
        <v>0</v>
      </c>
      <c r="B17" s="44">
        <f t="shared" si="0"/>
        <v>0</v>
      </c>
      <c r="C17" s="44">
        <f t="shared" si="0"/>
        <v>0</v>
      </c>
      <c r="D17" s="44">
        <f t="shared" si="0"/>
        <v>1</v>
      </c>
      <c r="E17" s="6" t="s">
        <v>5</v>
      </c>
      <c r="F17" s="49">
        <v>-60.99</v>
      </c>
      <c r="G17" s="49">
        <v>-55.39</v>
      </c>
      <c r="H17" s="49">
        <v>-48.92</v>
      </c>
      <c r="I17" s="49">
        <v>-42.66</v>
      </c>
      <c r="J17" s="49">
        <v>-37.28</v>
      </c>
      <c r="K17" s="49">
        <v>-32.6</v>
      </c>
      <c r="L17" s="49">
        <v>-28.48</v>
      </c>
      <c r="M17" s="49">
        <v>-25.41</v>
      </c>
      <c r="N17" s="49">
        <v>-26.73</v>
      </c>
      <c r="O17" s="49">
        <v>-31.78</v>
      </c>
      <c r="P17" s="49">
        <v>-36.28</v>
      </c>
      <c r="Q17" s="49">
        <v>-40.049999999999997</v>
      </c>
      <c r="R17" s="49">
        <v>-40.86</v>
      </c>
      <c r="S17" s="49">
        <v>-41.61</v>
      </c>
      <c r="T17" s="49">
        <v>-42.31</v>
      </c>
      <c r="U17" s="49">
        <v>-42.94</v>
      </c>
      <c r="V17" s="49">
        <v>-44.86</v>
      </c>
      <c r="W17" s="49">
        <v>-45.72</v>
      </c>
      <c r="X17" s="49">
        <v>-45.76</v>
      </c>
      <c r="Y17" s="55">
        <v>-45.74</v>
      </c>
      <c r="Z17" s="55">
        <v>-45.64</v>
      </c>
      <c r="AA17" s="55">
        <v>-45.47</v>
      </c>
      <c r="AM17" s="28"/>
      <c r="AN17" s="29"/>
      <c r="AO17" s="29"/>
      <c r="AP17" s="29"/>
      <c r="AQ17" s="29"/>
      <c r="AR17" s="29"/>
      <c r="AS17" s="29"/>
      <c r="AT17" s="29"/>
      <c r="AU17" s="29"/>
      <c r="AV17" s="29"/>
      <c r="AW17" s="29"/>
      <c r="AX17" s="29"/>
      <c r="AY17" s="29"/>
      <c r="AZ17" s="29"/>
      <c r="BA17" s="29"/>
      <c r="BB17" s="30"/>
    </row>
    <row r="18" spans="1:54" ht="21" customHeight="1" outlineLevel="1" thickBot="1" x14ac:dyDescent="0.4">
      <c r="A18" s="44">
        <f t="shared" si="1"/>
        <v>0</v>
      </c>
      <c r="B18" s="44">
        <f t="shared" si="0"/>
        <v>0</v>
      </c>
      <c r="C18" s="44">
        <f t="shared" si="0"/>
        <v>1</v>
      </c>
      <c r="D18" s="44">
        <f t="shared" si="0"/>
        <v>0</v>
      </c>
      <c r="E18" s="6" t="s">
        <v>6</v>
      </c>
      <c r="F18" s="49">
        <v>-15.35</v>
      </c>
      <c r="G18" s="49">
        <v>-14.36</v>
      </c>
      <c r="H18" s="49">
        <v>-12.3</v>
      </c>
      <c r="I18" s="49">
        <v>-10.01</v>
      </c>
      <c r="J18" s="49">
        <v>-8.0210000000000008</v>
      </c>
      <c r="K18" s="49">
        <v>-6.28</v>
      </c>
      <c r="L18" s="49">
        <v>-4.7359999999999998</v>
      </c>
      <c r="M18" s="49">
        <v>-4.141</v>
      </c>
      <c r="N18" s="49">
        <v>-4.2229999999999999</v>
      </c>
      <c r="O18" s="49">
        <v>-4.5529999999999999</v>
      </c>
      <c r="P18" s="49">
        <v>-4.8730000000000002</v>
      </c>
      <c r="Q18" s="49">
        <v>-5.1749999999999998</v>
      </c>
      <c r="R18" s="49">
        <v>-5.2469999999999999</v>
      </c>
      <c r="S18" s="49">
        <v>-5.3179999999999996</v>
      </c>
      <c r="T18" s="49">
        <v>-5.3890000000000002</v>
      </c>
      <c r="U18" s="49">
        <v>-5.4580000000000002</v>
      </c>
      <c r="V18" s="49">
        <v>-5.7869999999999999</v>
      </c>
      <c r="W18" s="49">
        <v>-6.3879999999999999</v>
      </c>
      <c r="X18" s="49">
        <v>-6.5250000000000004</v>
      </c>
      <c r="Y18" s="55">
        <v>-6.6580000000000004</v>
      </c>
      <c r="Z18" s="55">
        <v>-6.7869999999999999</v>
      </c>
      <c r="AA18" s="55">
        <v>-6.9109999999999996</v>
      </c>
      <c r="AM18" s="28"/>
      <c r="AN18" s="29"/>
      <c r="AO18" s="29"/>
      <c r="AP18" s="29"/>
      <c r="AQ18" s="29"/>
      <c r="AR18" s="29"/>
      <c r="AS18" s="29"/>
      <c r="AT18" s="29"/>
      <c r="AU18" s="29"/>
      <c r="AV18" s="29"/>
      <c r="AW18" s="29"/>
      <c r="AX18" s="29"/>
      <c r="AY18" s="29"/>
      <c r="AZ18" s="29"/>
      <c r="BA18" s="29"/>
      <c r="BB18" s="30"/>
    </row>
    <row r="19" spans="1:54" ht="21" customHeight="1" outlineLevel="1" thickBot="1" x14ac:dyDescent="0.4">
      <c r="A19" s="44">
        <f t="shared" si="1"/>
        <v>0</v>
      </c>
      <c r="B19" s="44">
        <f t="shared" si="0"/>
        <v>1</v>
      </c>
      <c r="C19" s="44">
        <f t="shared" si="0"/>
        <v>0</v>
      </c>
      <c r="D19" s="44">
        <f t="shared" si="0"/>
        <v>0</v>
      </c>
      <c r="E19" s="6" t="s">
        <v>7</v>
      </c>
      <c r="F19" s="49">
        <v>-21.89</v>
      </c>
      <c r="G19" s="49">
        <v>-20.11</v>
      </c>
      <c r="H19" s="49">
        <v>-19.97</v>
      </c>
      <c r="I19" s="49">
        <v>-20.47</v>
      </c>
      <c r="J19" s="49">
        <v>-20.98</v>
      </c>
      <c r="K19" s="49">
        <v>-21.49</v>
      </c>
      <c r="L19" s="49">
        <v>-22.01</v>
      </c>
      <c r="M19" s="49">
        <v>-22.51</v>
      </c>
      <c r="N19" s="49">
        <v>-23.02</v>
      </c>
      <c r="O19" s="49">
        <v>-24.96</v>
      </c>
      <c r="P19" s="49">
        <v>-26.77</v>
      </c>
      <c r="Q19" s="49">
        <v>-28.49</v>
      </c>
      <c r="R19" s="49">
        <v>-28.9</v>
      </c>
      <c r="S19" s="49">
        <v>-29.31</v>
      </c>
      <c r="T19" s="49">
        <v>-29.72</v>
      </c>
      <c r="U19" s="49">
        <v>-30.12</v>
      </c>
      <c r="V19" s="49">
        <v>-31.69</v>
      </c>
      <c r="W19" s="49">
        <v>-33.22</v>
      </c>
      <c r="X19" s="49">
        <v>-33.590000000000003</v>
      </c>
      <c r="Y19" s="55">
        <v>-33.97</v>
      </c>
      <c r="Z19" s="55">
        <v>-34.340000000000003</v>
      </c>
      <c r="AA19" s="55">
        <v>-34.71</v>
      </c>
      <c r="AM19" s="28"/>
      <c r="AN19" s="29"/>
      <c r="AO19" s="29"/>
      <c r="AP19" s="29"/>
      <c r="AQ19" s="29"/>
      <c r="AR19" s="29"/>
      <c r="AS19" s="29"/>
      <c r="AT19" s="29"/>
      <c r="AU19" s="29"/>
      <c r="AV19" s="29"/>
      <c r="AW19" s="29"/>
      <c r="AX19" s="29"/>
      <c r="AY19" s="29"/>
      <c r="AZ19" s="29"/>
      <c r="BA19" s="29"/>
      <c r="BB19" s="30"/>
    </row>
    <row r="20" spans="1:54" ht="21" customHeight="1" outlineLevel="1" thickBot="1" x14ac:dyDescent="0.4">
      <c r="A20" s="44">
        <f t="shared" si="1"/>
        <v>0</v>
      </c>
      <c r="B20" s="44">
        <f t="shared" si="1"/>
        <v>0</v>
      </c>
      <c r="C20" s="44">
        <f t="shared" si="1"/>
        <v>0</v>
      </c>
      <c r="D20" s="44">
        <f t="shared" si="1"/>
        <v>0</v>
      </c>
      <c r="E20" s="48"/>
      <c r="F20" s="49"/>
      <c r="G20" s="49"/>
      <c r="H20" s="49"/>
      <c r="I20" s="49"/>
      <c r="J20" s="49"/>
      <c r="K20" s="49"/>
      <c r="L20" s="49"/>
      <c r="M20" s="49"/>
      <c r="N20" s="49"/>
      <c r="O20" s="49"/>
      <c r="P20" s="49"/>
      <c r="Q20" s="49"/>
      <c r="R20" s="49"/>
      <c r="S20" s="49"/>
      <c r="T20" s="49"/>
      <c r="U20" s="49"/>
      <c r="V20" s="49"/>
      <c r="W20" s="49"/>
      <c r="X20" s="49"/>
      <c r="Y20" s="49"/>
      <c r="Z20" s="49"/>
      <c r="AA20" s="49"/>
      <c r="AB20" s="49"/>
      <c r="AC20" s="49"/>
      <c r="AD20" s="49"/>
      <c r="AE20" s="49"/>
      <c r="AF20" s="49"/>
      <c r="AG20" s="49"/>
      <c r="AH20" s="49"/>
      <c r="AI20" s="49"/>
      <c r="AJ20" s="49"/>
      <c r="AK20" s="49"/>
      <c r="AL20" s="49"/>
      <c r="AM20" s="28"/>
      <c r="AN20" s="29"/>
      <c r="AO20" s="29"/>
      <c r="AP20" s="29"/>
      <c r="AQ20" s="29"/>
      <c r="AR20" s="29"/>
      <c r="AS20" s="29"/>
      <c r="AT20" s="29"/>
      <c r="AU20" s="29"/>
      <c r="AV20" s="29"/>
      <c r="AW20" s="29"/>
      <c r="AX20" s="29"/>
      <c r="AY20" s="29"/>
      <c r="AZ20" s="29"/>
      <c r="BA20" s="29"/>
      <c r="BB20" s="30"/>
    </row>
    <row r="21" spans="1:54" ht="21" customHeight="1" outlineLevel="1" thickBot="1" x14ac:dyDescent="0.4">
      <c r="A21" s="44">
        <f t="shared" si="1"/>
        <v>0</v>
      </c>
      <c r="B21" s="44">
        <f t="shared" si="1"/>
        <v>0</v>
      </c>
      <c r="C21" s="44">
        <f t="shared" si="1"/>
        <v>0</v>
      </c>
      <c r="D21" s="44">
        <f t="shared" si="1"/>
        <v>0</v>
      </c>
      <c r="E21" s="48"/>
      <c r="F21" s="49"/>
      <c r="G21" s="49"/>
      <c r="H21" s="49"/>
      <c r="I21" s="49"/>
      <c r="J21" s="49"/>
      <c r="K21" s="49"/>
      <c r="L21" s="49"/>
      <c r="M21" s="49"/>
      <c r="N21" s="49"/>
      <c r="O21" s="49"/>
      <c r="P21" s="49"/>
      <c r="Q21" s="49"/>
      <c r="R21" s="49"/>
      <c r="S21" s="49"/>
      <c r="T21" s="49"/>
      <c r="U21" s="49"/>
      <c r="V21" s="49"/>
      <c r="W21" s="49"/>
      <c r="X21" s="49"/>
      <c r="Y21" s="49"/>
      <c r="Z21" s="49"/>
      <c r="AA21" s="49"/>
      <c r="AB21" s="49"/>
      <c r="AC21" s="49"/>
      <c r="AD21" s="49"/>
      <c r="AE21" s="49"/>
      <c r="AF21" s="49"/>
      <c r="AG21" s="49"/>
      <c r="AH21" s="49"/>
      <c r="AI21" s="49"/>
      <c r="AJ21" s="49"/>
      <c r="AK21" s="49"/>
      <c r="AL21" s="49"/>
      <c r="AM21" s="28"/>
      <c r="AN21" s="29"/>
      <c r="AO21" s="29"/>
      <c r="AP21" s="29"/>
      <c r="AQ21" s="29"/>
      <c r="AR21" s="29"/>
      <c r="AS21" s="29"/>
      <c r="AT21" s="29"/>
      <c r="AU21" s="29"/>
      <c r="AV21" s="29"/>
      <c r="AW21" s="29"/>
      <c r="AX21" s="29"/>
      <c r="AY21" s="29"/>
      <c r="AZ21" s="29"/>
      <c r="BA21" s="29"/>
      <c r="BB21" s="30"/>
    </row>
    <row r="22" spans="1:54" ht="21" customHeight="1" outlineLevel="1" thickBot="1" x14ac:dyDescent="0.4">
      <c r="A22" s="44">
        <f t="shared" si="1"/>
        <v>0</v>
      </c>
      <c r="B22" s="44">
        <f t="shared" si="1"/>
        <v>0</v>
      </c>
      <c r="C22" s="44">
        <f t="shared" si="1"/>
        <v>0</v>
      </c>
      <c r="D22" s="44">
        <f t="shared" si="1"/>
        <v>0</v>
      </c>
      <c r="E22" s="48"/>
      <c r="F22" s="49"/>
      <c r="G22" s="49"/>
      <c r="H22" s="49"/>
      <c r="I22" s="49"/>
      <c r="J22" s="49"/>
      <c r="K22" s="49"/>
      <c r="L22" s="49"/>
      <c r="M22" s="49"/>
      <c r="N22" s="49"/>
      <c r="O22" s="49"/>
      <c r="P22" s="49"/>
      <c r="Q22" s="49"/>
      <c r="R22" s="49"/>
      <c r="S22" s="49"/>
      <c r="T22" s="49"/>
      <c r="U22" s="49"/>
      <c r="V22" s="49"/>
      <c r="W22" s="49"/>
      <c r="X22" s="49"/>
      <c r="Y22" s="49"/>
      <c r="Z22" s="49"/>
      <c r="AA22" s="49"/>
      <c r="AB22" s="49"/>
      <c r="AC22" s="49"/>
      <c r="AD22" s="49"/>
      <c r="AE22" s="49"/>
      <c r="AF22" s="49"/>
      <c r="AG22" s="49"/>
      <c r="AH22" s="49"/>
      <c r="AI22" s="49"/>
      <c r="AJ22" s="49"/>
      <c r="AK22" s="49"/>
      <c r="AL22" s="49"/>
      <c r="AM22" s="28"/>
      <c r="AN22" s="29"/>
      <c r="AO22" s="29"/>
      <c r="AP22" s="29"/>
      <c r="AQ22" s="29"/>
      <c r="AR22" s="29"/>
      <c r="AS22" s="29"/>
      <c r="AT22" s="29"/>
      <c r="AU22" s="29"/>
      <c r="AV22" s="29"/>
      <c r="AW22" s="29"/>
      <c r="AX22" s="29"/>
      <c r="AY22" s="29"/>
      <c r="AZ22" s="29"/>
      <c r="BA22" s="29"/>
      <c r="BB22" s="30"/>
    </row>
    <row r="23" spans="1:54" ht="21" customHeight="1" outlineLevel="1" thickBot="1" x14ac:dyDescent="0.4">
      <c r="A23" s="44">
        <f t="shared" si="1"/>
        <v>0</v>
      </c>
      <c r="B23" s="44">
        <f t="shared" si="1"/>
        <v>0</v>
      </c>
      <c r="C23" s="44">
        <f t="shared" si="1"/>
        <v>0</v>
      </c>
      <c r="D23" s="44">
        <f t="shared" si="1"/>
        <v>0</v>
      </c>
      <c r="E23" s="41"/>
      <c r="F23" s="49"/>
      <c r="G23" s="49"/>
      <c r="H23" s="49"/>
      <c r="I23" s="49"/>
      <c r="J23" s="49"/>
      <c r="K23" s="49"/>
      <c r="L23" s="49"/>
      <c r="M23" s="49"/>
      <c r="N23" s="49"/>
      <c r="O23" s="49"/>
      <c r="P23" s="49"/>
      <c r="Q23" s="49"/>
      <c r="R23" s="49"/>
      <c r="S23" s="49"/>
      <c r="T23" s="49"/>
      <c r="U23" s="49"/>
      <c r="V23" s="49"/>
      <c r="W23" s="49"/>
      <c r="X23" s="49"/>
      <c r="Y23" s="49"/>
      <c r="Z23" s="49"/>
      <c r="AA23" s="49"/>
      <c r="AB23" s="49"/>
      <c r="AC23" s="49"/>
      <c r="AD23" s="49"/>
      <c r="AE23" s="49"/>
      <c r="AF23" s="49"/>
      <c r="AG23" s="49"/>
      <c r="AH23" s="49"/>
      <c r="AI23" s="49"/>
      <c r="AJ23" s="49"/>
      <c r="AK23" s="49"/>
      <c r="AL23" s="49"/>
      <c r="AM23" s="28"/>
      <c r="AN23" s="29"/>
      <c r="AO23" s="29"/>
      <c r="AP23" s="29"/>
      <c r="AQ23" s="29"/>
      <c r="AR23" s="29"/>
      <c r="AS23" s="29"/>
      <c r="AT23" s="29"/>
      <c r="AU23" s="29"/>
      <c r="AV23" s="29"/>
      <c r="AW23" s="29"/>
      <c r="AX23" s="29"/>
      <c r="AY23" s="29"/>
      <c r="AZ23" s="29"/>
      <c r="BA23" s="29"/>
      <c r="BB23" s="30"/>
    </row>
    <row r="24" spans="1:54" ht="21" customHeight="1" outlineLevel="1" thickBot="1" x14ac:dyDescent="0.4">
      <c r="A24" s="44">
        <f t="shared" si="1"/>
        <v>0</v>
      </c>
      <c r="B24" s="44">
        <f t="shared" si="1"/>
        <v>0</v>
      </c>
      <c r="C24" s="44">
        <f t="shared" si="1"/>
        <v>0</v>
      </c>
      <c r="D24" s="44">
        <f t="shared" si="1"/>
        <v>0</v>
      </c>
      <c r="E24" s="41"/>
      <c r="F24" s="49"/>
      <c r="G24" s="49"/>
      <c r="H24" s="49"/>
      <c r="I24" s="49"/>
      <c r="J24" s="49"/>
      <c r="K24" s="49"/>
      <c r="L24" s="49"/>
      <c r="M24" s="49"/>
      <c r="N24" s="49"/>
      <c r="O24" s="49"/>
      <c r="P24" s="49"/>
      <c r="Q24" s="49"/>
      <c r="R24" s="49"/>
      <c r="S24" s="49"/>
      <c r="T24" s="49"/>
      <c r="U24" s="49"/>
      <c r="V24" s="49"/>
      <c r="W24" s="49"/>
      <c r="X24" s="49"/>
      <c r="Y24" s="49"/>
      <c r="Z24" s="49"/>
      <c r="AA24" s="49"/>
      <c r="AB24" s="49"/>
      <c r="AC24" s="49"/>
      <c r="AD24" s="49"/>
      <c r="AE24" s="49"/>
      <c r="AF24" s="49"/>
      <c r="AG24" s="49"/>
      <c r="AH24" s="49"/>
      <c r="AI24" s="49"/>
      <c r="AJ24" s="49"/>
      <c r="AK24" s="49"/>
      <c r="AL24" s="49"/>
      <c r="AM24" s="28"/>
      <c r="AN24" s="29"/>
      <c r="AO24" s="29"/>
      <c r="AP24" s="29"/>
      <c r="AQ24" s="29"/>
      <c r="AR24" s="29"/>
      <c r="AS24" s="29"/>
      <c r="AT24" s="29"/>
      <c r="AU24" s="29"/>
      <c r="AV24" s="29"/>
      <c r="AW24" s="29"/>
      <c r="AX24" s="29"/>
      <c r="AY24" s="29"/>
      <c r="AZ24" s="29"/>
      <c r="BA24" s="29"/>
      <c r="BB24" s="30"/>
    </row>
    <row r="25" spans="1:54" ht="21" customHeight="1" outlineLevel="1" thickBot="1" x14ac:dyDescent="0.4">
      <c r="A25" s="44">
        <f t="shared" si="1"/>
        <v>0</v>
      </c>
      <c r="B25" s="44">
        <f t="shared" si="1"/>
        <v>0</v>
      </c>
      <c r="C25" s="44">
        <f t="shared" si="1"/>
        <v>0</v>
      </c>
      <c r="D25" s="44">
        <f t="shared" si="1"/>
        <v>0</v>
      </c>
      <c r="E25" s="41"/>
      <c r="F25" s="49"/>
      <c r="G25" s="49"/>
      <c r="H25" s="49"/>
      <c r="I25" s="49"/>
      <c r="J25" s="49"/>
      <c r="K25" s="49"/>
      <c r="L25" s="49"/>
      <c r="M25" s="49"/>
      <c r="N25" s="49"/>
      <c r="O25" s="49"/>
      <c r="P25" s="49"/>
      <c r="Q25" s="49"/>
      <c r="R25" s="49"/>
      <c r="S25" s="49"/>
      <c r="T25" s="49"/>
      <c r="U25" s="49"/>
      <c r="V25" s="49"/>
      <c r="W25" s="49"/>
      <c r="X25" s="49"/>
      <c r="Y25" s="49"/>
      <c r="Z25" s="49"/>
      <c r="AA25" s="49"/>
      <c r="AB25" s="49"/>
      <c r="AC25" s="49"/>
      <c r="AD25" s="49"/>
      <c r="AE25" s="49"/>
      <c r="AF25" s="49"/>
      <c r="AG25" s="49"/>
      <c r="AH25" s="49"/>
      <c r="AI25" s="49"/>
      <c r="AJ25" s="49"/>
      <c r="AK25" s="49"/>
      <c r="AL25" s="49"/>
      <c r="AM25" s="28"/>
      <c r="AN25" s="29"/>
      <c r="AO25" s="29"/>
      <c r="AP25" s="29"/>
      <c r="AQ25" s="29"/>
      <c r="AR25" s="29"/>
      <c r="AS25" s="29"/>
      <c r="AT25" s="29"/>
      <c r="AU25" s="29"/>
      <c r="AV25" s="29"/>
      <c r="AW25" s="29"/>
      <c r="AX25" s="29"/>
      <c r="AY25" s="29"/>
      <c r="AZ25" s="29"/>
      <c r="BA25" s="29"/>
      <c r="BB25" s="30"/>
    </row>
    <row r="26" spans="1:54" ht="21" customHeight="1" outlineLevel="1" thickBot="1" x14ac:dyDescent="0.4">
      <c r="A26" s="44">
        <f t="shared" si="1"/>
        <v>0</v>
      </c>
      <c r="B26" s="44">
        <f t="shared" si="1"/>
        <v>0</v>
      </c>
      <c r="C26" s="44">
        <f t="shared" si="1"/>
        <v>0</v>
      </c>
      <c r="D26" s="44">
        <f t="shared" si="1"/>
        <v>0</v>
      </c>
      <c r="E26" s="41"/>
      <c r="F26" s="49"/>
      <c r="G26" s="49"/>
      <c r="H26" s="49"/>
      <c r="I26" s="49"/>
      <c r="J26" s="49"/>
      <c r="K26" s="49"/>
      <c r="L26" s="49"/>
      <c r="M26" s="49"/>
      <c r="N26" s="49"/>
      <c r="O26" s="49"/>
      <c r="P26" s="49"/>
      <c r="Q26" s="49"/>
      <c r="R26" s="49"/>
      <c r="S26" s="49"/>
      <c r="T26" s="49"/>
      <c r="U26" s="49"/>
      <c r="V26" s="49"/>
      <c r="W26" s="49"/>
      <c r="X26" s="49"/>
      <c r="Y26" s="49"/>
      <c r="Z26" s="49"/>
      <c r="AA26" s="49"/>
      <c r="AB26" s="49"/>
      <c r="AC26" s="49"/>
      <c r="AD26" s="49"/>
      <c r="AE26" s="49"/>
      <c r="AF26" s="49"/>
      <c r="AG26" s="49"/>
      <c r="AH26" s="49"/>
      <c r="AI26" s="49"/>
      <c r="AJ26" s="49"/>
      <c r="AK26" s="49"/>
      <c r="AL26" s="49"/>
      <c r="AM26" s="28"/>
      <c r="AN26" s="29"/>
      <c r="AO26" s="29"/>
      <c r="AP26" s="29"/>
      <c r="AQ26" s="29"/>
      <c r="AR26" s="29"/>
      <c r="AS26" s="29"/>
      <c r="AT26" s="29"/>
      <c r="AU26" s="29"/>
      <c r="AV26" s="29"/>
      <c r="AW26" s="29"/>
      <c r="AX26" s="29"/>
      <c r="AY26" s="29"/>
      <c r="AZ26" s="29"/>
      <c r="BA26" s="29"/>
      <c r="BB26" s="30"/>
    </row>
    <row r="27" spans="1:54" ht="21" customHeight="1" outlineLevel="1" thickBot="1" x14ac:dyDescent="0.4">
      <c r="A27" s="44">
        <f t="shared" si="1"/>
        <v>0</v>
      </c>
      <c r="B27" s="44">
        <f t="shared" si="1"/>
        <v>0</v>
      </c>
      <c r="C27" s="44">
        <f t="shared" si="1"/>
        <v>0</v>
      </c>
      <c r="D27" s="44">
        <f t="shared" si="1"/>
        <v>0</v>
      </c>
      <c r="E27" s="41"/>
      <c r="F27" s="49"/>
      <c r="G27" s="49"/>
      <c r="H27" s="49"/>
      <c r="I27" s="49"/>
      <c r="J27" s="49"/>
      <c r="K27" s="49"/>
      <c r="L27" s="49"/>
      <c r="M27" s="49"/>
      <c r="N27" s="49"/>
      <c r="O27" s="49"/>
      <c r="P27" s="49"/>
      <c r="Q27" s="49"/>
      <c r="R27" s="49"/>
      <c r="S27" s="49"/>
      <c r="T27" s="49"/>
      <c r="U27" s="49"/>
      <c r="V27" s="49"/>
      <c r="W27" s="49"/>
      <c r="X27" s="49"/>
      <c r="Y27" s="49"/>
      <c r="Z27" s="49"/>
      <c r="AA27" s="49"/>
      <c r="AB27" s="49"/>
      <c r="AC27" s="49"/>
      <c r="AD27" s="49"/>
      <c r="AE27" s="49"/>
      <c r="AF27" s="49"/>
      <c r="AG27" s="49"/>
      <c r="AH27" s="49"/>
      <c r="AI27" s="49"/>
      <c r="AJ27" s="49"/>
      <c r="AK27" s="49"/>
      <c r="AL27" s="49"/>
      <c r="AM27" s="28"/>
      <c r="AN27" s="29"/>
      <c r="AO27" s="29"/>
      <c r="AP27" s="29"/>
      <c r="AQ27" s="29"/>
      <c r="AR27" s="29"/>
      <c r="AS27" s="29"/>
      <c r="AT27" s="29"/>
      <c r="AU27" s="29"/>
      <c r="AV27" s="29"/>
      <c r="AW27" s="29"/>
      <c r="AX27" s="29"/>
      <c r="AY27" s="29"/>
      <c r="AZ27" s="29"/>
      <c r="BA27" s="29"/>
      <c r="BB27" s="30"/>
    </row>
    <row r="28" spans="1:54" ht="21" customHeight="1" outlineLevel="1" thickBot="1" x14ac:dyDescent="0.4">
      <c r="A28" s="44">
        <f t="shared" ref="A28:D33" si="2">IF( ISNUMBER( FIND(A$3,$E28,1)),   IF( ISNUMBER( VALUE(MID($E28,FIND(A$3,$E28,1)+2,1)) ), VALUE( MID($E28,FIND(A$3,$E28,1)+2,1) ),1),0)</f>
        <v>0</v>
      </c>
      <c r="B28" s="44">
        <f t="shared" si="2"/>
        <v>0</v>
      </c>
      <c r="C28" s="44">
        <f t="shared" si="2"/>
        <v>0</v>
      </c>
      <c r="D28" s="44">
        <f t="shared" si="2"/>
        <v>0</v>
      </c>
      <c r="E28" s="41"/>
      <c r="F28" s="49"/>
      <c r="G28" s="49"/>
      <c r="H28" s="49"/>
      <c r="I28" s="49"/>
      <c r="J28" s="49"/>
      <c r="K28" s="49"/>
      <c r="L28" s="49"/>
      <c r="M28" s="49"/>
      <c r="N28" s="49"/>
      <c r="O28" s="49"/>
      <c r="P28" s="49"/>
      <c r="Q28" s="49"/>
      <c r="R28" s="49"/>
      <c r="S28" s="49"/>
      <c r="T28" s="49"/>
      <c r="U28" s="49"/>
      <c r="V28" s="49"/>
      <c r="W28" s="49"/>
      <c r="X28" s="49"/>
      <c r="Y28" s="49"/>
      <c r="Z28" s="49"/>
      <c r="AA28" s="49"/>
      <c r="AB28" s="49"/>
      <c r="AC28" s="49"/>
      <c r="AD28" s="49"/>
      <c r="AE28" s="49"/>
      <c r="AF28" s="49"/>
      <c r="AG28" s="49"/>
      <c r="AH28" s="49"/>
      <c r="AI28" s="49"/>
      <c r="AJ28" s="49"/>
      <c r="AK28" s="49"/>
      <c r="AL28" s="49"/>
      <c r="AM28" s="28"/>
      <c r="AN28" s="29"/>
      <c r="AO28" s="29"/>
      <c r="AP28" s="29"/>
      <c r="AQ28" s="29"/>
      <c r="AR28" s="29"/>
      <c r="AS28" s="29"/>
      <c r="AT28" s="29"/>
      <c r="AU28" s="29"/>
      <c r="AV28" s="29"/>
      <c r="AW28" s="29"/>
      <c r="AX28" s="29"/>
      <c r="AY28" s="29"/>
      <c r="AZ28" s="29"/>
      <c r="BA28" s="29"/>
      <c r="BB28" s="30"/>
    </row>
    <row r="29" spans="1:54" ht="21" customHeight="1" outlineLevel="1" thickBot="1" x14ac:dyDescent="0.4">
      <c r="A29" s="44">
        <f t="shared" si="2"/>
        <v>0</v>
      </c>
      <c r="B29" s="44">
        <f t="shared" si="2"/>
        <v>0</v>
      </c>
      <c r="C29" s="44">
        <f t="shared" si="2"/>
        <v>0</v>
      </c>
      <c r="D29" s="44">
        <f t="shared" si="2"/>
        <v>0</v>
      </c>
      <c r="E29" s="41"/>
      <c r="F29" s="49"/>
      <c r="G29" s="49"/>
      <c r="H29" s="49"/>
      <c r="I29" s="49"/>
      <c r="J29" s="49"/>
      <c r="K29" s="49"/>
      <c r="L29" s="49"/>
      <c r="M29" s="49"/>
      <c r="N29" s="49"/>
      <c r="O29" s="49"/>
      <c r="P29" s="49"/>
      <c r="Q29" s="49"/>
      <c r="R29" s="49"/>
      <c r="S29" s="49"/>
      <c r="T29" s="49"/>
      <c r="U29" s="49"/>
      <c r="V29" s="49"/>
      <c r="W29" s="49"/>
      <c r="X29" s="49"/>
      <c r="Y29" s="49"/>
      <c r="Z29" s="49"/>
      <c r="AA29" s="49"/>
      <c r="AB29" s="49"/>
      <c r="AC29" s="49"/>
      <c r="AD29" s="49"/>
      <c r="AE29" s="49"/>
      <c r="AF29" s="49"/>
      <c r="AG29" s="49"/>
      <c r="AH29" s="49"/>
      <c r="AI29" s="49"/>
      <c r="AJ29" s="49"/>
      <c r="AK29" s="49"/>
      <c r="AL29" s="49"/>
      <c r="AM29" s="28"/>
      <c r="AN29" s="29"/>
      <c r="AO29" s="29"/>
      <c r="AP29" s="29"/>
      <c r="AQ29" s="29"/>
      <c r="AR29" s="29"/>
      <c r="AS29" s="29"/>
      <c r="AT29" s="29"/>
      <c r="AU29" s="29"/>
      <c r="AV29" s="29"/>
      <c r="AW29" s="29"/>
      <c r="AX29" s="29"/>
      <c r="AY29" s="29"/>
      <c r="AZ29" s="29"/>
      <c r="BA29" s="29"/>
      <c r="BB29" s="30"/>
    </row>
    <row r="30" spans="1:54" ht="21" customHeight="1" outlineLevel="1" thickBot="1" x14ac:dyDescent="0.4">
      <c r="A30" s="44">
        <f t="shared" si="2"/>
        <v>0</v>
      </c>
      <c r="B30" s="44">
        <f t="shared" si="2"/>
        <v>0</v>
      </c>
      <c r="C30" s="44">
        <f t="shared" si="2"/>
        <v>0</v>
      </c>
      <c r="D30" s="44">
        <f t="shared" si="2"/>
        <v>0</v>
      </c>
      <c r="E30" s="41"/>
      <c r="F30" s="49"/>
      <c r="G30" s="49"/>
      <c r="H30" s="49"/>
      <c r="I30" s="49"/>
      <c r="J30" s="49"/>
      <c r="K30" s="49"/>
      <c r="L30" s="49"/>
      <c r="M30" s="49"/>
      <c r="N30" s="49"/>
      <c r="O30" s="49"/>
      <c r="P30" s="49"/>
      <c r="Q30" s="49"/>
      <c r="R30" s="49"/>
      <c r="S30" s="49"/>
      <c r="T30" s="49"/>
      <c r="U30" s="49"/>
      <c r="V30" s="49"/>
      <c r="W30" s="49"/>
      <c r="X30" s="49"/>
      <c r="Y30" s="49"/>
      <c r="Z30" s="49"/>
      <c r="AA30" s="49"/>
      <c r="AB30" s="49"/>
      <c r="AC30" s="49"/>
      <c r="AD30" s="49"/>
      <c r="AE30" s="49"/>
      <c r="AF30" s="49"/>
      <c r="AG30" s="49"/>
      <c r="AH30" s="49"/>
      <c r="AI30" s="49"/>
      <c r="AJ30" s="49"/>
      <c r="AK30" s="49"/>
      <c r="AL30" s="49"/>
      <c r="AM30" s="28"/>
      <c r="AN30" s="29"/>
      <c r="AO30" s="29"/>
      <c r="AP30" s="29"/>
      <c r="AQ30" s="29"/>
      <c r="AR30" s="29"/>
      <c r="AS30" s="29"/>
      <c r="AT30" s="29"/>
      <c r="AU30" s="29"/>
      <c r="AV30" s="29"/>
      <c r="AW30" s="29"/>
      <c r="AX30" s="29"/>
      <c r="AY30" s="29"/>
      <c r="AZ30" s="29"/>
      <c r="BA30" s="29"/>
      <c r="BB30" s="30"/>
    </row>
    <row r="31" spans="1:54" ht="21" customHeight="1" outlineLevel="1" thickBot="1" x14ac:dyDescent="0.4">
      <c r="A31" s="44">
        <f t="shared" si="2"/>
        <v>0</v>
      </c>
      <c r="B31" s="44">
        <f t="shared" si="2"/>
        <v>0</v>
      </c>
      <c r="C31" s="44">
        <f t="shared" si="2"/>
        <v>0</v>
      </c>
      <c r="D31" s="44">
        <f t="shared" si="2"/>
        <v>0</v>
      </c>
      <c r="E31" s="41"/>
      <c r="F31" s="49"/>
      <c r="G31" s="49"/>
      <c r="H31" s="49"/>
      <c r="I31" s="49"/>
      <c r="J31" s="49"/>
      <c r="K31" s="49"/>
      <c r="L31" s="49"/>
      <c r="M31" s="49"/>
      <c r="N31" s="49"/>
      <c r="O31" s="49"/>
      <c r="P31" s="49"/>
      <c r="Q31" s="49"/>
      <c r="R31" s="49"/>
      <c r="S31" s="49"/>
      <c r="T31" s="49"/>
      <c r="U31" s="49"/>
      <c r="V31" s="49"/>
      <c r="W31" s="49"/>
      <c r="X31" s="49"/>
      <c r="Y31" s="49"/>
      <c r="Z31" s="49"/>
      <c r="AA31" s="49"/>
      <c r="AB31" s="49"/>
      <c r="AC31" s="49"/>
      <c r="AD31" s="49"/>
      <c r="AE31" s="49"/>
      <c r="AF31" s="49"/>
      <c r="AG31" s="49"/>
      <c r="AH31" s="49"/>
      <c r="AI31" s="49"/>
      <c r="AJ31" s="49"/>
      <c r="AK31" s="49"/>
      <c r="AL31" s="49"/>
      <c r="AM31" s="28"/>
      <c r="AN31" s="29"/>
      <c r="AO31" s="29"/>
      <c r="AP31" s="29"/>
      <c r="AQ31" s="29"/>
      <c r="AR31" s="29"/>
      <c r="AS31" s="29"/>
      <c r="AT31" s="29"/>
      <c r="AU31" s="29"/>
      <c r="AV31" s="29"/>
      <c r="AW31" s="29"/>
      <c r="AX31" s="29"/>
      <c r="AY31" s="29"/>
      <c r="AZ31" s="29"/>
      <c r="BA31" s="29"/>
      <c r="BB31" s="30"/>
    </row>
    <row r="32" spans="1:54" ht="21" customHeight="1" outlineLevel="1" thickBot="1" x14ac:dyDescent="0.4">
      <c r="A32" s="44">
        <f t="shared" si="2"/>
        <v>0</v>
      </c>
      <c r="B32" s="44">
        <f t="shared" si="2"/>
        <v>0</v>
      </c>
      <c r="C32" s="44">
        <f t="shared" si="2"/>
        <v>0</v>
      </c>
      <c r="D32" s="44">
        <f t="shared" si="2"/>
        <v>0</v>
      </c>
      <c r="E32" s="41"/>
      <c r="F32" s="49"/>
      <c r="G32" s="49"/>
      <c r="H32" s="49"/>
      <c r="I32" s="49"/>
      <c r="J32" s="49"/>
      <c r="K32" s="49"/>
      <c r="L32" s="49"/>
      <c r="M32" s="49"/>
      <c r="N32" s="49"/>
      <c r="O32" s="49"/>
      <c r="P32" s="49"/>
      <c r="Q32" s="49"/>
      <c r="R32" s="49"/>
      <c r="S32" s="49"/>
      <c r="T32" s="49"/>
      <c r="U32" s="49"/>
      <c r="V32" s="49"/>
      <c r="W32" s="49"/>
      <c r="X32" s="49"/>
      <c r="Y32" s="49"/>
      <c r="Z32" s="49"/>
      <c r="AA32" s="49"/>
      <c r="AB32" s="49"/>
      <c r="AC32" s="49"/>
      <c r="AD32" s="49"/>
      <c r="AE32" s="49"/>
      <c r="AF32" s="49"/>
      <c r="AG32" s="49"/>
      <c r="AH32" s="49"/>
      <c r="AI32" s="49"/>
      <c r="AJ32" s="49"/>
      <c r="AK32" s="49"/>
      <c r="AL32" s="49"/>
      <c r="AM32" s="28"/>
      <c r="AN32" s="29"/>
      <c r="AO32" s="29"/>
      <c r="AP32" s="29"/>
      <c r="AQ32" s="29"/>
      <c r="AR32" s="29"/>
      <c r="AS32" s="29"/>
      <c r="AT32" s="29"/>
      <c r="AU32" s="29"/>
      <c r="AV32" s="29"/>
      <c r="AW32" s="29"/>
      <c r="AX32" s="29"/>
      <c r="AY32" s="29"/>
      <c r="AZ32" s="29"/>
      <c r="BA32" s="29"/>
      <c r="BB32" s="30"/>
    </row>
    <row r="33" spans="1:54" ht="21" customHeight="1" outlineLevel="1" thickBot="1" x14ac:dyDescent="0.4">
      <c r="A33" s="44">
        <f t="shared" si="2"/>
        <v>0</v>
      </c>
      <c r="B33" s="44">
        <f t="shared" si="2"/>
        <v>0</v>
      </c>
      <c r="C33" s="44">
        <f t="shared" si="2"/>
        <v>0</v>
      </c>
      <c r="D33" s="44">
        <f t="shared" si="2"/>
        <v>0</v>
      </c>
      <c r="E33" s="41">
        <v>1</v>
      </c>
      <c r="U33" s="55"/>
      <c r="V33" s="55"/>
      <c r="W33" s="55"/>
      <c r="AM33" s="28"/>
      <c r="AN33" s="29"/>
      <c r="AO33" s="29"/>
      <c r="AP33" s="29"/>
      <c r="AQ33" s="29"/>
      <c r="AR33" s="29"/>
      <c r="AS33" s="29"/>
      <c r="AT33" s="29"/>
      <c r="AU33" s="29"/>
      <c r="AV33" s="29"/>
      <c r="AW33" s="29"/>
      <c r="AX33" s="29"/>
      <c r="AY33" s="29"/>
      <c r="AZ33" s="29"/>
      <c r="BA33" s="29"/>
      <c r="BB33" s="30"/>
    </row>
    <row r="34" spans="1:54" ht="21" customHeight="1" outlineLevel="1" x14ac:dyDescent="0.35">
      <c r="C34" s="11" t="s">
        <v>28</v>
      </c>
      <c r="D34" s="47">
        <f>MATCH(C34,$E$4:$E$33)</f>
        <v>13</v>
      </c>
      <c r="E34" s="11" t="str">
        <f ca="1">OFFSET($E$3:$AL$3,$D34,0)</f>
        <v>H (Ar)</v>
      </c>
      <c r="F34" s="14">
        <f t="shared" ref="F34:AL37" ca="1" si="3">OFFSET($E$3:$AL$3,$D34,0)</f>
        <v>-19.02</v>
      </c>
      <c r="G34" s="14">
        <f t="shared" ca="1" si="3"/>
        <v>-19.03</v>
      </c>
      <c r="H34" s="14">
        <f t="shared" ca="1" si="3"/>
        <v>-19.059999999999999</v>
      </c>
      <c r="I34" s="14">
        <f t="shared" ca="1" si="3"/>
        <v>-19.11</v>
      </c>
      <c r="J34" s="14">
        <f t="shared" ca="1" si="3"/>
        <v>-19.170000000000002</v>
      </c>
      <c r="K34" s="14">
        <f t="shared" ca="1" si="3"/>
        <v>-19.23</v>
      </c>
      <c r="L34" s="14">
        <f t="shared" ca="1" si="3"/>
        <v>-19.3</v>
      </c>
      <c r="M34" s="14">
        <f t="shared" ca="1" si="3"/>
        <v>-19.07</v>
      </c>
      <c r="N34" s="14">
        <f t="shared" ca="1" si="3"/>
        <v>-19.03</v>
      </c>
      <c r="O34" s="14">
        <f t="shared" ca="1" si="3"/>
        <v>-19.309999999999999</v>
      </c>
      <c r="P34" s="14">
        <f t="shared" ca="1" si="3"/>
        <v>-19.57</v>
      </c>
      <c r="Q34" s="14">
        <f t="shared" ca="1" si="3"/>
        <v>-19.82</v>
      </c>
      <c r="R34" s="14">
        <f t="shared" ca="1" si="3"/>
        <v>-19.88</v>
      </c>
      <c r="S34" s="14">
        <f t="shared" ca="1" si="3"/>
        <v>-19.940000000000001</v>
      </c>
      <c r="T34" s="14">
        <f t="shared" ca="1" si="3"/>
        <v>-20</v>
      </c>
      <c r="U34" s="14">
        <f t="shared" ca="1" si="3"/>
        <v>-20.05</v>
      </c>
      <c r="V34" s="14">
        <f t="shared" ca="1" si="3"/>
        <v>-20.260000000000002</v>
      </c>
      <c r="W34" s="14">
        <f t="shared" ca="1" si="3"/>
        <v>-20.46</v>
      </c>
      <c r="X34" s="14">
        <f t="shared" ca="1" si="3"/>
        <v>-20.51</v>
      </c>
      <c r="Y34" s="14">
        <f t="shared" ca="1" si="3"/>
        <v>-20.56</v>
      </c>
      <c r="Z34" s="14">
        <f t="shared" ca="1" si="3"/>
        <v>-20.6</v>
      </c>
      <c r="AA34" s="14">
        <f t="shared" ca="1" si="3"/>
        <v>-20.65</v>
      </c>
      <c r="AB34" s="14">
        <f t="shared" ca="1" si="3"/>
        <v>0</v>
      </c>
      <c r="AC34" s="14">
        <f t="shared" ca="1" si="3"/>
        <v>0</v>
      </c>
      <c r="AD34" s="14">
        <f t="shared" ca="1" si="3"/>
        <v>0</v>
      </c>
      <c r="AE34" s="14">
        <f t="shared" ca="1" si="3"/>
        <v>0</v>
      </c>
      <c r="AF34" s="14">
        <f t="shared" ca="1" si="3"/>
        <v>0</v>
      </c>
      <c r="AG34" s="14">
        <f t="shared" ca="1" si="3"/>
        <v>0</v>
      </c>
      <c r="AH34" s="14">
        <f t="shared" ca="1" si="3"/>
        <v>0</v>
      </c>
      <c r="AI34" s="14">
        <f t="shared" ca="1" si="3"/>
        <v>0</v>
      </c>
      <c r="AJ34" s="14">
        <f t="shared" ca="1" si="3"/>
        <v>0</v>
      </c>
      <c r="AK34" s="14">
        <f t="shared" ca="1" si="3"/>
        <v>0</v>
      </c>
      <c r="AL34" s="14">
        <f t="shared" ca="1" si="3"/>
        <v>0</v>
      </c>
      <c r="AM34" s="28"/>
      <c r="AN34" s="29"/>
      <c r="AO34" s="29"/>
      <c r="AP34" s="29"/>
      <c r="AQ34" s="29"/>
      <c r="AR34" s="29"/>
      <c r="AS34" s="29"/>
      <c r="AT34" s="29"/>
      <c r="AU34" s="29"/>
      <c r="AV34" s="29"/>
      <c r="AW34" s="29"/>
      <c r="AX34" s="29"/>
      <c r="AY34" s="29"/>
      <c r="AZ34" s="29"/>
      <c r="BA34" s="29"/>
      <c r="BB34" s="30"/>
    </row>
    <row r="35" spans="1:54" ht="21" customHeight="1" outlineLevel="1" x14ac:dyDescent="0.35">
      <c r="C35" s="11" t="s">
        <v>5</v>
      </c>
      <c r="D35" s="47">
        <f t="shared" ref="D35:D37" si="4">MATCH(C35,$E$4:$E$33)</f>
        <v>14</v>
      </c>
      <c r="E35" s="11" t="str">
        <f t="shared" ref="E35:E37" ca="1" si="5">OFFSET($E$3:$AL$3,$D35,0)</f>
        <v>H (Ga)</v>
      </c>
      <c r="F35" s="14">
        <f t="shared" ca="1" si="3"/>
        <v>-60.99</v>
      </c>
      <c r="G35" s="14">
        <f t="shared" ca="1" si="3"/>
        <v>-55.39</v>
      </c>
      <c r="H35" s="14">
        <f t="shared" ca="1" si="3"/>
        <v>-48.92</v>
      </c>
      <c r="I35" s="14">
        <f t="shared" ca="1" si="3"/>
        <v>-42.66</v>
      </c>
      <c r="J35" s="14">
        <f t="shared" ca="1" si="3"/>
        <v>-37.28</v>
      </c>
      <c r="K35" s="14">
        <f t="shared" ca="1" si="3"/>
        <v>-32.6</v>
      </c>
      <c r="L35" s="14">
        <f t="shared" ca="1" si="3"/>
        <v>-28.48</v>
      </c>
      <c r="M35" s="14">
        <f t="shared" ca="1" si="3"/>
        <v>-25.41</v>
      </c>
      <c r="N35" s="14">
        <f t="shared" ca="1" si="3"/>
        <v>-26.73</v>
      </c>
      <c r="O35" s="14">
        <f t="shared" ca="1" si="3"/>
        <v>-31.78</v>
      </c>
      <c r="P35" s="14">
        <f t="shared" ca="1" si="3"/>
        <v>-36.28</v>
      </c>
      <c r="Q35" s="14">
        <f t="shared" ca="1" si="3"/>
        <v>-40.049999999999997</v>
      </c>
      <c r="R35" s="14">
        <f t="shared" ca="1" si="3"/>
        <v>-40.86</v>
      </c>
      <c r="S35" s="14">
        <f t="shared" ca="1" si="3"/>
        <v>-41.61</v>
      </c>
      <c r="T35" s="14">
        <f t="shared" ca="1" si="3"/>
        <v>-42.31</v>
      </c>
      <c r="U35" s="14">
        <f t="shared" ca="1" si="3"/>
        <v>-42.94</v>
      </c>
      <c r="V35" s="14">
        <f t="shared" ca="1" si="3"/>
        <v>-44.86</v>
      </c>
      <c r="W35" s="14">
        <f t="shared" ca="1" si="3"/>
        <v>-45.72</v>
      </c>
      <c r="X35" s="14">
        <f t="shared" ca="1" si="3"/>
        <v>-45.76</v>
      </c>
      <c r="Y35" s="14">
        <f t="shared" ca="1" si="3"/>
        <v>-45.74</v>
      </c>
      <c r="Z35" s="14">
        <f t="shared" ca="1" si="3"/>
        <v>-45.64</v>
      </c>
      <c r="AA35" s="14">
        <f t="shared" ca="1" si="3"/>
        <v>-45.47</v>
      </c>
      <c r="AB35" s="14">
        <f t="shared" ca="1" si="3"/>
        <v>0</v>
      </c>
      <c r="AC35" s="14">
        <f t="shared" ca="1" si="3"/>
        <v>0</v>
      </c>
      <c r="AD35" s="14">
        <f t="shared" ca="1" si="3"/>
        <v>0</v>
      </c>
      <c r="AE35" s="14">
        <f t="shared" ca="1" si="3"/>
        <v>0</v>
      </c>
      <c r="AF35" s="14">
        <f t="shared" ca="1" si="3"/>
        <v>0</v>
      </c>
      <c r="AG35" s="14">
        <f t="shared" ca="1" si="3"/>
        <v>0</v>
      </c>
      <c r="AH35" s="14">
        <f t="shared" ca="1" si="3"/>
        <v>0</v>
      </c>
      <c r="AI35" s="14">
        <f t="shared" ca="1" si="3"/>
        <v>0</v>
      </c>
      <c r="AJ35" s="14">
        <f t="shared" ca="1" si="3"/>
        <v>0</v>
      </c>
      <c r="AK35" s="14">
        <f t="shared" ca="1" si="3"/>
        <v>0</v>
      </c>
      <c r="AL35" s="14">
        <f t="shared" ca="1" si="3"/>
        <v>0</v>
      </c>
      <c r="AM35" s="28"/>
      <c r="AN35" s="29"/>
      <c r="AO35" s="29"/>
      <c r="AP35" s="29"/>
      <c r="AQ35" s="29"/>
      <c r="AR35" s="29"/>
      <c r="AS35" s="29"/>
      <c r="AT35" s="29"/>
      <c r="AU35" s="29"/>
      <c r="AV35" s="29"/>
      <c r="AW35" s="29"/>
      <c r="AX35" s="29"/>
      <c r="AY35" s="29"/>
      <c r="AZ35" s="29"/>
      <c r="BA35" s="29"/>
      <c r="BB35" s="30"/>
    </row>
    <row r="36" spans="1:54" ht="21" customHeight="1" outlineLevel="1" x14ac:dyDescent="0.35">
      <c r="C36" s="11" t="s">
        <v>6</v>
      </c>
      <c r="D36" s="47">
        <f t="shared" si="4"/>
        <v>15</v>
      </c>
      <c r="E36" s="11" t="str">
        <f t="shared" ca="1" si="5"/>
        <v>H (Ge)</v>
      </c>
      <c r="F36" s="14">
        <f t="shared" ca="1" si="3"/>
        <v>-15.35</v>
      </c>
      <c r="G36" s="14">
        <f t="shared" ca="1" si="3"/>
        <v>-14.36</v>
      </c>
      <c r="H36" s="14">
        <f t="shared" ca="1" si="3"/>
        <v>-12.3</v>
      </c>
      <c r="I36" s="14">
        <f t="shared" ca="1" si="3"/>
        <v>-10.01</v>
      </c>
      <c r="J36" s="14">
        <f t="shared" ca="1" si="3"/>
        <v>-8.0210000000000008</v>
      </c>
      <c r="K36" s="14">
        <f t="shared" ca="1" si="3"/>
        <v>-6.28</v>
      </c>
      <c r="L36" s="14">
        <f t="shared" ca="1" si="3"/>
        <v>-4.7359999999999998</v>
      </c>
      <c r="M36" s="14">
        <f t="shared" ca="1" si="3"/>
        <v>-4.141</v>
      </c>
      <c r="N36" s="14">
        <f t="shared" ca="1" si="3"/>
        <v>-4.2229999999999999</v>
      </c>
      <c r="O36" s="14">
        <f t="shared" ca="1" si="3"/>
        <v>-4.5529999999999999</v>
      </c>
      <c r="P36" s="14">
        <f t="shared" ca="1" si="3"/>
        <v>-4.8730000000000002</v>
      </c>
      <c r="Q36" s="14">
        <f t="shared" ca="1" si="3"/>
        <v>-5.1749999999999998</v>
      </c>
      <c r="R36" s="14">
        <f t="shared" ca="1" si="3"/>
        <v>-5.2469999999999999</v>
      </c>
      <c r="S36" s="14">
        <f t="shared" ca="1" si="3"/>
        <v>-5.3179999999999996</v>
      </c>
      <c r="T36" s="14">
        <f t="shared" ca="1" si="3"/>
        <v>-5.3890000000000002</v>
      </c>
      <c r="U36" s="14">
        <f t="shared" ca="1" si="3"/>
        <v>-5.4580000000000002</v>
      </c>
      <c r="V36" s="14">
        <f t="shared" ca="1" si="3"/>
        <v>-5.7869999999999999</v>
      </c>
      <c r="W36" s="14">
        <f t="shared" ca="1" si="3"/>
        <v>-6.3879999999999999</v>
      </c>
      <c r="X36" s="14">
        <f t="shared" ca="1" si="3"/>
        <v>-6.5250000000000004</v>
      </c>
      <c r="Y36" s="14">
        <f t="shared" ca="1" si="3"/>
        <v>-6.6580000000000004</v>
      </c>
      <c r="Z36" s="14">
        <f t="shared" ca="1" si="3"/>
        <v>-6.7869999999999999</v>
      </c>
      <c r="AA36" s="14">
        <f t="shared" ca="1" si="3"/>
        <v>-6.9109999999999996</v>
      </c>
      <c r="AB36" s="14">
        <f t="shared" ca="1" si="3"/>
        <v>0</v>
      </c>
      <c r="AC36" s="14">
        <f t="shared" ca="1" si="3"/>
        <v>0</v>
      </c>
      <c r="AD36" s="14">
        <f t="shared" ca="1" si="3"/>
        <v>0</v>
      </c>
      <c r="AE36" s="14">
        <f t="shared" ca="1" si="3"/>
        <v>0</v>
      </c>
      <c r="AF36" s="14">
        <f t="shared" ca="1" si="3"/>
        <v>0</v>
      </c>
      <c r="AG36" s="14">
        <f t="shared" ca="1" si="3"/>
        <v>0</v>
      </c>
      <c r="AH36" s="14">
        <f t="shared" ca="1" si="3"/>
        <v>0</v>
      </c>
      <c r="AI36" s="14">
        <f t="shared" ca="1" si="3"/>
        <v>0</v>
      </c>
      <c r="AJ36" s="14">
        <f t="shared" ca="1" si="3"/>
        <v>0</v>
      </c>
      <c r="AK36" s="14">
        <f t="shared" ca="1" si="3"/>
        <v>0</v>
      </c>
      <c r="AL36" s="14">
        <f t="shared" ca="1" si="3"/>
        <v>0</v>
      </c>
      <c r="AM36" s="28"/>
      <c r="AN36" s="29"/>
      <c r="AO36" s="29"/>
      <c r="AP36" s="29"/>
      <c r="AQ36" s="29"/>
      <c r="AR36" s="29"/>
      <c r="AS36" s="29"/>
      <c r="AT36" s="29"/>
      <c r="AU36" s="29"/>
      <c r="AV36" s="29"/>
      <c r="AW36" s="29"/>
      <c r="AX36" s="29"/>
      <c r="AY36" s="29"/>
      <c r="AZ36" s="29"/>
      <c r="BA36" s="29"/>
      <c r="BB36" s="30"/>
    </row>
    <row r="37" spans="1:54" ht="21" customHeight="1" outlineLevel="1" thickBot="1" x14ac:dyDescent="0.4">
      <c r="C37" s="11" t="s">
        <v>7</v>
      </c>
      <c r="D37" s="47">
        <f t="shared" si="4"/>
        <v>16</v>
      </c>
      <c r="E37" s="11" t="str">
        <f t="shared" ca="1" si="5"/>
        <v>H (Se)</v>
      </c>
      <c r="F37" s="14">
        <f t="shared" ca="1" si="3"/>
        <v>-21.89</v>
      </c>
      <c r="G37" s="14">
        <f t="shared" ca="1" si="3"/>
        <v>-20.11</v>
      </c>
      <c r="H37" s="14">
        <f t="shared" ca="1" si="3"/>
        <v>-19.97</v>
      </c>
      <c r="I37" s="14">
        <f t="shared" ca="1" si="3"/>
        <v>-20.47</v>
      </c>
      <c r="J37" s="14">
        <f t="shared" ca="1" si="3"/>
        <v>-20.98</v>
      </c>
      <c r="K37" s="14">
        <f t="shared" ca="1" si="3"/>
        <v>-21.49</v>
      </c>
      <c r="L37" s="14">
        <f t="shared" ca="1" si="3"/>
        <v>-22.01</v>
      </c>
      <c r="M37" s="14">
        <f t="shared" ca="1" si="3"/>
        <v>-22.51</v>
      </c>
      <c r="N37" s="14">
        <f t="shared" ca="1" si="3"/>
        <v>-23.02</v>
      </c>
      <c r="O37" s="14">
        <f t="shared" ca="1" si="3"/>
        <v>-24.96</v>
      </c>
      <c r="P37" s="14">
        <f t="shared" ca="1" si="3"/>
        <v>-26.77</v>
      </c>
      <c r="Q37" s="14">
        <f t="shared" ca="1" si="3"/>
        <v>-28.49</v>
      </c>
      <c r="R37" s="14">
        <f t="shared" ca="1" si="3"/>
        <v>-28.9</v>
      </c>
      <c r="S37" s="14">
        <f t="shared" ca="1" si="3"/>
        <v>-29.31</v>
      </c>
      <c r="T37" s="14">
        <f t="shared" ca="1" si="3"/>
        <v>-29.72</v>
      </c>
      <c r="U37" s="14">
        <f t="shared" ca="1" si="3"/>
        <v>-30.12</v>
      </c>
      <c r="V37" s="14">
        <f t="shared" ca="1" si="3"/>
        <v>-31.69</v>
      </c>
      <c r="W37" s="14">
        <f t="shared" ca="1" si="3"/>
        <v>-33.22</v>
      </c>
      <c r="X37" s="14">
        <f t="shared" ca="1" si="3"/>
        <v>-33.590000000000003</v>
      </c>
      <c r="Y37" s="14">
        <f t="shared" ca="1" si="3"/>
        <v>-33.97</v>
      </c>
      <c r="Z37" s="14">
        <f t="shared" ca="1" si="3"/>
        <v>-34.340000000000003</v>
      </c>
      <c r="AA37" s="14">
        <f t="shared" ca="1" si="3"/>
        <v>-34.71</v>
      </c>
      <c r="AB37" s="14">
        <f t="shared" ca="1" si="3"/>
        <v>0</v>
      </c>
      <c r="AC37" s="14">
        <f t="shared" ca="1" si="3"/>
        <v>0</v>
      </c>
      <c r="AD37" s="14">
        <f t="shared" ca="1" si="3"/>
        <v>0</v>
      </c>
      <c r="AE37" s="14">
        <f t="shared" ca="1" si="3"/>
        <v>0</v>
      </c>
      <c r="AF37" s="14">
        <f t="shared" ca="1" si="3"/>
        <v>0</v>
      </c>
      <c r="AG37" s="14">
        <f t="shared" ca="1" si="3"/>
        <v>0</v>
      </c>
      <c r="AH37" s="14">
        <f t="shared" ca="1" si="3"/>
        <v>0</v>
      </c>
      <c r="AI37" s="14">
        <f t="shared" ca="1" si="3"/>
        <v>0</v>
      </c>
      <c r="AJ37" s="14">
        <f t="shared" ca="1" si="3"/>
        <v>0</v>
      </c>
      <c r="AK37" s="14">
        <f t="shared" ca="1" si="3"/>
        <v>0</v>
      </c>
      <c r="AL37" s="14">
        <f t="shared" ca="1" si="3"/>
        <v>0</v>
      </c>
      <c r="AM37" s="31"/>
      <c r="AN37" s="32"/>
      <c r="AO37" s="32"/>
      <c r="AP37" s="32"/>
      <c r="AQ37" s="32"/>
      <c r="AR37" s="32"/>
      <c r="AS37" s="32"/>
      <c r="AT37" s="32"/>
      <c r="AU37" s="32"/>
      <c r="AV37" s="32"/>
      <c r="AW37" s="32"/>
      <c r="AX37" s="32"/>
      <c r="AY37" s="32"/>
      <c r="AZ37" s="32"/>
      <c r="BA37" s="32"/>
      <c r="BB37" s="33"/>
    </row>
    <row r="38" spans="1:54" ht="21" customHeight="1" thickBot="1" x14ac:dyDescent="0.4">
      <c r="U38" s="55"/>
      <c r="V38" s="55"/>
      <c r="W38" s="55"/>
      <c r="AO38" s="29"/>
      <c r="AP38" s="29"/>
      <c r="AQ38" s="29"/>
      <c r="AR38" s="29"/>
      <c r="AS38" s="29"/>
      <c r="AT38" s="29"/>
      <c r="AU38" s="29"/>
      <c r="AV38" s="29"/>
      <c r="AW38" s="29"/>
      <c r="AX38" s="29"/>
      <c r="AY38" s="29"/>
      <c r="AZ38" s="29"/>
      <c r="BA38" s="29"/>
      <c r="BB38" s="29"/>
    </row>
    <row r="39" spans="1:54" ht="21" customHeight="1" thickTop="1" thickBot="1" x14ac:dyDescent="0.45">
      <c r="A39" s="81" t="s">
        <v>8</v>
      </c>
      <c r="B39" s="82"/>
      <c r="C39" s="82"/>
      <c r="D39" s="83"/>
      <c r="E39" s="74" t="s">
        <v>21</v>
      </c>
      <c r="F39" s="75"/>
      <c r="G39" s="75"/>
      <c r="H39" s="75"/>
      <c r="I39" s="75"/>
      <c r="J39" s="75"/>
      <c r="K39" s="75"/>
      <c r="L39" s="75"/>
      <c r="M39" s="75"/>
      <c r="N39" s="75"/>
      <c r="O39" s="75"/>
      <c r="P39" s="75"/>
      <c r="Q39" s="75"/>
      <c r="R39" s="75"/>
      <c r="S39" s="75"/>
      <c r="T39" s="75"/>
      <c r="U39" s="75"/>
      <c r="V39" s="75"/>
      <c r="W39" s="75"/>
      <c r="X39" s="75"/>
      <c r="Y39" s="75"/>
      <c r="Z39" s="75"/>
      <c r="AA39" s="75"/>
      <c r="AB39" s="75"/>
      <c r="AC39" s="75"/>
      <c r="AD39" s="75"/>
      <c r="AE39" s="75"/>
      <c r="AF39" s="75"/>
      <c r="AG39" s="75"/>
      <c r="AH39" s="75"/>
      <c r="AI39" s="75"/>
      <c r="AJ39" s="75"/>
      <c r="AK39" s="75"/>
      <c r="AL39" s="75"/>
      <c r="AM39" s="75"/>
      <c r="AN39" s="75"/>
      <c r="AO39" s="75"/>
      <c r="AP39" s="75"/>
      <c r="AQ39" s="75"/>
      <c r="AR39" s="75"/>
      <c r="AS39" s="75"/>
      <c r="AT39" s="75"/>
      <c r="AU39" s="75"/>
      <c r="AV39" s="75"/>
      <c r="AW39" s="75"/>
      <c r="AX39" s="75"/>
      <c r="AY39" s="75"/>
      <c r="AZ39" s="75"/>
      <c r="BA39" s="75"/>
      <c r="BB39" s="75"/>
    </row>
    <row r="40" spans="1:54" ht="21" hidden="1" customHeight="1" outlineLevel="1" thickTop="1" thickBot="1" x14ac:dyDescent="0.4">
      <c r="A40" s="7" t="s">
        <v>1</v>
      </c>
      <c r="B40" s="7" t="s">
        <v>3</v>
      </c>
      <c r="C40" s="7" t="s">
        <v>4</v>
      </c>
      <c r="D40" s="7" t="s">
        <v>2</v>
      </c>
      <c r="E40" s="7" t="s">
        <v>9</v>
      </c>
      <c r="F40" s="8">
        <f>F3</f>
        <v>298.2</v>
      </c>
      <c r="G40" s="8">
        <f t="shared" ref="G40:AL40" si="6">G3</f>
        <v>331.5</v>
      </c>
      <c r="H40" s="8">
        <f t="shared" si="6"/>
        <v>364.9</v>
      </c>
      <c r="I40" s="8">
        <f t="shared" si="6"/>
        <v>398.3</v>
      </c>
      <c r="J40" s="8">
        <f t="shared" si="6"/>
        <v>431.7</v>
      </c>
      <c r="K40" s="8">
        <f t="shared" si="6"/>
        <v>465.1</v>
      </c>
      <c r="L40" s="8">
        <f t="shared" si="6"/>
        <v>498.5</v>
      </c>
      <c r="M40" s="8">
        <f t="shared" si="6"/>
        <v>531.79999999999995</v>
      </c>
      <c r="N40" s="8">
        <f t="shared" si="6"/>
        <v>565.20000000000005</v>
      </c>
      <c r="O40" s="8">
        <f t="shared" si="6"/>
        <v>698.8</v>
      </c>
      <c r="P40" s="8">
        <f t="shared" si="6"/>
        <v>832.3</v>
      </c>
      <c r="Q40" s="8">
        <f t="shared" si="6"/>
        <v>965.8</v>
      </c>
      <c r="R40" s="8">
        <f t="shared" si="6"/>
        <v>999.2</v>
      </c>
      <c r="S40" s="8">
        <f t="shared" si="6"/>
        <v>1033</v>
      </c>
      <c r="T40" s="8">
        <f t="shared" si="6"/>
        <v>1066</v>
      </c>
      <c r="U40" s="8">
        <f t="shared" si="6"/>
        <v>1099</v>
      </c>
      <c r="V40" s="8">
        <f t="shared" si="6"/>
        <v>1233</v>
      </c>
      <c r="W40" s="8">
        <f t="shared" si="6"/>
        <v>1366</v>
      </c>
      <c r="X40" s="8">
        <f t="shared" si="6"/>
        <v>1400</v>
      </c>
      <c r="Y40" s="8">
        <f t="shared" si="6"/>
        <v>1433</v>
      </c>
      <c r="Z40" s="8">
        <f t="shared" si="6"/>
        <v>1467</v>
      </c>
      <c r="AA40" s="8">
        <f t="shared" si="6"/>
        <v>1500</v>
      </c>
      <c r="AB40" s="8">
        <f t="shared" si="6"/>
        <v>0</v>
      </c>
      <c r="AC40" s="8">
        <f t="shared" si="6"/>
        <v>0</v>
      </c>
      <c r="AD40" s="8">
        <f t="shared" si="6"/>
        <v>0</v>
      </c>
      <c r="AE40" s="8">
        <f t="shared" si="6"/>
        <v>0</v>
      </c>
      <c r="AF40" s="8">
        <f t="shared" si="6"/>
        <v>0</v>
      </c>
      <c r="AG40" s="8">
        <f t="shared" si="6"/>
        <v>0</v>
      </c>
      <c r="AH40" s="8">
        <f t="shared" si="6"/>
        <v>0</v>
      </c>
      <c r="AI40" s="8">
        <f t="shared" si="6"/>
        <v>0</v>
      </c>
      <c r="AJ40" s="8">
        <f t="shared" si="6"/>
        <v>0</v>
      </c>
      <c r="AK40" s="8">
        <f t="shared" si="6"/>
        <v>0</v>
      </c>
      <c r="AL40" s="8">
        <f t="shared" si="6"/>
        <v>0</v>
      </c>
    </row>
    <row r="41" spans="1:54" ht="21" hidden="1" customHeight="1" outlineLevel="1" thickTop="1" x14ac:dyDescent="0.35">
      <c r="A41" s="9">
        <f t="array" ref="A41">Values!D3:G3/Values!$E$3</f>
        <v>1.6666666666666667</v>
      </c>
      <c r="B41" s="9">
        <f t="array" ref="B41">Values!E3:H3/Values!$E$3</f>
        <v>1</v>
      </c>
      <c r="C41" s="9">
        <f t="array" ref="C41">Values!F3:I3/Values!$E$3</f>
        <v>1.6666666666666667</v>
      </c>
      <c r="D41" s="9">
        <f t="array" ref="D41">Values!G3:J3/Values!$E$3</f>
        <v>4</v>
      </c>
      <c r="E41" s="9">
        <f>SUM(A41:D41)</f>
        <v>8.3333333333333339</v>
      </c>
      <c r="F41" s="10">
        <f t="shared" ref="F41:AL41" ca="1" si="7">($B$41*H.Ge+$C$41*H.Ga+$D$41*H.Se)*F$40*$B$2/1000</f>
        <v>-507.18277058400002</v>
      </c>
      <c r="G41" s="10">
        <f t="shared" ca="1" si="7"/>
        <v>-515.74157553750013</v>
      </c>
      <c r="H41" s="10">
        <f t="shared" ca="1" si="7"/>
        <v>-527.03948719900006</v>
      </c>
      <c r="I41" s="10">
        <f t="shared" ca="1" si="7"/>
        <v>-539.76833539650011</v>
      </c>
      <c r="J41" s="10">
        <f t="shared" ca="1" si="7"/>
        <v>-553.02973591065006</v>
      </c>
      <c r="K41" s="10">
        <f t="shared" ca="1" si="7"/>
        <v>-566.80991909800002</v>
      </c>
      <c r="L41" s="10">
        <f t="shared" ca="1" si="7"/>
        <v>-581.27475452200008</v>
      </c>
      <c r="M41" s="10">
        <f t="shared" ca="1" si="7"/>
        <v>-603.69244633409994</v>
      </c>
      <c r="N41" s="10">
        <f t="shared" ca="1" si="7"/>
        <v>-661.91830615620017</v>
      </c>
      <c r="O41" s="10">
        <f t="shared" ca="1" si="7"/>
        <v>-914.28682361179995</v>
      </c>
      <c r="P41" s="10">
        <f t="shared" ca="1" si="7"/>
        <v>-1193.1713959875501</v>
      </c>
      <c r="Q41" s="10">
        <f t="shared" ca="1" si="7"/>
        <v>-1492.6833360285</v>
      </c>
      <c r="R41" s="10">
        <f t="shared" ca="1" si="7"/>
        <v>-1569.7430316348004</v>
      </c>
      <c r="S41" s="10">
        <f t="shared" ca="1" si="7"/>
        <v>-1648.2744951780003</v>
      </c>
      <c r="T41" s="10">
        <f t="shared" ca="1" si="7"/>
        <v>-1726.4354235829999</v>
      </c>
      <c r="U41" s="10">
        <f t="shared" ca="1" si="7"/>
        <v>-1804.7256535490001</v>
      </c>
      <c r="V41" s="10">
        <f t="shared" ca="1" si="7"/>
        <v>-2125.3337906895003</v>
      </c>
      <c r="W41" s="10">
        <f t="shared" ca="1" si="7"/>
        <v>-2447.2008650760004</v>
      </c>
      <c r="X41" s="10">
        <f t="shared" ca="1" si="7"/>
        <v>-2527.7105455000005</v>
      </c>
      <c r="Y41" s="10">
        <f t="shared" ca="1" si="7"/>
        <v>-2606.5901016830003</v>
      </c>
      <c r="Z41" s="10">
        <f t="shared" ca="1" si="7"/>
        <v>-2686.0279017105008</v>
      </c>
      <c r="AA41" s="10">
        <f t="shared" ca="1" si="7"/>
        <v>-2762.92082175</v>
      </c>
      <c r="AB41" s="10">
        <f t="shared" ca="1" si="7"/>
        <v>0</v>
      </c>
      <c r="AC41" s="10">
        <f t="shared" ca="1" si="7"/>
        <v>0</v>
      </c>
      <c r="AD41" s="10">
        <f t="shared" ca="1" si="7"/>
        <v>0</v>
      </c>
      <c r="AE41" s="10">
        <f t="shared" ca="1" si="7"/>
        <v>0</v>
      </c>
      <c r="AF41" s="10">
        <f t="shared" ca="1" si="7"/>
        <v>0</v>
      </c>
      <c r="AG41" s="10">
        <f t="shared" ca="1" si="7"/>
        <v>0</v>
      </c>
      <c r="AH41" s="10">
        <f t="shared" ca="1" si="7"/>
        <v>0</v>
      </c>
      <c r="AI41" s="10">
        <f t="shared" ca="1" si="7"/>
        <v>0</v>
      </c>
      <c r="AJ41" s="10">
        <f t="shared" ca="1" si="7"/>
        <v>0</v>
      </c>
      <c r="AK41" s="10">
        <f t="shared" ca="1" si="7"/>
        <v>0</v>
      </c>
      <c r="AL41" s="10">
        <f t="shared" ca="1" si="7"/>
        <v>0</v>
      </c>
    </row>
    <row r="42" spans="1:54" ht="176.25" hidden="1" customHeight="1" outlineLevel="1" x14ac:dyDescent="0.35">
      <c r="U42" s="55"/>
      <c r="V42" s="55"/>
      <c r="W42" s="55"/>
    </row>
    <row r="43" spans="1:54" ht="21" customHeight="1" collapsed="1" thickTop="1" x14ac:dyDescent="0.35">
      <c r="U43" s="55"/>
      <c r="V43" s="55"/>
      <c r="W43" s="55"/>
    </row>
    <row r="44" spans="1:54" ht="21" customHeight="1" x14ac:dyDescent="0.4">
      <c r="A44" s="75"/>
      <c r="B44" s="75"/>
      <c r="C44" s="75"/>
      <c r="D44" s="75"/>
      <c r="E44" s="74" t="s">
        <v>22</v>
      </c>
      <c r="F44" s="75"/>
      <c r="G44" s="75"/>
      <c r="H44" s="75"/>
      <c r="I44" s="75"/>
      <c r="J44" s="75"/>
      <c r="K44" s="75"/>
      <c r="L44" s="75"/>
      <c r="M44" s="75"/>
      <c r="N44" s="75"/>
      <c r="O44" s="75"/>
      <c r="P44" s="75"/>
      <c r="Q44" s="75"/>
      <c r="R44" s="75"/>
      <c r="S44" s="75"/>
      <c r="T44" s="75"/>
      <c r="U44" s="75"/>
      <c r="V44" s="75"/>
      <c r="W44" s="75"/>
      <c r="X44" s="75"/>
      <c r="Y44" s="75"/>
      <c r="Z44" s="75"/>
      <c r="AA44" s="75"/>
      <c r="AB44" s="75"/>
      <c r="AC44" s="75"/>
      <c r="AD44" s="75"/>
      <c r="AE44" s="75"/>
      <c r="AF44" s="75"/>
      <c r="AG44" s="75"/>
      <c r="AH44" s="75"/>
      <c r="AI44" s="75"/>
      <c r="AJ44" s="75"/>
      <c r="AK44" s="75"/>
      <c r="AL44" s="75"/>
      <c r="AM44" s="75"/>
      <c r="AN44" s="75"/>
      <c r="AO44" s="75"/>
      <c r="AP44" s="75"/>
      <c r="AQ44" s="75"/>
      <c r="AR44" s="75"/>
      <c r="AS44" s="75"/>
      <c r="AT44" s="75"/>
      <c r="AU44" s="75"/>
      <c r="AV44" s="75"/>
      <c r="AW44" s="75"/>
      <c r="AX44" s="75"/>
      <c r="AY44" s="75"/>
      <c r="AZ44" s="75"/>
      <c r="BA44" s="75"/>
      <c r="BB44" s="75"/>
    </row>
    <row r="45" spans="1:54" ht="21" hidden="1" customHeight="1" outlineLevel="1" thickTop="1" thickBot="1" x14ac:dyDescent="0.4">
      <c r="A45" s="12" t="s">
        <v>1</v>
      </c>
      <c r="B45" s="12" t="s">
        <v>2</v>
      </c>
      <c r="C45" s="12" t="s">
        <v>3</v>
      </c>
      <c r="D45" s="13" t="s">
        <v>4</v>
      </c>
      <c r="E45" s="3">
        <f t="shared" ref="E45:AL45" si="8">E3</f>
        <v>0</v>
      </c>
      <c r="F45" s="3">
        <f t="shared" si="8"/>
        <v>298.2</v>
      </c>
      <c r="G45" s="3">
        <f t="shared" si="8"/>
        <v>331.5</v>
      </c>
      <c r="H45" s="3">
        <f t="shared" si="8"/>
        <v>364.9</v>
      </c>
      <c r="I45" s="3">
        <f t="shared" si="8"/>
        <v>398.3</v>
      </c>
      <c r="J45" s="3">
        <f t="shared" si="8"/>
        <v>431.7</v>
      </c>
      <c r="K45" s="3">
        <f t="shared" si="8"/>
        <v>465.1</v>
      </c>
      <c r="L45" s="3">
        <f t="shared" si="8"/>
        <v>498.5</v>
      </c>
      <c r="M45" s="3">
        <f t="shared" si="8"/>
        <v>531.79999999999995</v>
      </c>
      <c r="N45" s="3">
        <f t="shared" si="8"/>
        <v>565.20000000000005</v>
      </c>
      <c r="O45" s="3">
        <f t="shared" si="8"/>
        <v>698.8</v>
      </c>
      <c r="P45" s="3">
        <f t="shared" si="8"/>
        <v>832.3</v>
      </c>
      <c r="Q45" s="3">
        <f t="shared" si="8"/>
        <v>965.8</v>
      </c>
      <c r="R45" s="3">
        <f t="shared" si="8"/>
        <v>999.2</v>
      </c>
      <c r="S45" s="3">
        <f t="shared" si="8"/>
        <v>1033</v>
      </c>
      <c r="T45" s="3">
        <f t="shared" si="8"/>
        <v>1066</v>
      </c>
      <c r="U45" s="3">
        <f t="shared" si="8"/>
        <v>1099</v>
      </c>
      <c r="V45" s="3">
        <f t="shared" si="8"/>
        <v>1233</v>
      </c>
      <c r="W45" s="3">
        <f t="shared" si="8"/>
        <v>1366</v>
      </c>
      <c r="X45" s="3">
        <f t="shared" si="8"/>
        <v>1400</v>
      </c>
      <c r="Y45" s="3">
        <f t="shared" si="8"/>
        <v>1433</v>
      </c>
      <c r="Z45" s="3">
        <f t="shared" si="8"/>
        <v>1467</v>
      </c>
      <c r="AA45" s="3">
        <f t="shared" si="8"/>
        <v>1500</v>
      </c>
      <c r="AB45" s="3">
        <f t="shared" si="8"/>
        <v>0</v>
      </c>
      <c r="AC45" s="3">
        <f t="shared" si="8"/>
        <v>0</v>
      </c>
      <c r="AD45" s="3">
        <f t="shared" si="8"/>
        <v>0</v>
      </c>
      <c r="AE45" s="3">
        <f t="shared" si="8"/>
        <v>0</v>
      </c>
      <c r="AF45" s="3">
        <f t="shared" si="8"/>
        <v>0</v>
      </c>
      <c r="AG45" s="3">
        <f t="shared" si="8"/>
        <v>0</v>
      </c>
      <c r="AH45" s="3">
        <f t="shared" si="8"/>
        <v>0</v>
      </c>
      <c r="AI45" s="3">
        <f t="shared" si="8"/>
        <v>0</v>
      </c>
      <c r="AJ45" s="3">
        <f t="shared" si="8"/>
        <v>0</v>
      </c>
      <c r="AK45" s="3">
        <f t="shared" si="8"/>
        <v>0</v>
      </c>
      <c r="AL45" s="3">
        <f t="shared" si="8"/>
        <v>0</v>
      </c>
    </row>
    <row r="46" spans="1:54" ht="21" hidden="1" customHeight="1" outlineLevel="1" thickTop="1" thickBot="1" x14ac:dyDescent="0.4">
      <c r="A46" s="5">
        <f t="shared" ref="A46:E55" si="9">A4</f>
        <v>0</v>
      </c>
      <c r="B46" s="5">
        <f t="shared" si="9"/>
        <v>0</v>
      </c>
      <c r="C46" s="5">
        <f t="shared" si="9"/>
        <v>1</v>
      </c>
      <c r="D46" s="5">
        <f t="shared" si="9"/>
        <v>0</v>
      </c>
      <c r="E46" s="6" t="str">
        <f t="shared" si="9"/>
        <v>*Ge[l]</v>
      </c>
      <c r="F46" s="14">
        <f t="shared" ref="F46:U55" ca="1" si="10">$A46*H.Ar + $B46*H.Se + $C46*H.Ge + $D46*H.Ga</f>
        <v>-15.35</v>
      </c>
      <c r="G46" s="14">
        <f t="shared" ca="1" si="10"/>
        <v>-14.36</v>
      </c>
      <c r="H46" s="14">
        <f t="shared" ca="1" si="10"/>
        <v>-12.3</v>
      </c>
      <c r="I46" s="14">
        <f t="shared" ca="1" si="10"/>
        <v>-10.01</v>
      </c>
      <c r="J46" s="14">
        <f t="shared" ca="1" si="10"/>
        <v>-8.0210000000000008</v>
      </c>
      <c r="K46" s="14">
        <f t="shared" ca="1" si="10"/>
        <v>-6.28</v>
      </c>
      <c r="L46" s="14">
        <f t="shared" ca="1" si="10"/>
        <v>-4.7359999999999998</v>
      </c>
      <c r="M46" s="14">
        <f t="shared" ca="1" si="10"/>
        <v>-4.141</v>
      </c>
      <c r="N46" s="14">
        <f t="shared" ca="1" si="10"/>
        <v>-4.2229999999999999</v>
      </c>
      <c r="O46" s="14">
        <f t="shared" ca="1" si="10"/>
        <v>-4.5529999999999999</v>
      </c>
      <c r="P46" s="14">
        <f t="shared" ca="1" si="10"/>
        <v>-4.8730000000000002</v>
      </c>
      <c r="Q46" s="14">
        <f t="shared" ca="1" si="10"/>
        <v>-5.1749999999999998</v>
      </c>
      <c r="R46" s="14">
        <f t="shared" ca="1" si="10"/>
        <v>-5.2469999999999999</v>
      </c>
      <c r="S46" s="14">
        <f t="shared" ca="1" si="10"/>
        <v>-5.3179999999999996</v>
      </c>
      <c r="T46" s="14">
        <f t="shared" ca="1" si="10"/>
        <v>-5.3890000000000002</v>
      </c>
      <c r="U46" s="14">
        <f t="shared" ca="1" si="10"/>
        <v>-5.4580000000000002</v>
      </c>
      <c r="V46" s="14">
        <f t="shared" ref="V46:AL46" ca="1" si="11">$A46*H.Ar + $B46*H.Se + $C46*H.Ge + $D46*H.Ga</f>
        <v>-5.7869999999999999</v>
      </c>
      <c r="W46" s="14">
        <f t="shared" ca="1" si="11"/>
        <v>-6.3879999999999999</v>
      </c>
      <c r="X46" s="14">
        <f t="shared" ca="1" si="11"/>
        <v>-6.5250000000000004</v>
      </c>
      <c r="Y46" s="14">
        <f t="shared" ca="1" si="11"/>
        <v>-6.6580000000000004</v>
      </c>
      <c r="Z46" s="14">
        <f t="shared" ca="1" si="11"/>
        <v>-6.7869999999999999</v>
      </c>
      <c r="AA46" s="14">
        <f t="shared" ca="1" si="11"/>
        <v>-6.9109999999999996</v>
      </c>
      <c r="AB46" s="14">
        <f t="shared" ca="1" si="11"/>
        <v>0</v>
      </c>
      <c r="AC46" s="14">
        <f t="shared" ca="1" si="11"/>
        <v>0</v>
      </c>
      <c r="AD46" s="14">
        <f t="shared" ca="1" si="11"/>
        <v>0</v>
      </c>
      <c r="AE46" s="14">
        <f t="shared" ca="1" si="11"/>
        <v>0</v>
      </c>
      <c r="AF46" s="14">
        <f t="shared" ca="1" si="11"/>
        <v>0</v>
      </c>
      <c r="AG46" s="14">
        <f t="shared" ca="1" si="11"/>
        <v>0</v>
      </c>
      <c r="AH46" s="14">
        <f t="shared" ca="1" si="11"/>
        <v>0</v>
      </c>
      <c r="AI46" s="14">
        <f t="shared" ca="1" si="11"/>
        <v>0</v>
      </c>
      <c r="AJ46" s="14">
        <f t="shared" ca="1" si="11"/>
        <v>0</v>
      </c>
      <c r="AK46" s="14">
        <f t="shared" ca="1" si="11"/>
        <v>0</v>
      </c>
      <c r="AL46" s="14">
        <f t="shared" ca="1" si="11"/>
        <v>0</v>
      </c>
    </row>
    <row r="47" spans="1:54" ht="21" hidden="1" customHeight="1" outlineLevel="1" thickBot="1" x14ac:dyDescent="0.4">
      <c r="A47" s="5">
        <f t="shared" si="9"/>
        <v>0</v>
      </c>
      <c r="B47" s="5">
        <f t="shared" si="9"/>
        <v>0</v>
      </c>
      <c r="C47" s="5">
        <f t="shared" si="9"/>
        <v>1</v>
      </c>
      <c r="D47" s="5">
        <f t="shared" si="9"/>
        <v>0</v>
      </c>
      <c r="E47" s="6" t="str">
        <f t="shared" si="9"/>
        <v>*Ge</v>
      </c>
      <c r="F47" s="14">
        <f t="shared" ca="1" si="10"/>
        <v>-15.35</v>
      </c>
      <c r="G47" s="14">
        <f t="shared" ref="G47:AL54" ca="1" si="12">$A47*H.Ar + $B47*H.Se + $C47*H.Ge + $D47*H.Ga</f>
        <v>-14.36</v>
      </c>
      <c r="H47" s="14">
        <f t="shared" ca="1" si="12"/>
        <v>-12.3</v>
      </c>
      <c r="I47" s="14">
        <f t="shared" ca="1" si="12"/>
        <v>-10.01</v>
      </c>
      <c r="J47" s="14">
        <f t="shared" ca="1" si="12"/>
        <v>-8.0210000000000008</v>
      </c>
      <c r="K47" s="14">
        <f t="shared" ca="1" si="12"/>
        <v>-6.28</v>
      </c>
      <c r="L47" s="14">
        <f t="shared" ca="1" si="12"/>
        <v>-4.7359999999999998</v>
      </c>
      <c r="M47" s="14">
        <f t="shared" ca="1" si="12"/>
        <v>-4.141</v>
      </c>
      <c r="N47" s="14">
        <f t="shared" ca="1" si="12"/>
        <v>-4.2229999999999999</v>
      </c>
      <c r="O47" s="14">
        <f t="shared" ca="1" si="12"/>
        <v>-4.5529999999999999</v>
      </c>
      <c r="P47" s="14">
        <f t="shared" ca="1" si="12"/>
        <v>-4.8730000000000002</v>
      </c>
      <c r="Q47" s="14">
        <f t="shared" ca="1" si="12"/>
        <v>-5.1749999999999998</v>
      </c>
      <c r="R47" s="14">
        <f t="shared" ca="1" si="12"/>
        <v>-5.2469999999999999</v>
      </c>
      <c r="S47" s="14">
        <f t="shared" ca="1" si="12"/>
        <v>-5.3179999999999996</v>
      </c>
      <c r="T47" s="14">
        <f t="shared" ca="1" si="12"/>
        <v>-5.3890000000000002</v>
      </c>
      <c r="U47" s="14">
        <f t="shared" ca="1" si="12"/>
        <v>-5.4580000000000002</v>
      </c>
      <c r="V47" s="14">
        <f t="shared" ca="1" si="12"/>
        <v>-5.7869999999999999</v>
      </c>
      <c r="W47" s="14">
        <f t="shared" ca="1" si="12"/>
        <v>-6.3879999999999999</v>
      </c>
      <c r="X47" s="14">
        <f t="shared" ca="1" si="12"/>
        <v>-6.5250000000000004</v>
      </c>
      <c r="Y47" s="14">
        <f t="shared" ca="1" si="12"/>
        <v>-6.6580000000000004</v>
      </c>
      <c r="Z47" s="14">
        <f t="shared" ca="1" si="12"/>
        <v>-6.7869999999999999</v>
      </c>
      <c r="AA47" s="14">
        <f t="shared" ca="1" si="12"/>
        <v>-6.9109999999999996</v>
      </c>
      <c r="AB47" s="14">
        <f t="shared" ca="1" si="12"/>
        <v>0</v>
      </c>
      <c r="AC47" s="14">
        <f t="shared" ca="1" si="12"/>
        <v>0</v>
      </c>
      <c r="AD47" s="14">
        <f t="shared" ca="1" si="12"/>
        <v>0</v>
      </c>
      <c r="AE47" s="14">
        <f t="shared" ca="1" si="12"/>
        <v>0</v>
      </c>
      <c r="AF47" s="14">
        <f t="shared" ca="1" si="12"/>
        <v>0</v>
      </c>
      <c r="AG47" s="14">
        <f t="shared" ca="1" si="12"/>
        <v>0</v>
      </c>
      <c r="AH47" s="14">
        <f t="shared" ca="1" si="12"/>
        <v>0</v>
      </c>
      <c r="AI47" s="14">
        <f t="shared" ca="1" si="12"/>
        <v>0</v>
      </c>
      <c r="AJ47" s="14">
        <f t="shared" ca="1" si="12"/>
        <v>0</v>
      </c>
      <c r="AK47" s="14">
        <f t="shared" ca="1" si="12"/>
        <v>0</v>
      </c>
      <c r="AL47" s="14">
        <f t="shared" ca="1" si="12"/>
        <v>0</v>
      </c>
    </row>
    <row r="48" spans="1:54" ht="21" hidden="1" customHeight="1" outlineLevel="1" thickBot="1" x14ac:dyDescent="0.4">
      <c r="A48" s="5">
        <f t="shared" si="9"/>
        <v>0</v>
      </c>
      <c r="B48" s="5">
        <f t="shared" si="9"/>
        <v>1</v>
      </c>
      <c r="C48" s="5">
        <f t="shared" si="9"/>
        <v>1</v>
      </c>
      <c r="D48" s="5">
        <f t="shared" si="9"/>
        <v>0</v>
      </c>
      <c r="E48" s="6" t="str">
        <f t="shared" si="9"/>
        <v>*GeSe</v>
      </c>
      <c r="F48" s="14">
        <f t="shared" ca="1" si="10"/>
        <v>-37.24</v>
      </c>
      <c r="G48" s="14">
        <f t="shared" ca="1" si="12"/>
        <v>-34.47</v>
      </c>
      <c r="H48" s="14">
        <f t="shared" ca="1" si="12"/>
        <v>-32.269999999999996</v>
      </c>
      <c r="I48" s="14">
        <f t="shared" ca="1" si="12"/>
        <v>-30.479999999999997</v>
      </c>
      <c r="J48" s="14">
        <f t="shared" ca="1" si="12"/>
        <v>-29.001000000000001</v>
      </c>
      <c r="K48" s="14">
        <f t="shared" ca="1" si="12"/>
        <v>-27.77</v>
      </c>
      <c r="L48" s="14">
        <f t="shared" ca="1" si="12"/>
        <v>-26.746000000000002</v>
      </c>
      <c r="M48" s="14">
        <f t="shared" ca="1" si="12"/>
        <v>-26.651000000000003</v>
      </c>
      <c r="N48" s="14">
        <f t="shared" ca="1" si="12"/>
        <v>-27.242999999999999</v>
      </c>
      <c r="O48" s="14">
        <f t="shared" ca="1" si="12"/>
        <v>-29.513000000000002</v>
      </c>
      <c r="P48" s="14">
        <f t="shared" ca="1" si="12"/>
        <v>-31.643000000000001</v>
      </c>
      <c r="Q48" s="14">
        <f t="shared" ca="1" si="12"/>
        <v>-33.664999999999999</v>
      </c>
      <c r="R48" s="14">
        <f t="shared" ca="1" si="12"/>
        <v>-34.146999999999998</v>
      </c>
      <c r="S48" s="14">
        <f t="shared" ca="1" si="12"/>
        <v>-34.628</v>
      </c>
      <c r="T48" s="14">
        <f t="shared" ca="1" si="12"/>
        <v>-35.109000000000002</v>
      </c>
      <c r="U48" s="14">
        <f t="shared" ca="1" si="12"/>
        <v>-35.578000000000003</v>
      </c>
      <c r="V48" s="14">
        <f t="shared" ca="1" si="12"/>
        <v>-37.477000000000004</v>
      </c>
      <c r="W48" s="14">
        <f t="shared" ca="1" si="12"/>
        <v>-39.607999999999997</v>
      </c>
      <c r="X48" s="14">
        <f t="shared" ca="1" si="12"/>
        <v>-40.115000000000002</v>
      </c>
      <c r="Y48" s="14">
        <f t="shared" ca="1" si="12"/>
        <v>-40.628</v>
      </c>
      <c r="Z48" s="14">
        <f t="shared" ca="1" si="12"/>
        <v>-41.127000000000002</v>
      </c>
      <c r="AA48" s="14">
        <f t="shared" ca="1" si="12"/>
        <v>-41.621000000000002</v>
      </c>
      <c r="AB48" s="14">
        <f t="shared" ca="1" si="12"/>
        <v>0</v>
      </c>
      <c r="AC48" s="14">
        <f t="shared" ca="1" si="12"/>
        <v>0</v>
      </c>
      <c r="AD48" s="14">
        <f t="shared" ca="1" si="12"/>
        <v>0</v>
      </c>
      <c r="AE48" s="14">
        <f t="shared" ca="1" si="12"/>
        <v>0</v>
      </c>
      <c r="AF48" s="14">
        <f t="shared" ca="1" si="12"/>
        <v>0</v>
      </c>
      <c r="AG48" s="14">
        <f t="shared" ca="1" si="12"/>
        <v>0</v>
      </c>
      <c r="AH48" s="14">
        <f t="shared" ca="1" si="12"/>
        <v>0</v>
      </c>
      <c r="AI48" s="14">
        <f t="shared" ca="1" si="12"/>
        <v>0</v>
      </c>
      <c r="AJ48" s="14">
        <f t="shared" ca="1" si="12"/>
        <v>0</v>
      </c>
      <c r="AK48" s="14">
        <f t="shared" ca="1" si="12"/>
        <v>0</v>
      </c>
      <c r="AL48" s="14">
        <f t="shared" ca="1" si="12"/>
        <v>0</v>
      </c>
    </row>
    <row r="49" spans="1:38" ht="21" hidden="1" customHeight="1" outlineLevel="1" thickBot="1" x14ac:dyDescent="0.4">
      <c r="A49" s="5">
        <f t="shared" si="9"/>
        <v>0</v>
      </c>
      <c r="B49" s="5">
        <f t="shared" si="9"/>
        <v>0</v>
      </c>
      <c r="C49" s="5">
        <f t="shared" si="9"/>
        <v>0</v>
      </c>
      <c r="D49" s="5">
        <f t="shared" si="9"/>
        <v>1</v>
      </c>
      <c r="E49" s="6" t="str">
        <f t="shared" si="9"/>
        <v>*Ga</v>
      </c>
      <c r="F49" s="14">
        <f t="shared" ca="1" si="10"/>
        <v>-60.99</v>
      </c>
      <c r="G49" s="14">
        <f t="shared" ca="1" si="12"/>
        <v>-55.39</v>
      </c>
      <c r="H49" s="14">
        <f t="shared" ca="1" si="12"/>
        <v>-48.92</v>
      </c>
      <c r="I49" s="14">
        <f t="shared" ca="1" si="12"/>
        <v>-42.66</v>
      </c>
      <c r="J49" s="14">
        <f t="shared" ca="1" si="12"/>
        <v>-37.28</v>
      </c>
      <c r="K49" s="14">
        <f t="shared" ca="1" si="12"/>
        <v>-32.6</v>
      </c>
      <c r="L49" s="14">
        <f t="shared" ca="1" si="12"/>
        <v>-28.48</v>
      </c>
      <c r="M49" s="14">
        <f t="shared" ca="1" si="12"/>
        <v>-25.41</v>
      </c>
      <c r="N49" s="14">
        <f t="shared" ca="1" si="12"/>
        <v>-26.73</v>
      </c>
      <c r="O49" s="14">
        <f t="shared" ca="1" si="12"/>
        <v>-31.78</v>
      </c>
      <c r="P49" s="14">
        <f t="shared" ca="1" si="12"/>
        <v>-36.28</v>
      </c>
      <c r="Q49" s="14">
        <f t="shared" ca="1" si="12"/>
        <v>-40.049999999999997</v>
      </c>
      <c r="R49" s="14">
        <f t="shared" ca="1" si="12"/>
        <v>-40.86</v>
      </c>
      <c r="S49" s="14">
        <f t="shared" ca="1" si="12"/>
        <v>-41.61</v>
      </c>
      <c r="T49" s="14">
        <f t="shared" ca="1" si="12"/>
        <v>-42.31</v>
      </c>
      <c r="U49" s="14">
        <f t="shared" ca="1" si="12"/>
        <v>-42.94</v>
      </c>
      <c r="V49" s="14">
        <f t="shared" ca="1" si="12"/>
        <v>-44.86</v>
      </c>
      <c r="W49" s="14">
        <f t="shared" ca="1" si="12"/>
        <v>-45.72</v>
      </c>
      <c r="X49" s="14">
        <f t="shared" ca="1" si="12"/>
        <v>-45.76</v>
      </c>
      <c r="Y49" s="14">
        <f t="shared" ca="1" si="12"/>
        <v>-45.74</v>
      </c>
      <c r="Z49" s="14">
        <f t="shared" ca="1" si="12"/>
        <v>-45.64</v>
      </c>
      <c r="AA49" s="14">
        <f t="shared" ca="1" si="12"/>
        <v>-45.47</v>
      </c>
      <c r="AB49" s="14">
        <f t="shared" ca="1" si="12"/>
        <v>0</v>
      </c>
      <c r="AC49" s="14">
        <f t="shared" ca="1" si="12"/>
        <v>0</v>
      </c>
      <c r="AD49" s="14">
        <f t="shared" ca="1" si="12"/>
        <v>0</v>
      </c>
      <c r="AE49" s="14">
        <f t="shared" ca="1" si="12"/>
        <v>0</v>
      </c>
      <c r="AF49" s="14">
        <f t="shared" ca="1" si="12"/>
        <v>0</v>
      </c>
      <c r="AG49" s="14">
        <f t="shared" ca="1" si="12"/>
        <v>0</v>
      </c>
      <c r="AH49" s="14">
        <f t="shared" ca="1" si="12"/>
        <v>0</v>
      </c>
      <c r="AI49" s="14">
        <f t="shared" ca="1" si="12"/>
        <v>0</v>
      </c>
      <c r="AJ49" s="14">
        <f t="shared" ca="1" si="12"/>
        <v>0</v>
      </c>
      <c r="AK49" s="14">
        <f t="shared" ca="1" si="12"/>
        <v>0</v>
      </c>
      <c r="AL49" s="14">
        <f t="shared" ca="1" si="12"/>
        <v>0</v>
      </c>
    </row>
    <row r="50" spans="1:38" ht="21" hidden="1" customHeight="1" outlineLevel="1" thickBot="1" x14ac:dyDescent="0.4">
      <c r="A50" s="5">
        <f t="shared" si="9"/>
        <v>0</v>
      </c>
      <c r="B50" s="5">
        <f t="shared" si="9"/>
        <v>0</v>
      </c>
      <c r="C50" s="5">
        <f t="shared" si="9"/>
        <v>1</v>
      </c>
      <c r="D50" s="5">
        <f t="shared" si="9"/>
        <v>0</v>
      </c>
      <c r="E50" s="6" t="str">
        <f t="shared" si="9"/>
        <v>*Ge[c]</v>
      </c>
      <c r="F50" s="14">
        <f t="shared" ca="1" si="10"/>
        <v>-15.35</v>
      </c>
      <c r="G50" s="14">
        <f t="shared" ca="1" si="12"/>
        <v>-14.36</v>
      </c>
      <c r="H50" s="14">
        <f t="shared" ca="1" si="12"/>
        <v>-12.3</v>
      </c>
      <c r="I50" s="14">
        <f t="shared" ca="1" si="12"/>
        <v>-10.01</v>
      </c>
      <c r="J50" s="14">
        <f t="shared" ca="1" si="12"/>
        <v>-8.0210000000000008</v>
      </c>
      <c r="K50" s="14">
        <f t="shared" ca="1" si="12"/>
        <v>-6.28</v>
      </c>
      <c r="L50" s="14">
        <f t="shared" ca="1" si="12"/>
        <v>-4.7359999999999998</v>
      </c>
      <c r="M50" s="14">
        <f t="shared" ca="1" si="12"/>
        <v>-4.141</v>
      </c>
      <c r="N50" s="14">
        <f t="shared" ca="1" si="12"/>
        <v>-4.2229999999999999</v>
      </c>
      <c r="O50" s="14">
        <f t="shared" ca="1" si="12"/>
        <v>-4.5529999999999999</v>
      </c>
      <c r="P50" s="14">
        <f t="shared" ca="1" si="12"/>
        <v>-4.8730000000000002</v>
      </c>
      <c r="Q50" s="14">
        <f t="shared" ca="1" si="12"/>
        <v>-5.1749999999999998</v>
      </c>
      <c r="R50" s="14">
        <f t="shared" ca="1" si="12"/>
        <v>-5.2469999999999999</v>
      </c>
      <c r="S50" s="14">
        <f t="shared" ca="1" si="12"/>
        <v>-5.3179999999999996</v>
      </c>
      <c r="T50" s="14">
        <f t="shared" ca="1" si="12"/>
        <v>-5.3890000000000002</v>
      </c>
      <c r="U50" s="14">
        <f t="shared" ca="1" si="12"/>
        <v>-5.4580000000000002</v>
      </c>
      <c r="V50" s="14">
        <f t="shared" ca="1" si="12"/>
        <v>-5.7869999999999999</v>
      </c>
      <c r="W50" s="14">
        <f t="shared" ca="1" si="12"/>
        <v>-6.3879999999999999</v>
      </c>
      <c r="X50" s="14">
        <f t="shared" ca="1" si="12"/>
        <v>-6.5250000000000004</v>
      </c>
      <c r="Y50" s="14">
        <f t="shared" ca="1" si="12"/>
        <v>-6.6580000000000004</v>
      </c>
      <c r="Z50" s="14">
        <f t="shared" ca="1" si="12"/>
        <v>-6.7869999999999999</v>
      </c>
      <c r="AA50" s="14">
        <f t="shared" ca="1" si="12"/>
        <v>-6.9109999999999996</v>
      </c>
      <c r="AB50" s="14">
        <f t="shared" ca="1" si="12"/>
        <v>0</v>
      </c>
      <c r="AC50" s="14">
        <f t="shared" ca="1" si="12"/>
        <v>0</v>
      </c>
      <c r="AD50" s="14">
        <f t="shared" ca="1" si="12"/>
        <v>0</v>
      </c>
      <c r="AE50" s="14">
        <f t="shared" ca="1" si="12"/>
        <v>0</v>
      </c>
      <c r="AF50" s="14">
        <f t="shared" ca="1" si="12"/>
        <v>0</v>
      </c>
      <c r="AG50" s="14">
        <f t="shared" ca="1" si="12"/>
        <v>0</v>
      </c>
      <c r="AH50" s="14">
        <f t="shared" ca="1" si="12"/>
        <v>0</v>
      </c>
      <c r="AI50" s="14">
        <f t="shared" ca="1" si="12"/>
        <v>0</v>
      </c>
      <c r="AJ50" s="14">
        <f t="shared" ca="1" si="12"/>
        <v>0</v>
      </c>
      <c r="AK50" s="14">
        <f t="shared" ca="1" si="12"/>
        <v>0</v>
      </c>
      <c r="AL50" s="14">
        <f t="shared" ca="1" si="12"/>
        <v>0</v>
      </c>
    </row>
    <row r="51" spans="1:38" ht="21" hidden="1" customHeight="1" outlineLevel="1" thickBot="1" x14ac:dyDescent="0.4">
      <c r="A51" s="5">
        <f t="shared" si="9"/>
        <v>0</v>
      </c>
      <c r="B51" s="5">
        <f t="shared" si="9"/>
        <v>1</v>
      </c>
      <c r="C51" s="5">
        <f t="shared" si="9"/>
        <v>0</v>
      </c>
      <c r="D51" s="5">
        <f t="shared" si="9"/>
        <v>0</v>
      </c>
      <c r="E51" s="6" t="str">
        <f t="shared" si="9"/>
        <v>*Se[m]</v>
      </c>
      <c r="F51" s="14">
        <f t="shared" ca="1" si="10"/>
        <v>-21.89</v>
      </c>
      <c r="G51" s="14">
        <f t="shared" ca="1" si="12"/>
        <v>-20.11</v>
      </c>
      <c r="H51" s="14">
        <f t="shared" ca="1" si="12"/>
        <v>-19.97</v>
      </c>
      <c r="I51" s="14">
        <f t="shared" ca="1" si="12"/>
        <v>-20.47</v>
      </c>
      <c r="J51" s="14">
        <f t="shared" ca="1" si="12"/>
        <v>-20.98</v>
      </c>
      <c r="K51" s="14">
        <f t="shared" ca="1" si="12"/>
        <v>-21.49</v>
      </c>
      <c r="L51" s="14">
        <f t="shared" ca="1" si="12"/>
        <v>-22.01</v>
      </c>
      <c r="M51" s="14">
        <f t="shared" ca="1" si="12"/>
        <v>-22.51</v>
      </c>
      <c r="N51" s="14">
        <f t="shared" ca="1" si="12"/>
        <v>-23.02</v>
      </c>
      <c r="O51" s="14">
        <f t="shared" ca="1" si="12"/>
        <v>-24.96</v>
      </c>
      <c r="P51" s="14">
        <f t="shared" ca="1" si="12"/>
        <v>-26.77</v>
      </c>
      <c r="Q51" s="14">
        <f t="shared" ca="1" si="12"/>
        <v>-28.49</v>
      </c>
      <c r="R51" s="14">
        <f t="shared" ca="1" si="12"/>
        <v>-28.9</v>
      </c>
      <c r="S51" s="14">
        <f t="shared" ca="1" si="12"/>
        <v>-29.31</v>
      </c>
      <c r="T51" s="14">
        <f t="shared" ca="1" si="12"/>
        <v>-29.72</v>
      </c>
      <c r="U51" s="14">
        <f t="shared" ca="1" si="12"/>
        <v>-30.12</v>
      </c>
      <c r="V51" s="14">
        <f t="shared" ca="1" si="12"/>
        <v>-31.69</v>
      </c>
      <c r="W51" s="14">
        <f t="shared" ca="1" si="12"/>
        <v>-33.22</v>
      </c>
      <c r="X51" s="14">
        <f t="shared" ca="1" si="12"/>
        <v>-33.590000000000003</v>
      </c>
      <c r="Y51" s="14">
        <f t="shared" ca="1" si="12"/>
        <v>-33.97</v>
      </c>
      <c r="Z51" s="14">
        <f t="shared" ca="1" si="12"/>
        <v>-34.340000000000003</v>
      </c>
      <c r="AA51" s="14">
        <f t="shared" ca="1" si="12"/>
        <v>-34.71</v>
      </c>
      <c r="AB51" s="14">
        <f t="shared" ca="1" si="12"/>
        <v>0</v>
      </c>
      <c r="AC51" s="14">
        <f t="shared" ca="1" si="12"/>
        <v>0</v>
      </c>
      <c r="AD51" s="14">
        <f t="shared" ca="1" si="12"/>
        <v>0</v>
      </c>
      <c r="AE51" s="14">
        <f t="shared" ca="1" si="12"/>
        <v>0</v>
      </c>
      <c r="AF51" s="14">
        <f t="shared" ca="1" si="12"/>
        <v>0</v>
      </c>
      <c r="AG51" s="14">
        <f t="shared" ca="1" si="12"/>
        <v>0</v>
      </c>
      <c r="AH51" s="14">
        <f t="shared" ca="1" si="12"/>
        <v>0</v>
      </c>
      <c r="AI51" s="14">
        <f t="shared" ca="1" si="12"/>
        <v>0</v>
      </c>
      <c r="AJ51" s="14">
        <f t="shared" ca="1" si="12"/>
        <v>0</v>
      </c>
      <c r="AK51" s="14">
        <f t="shared" ca="1" si="12"/>
        <v>0</v>
      </c>
      <c r="AL51" s="14">
        <f t="shared" ca="1" si="12"/>
        <v>0</v>
      </c>
    </row>
    <row r="52" spans="1:38" ht="21" hidden="1" customHeight="1" outlineLevel="1" thickBot="1" x14ac:dyDescent="0.4">
      <c r="A52" s="5">
        <f t="shared" si="9"/>
        <v>0</v>
      </c>
      <c r="B52" s="5">
        <f t="shared" si="9"/>
        <v>2</v>
      </c>
      <c r="C52" s="5">
        <f t="shared" si="9"/>
        <v>1</v>
      </c>
      <c r="D52" s="5">
        <f t="shared" si="9"/>
        <v>0</v>
      </c>
      <c r="E52" s="6" t="str">
        <f t="shared" si="9"/>
        <v>*GeSe2</v>
      </c>
      <c r="F52" s="14">
        <f t="shared" ca="1" si="10"/>
        <v>-59.13</v>
      </c>
      <c r="G52" s="14">
        <f t="shared" ca="1" si="12"/>
        <v>-54.58</v>
      </c>
      <c r="H52" s="14">
        <f t="shared" ca="1" si="12"/>
        <v>-52.239999999999995</v>
      </c>
      <c r="I52" s="14">
        <f t="shared" ca="1" si="12"/>
        <v>-50.949999999999996</v>
      </c>
      <c r="J52" s="14">
        <f t="shared" ca="1" si="12"/>
        <v>-49.981000000000002</v>
      </c>
      <c r="K52" s="14">
        <f t="shared" ca="1" si="12"/>
        <v>-49.26</v>
      </c>
      <c r="L52" s="14">
        <f t="shared" ca="1" si="12"/>
        <v>-48.756</v>
      </c>
      <c r="M52" s="14">
        <f t="shared" ca="1" si="12"/>
        <v>-49.161000000000001</v>
      </c>
      <c r="N52" s="14">
        <f t="shared" ca="1" si="12"/>
        <v>-50.262999999999998</v>
      </c>
      <c r="O52" s="14">
        <f t="shared" ca="1" si="12"/>
        <v>-54.472999999999999</v>
      </c>
      <c r="P52" s="14">
        <f t="shared" ca="1" si="12"/>
        <v>-58.412999999999997</v>
      </c>
      <c r="Q52" s="14">
        <f t="shared" ca="1" si="12"/>
        <v>-62.154999999999994</v>
      </c>
      <c r="R52" s="14">
        <f t="shared" ca="1" si="12"/>
        <v>-63.046999999999997</v>
      </c>
      <c r="S52" s="14">
        <f t="shared" ca="1" si="12"/>
        <v>-63.937999999999995</v>
      </c>
      <c r="T52" s="14">
        <f t="shared" ca="1" si="12"/>
        <v>-64.828999999999994</v>
      </c>
      <c r="U52" s="14">
        <f t="shared" ca="1" si="12"/>
        <v>-65.698000000000008</v>
      </c>
      <c r="V52" s="14">
        <f t="shared" ca="1" si="12"/>
        <v>-69.167000000000002</v>
      </c>
      <c r="W52" s="14">
        <f t="shared" ca="1" si="12"/>
        <v>-72.828000000000003</v>
      </c>
      <c r="X52" s="14">
        <f t="shared" ca="1" si="12"/>
        <v>-73.705000000000013</v>
      </c>
      <c r="Y52" s="14">
        <f t="shared" ca="1" si="12"/>
        <v>-74.597999999999999</v>
      </c>
      <c r="Z52" s="14">
        <f t="shared" ca="1" si="12"/>
        <v>-75.467000000000013</v>
      </c>
      <c r="AA52" s="14">
        <f t="shared" ca="1" si="12"/>
        <v>-76.331000000000003</v>
      </c>
      <c r="AB52" s="14">
        <f t="shared" ca="1" si="12"/>
        <v>0</v>
      </c>
      <c r="AC52" s="14">
        <f t="shared" ca="1" si="12"/>
        <v>0</v>
      </c>
      <c r="AD52" s="14">
        <f t="shared" ca="1" si="12"/>
        <v>0</v>
      </c>
      <c r="AE52" s="14">
        <f t="shared" ca="1" si="12"/>
        <v>0</v>
      </c>
      <c r="AF52" s="14">
        <f t="shared" ca="1" si="12"/>
        <v>0</v>
      </c>
      <c r="AG52" s="14">
        <f t="shared" ca="1" si="12"/>
        <v>0</v>
      </c>
      <c r="AH52" s="14">
        <f t="shared" ca="1" si="12"/>
        <v>0</v>
      </c>
      <c r="AI52" s="14">
        <f t="shared" ca="1" si="12"/>
        <v>0</v>
      </c>
      <c r="AJ52" s="14">
        <f t="shared" ca="1" si="12"/>
        <v>0</v>
      </c>
      <c r="AK52" s="14">
        <f t="shared" ca="1" si="12"/>
        <v>0</v>
      </c>
      <c r="AL52" s="14">
        <f t="shared" ca="1" si="12"/>
        <v>0</v>
      </c>
    </row>
    <row r="53" spans="1:38" ht="21" hidden="1" customHeight="1" outlineLevel="1" thickBot="1" x14ac:dyDescent="0.4">
      <c r="A53" s="5">
        <f t="shared" si="9"/>
        <v>0</v>
      </c>
      <c r="B53" s="5">
        <f t="shared" si="9"/>
        <v>3</v>
      </c>
      <c r="C53" s="5">
        <f t="shared" si="9"/>
        <v>0</v>
      </c>
      <c r="D53" s="5">
        <f t="shared" si="9"/>
        <v>2</v>
      </c>
      <c r="E53" s="6" t="str">
        <f t="shared" si="9"/>
        <v>Ga2Se3</v>
      </c>
      <c r="F53" s="14">
        <f t="shared" ca="1" si="10"/>
        <v>-187.65</v>
      </c>
      <c r="G53" s="14">
        <f t="shared" ca="1" si="12"/>
        <v>-171.11</v>
      </c>
      <c r="H53" s="14">
        <f t="shared" ca="1" si="12"/>
        <v>-157.75</v>
      </c>
      <c r="I53" s="14">
        <f t="shared" ca="1" si="12"/>
        <v>-146.72999999999999</v>
      </c>
      <c r="J53" s="14">
        <f t="shared" ca="1" si="12"/>
        <v>-137.5</v>
      </c>
      <c r="K53" s="14">
        <f t="shared" ca="1" si="12"/>
        <v>-129.67000000000002</v>
      </c>
      <c r="L53" s="14">
        <f t="shared" ca="1" si="12"/>
        <v>-122.99000000000001</v>
      </c>
      <c r="M53" s="14">
        <f t="shared" ca="1" si="12"/>
        <v>-118.35</v>
      </c>
      <c r="N53" s="14">
        <f t="shared" ca="1" si="12"/>
        <v>-122.52000000000001</v>
      </c>
      <c r="O53" s="14">
        <f t="shared" ca="1" si="12"/>
        <v>-138.44</v>
      </c>
      <c r="P53" s="14">
        <f t="shared" ca="1" si="12"/>
        <v>-152.87</v>
      </c>
      <c r="Q53" s="14">
        <f t="shared" ca="1" si="12"/>
        <v>-165.57</v>
      </c>
      <c r="R53" s="14">
        <f t="shared" ca="1" si="12"/>
        <v>-168.42</v>
      </c>
      <c r="S53" s="14">
        <f t="shared" ca="1" si="12"/>
        <v>-171.14999999999998</v>
      </c>
      <c r="T53" s="14">
        <f t="shared" ca="1" si="12"/>
        <v>-173.78</v>
      </c>
      <c r="U53" s="14">
        <f t="shared" ca="1" si="12"/>
        <v>-176.24</v>
      </c>
      <c r="V53" s="14">
        <f t="shared" ca="1" si="12"/>
        <v>-184.79000000000002</v>
      </c>
      <c r="W53" s="14">
        <f t="shared" ca="1" si="12"/>
        <v>-191.1</v>
      </c>
      <c r="X53" s="14">
        <f t="shared" ca="1" si="12"/>
        <v>-192.29000000000002</v>
      </c>
      <c r="Y53" s="14">
        <f t="shared" ca="1" si="12"/>
        <v>-193.39</v>
      </c>
      <c r="Z53" s="14">
        <f t="shared" ca="1" si="12"/>
        <v>-194.3</v>
      </c>
      <c r="AA53" s="14">
        <f t="shared" ca="1" si="12"/>
        <v>-195.07</v>
      </c>
      <c r="AB53" s="14">
        <f t="shared" ca="1" si="12"/>
        <v>0</v>
      </c>
      <c r="AC53" s="14">
        <f t="shared" ca="1" si="12"/>
        <v>0</v>
      </c>
      <c r="AD53" s="14">
        <f t="shared" ca="1" si="12"/>
        <v>0</v>
      </c>
      <c r="AE53" s="14">
        <f t="shared" ca="1" si="12"/>
        <v>0</v>
      </c>
      <c r="AF53" s="14">
        <f t="shared" ca="1" si="12"/>
        <v>0</v>
      </c>
      <c r="AG53" s="14">
        <f t="shared" ca="1" si="12"/>
        <v>0</v>
      </c>
      <c r="AH53" s="14">
        <f t="shared" ca="1" si="12"/>
        <v>0</v>
      </c>
      <c r="AI53" s="14">
        <f t="shared" ca="1" si="12"/>
        <v>0</v>
      </c>
      <c r="AJ53" s="14">
        <f t="shared" ca="1" si="12"/>
        <v>0</v>
      </c>
      <c r="AK53" s="14">
        <f t="shared" ca="1" si="12"/>
        <v>0</v>
      </c>
      <c r="AL53" s="14">
        <f t="shared" ca="1" si="12"/>
        <v>0</v>
      </c>
    </row>
    <row r="54" spans="1:38" ht="21" hidden="1" customHeight="1" outlineLevel="1" thickBot="1" x14ac:dyDescent="0.4">
      <c r="A54" s="5">
        <f t="shared" si="9"/>
        <v>0</v>
      </c>
      <c r="B54" s="5">
        <f t="shared" si="9"/>
        <v>0</v>
      </c>
      <c r="C54" s="5">
        <f t="shared" si="9"/>
        <v>2</v>
      </c>
      <c r="D54" s="5">
        <f t="shared" si="9"/>
        <v>0</v>
      </c>
      <c r="E54" s="6" t="str">
        <f t="shared" si="9"/>
        <v>Ge2</v>
      </c>
      <c r="F54" s="14">
        <f t="shared" ca="1" si="10"/>
        <v>-30.7</v>
      </c>
      <c r="G54" s="14">
        <f t="shared" ca="1" si="12"/>
        <v>-28.72</v>
      </c>
      <c r="H54" s="14">
        <f t="shared" ca="1" si="12"/>
        <v>-24.6</v>
      </c>
      <c r="I54" s="14">
        <f t="shared" ca="1" si="12"/>
        <v>-20.02</v>
      </c>
      <c r="J54" s="14">
        <f t="shared" ca="1" si="12"/>
        <v>-16.042000000000002</v>
      </c>
      <c r="K54" s="14">
        <f t="shared" ca="1" si="12"/>
        <v>-12.56</v>
      </c>
      <c r="L54" s="14">
        <f t="shared" ca="1" si="12"/>
        <v>-9.4719999999999995</v>
      </c>
      <c r="M54" s="14">
        <f t="shared" ca="1" si="12"/>
        <v>-8.282</v>
      </c>
      <c r="N54" s="14">
        <f t="shared" ca="1" si="12"/>
        <v>-8.4459999999999997</v>
      </c>
      <c r="O54" s="14">
        <f t="shared" ca="1" si="12"/>
        <v>-9.1059999999999999</v>
      </c>
      <c r="P54" s="14">
        <f t="shared" ca="1" si="12"/>
        <v>-9.7460000000000004</v>
      </c>
      <c r="Q54" s="14">
        <f t="shared" ca="1" si="12"/>
        <v>-10.35</v>
      </c>
      <c r="R54" s="14">
        <f t="shared" ca="1" si="12"/>
        <v>-10.494</v>
      </c>
      <c r="S54" s="14">
        <f t="shared" ca="1" si="12"/>
        <v>-10.635999999999999</v>
      </c>
      <c r="T54" s="14">
        <f t="shared" ca="1" si="12"/>
        <v>-10.778</v>
      </c>
      <c r="U54" s="14">
        <f t="shared" ref="U54:AL54" ca="1" si="13">$A54*H.Ar + $B54*H.Se + $C54*H.Ge + $D54*H.Ga</f>
        <v>-10.916</v>
      </c>
      <c r="V54" s="14">
        <f t="shared" ca="1" si="13"/>
        <v>-11.574</v>
      </c>
      <c r="W54" s="14">
        <f t="shared" ca="1" si="13"/>
        <v>-12.776</v>
      </c>
      <c r="X54" s="14">
        <f t="shared" ca="1" si="13"/>
        <v>-13.05</v>
      </c>
      <c r="Y54" s="14">
        <f t="shared" ca="1" si="13"/>
        <v>-13.316000000000001</v>
      </c>
      <c r="Z54" s="14">
        <f t="shared" ca="1" si="13"/>
        <v>-13.574</v>
      </c>
      <c r="AA54" s="14">
        <f t="shared" ca="1" si="13"/>
        <v>-13.821999999999999</v>
      </c>
      <c r="AB54" s="14">
        <f t="shared" ca="1" si="13"/>
        <v>0</v>
      </c>
      <c r="AC54" s="14">
        <f t="shared" ca="1" si="13"/>
        <v>0</v>
      </c>
      <c r="AD54" s="14">
        <f t="shared" ca="1" si="13"/>
        <v>0</v>
      </c>
      <c r="AE54" s="14">
        <f t="shared" ca="1" si="13"/>
        <v>0</v>
      </c>
      <c r="AF54" s="14">
        <f t="shared" ca="1" si="13"/>
        <v>0</v>
      </c>
      <c r="AG54" s="14">
        <f t="shared" ca="1" si="13"/>
        <v>0</v>
      </c>
      <c r="AH54" s="14">
        <f t="shared" ca="1" si="13"/>
        <v>0</v>
      </c>
      <c r="AI54" s="14">
        <f t="shared" ca="1" si="13"/>
        <v>0</v>
      </c>
      <c r="AJ54" s="14">
        <f t="shared" ca="1" si="13"/>
        <v>0</v>
      </c>
      <c r="AK54" s="14">
        <f t="shared" ca="1" si="13"/>
        <v>0</v>
      </c>
      <c r="AL54" s="14">
        <f t="shared" ca="1" si="13"/>
        <v>0</v>
      </c>
    </row>
    <row r="55" spans="1:38" ht="21" hidden="1" customHeight="1" outlineLevel="1" thickBot="1" x14ac:dyDescent="0.4">
      <c r="A55" s="5">
        <f t="shared" si="9"/>
        <v>0</v>
      </c>
      <c r="B55" s="5">
        <f t="shared" si="9"/>
        <v>0</v>
      </c>
      <c r="C55" s="5">
        <f t="shared" si="9"/>
        <v>1</v>
      </c>
      <c r="D55" s="5">
        <f t="shared" si="9"/>
        <v>0</v>
      </c>
      <c r="E55" s="6" t="str">
        <f t="shared" si="9"/>
        <v>Ge</v>
      </c>
      <c r="F55" s="14">
        <f t="shared" ca="1" si="10"/>
        <v>-15.35</v>
      </c>
      <c r="G55" s="14">
        <f t="shared" ref="G55:AL62" ca="1" si="14">$A55*H.Ar + $B55*H.Se + $C55*H.Ge + $D55*H.Ga</f>
        <v>-14.36</v>
      </c>
      <c r="H55" s="14">
        <f t="shared" ca="1" si="14"/>
        <v>-12.3</v>
      </c>
      <c r="I55" s="14">
        <f t="shared" ca="1" si="14"/>
        <v>-10.01</v>
      </c>
      <c r="J55" s="14">
        <f t="shared" ca="1" si="14"/>
        <v>-8.0210000000000008</v>
      </c>
      <c r="K55" s="14">
        <f t="shared" ca="1" si="14"/>
        <v>-6.28</v>
      </c>
      <c r="L55" s="14">
        <f t="shared" ca="1" si="14"/>
        <v>-4.7359999999999998</v>
      </c>
      <c r="M55" s="14">
        <f t="shared" ca="1" si="14"/>
        <v>-4.141</v>
      </c>
      <c r="N55" s="14">
        <f t="shared" ca="1" si="14"/>
        <v>-4.2229999999999999</v>
      </c>
      <c r="O55" s="14">
        <f t="shared" ca="1" si="14"/>
        <v>-4.5529999999999999</v>
      </c>
      <c r="P55" s="14">
        <f t="shared" ca="1" si="14"/>
        <v>-4.8730000000000002</v>
      </c>
      <c r="Q55" s="14">
        <f t="shared" ca="1" si="14"/>
        <v>-5.1749999999999998</v>
      </c>
      <c r="R55" s="14">
        <f t="shared" ca="1" si="14"/>
        <v>-5.2469999999999999</v>
      </c>
      <c r="S55" s="14">
        <f t="shared" ca="1" si="14"/>
        <v>-5.3179999999999996</v>
      </c>
      <c r="T55" s="14">
        <f t="shared" ca="1" si="14"/>
        <v>-5.3890000000000002</v>
      </c>
      <c r="U55" s="14">
        <f t="shared" ca="1" si="14"/>
        <v>-5.4580000000000002</v>
      </c>
      <c r="V55" s="14">
        <f t="shared" ca="1" si="14"/>
        <v>-5.7869999999999999</v>
      </c>
      <c r="W55" s="14">
        <f t="shared" ca="1" si="14"/>
        <v>-6.3879999999999999</v>
      </c>
      <c r="X55" s="14">
        <f t="shared" ca="1" si="14"/>
        <v>-6.5250000000000004</v>
      </c>
      <c r="Y55" s="14">
        <f t="shared" ca="1" si="14"/>
        <v>-6.6580000000000004</v>
      </c>
      <c r="Z55" s="14">
        <f t="shared" ca="1" si="14"/>
        <v>-6.7869999999999999</v>
      </c>
      <c r="AA55" s="14">
        <f t="shared" ca="1" si="14"/>
        <v>-6.9109999999999996</v>
      </c>
      <c r="AB55" s="14">
        <f t="shared" ca="1" si="14"/>
        <v>0</v>
      </c>
      <c r="AC55" s="14">
        <f t="shared" ca="1" si="14"/>
        <v>0</v>
      </c>
      <c r="AD55" s="14">
        <f t="shared" ca="1" si="14"/>
        <v>0</v>
      </c>
      <c r="AE55" s="14">
        <f t="shared" ca="1" si="14"/>
        <v>0</v>
      </c>
      <c r="AF55" s="14">
        <f t="shared" ca="1" si="14"/>
        <v>0</v>
      </c>
      <c r="AG55" s="14">
        <f t="shared" ca="1" si="14"/>
        <v>0</v>
      </c>
      <c r="AH55" s="14">
        <f t="shared" ca="1" si="14"/>
        <v>0</v>
      </c>
      <c r="AI55" s="14">
        <f t="shared" ca="1" si="14"/>
        <v>0</v>
      </c>
      <c r="AJ55" s="14">
        <f t="shared" ca="1" si="14"/>
        <v>0</v>
      </c>
      <c r="AK55" s="14">
        <f t="shared" ca="1" si="14"/>
        <v>0</v>
      </c>
      <c r="AL55" s="14">
        <f t="shared" ca="1" si="14"/>
        <v>0</v>
      </c>
    </row>
    <row r="56" spans="1:38" ht="21" hidden="1" customHeight="1" outlineLevel="1" thickBot="1" x14ac:dyDescent="0.4">
      <c r="A56" s="5">
        <f t="shared" ref="A56:E65" si="15">A14</f>
        <v>1</v>
      </c>
      <c r="B56" s="5">
        <f t="shared" si="15"/>
        <v>0</v>
      </c>
      <c r="C56" s="5">
        <f t="shared" si="15"/>
        <v>0</v>
      </c>
      <c r="D56" s="5">
        <f t="shared" si="15"/>
        <v>0</v>
      </c>
      <c r="E56" s="6" t="str">
        <f t="shared" si="15"/>
        <v>Ar</v>
      </c>
      <c r="F56" s="14">
        <f t="shared" ref="F56:U65" ca="1" si="16">$A56*H.Ar + $B56*H.Se + $C56*H.Ge + $D56*H.Ga</f>
        <v>-19.02</v>
      </c>
      <c r="G56" s="14">
        <f t="shared" ca="1" si="16"/>
        <v>-19.03</v>
      </c>
      <c r="H56" s="14">
        <f t="shared" ca="1" si="16"/>
        <v>-19.059999999999999</v>
      </c>
      <c r="I56" s="14">
        <f t="shared" ca="1" si="16"/>
        <v>-19.11</v>
      </c>
      <c r="J56" s="14">
        <f t="shared" ca="1" si="16"/>
        <v>-19.170000000000002</v>
      </c>
      <c r="K56" s="14">
        <f t="shared" ca="1" si="16"/>
        <v>-19.23</v>
      </c>
      <c r="L56" s="14">
        <f t="shared" ca="1" si="16"/>
        <v>-19.3</v>
      </c>
      <c r="M56" s="14">
        <f t="shared" ca="1" si="16"/>
        <v>-19.07</v>
      </c>
      <c r="N56" s="14">
        <f t="shared" ca="1" si="16"/>
        <v>-19.03</v>
      </c>
      <c r="O56" s="14">
        <f t="shared" ca="1" si="16"/>
        <v>-19.309999999999999</v>
      </c>
      <c r="P56" s="14">
        <f t="shared" ca="1" si="16"/>
        <v>-19.57</v>
      </c>
      <c r="Q56" s="14">
        <f t="shared" ca="1" si="16"/>
        <v>-19.82</v>
      </c>
      <c r="R56" s="14">
        <f t="shared" ca="1" si="16"/>
        <v>-19.88</v>
      </c>
      <c r="S56" s="14">
        <f t="shared" ca="1" si="16"/>
        <v>-19.940000000000001</v>
      </c>
      <c r="T56" s="14">
        <f t="shared" ca="1" si="16"/>
        <v>-20</v>
      </c>
      <c r="U56" s="14">
        <f t="shared" ca="1" si="16"/>
        <v>-20.05</v>
      </c>
      <c r="V56" s="14">
        <f t="shared" ca="1" si="14"/>
        <v>-20.260000000000002</v>
      </c>
      <c r="W56" s="14">
        <f t="shared" ca="1" si="14"/>
        <v>-20.46</v>
      </c>
      <c r="X56" s="14">
        <f t="shared" ca="1" si="14"/>
        <v>-20.51</v>
      </c>
      <c r="Y56" s="14">
        <f t="shared" ca="1" si="14"/>
        <v>-20.56</v>
      </c>
      <c r="Z56" s="14">
        <f t="shared" ca="1" si="14"/>
        <v>-20.6</v>
      </c>
      <c r="AA56" s="14">
        <f t="shared" ca="1" si="14"/>
        <v>-20.65</v>
      </c>
      <c r="AB56" s="14">
        <f t="shared" ca="1" si="14"/>
        <v>0</v>
      </c>
      <c r="AC56" s="14">
        <f t="shared" ca="1" si="14"/>
        <v>0</v>
      </c>
      <c r="AD56" s="14">
        <f t="shared" ca="1" si="14"/>
        <v>0</v>
      </c>
      <c r="AE56" s="14">
        <f t="shared" ca="1" si="14"/>
        <v>0</v>
      </c>
      <c r="AF56" s="14">
        <f t="shared" ca="1" si="14"/>
        <v>0</v>
      </c>
      <c r="AG56" s="14">
        <f t="shared" ca="1" si="14"/>
        <v>0</v>
      </c>
      <c r="AH56" s="14">
        <f t="shared" ca="1" si="14"/>
        <v>0</v>
      </c>
      <c r="AI56" s="14">
        <f t="shared" ca="1" si="14"/>
        <v>0</v>
      </c>
      <c r="AJ56" s="14">
        <f t="shared" ca="1" si="14"/>
        <v>0</v>
      </c>
      <c r="AK56" s="14">
        <f t="shared" ca="1" si="14"/>
        <v>0</v>
      </c>
      <c r="AL56" s="14">
        <f t="shared" ca="1" si="14"/>
        <v>0</v>
      </c>
    </row>
    <row r="57" spans="1:38" ht="21" hidden="1" customHeight="1" outlineLevel="1" thickBot="1" x14ac:dyDescent="0.4">
      <c r="A57" s="5">
        <f t="shared" si="15"/>
        <v>0</v>
      </c>
      <c r="B57" s="5">
        <f t="shared" si="15"/>
        <v>0</v>
      </c>
      <c r="C57" s="5">
        <f t="shared" si="15"/>
        <v>1</v>
      </c>
      <c r="D57" s="5">
        <f t="shared" si="15"/>
        <v>0</v>
      </c>
      <c r="E57" s="6" t="str">
        <f t="shared" si="15"/>
        <v>(l)Ge[l]</v>
      </c>
      <c r="F57" s="14">
        <f t="shared" ca="1" si="16"/>
        <v>-15.35</v>
      </c>
      <c r="G57" s="14">
        <f t="shared" ca="1" si="14"/>
        <v>-14.36</v>
      </c>
      <c r="H57" s="14">
        <f t="shared" ca="1" si="14"/>
        <v>-12.3</v>
      </c>
      <c r="I57" s="14">
        <f t="shared" ca="1" si="14"/>
        <v>-10.01</v>
      </c>
      <c r="J57" s="14">
        <f t="shared" ca="1" si="14"/>
        <v>-8.0210000000000008</v>
      </c>
      <c r="K57" s="14">
        <f t="shared" ca="1" si="14"/>
        <v>-6.28</v>
      </c>
      <c r="L57" s="14">
        <f t="shared" ca="1" si="14"/>
        <v>-4.7359999999999998</v>
      </c>
      <c r="M57" s="14">
        <f t="shared" ca="1" si="14"/>
        <v>-4.141</v>
      </c>
      <c r="N57" s="14">
        <f t="shared" ca="1" si="14"/>
        <v>-4.2229999999999999</v>
      </c>
      <c r="O57" s="14">
        <f t="shared" ca="1" si="14"/>
        <v>-4.5529999999999999</v>
      </c>
      <c r="P57" s="14">
        <f t="shared" ca="1" si="14"/>
        <v>-4.8730000000000002</v>
      </c>
      <c r="Q57" s="14">
        <f t="shared" ca="1" si="14"/>
        <v>-5.1749999999999998</v>
      </c>
      <c r="R57" s="14">
        <f t="shared" ca="1" si="14"/>
        <v>-5.2469999999999999</v>
      </c>
      <c r="S57" s="14">
        <f t="shared" ca="1" si="14"/>
        <v>-5.3179999999999996</v>
      </c>
      <c r="T57" s="14">
        <f t="shared" ca="1" si="14"/>
        <v>-5.3890000000000002</v>
      </c>
      <c r="U57" s="14">
        <f t="shared" ca="1" si="14"/>
        <v>-5.4580000000000002</v>
      </c>
      <c r="V57" s="14">
        <f t="shared" ca="1" si="14"/>
        <v>-5.7869999999999999</v>
      </c>
      <c r="W57" s="14">
        <f t="shared" ca="1" si="14"/>
        <v>-6.3879999999999999</v>
      </c>
      <c r="X57" s="14">
        <f t="shared" ca="1" si="14"/>
        <v>-6.5250000000000004</v>
      </c>
      <c r="Y57" s="14">
        <f t="shared" ca="1" si="14"/>
        <v>-6.6580000000000004</v>
      </c>
      <c r="Z57" s="14">
        <f t="shared" ca="1" si="14"/>
        <v>-6.7869999999999999</v>
      </c>
      <c r="AA57" s="14">
        <f t="shared" ca="1" si="14"/>
        <v>-6.9109999999999996</v>
      </c>
      <c r="AB57" s="14">
        <f t="shared" ca="1" si="14"/>
        <v>0</v>
      </c>
      <c r="AC57" s="14">
        <f t="shared" ca="1" si="14"/>
        <v>0</v>
      </c>
      <c r="AD57" s="14">
        <f t="shared" ca="1" si="14"/>
        <v>0</v>
      </c>
      <c r="AE57" s="14">
        <f t="shared" ca="1" si="14"/>
        <v>0</v>
      </c>
      <c r="AF57" s="14">
        <f t="shared" ca="1" si="14"/>
        <v>0</v>
      </c>
      <c r="AG57" s="14">
        <f t="shared" ca="1" si="14"/>
        <v>0</v>
      </c>
      <c r="AH57" s="14">
        <f t="shared" ca="1" si="14"/>
        <v>0</v>
      </c>
      <c r="AI57" s="14">
        <f t="shared" ca="1" si="14"/>
        <v>0</v>
      </c>
      <c r="AJ57" s="14">
        <f t="shared" ca="1" si="14"/>
        <v>0</v>
      </c>
      <c r="AK57" s="14">
        <f t="shared" ca="1" si="14"/>
        <v>0</v>
      </c>
      <c r="AL57" s="14">
        <f t="shared" ca="1" si="14"/>
        <v>0</v>
      </c>
    </row>
    <row r="58" spans="1:38" ht="21" hidden="1" customHeight="1" outlineLevel="1" thickBot="1" x14ac:dyDescent="0.4">
      <c r="A58" s="5">
        <f t="shared" si="15"/>
        <v>1</v>
      </c>
      <c r="B58" s="5">
        <f t="shared" si="15"/>
        <v>0</v>
      </c>
      <c r="C58" s="5">
        <f t="shared" si="15"/>
        <v>0</v>
      </c>
      <c r="D58" s="5">
        <f t="shared" si="15"/>
        <v>0</v>
      </c>
      <c r="E58" s="6" t="str">
        <f t="shared" si="15"/>
        <v>H (Ar)</v>
      </c>
      <c r="F58" s="14">
        <f t="shared" ca="1" si="16"/>
        <v>-19.02</v>
      </c>
      <c r="G58" s="14">
        <f t="shared" ca="1" si="14"/>
        <v>-19.03</v>
      </c>
      <c r="H58" s="14">
        <f t="shared" ca="1" si="14"/>
        <v>-19.059999999999999</v>
      </c>
      <c r="I58" s="14">
        <f t="shared" ca="1" si="14"/>
        <v>-19.11</v>
      </c>
      <c r="J58" s="14">
        <f t="shared" ca="1" si="14"/>
        <v>-19.170000000000002</v>
      </c>
      <c r="K58" s="14">
        <f t="shared" ca="1" si="14"/>
        <v>-19.23</v>
      </c>
      <c r="L58" s="14">
        <f t="shared" ca="1" si="14"/>
        <v>-19.3</v>
      </c>
      <c r="M58" s="14">
        <f t="shared" ca="1" si="14"/>
        <v>-19.07</v>
      </c>
      <c r="N58" s="14">
        <f t="shared" ca="1" si="14"/>
        <v>-19.03</v>
      </c>
      <c r="O58" s="14">
        <f t="shared" ca="1" si="14"/>
        <v>-19.309999999999999</v>
      </c>
      <c r="P58" s="14">
        <f t="shared" ca="1" si="14"/>
        <v>-19.57</v>
      </c>
      <c r="Q58" s="14">
        <f t="shared" ca="1" si="14"/>
        <v>-19.82</v>
      </c>
      <c r="R58" s="14">
        <f t="shared" ca="1" si="14"/>
        <v>-19.88</v>
      </c>
      <c r="S58" s="14">
        <f t="shared" ca="1" si="14"/>
        <v>-19.940000000000001</v>
      </c>
      <c r="T58" s="14">
        <f t="shared" ca="1" si="14"/>
        <v>-20</v>
      </c>
      <c r="U58" s="14">
        <f t="shared" ca="1" si="14"/>
        <v>-20.05</v>
      </c>
      <c r="V58" s="14">
        <f t="shared" ca="1" si="14"/>
        <v>-20.260000000000002</v>
      </c>
      <c r="W58" s="14">
        <f t="shared" ca="1" si="14"/>
        <v>-20.46</v>
      </c>
      <c r="X58" s="14">
        <f t="shared" ca="1" si="14"/>
        <v>-20.51</v>
      </c>
      <c r="Y58" s="14">
        <f t="shared" ca="1" si="14"/>
        <v>-20.56</v>
      </c>
      <c r="Z58" s="14">
        <f t="shared" ca="1" si="14"/>
        <v>-20.6</v>
      </c>
      <c r="AA58" s="14">
        <f t="shared" ca="1" si="14"/>
        <v>-20.65</v>
      </c>
      <c r="AB58" s="14">
        <f t="shared" ca="1" si="14"/>
        <v>0</v>
      </c>
      <c r="AC58" s="14">
        <f t="shared" ca="1" si="14"/>
        <v>0</v>
      </c>
      <c r="AD58" s="14">
        <f t="shared" ca="1" si="14"/>
        <v>0</v>
      </c>
      <c r="AE58" s="14">
        <f t="shared" ca="1" si="14"/>
        <v>0</v>
      </c>
      <c r="AF58" s="14">
        <f t="shared" ca="1" si="14"/>
        <v>0</v>
      </c>
      <c r="AG58" s="14">
        <f t="shared" ca="1" si="14"/>
        <v>0</v>
      </c>
      <c r="AH58" s="14">
        <f t="shared" ca="1" si="14"/>
        <v>0</v>
      </c>
      <c r="AI58" s="14">
        <f t="shared" ca="1" si="14"/>
        <v>0</v>
      </c>
      <c r="AJ58" s="14">
        <f t="shared" ca="1" si="14"/>
        <v>0</v>
      </c>
      <c r="AK58" s="14">
        <f t="shared" ca="1" si="14"/>
        <v>0</v>
      </c>
      <c r="AL58" s="14">
        <f t="shared" ca="1" si="14"/>
        <v>0</v>
      </c>
    </row>
    <row r="59" spans="1:38" ht="21" hidden="1" customHeight="1" outlineLevel="1" thickBot="1" x14ac:dyDescent="0.4">
      <c r="A59" s="5">
        <f t="shared" si="15"/>
        <v>0</v>
      </c>
      <c r="B59" s="5">
        <f t="shared" si="15"/>
        <v>0</v>
      </c>
      <c r="C59" s="5">
        <f t="shared" si="15"/>
        <v>0</v>
      </c>
      <c r="D59" s="5">
        <f t="shared" si="15"/>
        <v>1</v>
      </c>
      <c r="E59" s="6" t="str">
        <f t="shared" si="15"/>
        <v>H (Ga)</v>
      </c>
      <c r="F59" s="14">
        <f t="shared" ca="1" si="16"/>
        <v>-60.99</v>
      </c>
      <c r="G59" s="14">
        <f t="shared" ca="1" si="14"/>
        <v>-55.39</v>
      </c>
      <c r="H59" s="14">
        <f t="shared" ca="1" si="14"/>
        <v>-48.92</v>
      </c>
      <c r="I59" s="14">
        <f t="shared" ca="1" si="14"/>
        <v>-42.66</v>
      </c>
      <c r="J59" s="14">
        <f t="shared" ca="1" si="14"/>
        <v>-37.28</v>
      </c>
      <c r="K59" s="14">
        <f t="shared" ca="1" si="14"/>
        <v>-32.6</v>
      </c>
      <c r="L59" s="14">
        <f t="shared" ca="1" si="14"/>
        <v>-28.48</v>
      </c>
      <c r="M59" s="14">
        <f t="shared" ca="1" si="14"/>
        <v>-25.41</v>
      </c>
      <c r="N59" s="14">
        <f t="shared" ca="1" si="14"/>
        <v>-26.73</v>
      </c>
      <c r="O59" s="14">
        <f t="shared" ca="1" si="14"/>
        <v>-31.78</v>
      </c>
      <c r="P59" s="14">
        <f t="shared" ca="1" si="14"/>
        <v>-36.28</v>
      </c>
      <c r="Q59" s="14">
        <f t="shared" ca="1" si="14"/>
        <v>-40.049999999999997</v>
      </c>
      <c r="R59" s="14">
        <f t="shared" ca="1" si="14"/>
        <v>-40.86</v>
      </c>
      <c r="S59" s="14">
        <f t="shared" ca="1" si="14"/>
        <v>-41.61</v>
      </c>
      <c r="T59" s="14">
        <f t="shared" ca="1" si="14"/>
        <v>-42.31</v>
      </c>
      <c r="U59" s="14">
        <f t="shared" ca="1" si="14"/>
        <v>-42.94</v>
      </c>
      <c r="V59" s="14">
        <f t="shared" ca="1" si="14"/>
        <v>-44.86</v>
      </c>
      <c r="W59" s="14">
        <f t="shared" ca="1" si="14"/>
        <v>-45.72</v>
      </c>
      <c r="X59" s="14">
        <f t="shared" ca="1" si="14"/>
        <v>-45.76</v>
      </c>
      <c r="Y59" s="14">
        <f t="shared" ca="1" si="14"/>
        <v>-45.74</v>
      </c>
      <c r="Z59" s="14">
        <f t="shared" ca="1" si="14"/>
        <v>-45.64</v>
      </c>
      <c r="AA59" s="14">
        <f t="shared" ca="1" si="14"/>
        <v>-45.47</v>
      </c>
      <c r="AB59" s="14">
        <f t="shared" ca="1" si="14"/>
        <v>0</v>
      </c>
      <c r="AC59" s="14">
        <f t="shared" ca="1" si="14"/>
        <v>0</v>
      </c>
      <c r="AD59" s="14">
        <f t="shared" ca="1" si="14"/>
        <v>0</v>
      </c>
      <c r="AE59" s="14">
        <f t="shared" ca="1" si="14"/>
        <v>0</v>
      </c>
      <c r="AF59" s="14">
        <f t="shared" ca="1" si="14"/>
        <v>0</v>
      </c>
      <c r="AG59" s="14">
        <f t="shared" ca="1" si="14"/>
        <v>0</v>
      </c>
      <c r="AH59" s="14">
        <f t="shared" ca="1" si="14"/>
        <v>0</v>
      </c>
      <c r="AI59" s="14">
        <f t="shared" ca="1" si="14"/>
        <v>0</v>
      </c>
      <c r="AJ59" s="14">
        <f t="shared" ca="1" si="14"/>
        <v>0</v>
      </c>
      <c r="AK59" s="14">
        <f t="shared" ca="1" si="14"/>
        <v>0</v>
      </c>
      <c r="AL59" s="14">
        <f t="shared" ca="1" si="14"/>
        <v>0</v>
      </c>
    </row>
    <row r="60" spans="1:38" ht="21" hidden="1" customHeight="1" outlineLevel="1" thickBot="1" x14ac:dyDescent="0.4">
      <c r="A60" s="5">
        <f t="shared" si="15"/>
        <v>0</v>
      </c>
      <c r="B60" s="5">
        <f t="shared" si="15"/>
        <v>0</v>
      </c>
      <c r="C60" s="5">
        <f t="shared" si="15"/>
        <v>1</v>
      </c>
      <c r="D60" s="5">
        <f t="shared" si="15"/>
        <v>0</v>
      </c>
      <c r="E60" s="6" t="str">
        <f t="shared" si="15"/>
        <v>H (Ge)</v>
      </c>
      <c r="F60" s="14">
        <f t="shared" ca="1" si="16"/>
        <v>-15.35</v>
      </c>
      <c r="G60" s="14">
        <f t="shared" ca="1" si="14"/>
        <v>-14.36</v>
      </c>
      <c r="H60" s="14">
        <f t="shared" ca="1" si="14"/>
        <v>-12.3</v>
      </c>
      <c r="I60" s="14">
        <f t="shared" ca="1" si="14"/>
        <v>-10.01</v>
      </c>
      <c r="J60" s="14">
        <f t="shared" ca="1" si="14"/>
        <v>-8.0210000000000008</v>
      </c>
      <c r="K60" s="14">
        <f t="shared" ca="1" si="14"/>
        <v>-6.28</v>
      </c>
      <c r="L60" s="14">
        <f t="shared" ca="1" si="14"/>
        <v>-4.7359999999999998</v>
      </c>
      <c r="M60" s="14">
        <f t="shared" ca="1" si="14"/>
        <v>-4.141</v>
      </c>
      <c r="N60" s="14">
        <f t="shared" ca="1" si="14"/>
        <v>-4.2229999999999999</v>
      </c>
      <c r="O60" s="14">
        <f t="shared" ca="1" si="14"/>
        <v>-4.5529999999999999</v>
      </c>
      <c r="P60" s="14">
        <f t="shared" ca="1" si="14"/>
        <v>-4.8730000000000002</v>
      </c>
      <c r="Q60" s="14">
        <f t="shared" ca="1" si="14"/>
        <v>-5.1749999999999998</v>
      </c>
      <c r="R60" s="14">
        <f t="shared" ca="1" si="14"/>
        <v>-5.2469999999999999</v>
      </c>
      <c r="S60" s="14">
        <f t="shared" ca="1" si="14"/>
        <v>-5.3179999999999996</v>
      </c>
      <c r="T60" s="14">
        <f t="shared" ca="1" si="14"/>
        <v>-5.3890000000000002</v>
      </c>
      <c r="U60" s="14">
        <f t="shared" ca="1" si="14"/>
        <v>-5.4580000000000002</v>
      </c>
      <c r="V60" s="14">
        <f t="shared" ca="1" si="14"/>
        <v>-5.7869999999999999</v>
      </c>
      <c r="W60" s="14">
        <f t="shared" ca="1" si="14"/>
        <v>-6.3879999999999999</v>
      </c>
      <c r="X60" s="14">
        <f t="shared" ca="1" si="14"/>
        <v>-6.5250000000000004</v>
      </c>
      <c r="Y60" s="14">
        <f t="shared" ca="1" si="14"/>
        <v>-6.6580000000000004</v>
      </c>
      <c r="Z60" s="14">
        <f t="shared" ca="1" si="14"/>
        <v>-6.7869999999999999</v>
      </c>
      <c r="AA60" s="14">
        <f t="shared" ca="1" si="14"/>
        <v>-6.9109999999999996</v>
      </c>
      <c r="AB60" s="14">
        <f t="shared" ca="1" si="14"/>
        <v>0</v>
      </c>
      <c r="AC60" s="14">
        <f t="shared" ca="1" si="14"/>
        <v>0</v>
      </c>
      <c r="AD60" s="14">
        <f t="shared" ca="1" si="14"/>
        <v>0</v>
      </c>
      <c r="AE60" s="14">
        <f t="shared" ca="1" si="14"/>
        <v>0</v>
      </c>
      <c r="AF60" s="14">
        <f t="shared" ca="1" si="14"/>
        <v>0</v>
      </c>
      <c r="AG60" s="14">
        <f t="shared" ca="1" si="14"/>
        <v>0</v>
      </c>
      <c r="AH60" s="14">
        <f t="shared" ca="1" si="14"/>
        <v>0</v>
      </c>
      <c r="AI60" s="14">
        <f t="shared" ca="1" si="14"/>
        <v>0</v>
      </c>
      <c r="AJ60" s="14">
        <f t="shared" ca="1" si="14"/>
        <v>0</v>
      </c>
      <c r="AK60" s="14">
        <f t="shared" ca="1" si="14"/>
        <v>0</v>
      </c>
      <c r="AL60" s="14">
        <f t="shared" ca="1" si="14"/>
        <v>0</v>
      </c>
    </row>
    <row r="61" spans="1:38" ht="21" hidden="1" customHeight="1" outlineLevel="1" thickBot="1" x14ac:dyDescent="0.4">
      <c r="A61" s="5">
        <f t="shared" si="15"/>
        <v>0</v>
      </c>
      <c r="B61" s="5">
        <f t="shared" si="15"/>
        <v>1</v>
      </c>
      <c r="C61" s="5">
        <f t="shared" si="15"/>
        <v>0</v>
      </c>
      <c r="D61" s="5">
        <f t="shared" si="15"/>
        <v>0</v>
      </c>
      <c r="E61" s="6" t="str">
        <f t="shared" si="15"/>
        <v>H (Se)</v>
      </c>
      <c r="F61" s="14">
        <f t="shared" ca="1" si="16"/>
        <v>-21.89</v>
      </c>
      <c r="G61" s="14">
        <f t="shared" ca="1" si="14"/>
        <v>-20.11</v>
      </c>
      <c r="H61" s="14">
        <f t="shared" ca="1" si="14"/>
        <v>-19.97</v>
      </c>
      <c r="I61" s="14">
        <f t="shared" ca="1" si="14"/>
        <v>-20.47</v>
      </c>
      <c r="J61" s="14">
        <f t="shared" ca="1" si="14"/>
        <v>-20.98</v>
      </c>
      <c r="K61" s="14">
        <f t="shared" ca="1" si="14"/>
        <v>-21.49</v>
      </c>
      <c r="L61" s="14">
        <f t="shared" ca="1" si="14"/>
        <v>-22.01</v>
      </c>
      <c r="M61" s="14">
        <f t="shared" ca="1" si="14"/>
        <v>-22.51</v>
      </c>
      <c r="N61" s="14">
        <f t="shared" ca="1" si="14"/>
        <v>-23.02</v>
      </c>
      <c r="O61" s="14">
        <f t="shared" ca="1" si="14"/>
        <v>-24.96</v>
      </c>
      <c r="P61" s="14">
        <f t="shared" ca="1" si="14"/>
        <v>-26.77</v>
      </c>
      <c r="Q61" s="14">
        <f t="shared" ca="1" si="14"/>
        <v>-28.49</v>
      </c>
      <c r="R61" s="14">
        <f t="shared" ca="1" si="14"/>
        <v>-28.9</v>
      </c>
      <c r="S61" s="14">
        <f t="shared" ca="1" si="14"/>
        <v>-29.31</v>
      </c>
      <c r="T61" s="14">
        <f t="shared" ca="1" si="14"/>
        <v>-29.72</v>
      </c>
      <c r="U61" s="14">
        <f t="shared" ca="1" si="14"/>
        <v>-30.12</v>
      </c>
      <c r="V61" s="14">
        <f t="shared" ca="1" si="14"/>
        <v>-31.69</v>
      </c>
      <c r="W61" s="14">
        <f t="shared" ca="1" si="14"/>
        <v>-33.22</v>
      </c>
      <c r="X61" s="14">
        <f t="shared" ca="1" si="14"/>
        <v>-33.590000000000003</v>
      </c>
      <c r="Y61" s="14">
        <f t="shared" ca="1" si="14"/>
        <v>-33.97</v>
      </c>
      <c r="Z61" s="14">
        <f t="shared" ca="1" si="14"/>
        <v>-34.340000000000003</v>
      </c>
      <c r="AA61" s="14">
        <f t="shared" ca="1" si="14"/>
        <v>-34.71</v>
      </c>
      <c r="AB61" s="14">
        <f t="shared" ca="1" si="14"/>
        <v>0</v>
      </c>
      <c r="AC61" s="14">
        <f t="shared" ca="1" si="14"/>
        <v>0</v>
      </c>
      <c r="AD61" s="14">
        <f t="shared" ca="1" si="14"/>
        <v>0</v>
      </c>
      <c r="AE61" s="14">
        <f t="shared" ca="1" si="14"/>
        <v>0</v>
      </c>
      <c r="AF61" s="14">
        <f t="shared" ca="1" si="14"/>
        <v>0</v>
      </c>
      <c r="AG61" s="14">
        <f t="shared" ca="1" si="14"/>
        <v>0</v>
      </c>
      <c r="AH61" s="14">
        <f t="shared" ca="1" si="14"/>
        <v>0</v>
      </c>
      <c r="AI61" s="14">
        <f t="shared" ca="1" si="14"/>
        <v>0</v>
      </c>
      <c r="AJ61" s="14">
        <f t="shared" ca="1" si="14"/>
        <v>0</v>
      </c>
      <c r="AK61" s="14">
        <f t="shared" ca="1" si="14"/>
        <v>0</v>
      </c>
      <c r="AL61" s="14">
        <f t="shared" ca="1" si="14"/>
        <v>0</v>
      </c>
    </row>
    <row r="62" spans="1:38" ht="21" hidden="1" customHeight="1" outlineLevel="1" thickBot="1" x14ac:dyDescent="0.4">
      <c r="A62" s="5">
        <f t="shared" si="15"/>
        <v>0</v>
      </c>
      <c r="B62" s="5">
        <f t="shared" si="15"/>
        <v>0</v>
      </c>
      <c r="C62" s="5">
        <f t="shared" si="15"/>
        <v>0</v>
      </c>
      <c r="D62" s="5">
        <f t="shared" si="15"/>
        <v>0</v>
      </c>
      <c r="E62" s="6">
        <f t="shared" si="15"/>
        <v>0</v>
      </c>
      <c r="F62" s="14">
        <f t="shared" ca="1" si="16"/>
        <v>0</v>
      </c>
      <c r="G62" s="14">
        <f t="shared" ca="1" si="14"/>
        <v>0</v>
      </c>
      <c r="H62" s="14">
        <f t="shared" ca="1" si="14"/>
        <v>0</v>
      </c>
      <c r="I62" s="14">
        <f t="shared" ca="1" si="14"/>
        <v>0</v>
      </c>
      <c r="J62" s="14">
        <f t="shared" ca="1" si="14"/>
        <v>0</v>
      </c>
      <c r="K62" s="14">
        <f t="shared" ca="1" si="14"/>
        <v>0</v>
      </c>
      <c r="L62" s="14">
        <f t="shared" ca="1" si="14"/>
        <v>0</v>
      </c>
      <c r="M62" s="14">
        <f t="shared" ca="1" si="14"/>
        <v>0</v>
      </c>
      <c r="N62" s="14">
        <f t="shared" ca="1" si="14"/>
        <v>0</v>
      </c>
      <c r="O62" s="14">
        <f t="shared" ca="1" si="14"/>
        <v>0</v>
      </c>
      <c r="P62" s="14">
        <f t="shared" ca="1" si="14"/>
        <v>0</v>
      </c>
      <c r="Q62" s="14">
        <f t="shared" ca="1" si="14"/>
        <v>0</v>
      </c>
      <c r="R62" s="14">
        <f t="shared" ca="1" si="14"/>
        <v>0</v>
      </c>
      <c r="S62" s="14">
        <f t="shared" ca="1" si="14"/>
        <v>0</v>
      </c>
      <c r="T62" s="14">
        <f t="shared" ca="1" si="14"/>
        <v>0</v>
      </c>
      <c r="U62" s="14">
        <f t="shared" ca="1" si="14"/>
        <v>0</v>
      </c>
      <c r="V62" s="14">
        <f t="shared" ca="1" si="14"/>
        <v>0</v>
      </c>
      <c r="W62" s="14">
        <f t="shared" ca="1" si="14"/>
        <v>0</v>
      </c>
      <c r="X62" s="14">
        <f t="shared" ca="1" si="14"/>
        <v>0</v>
      </c>
      <c r="Y62" s="14">
        <f t="shared" ca="1" si="14"/>
        <v>0</v>
      </c>
      <c r="Z62" s="14">
        <f t="shared" ca="1" si="14"/>
        <v>0</v>
      </c>
      <c r="AA62" s="14">
        <f t="shared" ca="1" si="14"/>
        <v>0</v>
      </c>
      <c r="AB62" s="14">
        <f t="shared" ca="1" si="14"/>
        <v>0</v>
      </c>
      <c r="AC62" s="14">
        <f t="shared" ca="1" si="14"/>
        <v>0</v>
      </c>
      <c r="AD62" s="14">
        <f t="shared" ca="1" si="14"/>
        <v>0</v>
      </c>
      <c r="AE62" s="14">
        <f t="shared" ca="1" si="14"/>
        <v>0</v>
      </c>
      <c r="AF62" s="14">
        <f t="shared" ca="1" si="14"/>
        <v>0</v>
      </c>
      <c r="AG62" s="14">
        <f t="shared" ca="1" si="14"/>
        <v>0</v>
      </c>
      <c r="AH62" s="14">
        <f t="shared" ca="1" si="14"/>
        <v>0</v>
      </c>
      <c r="AI62" s="14">
        <f t="shared" ref="AI62:AL62" ca="1" si="17">$A62*H.Ar + $B62*H.Se + $C62*H.Ge + $D62*H.Ga</f>
        <v>0</v>
      </c>
      <c r="AJ62" s="14">
        <f t="shared" ca="1" si="17"/>
        <v>0</v>
      </c>
      <c r="AK62" s="14">
        <f t="shared" ca="1" si="17"/>
        <v>0</v>
      </c>
      <c r="AL62" s="14">
        <f t="shared" ca="1" si="17"/>
        <v>0</v>
      </c>
    </row>
    <row r="63" spans="1:38" ht="21" hidden="1" customHeight="1" outlineLevel="1" thickBot="1" x14ac:dyDescent="0.4">
      <c r="A63" s="5">
        <f t="shared" si="15"/>
        <v>0</v>
      </c>
      <c r="B63" s="5">
        <f t="shared" si="15"/>
        <v>0</v>
      </c>
      <c r="C63" s="5">
        <f t="shared" si="15"/>
        <v>0</v>
      </c>
      <c r="D63" s="5">
        <f t="shared" si="15"/>
        <v>0</v>
      </c>
      <c r="E63" s="6">
        <f t="shared" si="15"/>
        <v>0</v>
      </c>
      <c r="F63" s="14">
        <f t="shared" ca="1" si="16"/>
        <v>0</v>
      </c>
      <c r="G63" s="14">
        <f t="shared" ref="G63:AL71" ca="1" si="18">$A63*H.Ar + $B63*H.Se + $C63*H.Ge + $D63*H.Ga</f>
        <v>0</v>
      </c>
      <c r="H63" s="14">
        <f t="shared" ca="1" si="18"/>
        <v>0</v>
      </c>
      <c r="I63" s="14">
        <f t="shared" ca="1" si="18"/>
        <v>0</v>
      </c>
      <c r="J63" s="14">
        <f t="shared" ca="1" si="18"/>
        <v>0</v>
      </c>
      <c r="K63" s="14">
        <f t="shared" ca="1" si="18"/>
        <v>0</v>
      </c>
      <c r="L63" s="14">
        <f t="shared" ca="1" si="18"/>
        <v>0</v>
      </c>
      <c r="M63" s="14">
        <f t="shared" ca="1" si="18"/>
        <v>0</v>
      </c>
      <c r="N63" s="14">
        <f t="shared" ca="1" si="18"/>
        <v>0</v>
      </c>
      <c r="O63" s="14">
        <f t="shared" ca="1" si="18"/>
        <v>0</v>
      </c>
      <c r="P63" s="14">
        <f t="shared" ca="1" si="18"/>
        <v>0</v>
      </c>
      <c r="Q63" s="14">
        <f t="shared" ca="1" si="18"/>
        <v>0</v>
      </c>
      <c r="R63" s="14">
        <f t="shared" ca="1" si="18"/>
        <v>0</v>
      </c>
      <c r="S63" s="14">
        <f t="shared" ca="1" si="18"/>
        <v>0</v>
      </c>
      <c r="T63" s="14">
        <f t="shared" ca="1" si="18"/>
        <v>0</v>
      </c>
      <c r="U63" s="14">
        <f t="shared" ca="1" si="18"/>
        <v>0</v>
      </c>
      <c r="V63" s="14">
        <f t="shared" ca="1" si="18"/>
        <v>0</v>
      </c>
      <c r="W63" s="14">
        <f t="shared" ca="1" si="18"/>
        <v>0</v>
      </c>
      <c r="X63" s="14">
        <f t="shared" ca="1" si="18"/>
        <v>0</v>
      </c>
      <c r="Y63" s="14">
        <f t="shared" ca="1" si="18"/>
        <v>0</v>
      </c>
      <c r="Z63" s="14">
        <f t="shared" ca="1" si="18"/>
        <v>0</v>
      </c>
      <c r="AA63" s="14">
        <f t="shared" ca="1" si="18"/>
        <v>0</v>
      </c>
      <c r="AB63" s="14">
        <f t="shared" ca="1" si="18"/>
        <v>0</v>
      </c>
      <c r="AC63" s="14">
        <f t="shared" ca="1" si="18"/>
        <v>0</v>
      </c>
      <c r="AD63" s="14">
        <f t="shared" ca="1" si="18"/>
        <v>0</v>
      </c>
      <c r="AE63" s="14">
        <f t="shared" ca="1" si="18"/>
        <v>0</v>
      </c>
      <c r="AF63" s="14">
        <f t="shared" ca="1" si="18"/>
        <v>0</v>
      </c>
      <c r="AG63" s="14">
        <f t="shared" ca="1" si="18"/>
        <v>0</v>
      </c>
      <c r="AH63" s="14">
        <f t="shared" ca="1" si="18"/>
        <v>0</v>
      </c>
      <c r="AI63" s="14">
        <f t="shared" ca="1" si="18"/>
        <v>0</v>
      </c>
      <c r="AJ63" s="14">
        <f t="shared" ca="1" si="18"/>
        <v>0</v>
      </c>
      <c r="AK63" s="14">
        <f t="shared" ca="1" si="18"/>
        <v>0</v>
      </c>
      <c r="AL63" s="14">
        <f t="shared" ca="1" si="18"/>
        <v>0</v>
      </c>
    </row>
    <row r="64" spans="1:38" ht="21" hidden="1" customHeight="1" outlineLevel="1" thickBot="1" x14ac:dyDescent="0.4">
      <c r="A64" s="5">
        <f t="shared" si="15"/>
        <v>0</v>
      </c>
      <c r="B64" s="5">
        <f t="shared" si="15"/>
        <v>0</v>
      </c>
      <c r="C64" s="5">
        <f t="shared" si="15"/>
        <v>0</v>
      </c>
      <c r="D64" s="5">
        <f t="shared" si="15"/>
        <v>0</v>
      </c>
      <c r="E64" s="6">
        <f t="shared" si="15"/>
        <v>0</v>
      </c>
      <c r="F64" s="14">
        <f t="shared" ca="1" si="16"/>
        <v>0</v>
      </c>
      <c r="G64" s="14">
        <f t="shared" ca="1" si="18"/>
        <v>0</v>
      </c>
      <c r="H64" s="14">
        <f t="shared" ca="1" si="18"/>
        <v>0</v>
      </c>
      <c r="I64" s="14">
        <f t="shared" ca="1" si="18"/>
        <v>0</v>
      </c>
      <c r="J64" s="14">
        <f t="shared" ca="1" si="18"/>
        <v>0</v>
      </c>
      <c r="K64" s="14">
        <f t="shared" ca="1" si="18"/>
        <v>0</v>
      </c>
      <c r="L64" s="14">
        <f t="shared" ca="1" si="18"/>
        <v>0</v>
      </c>
      <c r="M64" s="14">
        <f t="shared" ca="1" si="18"/>
        <v>0</v>
      </c>
      <c r="N64" s="14">
        <f t="shared" ca="1" si="18"/>
        <v>0</v>
      </c>
      <c r="O64" s="14">
        <f t="shared" ca="1" si="18"/>
        <v>0</v>
      </c>
      <c r="P64" s="14">
        <f t="shared" ca="1" si="18"/>
        <v>0</v>
      </c>
      <c r="Q64" s="14">
        <f t="shared" ca="1" si="18"/>
        <v>0</v>
      </c>
      <c r="R64" s="14">
        <f t="shared" ca="1" si="18"/>
        <v>0</v>
      </c>
      <c r="S64" s="14">
        <f t="shared" ca="1" si="18"/>
        <v>0</v>
      </c>
      <c r="T64" s="14">
        <f t="shared" ca="1" si="18"/>
        <v>0</v>
      </c>
      <c r="U64" s="14">
        <f t="shared" ca="1" si="18"/>
        <v>0</v>
      </c>
      <c r="V64" s="14">
        <f t="shared" ca="1" si="18"/>
        <v>0</v>
      </c>
      <c r="W64" s="14">
        <f t="shared" ca="1" si="18"/>
        <v>0</v>
      </c>
      <c r="X64" s="14">
        <f t="shared" ca="1" si="18"/>
        <v>0</v>
      </c>
      <c r="Y64" s="14">
        <f t="shared" ca="1" si="18"/>
        <v>0</v>
      </c>
      <c r="Z64" s="14">
        <f t="shared" ca="1" si="18"/>
        <v>0</v>
      </c>
      <c r="AA64" s="14">
        <f t="shared" ca="1" si="18"/>
        <v>0</v>
      </c>
      <c r="AB64" s="14">
        <f t="shared" ca="1" si="18"/>
        <v>0</v>
      </c>
      <c r="AC64" s="14">
        <f t="shared" ca="1" si="18"/>
        <v>0</v>
      </c>
      <c r="AD64" s="14">
        <f t="shared" ca="1" si="18"/>
        <v>0</v>
      </c>
      <c r="AE64" s="14">
        <f t="shared" ca="1" si="18"/>
        <v>0</v>
      </c>
      <c r="AF64" s="14">
        <f t="shared" ca="1" si="18"/>
        <v>0</v>
      </c>
      <c r="AG64" s="14">
        <f t="shared" ca="1" si="18"/>
        <v>0</v>
      </c>
      <c r="AH64" s="14">
        <f t="shared" ca="1" si="18"/>
        <v>0</v>
      </c>
      <c r="AI64" s="14">
        <f t="shared" ca="1" si="18"/>
        <v>0</v>
      </c>
      <c r="AJ64" s="14">
        <f t="shared" ca="1" si="18"/>
        <v>0</v>
      </c>
      <c r="AK64" s="14">
        <f t="shared" ca="1" si="18"/>
        <v>0</v>
      </c>
      <c r="AL64" s="14">
        <f t="shared" ca="1" si="18"/>
        <v>0</v>
      </c>
    </row>
    <row r="65" spans="1:54" ht="21" hidden="1" customHeight="1" outlineLevel="1" thickBot="1" x14ac:dyDescent="0.4">
      <c r="A65" s="5">
        <f t="shared" si="15"/>
        <v>0</v>
      </c>
      <c r="B65" s="5">
        <f t="shared" si="15"/>
        <v>0</v>
      </c>
      <c r="C65" s="5">
        <f t="shared" si="15"/>
        <v>0</v>
      </c>
      <c r="D65" s="5">
        <f t="shared" si="15"/>
        <v>0</v>
      </c>
      <c r="E65" s="6">
        <f t="shared" si="15"/>
        <v>0</v>
      </c>
      <c r="F65" s="14">
        <f t="shared" ca="1" si="16"/>
        <v>0</v>
      </c>
      <c r="G65" s="14">
        <f t="shared" ca="1" si="18"/>
        <v>0</v>
      </c>
      <c r="H65" s="14">
        <f t="shared" ca="1" si="18"/>
        <v>0</v>
      </c>
      <c r="I65" s="14">
        <f t="shared" ca="1" si="18"/>
        <v>0</v>
      </c>
      <c r="J65" s="14">
        <f t="shared" ca="1" si="18"/>
        <v>0</v>
      </c>
      <c r="K65" s="14">
        <f t="shared" ca="1" si="18"/>
        <v>0</v>
      </c>
      <c r="L65" s="14">
        <f t="shared" ca="1" si="18"/>
        <v>0</v>
      </c>
      <c r="M65" s="14">
        <f t="shared" ca="1" si="18"/>
        <v>0</v>
      </c>
      <c r="N65" s="14">
        <f t="shared" ca="1" si="18"/>
        <v>0</v>
      </c>
      <c r="O65" s="14">
        <f t="shared" ca="1" si="18"/>
        <v>0</v>
      </c>
      <c r="P65" s="14">
        <f t="shared" ca="1" si="18"/>
        <v>0</v>
      </c>
      <c r="Q65" s="14">
        <f t="shared" ca="1" si="18"/>
        <v>0</v>
      </c>
      <c r="R65" s="14">
        <f t="shared" ca="1" si="18"/>
        <v>0</v>
      </c>
      <c r="S65" s="14">
        <f t="shared" ca="1" si="18"/>
        <v>0</v>
      </c>
      <c r="T65" s="14">
        <f t="shared" ca="1" si="18"/>
        <v>0</v>
      </c>
      <c r="U65" s="14">
        <f t="shared" ca="1" si="18"/>
        <v>0</v>
      </c>
      <c r="V65" s="14">
        <f t="shared" ca="1" si="18"/>
        <v>0</v>
      </c>
      <c r="W65" s="14">
        <f t="shared" ca="1" si="18"/>
        <v>0</v>
      </c>
      <c r="X65" s="14">
        <f t="shared" ca="1" si="18"/>
        <v>0</v>
      </c>
      <c r="Y65" s="14">
        <f t="shared" ca="1" si="18"/>
        <v>0</v>
      </c>
      <c r="Z65" s="14">
        <f t="shared" ca="1" si="18"/>
        <v>0</v>
      </c>
      <c r="AA65" s="14">
        <f t="shared" ca="1" si="18"/>
        <v>0</v>
      </c>
      <c r="AB65" s="14">
        <f t="shared" ca="1" si="18"/>
        <v>0</v>
      </c>
      <c r="AC65" s="14">
        <f t="shared" ca="1" si="18"/>
        <v>0</v>
      </c>
      <c r="AD65" s="14">
        <f t="shared" ca="1" si="18"/>
        <v>0</v>
      </c>
      <c r="AE65" s="14">
        <f t="shared" ca="1" si="18"/>
        <v>0</v>
      </c>
      <c r="AF65" s="14">
        <f t="shared" ca="1" si="18"/>
        <v>0</v>
      </c>
      <c r="AG65" s="14">
        <f t="shared" ca="1" si="18"/>
        <v>0</v>
      </c>
      <c r="AH65" s="14">
        <f t="shared" ca="1" si="18"/>
        <v>0</v>
      </c>
      <c r="AI65" s="14">
        <f t="shared" ca="1" si="18"/>
        <v>0</v>
      </c>
      <c r="AJ65" s="14">
        <f t="shared" ca="1" si="18"/>
        <v>0</v>
      </c>
      <c r="AK65" s="14">
        <f t="shared" ca="1" si="18"/>
        <v>0</v>
      </c>
      <c r="AL65" s="14">
        <f t="shared" ca="1" si="18"/>
        <v>0</v>
      </c>
    </row>
    <row r="66" spans="1:54" ht="21" hidden="1" customHeight="1" outlineLevel="1" thickBot="1" x14ac:dyDescent="0.4">
      <c r="A66" s="5">
        <f t="shared" ref="A66:E75" si="19">A24</f>
        <v>0</v>
      </c>
      <c r="B66" s="5">
        <f t="shared" si="19"/>
        <v>0</v>
      </c>
      <c r="C66" s="5">
        <f t="shared" si="19"/>
        <v>0</v>
      </c>
      <c r="D66" s="5">
        <f t="shared" si="19"/>
        <v>0</v>
      </c>
      <c r="E66" s="6">
        <f t="shared" si="19"/>
        <v>0</v>
      </c>
      <c r="F66" s="14">
        <f t="shared" ref="F66:U74" ca="1" si="20">$A66*H.Ar + $B66*H.Se + $C66*H.Ge + $D66*H.Ga</f>
        <v>0</v>
      </c>
      <c r="G66" s="14">
        <f t="shared" ca="1" si="20"/>
        <v>0</v>
      </c>
      <c r="H66" s="14">
        <f t="shared" ca="1" si="20"/>
        <v>0</v>
      </c>
      <c r="I66" s="14">
        <f t="shared" ca="1" si="20"/>
        <v>0</v>
      </c>
      <c r="J66" s="14">
        <f t="shared" ca="1" si="20"/>
        <v>0</v>
      </c>
      <c r="K66" s="14">
        <f t="shared" ca="1" si="20"/>
        <v>0</v>
      </c>
      <c r="L66" s="14">
        <f t="shared" ca="1" si="20"/>
        <v>0</v>
      </c>
      <c r="M66" s="14">
        <f t="shared" ca="1" si="20"/>
        <v>0</v>
      </c>
      <c r="N66" s="14">
        <f t="shared" ca="1" si="20"/>
        <v>0</v>
      </c>
      <c r="O66" s="14">
        <f t="shared" ca="1" si="20"/>
        <v>0</v>
      </c>
      <c r="P66" s="14">
        <f t="shared" ca="1" si="20"/>
        <v>0</v>
      </c>
      <c r="Q66" s="14">
        <f t="shared" ca="1" si="20"/>
        <v>0</v>
      </c>
      <c r="R66" s="14">
        <f t="shared" ca="1" si="20"/>
        <v>0</v>
      </c>
      <c r="S66" s="14">
        <f t="shared" ca="1" si="20"/>
        <v>0</v>
      </c>
      <c r="T66" s="14">
        <f t="shared" ca="1" si="20"/>
        <v>0</v>
      </c>
      <c r="U66" s="14">
        <f t="shared" ca="1" si="20"/>
        <v>0</v>
      </c>
      <c r="V66" s="14">
        <f t="shared" ca="1" si="18"/>
        <v>0</v>
      </c>
      <c r="W66" s="14">
        <f t="shared" ca="1" si="18"/>
        <v>0</v>
      </c>
      <c r="X66" s="14">
        <f t="shared" ca="1" si="18"/>
        <v>0</v>
      </c>
      <c r="Y66" s="14">
        <f t="shared" ca="1" si="18"/>
        <v>0</v>
      </c>
      <c r="Z66" s="14">
        <f t="shared" ca="1" si="18"/>
        <v>0</v>
      </c>
      <c r="AA66" s="14">
        <f t="shared" ca="1" si="18"/>
        <v>0</v>
      </c>
      <c r="AB66" s="14">
        <f t="shared" ca="1" si="18"/>
        <v>0</v>
      </c>
      <c r="AC66" s="14">
        <f t="shared" ca="1" si="18"/>
        <v>0</v>
      </c>
      <c r="AD66" s="14">
        <f t="shared" ca="1" si="18"/>
        <v>0</v>
      </c>
      <c r="AE66" s="14">
        <f t="shared" ca="1" si="18"/>
        <v>0</v>
      </c>
      <c r="AF66" s="14">
        <f t="shared" ca="1" si="18"/>
        <v>0</v>
      </c>
      <c r="AG66" s="14">
        <f t="shared" ca="1" si="18"/>
        <v>0</v>
      </c>
      <c r="AH66" s="14">
        <f t="shared" ca="1" si="18"/>
        <v>0</v>
      </c>
      <c r="AI66" s="14">
        <f t="shared" ca="1" si="18"/>
        <v>0</v>
      </c>
      <c r="AJ66" s="14">
        <f t="shared" ca="1" si="18"/>
        <v>0</v>
      </c>
      <c r="AK66" s="14">
        <f t="shared" ca="1" si="18"/>
        <v>0</v>
      </c>
      <c r="AL66" s="14">
        <f t="shared" ca="1" si="18"/>
        <v>0</v>
      </c>
    </row>
    <row r="67" spans="1:54" ht="21" hidden="1" customHeight="1" outlineLevel="1" thickBot="1" x14ac:dyDescent="0.4">
      <c r="A67" s="5">
        <f t="shared" si="19"/>
        <v>0</v>
      </c>
      <c r="B67" s="5">
        <f t="shared" si="19"/>
        <v>0</v>
      </c>
      <c r="C67" s="5">
        <f t="shared" si="19"/>
        <v>0</v>
      </c>
      <c r="D67" s="5">
        <f t="shared" si="19"/>
        <v>0</v>
      </c>
      <c r="E67" s="6">
        <f t="shared" si="19"/>
        <v>0</v>
      </c>
      <c r="F67" s="14">
        <f t="shared" ca="1" si="20"/>
        <v>0</v>
      </c>
      <c r="G67" s="14">
        <f t="shared" ca="1" si="18"/>
        <v>0</v>
      </c>
      <c r="H67" s="14">
        <f t="shared" ca="1" si="18"/>
        <v>0</v>
      </c>
      <c r="I67" s="14">
        <f t="shared" ca="1" si="18"/>
        <v>0</v>
      </c>
      <c r="J67" s="14">
        <f t="shared" ca="1" si="18"/>
        <v>0</v>
      </c>
      <c r="K67" s="14">
        <f t="shared" ca="1" si="18"/>
        <v>0</v>
      </c>
      <c r="L67" s="14">
        <f t="shared" ca="1" si="18"/>
        <v>0</v>
      </c>
      <c r="M67" s="14">
        <f t="shared" ca="1" si="18"/>
        <v>0</v>
      </c>
      <c r="N67" s="14">
        <f t="shared" ca="1" si="18"/>
        <v>0</v>
      </c>
      <c r="O67" s="14">
        <f t="shared" ca="1" si="18"/>
        <v>0</v>
      </c>
      <c r="P67" s="14">
        <f t="shared" ca="1" si="18"/>
        <v>0</v>
      </c>
      <c r="Q67" s="14">
        <f t="shared" ca="1" si="18"/>
        <v>0</v>
      </c>
      <c r="R67" s="14">
        <f t="shared" ca="1" si="18"/>
        <v>0</v>
      </c>
      <c r="S67" s="14">
        <f t="shared" ca="1" si="18"/>
        <v>0</v>
      </c>
      <c r="T67" s="14">
        <f t="shared" ca="1" si="18"/>
        <v>0</v>
      </c>
      <c r="U67" s="14">
        <f t="shared" ca="1" si="18"/>
        <v>0</v>
      </c>
      <c r="V67" s="14">
        <f t="shared" ca="1" si="18"/>
        <v>0</v>
      </c>
      <c r="W67" s="14">
        <f t="shared" ca="1" si="18"/>
        <v>0</v>
      </c>
      <c r="X67" s="14">
        <f t="shared" ca="1" si="18"/>
        <v>0</v>
      </c>
      <c r="Y67" s="14">
        <f t="shared" ca="1" si="18"/>
        <v>0</v>
      </c>
      <c r="Z67" s="14">
        <f t="shared" ca="1" si="18"/>
        <v>0</v>
      </c>
      <c r="AA67" s="14">
        <f t="shared" ca="1" si="18"/>
        <v>0</v>
      </c>
      <c r="AB67" s="14">
        <f t="shared" ca="1" si="18"/>
        <v>0</v>
      </c>
      <c r="AC67" s="14">
        <f t="shared" ca="1" si="18"/>
        <v>0</v>
      </c>
      <c r="AD67" s="14">
        <f t="shared" ca="1" si="18"/>
        <v>0</v>
      </c>
      <c r="AE67" s="14">
        <f t="shared" ca="1" si="18"/>
        <v>0</v>
      </c>
      <c r="AF67" s="14">
        <f t="shared" ca="1" si="18"/>
        <v>0</v>
      </c>
      <c r="AG67" s="14">
        <f t="shared" ca="1" si="18"/>
        <v>0</v>
      </c>
      <c r="AH67" s="14">
        <f t="shared" ca="1" si="18"/>
        <v>0</v>
      </c>
      <c r="AI67" s="14">
        <f t="shared" ca="1" si="18"/>
        <v>0</v>
      </c>
      <c r="AJ67" s="14">
        <f t="shared" ca="1" si="18"/>
        <v>0</v>
      </c>
      <c r="AK67" s="14">
        <f t="shared" ca="1" si="18"/>
        <v>0</v>
      </c>
      <c r="AL67" s="14">
        <f t="shared" ca="1" si="18"/>
        <v>0</v>
      </c>
    </row>
    <row r="68" spans="1:54" ht="21" hidden="1" customHeight="1" outlineLevel="1" thickBot="1" x14ac:dyDescent="0.4">
      <c r="A68" s="5">
        <f t="shared" si="19"/>
        <v>0</v>
      </c>
      <c r="B68" s="5">
        <f t="shared" si="19"/>
        <v>0</v>
      </c>
      <c r="C68" s="5">
        <f t="shared" si="19"/>
        <v>0</v>
      </c>
      <c r="D68" s="5">
        <f t="shared" si="19"/>
        <v>0</v>
      </c>
      <c r="E68" s="6">
        <f t="shared" si="19"/>
        <v>0</v>
      </c>
      <c r="F68" s="14">
        <f t="shared" ca="1" si="20"/>
        <v>0</v>
      </c>
      <c r="G68" s="14">
        <f t="shared" ca="1" si="18"/>
        <v>0</v>
      </c>
      <c r="H68" s="14">
        <f t="shared" ca="1" si="18"/>
        <v>0</v>
      </c>
      <c r="I68" s="14">
        <f t="shared" ca="1" si="18"/>
        <v>0</v>
      </c>
      <c r="J68" s="14">
        <f t="shared" ca="1" si="18"/>
        <v>0</v>
      </c>
      <c r="K68" s="14">
        <f t="shared" ca="1" si="18"/>
        <v>0</v>
      </c>
      <c r="L68" s="14">
        <f t="shared" ca="1" si="18"/>
        <v>0</v>
      </c>
      <c r="M68" s="14">
        <f t="shared" ca="1" si="18"/>
        <v>0</v>
      </c>
      <c r="N68" s="14">
        <f t="shared" ca="1" si="18"/>
        <v>0</v>
      </c>
      <c r="O68" s="14">
        <f t="shared" ca="1" si="18"/>
        <v>0</v>
      </c>
      <c r="P68" s="14">
        <f t="shared" ca="1" si="18"/>
        <v>0</v>
      </c>
      <c r="Q68" s="14">
        <f t="shared" ca="1" si="18"/>
        <v>0</v>
      </c>
      <c r="R68" s="14">
        <f t="shared" ca="1" si="18"/>
        <v>0</v>
      </c>
      <c r="S68" s="14">
        <f t="shared" ca="1" si="18"/>
        <v>0</v>
      </c>
      <c r="T68" s="14">
        <f t="shared" ca="1" si="18"/>
        <v>0</v>
      </c>
      <c r="U68" s="14">
        <f t="shared" ca="1" si="18"/>
        <v>0</v>
      </c>
      <c r="V68" s="14">
        <f t="shared" ca="1" si="18"/>
        <v>0</v>
      </c>
      <c r="W68" s="14">
        <f t="shared" ca="1" si="18"/>
        <v>0</v>
      </c>
      <c r="X68" s="14">
        <f t="shared" ca="1" si="18"/>
        <v>0</v>
      </c>
      <c r="Y68" s="14">
        <f t="shared" ca="1" si="18"/>
        <v>0</v>
      </c>
      <c r="Z68" s="14">
        <f t="shared" ca="1" si="18"/>
        <v>0</v>
      </c>
      <c r="AA68" s="14">
        <f t="shared" ca="1" si="18"/>
        <v>0</v>
      </c>
      <c r="AB68" s="14">
        <f t="shared" ca="1" si="18"/>
        <v>0</v>
      </c>
      <c r="AC68" s="14">
        <f t="shared" ca="1" si="18"/>
        <v>0</v>
      </c>
      <c r="AD68" s="14">
        <f t="shared" ca="1" si="18"/>
        <v>0</v>
      </c>
      <c r="AE68" s="14">
        <f t="shared" ca="1" si="18"/>
        <v>0</v>
      </c>
      <c r="AF68" s="14">
        <f t="shared" ca="1" si="18"/>
        <v>0</v>
      </c>
      <c r="AG68" s="14">
        <f t="shared" ca="1" si="18"/>
        <v>0</v>
      </c>
      <c r="AH68" s="14">
        <f t="shared" ca="1" si="18"/>
        <v>0</v>
      </c>
      <c r="AI68" s="14">
        <f t="shared" ca="1" si="18"/>
        <v>0</v>
      </c>
      <c r="AJ68" s="14">
        <f t="shared" ca="1" si="18"/>
        <v>0</v>
      </c>
      <c r="AK68" s="14">
        <f t="shared" ca="1" si="18"/>
        <v>0</v>
      </c>
      <c r="AL68" s="14">
        <f t="shared" ca="1" si="18"/>
        <v>0</v>
      </c>
    </row>
    <row r="69" spans="1:54" ht="21" hidden="1" customHeight="1" outlineLevel="1" thickBot="1" x14ac:dyDescent="0.4">
      <c r="A69" s="5">
        <f t="shared" si="19"/>
        <v>0</v>
      </c>
      <c r="B69" s="5">
        <f t="shared" si="19"/>
        <v>0</v>
      </c>
      <c r="C69" s="5">
        <f t="shared" si="19"/>
        <v>0</v>
      </c>
      <c r="D69" s="5">
        <f t="shared" si="19"/>
        <v>0</v>
      </c>
      <c r="E69" s="6">
        <f t="shared" si="19"/>
        <v>0</v>
      </c>
      <c r="F69" s="14">
        <f t="shared" ca="1" si="20"/>
        <v>0</v>
      </c>
      <c r="G69" s="14">
        <f t="shared" ca="1" si="18"/>
        <v>0</v>
      </c>
      <c r="H69" s="14">
        <f t="shared" ca="1" si="18"/>
        <v>0</v>
      </c>
      <c r="I69" s="14">
        <f t="shared" ca="1" si="18"/>
        <v>0</v>
      </c>
      <c r="J69" s="14">
        <f t="shared" ca="1" si="18"/>
        <v>0</v>
      </c>
      <c r="K69" s="14">
        <f t="shared" ca="1" si="18"/>
        <v>0</v>
      </c>
      <c r="L69" s="14">
        <f t="shared" ca="1" si="18"/>
        <v>0</v>
      </c>
      <c r="M69" s="14">
        <f t="shared" ca="1" si="18"/>
        <v>0</v>
      </c>
      <c r="N69" s="14">
        <f t="shared" ca="1" si="18"/>
        <v>0</v>
      </c>
      <c r="O69" s="14">
        <f t="shared" ca="1" si="18"/>
        <v>0</v>
      </c>
      <c r="P69" s="14">
        <f t="shared" ca="1" si="18"/>
        <v>0</v>
      </c>
      <c r="Q69" s="14">
        <f t="shared" ca="1" si="18"/>
        <v>0</v>
      </c>
      <c r="R69" s="14">
        <f t="shared" ca="1" si="18"/>
        <v>0</v>
      </c>
      <c r="S69" s="14">
        <f t="shared" ca="1" si="18"/>
        <v>0</v>
      </c>
      <c r="T69" s="14">
        <f t="shared" ca="1" si="18"/>
        <v>0</v>
      </c>
      <c r="U69" s="14">
        <f t="shared" ca="1" si="18"/>
        <v>0</v>
      </c>
      <c r="V69" s="14">
        <f t="shared" ca="1" si="18"/>
        <v>0</v>
      </c>
      <c r="W69" s="14">
        <f t="shared" ca="1" si="18"/>
        <v>0</v>
      </c>
      <c r="X69" s="14">
        <f t="shared" ca="1" si="18"/>
        <v>0</v>
      </c>
      <c r="Y69" s="14">
        <f t="shared" ca="1" si="18"/>
        <v>0</v>
      </c>
      <c r="Z69" s="14">
        <f t="shared" ca="1" si="18"/>
        <v>0</v>
      </c>
      <c r="AA69" s="14">
        <f t="shared" ca="1" si="18"/>
        <v>0</v>
      </c>
      <c r="AB69" s="14">
        <f t="shared" ca="1" si="18"/>
        <v>0</v>
      </c>
      <c r="AC69" s="14">
        <f t="shared" ca="1" si="18"/>
        <v>0</v>
      </c>
      <c r="AD69" s="14">
        <f t="shared" ca="1" si="18"/>
        <v>0</v>
      </c>
      <c r="AE69" s="14">
        <f t="shared" ca="1" si="18"/>
        <v>0</v>
      </c>
      <c r="AF69" s="14">
        <f t="shared" ca="1" si="18"/>
        <v>0</v>
      </c>
      <c r="AG69" s="14">
        <f t="shared" ca="1" si="18"/>
        <v>0</v>
      </c>
      <c r="AH69" s="14">
        <f t="shared" ca="1" si="18"/>
        <v>0</v>
      </c>
      <c r="AI69" s="14">
        <f t="shared" ca="1" si="18"/>
        <v>0</v>
      </c>
      <c r="AJ69" s="14">
        <f t="shared" ca="1" si="18"/>
        <v>0</v>
      </c>
      <c r="AK69" s="14">
        <f t="shared" ca="1" si="18"/>
        <v>0</v>
      </c>
      <c r="AL69" s="14">
        <f t="shared" ca="1" si="18"/>
        <v>0</v>
      </c>
    </row>
    <row r="70" spans="1:54" ht="21" hidden="1" customHeight="1" outlineLevel="1" thickBot="1" x14ac:dyDescent="0.4">
      <c r="A70" s="5">
        <f t="shared" si="19"/>
        <v>0</v>
      </c>
      <c r="B70" s="5">
        <f t="shared" si="19"/>
        <v>0</v>
      </c>
      <c r="C70" s="5">
        <f t="shared" si="19"/>
        <v>0</v>
      </c>
      <c r="D70" s="5">
        <f t="shared" si="19"/>
        <v>0</v>
      </c>
      <c r="E70" s="6">
        <f t="shared" si="19"/>
        <v>0</v>
      </c>
      <c r="F70" s="14">
        <f t="shared" ca="1" si="20"/>
        <v>0</v>
      </c>
      <c r="G70" s="14">
        <f t="shared" ca="1" si="18"/>
        <v>0</v>
      </c>
      <c r="H70" s="14">
        <f t="shared" ca="1" si="18"/>
        <v>0</v>
      </c>
      <c r="I70" s="14">
        <f t="shared" ca="1" si="18"/>
        <v>0</v>
      </c>
      <c r="J70" s="14">
        <f t="shared" ca="1" si="18"/>
        <v>0</v>
      </c>
      <c r="K70" s="14">
        <f t="shared" ca="1" si="18"/>
        <v>0</v>
      </c>
      <c r="L70" s="14">
        <f t="shared" ca="1" si="18"/>
        <v>0</v>
      </c>
      <c r="M70" s="14">
        <f t="shared" ca="1" si="18"/>
        <v>0</v>
      </c>
      <c r="N70" s="14">
        <f t="shared" ca="1" si="18"/>
        <v>0</v>
      </c>
      <c r="O70" s="14">
        <f t="shared" ca="1" si="18"/>
        <v>0</v>
      </c>
      <c r="P70" s="14">
        <f t="shared" ca="1" si="18"/>
        <v>0</v>
      </c>
      <c r="Q70" s="14">
        <f t="shared" ca="1" si="18"/>
        <v>0</v>
      </c>
      <c r="R70" s="14">
        <f t="shared" ca="1" si="18"/>
        <v>0</v>
      </c>
      <c r="S70" s="14">
        <f t="shared" ca="1" si="18"/>
        <v>0</v>
      </c>
      <c r="T70" s="14">
        <f t="shared" ca="1" si="18"/>
        <v>0</v>
      </c>
      <c r="U70" s="14">
        <f t="shared" ca="1" si="18"/>
        <v>0</v>
      </c>
      <c r="V70" s="14">
        <f t="shared" ca="1" si="18"/>
        <v>0</v>
      </c>
      <c r="W70" s="14">
        <f t="shared" ca="1" si="18"/>
        <v>0</v>
      </c>
      <c r="X70" s="14">
        <f t="shared" ca="1" si="18"/>
        <v>0</v>
      </c>
      <c r="Y70" s="14">
        <f t="shared" ca="1" si="18"/>
        <v>0</v>
      </c>
      <c r="Z70" s="14">
        <f t="shared" ca="1" si="18"/>
        <v>0</v>
      </c>
      <c r="AA70" s="14">
        <f t="shared" ca="1" si="18"/>
        <v>0</v>
      </c>
      <c r="AB70" s="14">
        <f t="shared" ca="1" si="18"/>
        <v>0</v>
      </c>
      <c r="AC70" s="14">
        <f t="shared" ca="1" si="18"/>
        <v>0</v>
      </c>
      <c r="AD70" s="14">
        <f t="shared" ca="1" si="18"/>
        <v>0</v>
      </c>
      <c r="AE70" s="14">
        <f t="shared" ca="1" si="18"/>
        <v>0</v>
      </c>
      <c r="AF70" s="14">
        <f t="shared" ca="1" si="18"/>
        <v>0</v>
      </c>
      <c r="AG70" s="14">
        <f t="shared" ca="1" si="18"/>
        <v>0</v>
      </c>
      <c r="AH70" s="14">
        <f t="shared" ca="1" si="18"/>
        <v>0</v>
      </c>
      <c r="AI70" s="14">
        <f t="shared" ca="1" si="18"/>
        <v>0</v>
      </c>
      <c r="AJ70" s="14">
        <f t="shared" ca="1" si="18"/>
        <v>0</v>
      </c>
      <c r="AK70" s="14">
        <f t="shared" ca="1" si="18"/>
        <v>0</v>
      </c>
      <c r="AL70" s="14">
        <f t="shared" ca="1" si="18"/>
        <v>0</v>
      </c>
    </row>
    <row r="71" spans="1:54" ht="21" hidden="1" customHeight="1" outlineLevel="1" thickBot="1" x14ac:dyDescent="0.4">
      <c r="A71" s="5">
        <f t="shared" si="19"/>
        <v>0</v>
      </c>
      <c r="B71" s="5">
        <f t="shared" si="19"/>
        <v>0</v>
      </c>
      <c r="C71" s="5">
        <f t="shared" si="19"/>
        <v>0</v>
      </c>
      <c r="D71" s="5">
        <f t="shared" si="19"/>
        <v>0</v>
      </c>
      <c r="E71" s="6">
        <f t="shared" si="19"/>
        <v>0</v>
      </c>
      <c r="F71" s="14">
        <f t="shared" ca="1" si="20"/>
        <v>0</v>
      </c>
      <c r="G71" s="14">
        <f t="shared" ca="1" si="18"/>
        <v>0</v>
      </c>
      <c r="H71" s="14">
        <f t="shared" ca="1" si="18"/>
        <v>0</v>
      </c>
      <c r="I71" s="14">
        <f t="shared" ca="1" si="18"/>
        <v>0</v>
      </c>
      <c r="J71" s="14">
        <f t="shared" ca="1" si="18"/>
        <v>0</v>
      </c>
      <c r="K71" s="14">
        <f t="shared" ca="1" si="18"/>
        <v>0</v>
      </c>
      <c r="L71" s="14">
        <f t="shared" ca="1" si="18"/>
        <v>0</v>
      </c>
      <c r="M71" s="14">
        <f t="shared" ca="1" si="18"/>
        <v>0</v>
      </c>
      <c r="N71" s="14">
        <f t="shared" ca="1" si="18"/>
        <v>0</v>
      </c>
      <c r="O71" s="14">
        <f t="shared" ca="1" si="18"/>
        <v>0</v>
      </c>
      <c r="P71" s="14">
        <f t="shared" ca="1" si="18"/>
        <v>0</v>
      </c>
      <c r="Q71" s="14">
        <f t="shared" ref="Q71:AL71" ca="1" si="21">$A71*H.Ar + $B71*H.Se + $C71*H.Ge + $D71*H.Ga</f>
        <v>0</v>
      </c>
      <c r="R71" s="14">
        <f t="shared" ca="1" si="21"/>
        <v>0</v>
      </c>
      <c r="S71" s="14">
        <f t="shared" ca="1" si="21"/>
        <v>0</v>
      </c>
      <c r="T71" s="14">
        <f t="shared" ca="1" si="21"/>
        <v>0</v>
      </c>
      <c r="U71" s="14">
        <f t="shared" ca="1" si="21"/>
        <v>0</v>
      </c>
      <c r="V71" s="14">
        <f t="shared" ca="1" si="21"/>
        <v>0</v>
      </c>
      <c r="W71" s="14">
        <f t="shared" ca="1" si="21"/>
        <v>0</v>
      </c>
      <c r="X71" s="14">
        <f t="shared" ca="1" si="21"/>
        <v>0</v>
      </c>
      <c r="Y71" s="14">
        <f t="shared" ca="1" si="21"/>
        <v>0</v>
      </c>
      <c r="Z71" s="14">
        <f t="shared" ca="1" si="21"/>
        <v>0</v>
      </c>
      <c r="AA71" s="14">
        <f t="shared" ca="1" si="21"/>
        <v>0</v>
      </c>
      <c r="AB71" s="14">
        <f t="shared" ca="1" si="21"/>
        <v>0</v>
      </c>
      <c r="AC71" s="14">
        <f t="shared" ca="1" si="21"/>
        <v>0</v>
      </c>
      <c r="AD71" s="14">
        <f t="shared" ca="1" si="21"/>
        <v>0</v>
      </c>
      <c r="AE71" s="14">
        <f t="shared" ca="1" si="21"/>
        <v>0</v>
      </c>
      <c r="AF71" s="14">
        <f t="shared" ca="1" si="21"/>
        <v>0</v>
      </c>
      <c r="AG71" s="14">
        <f t="shared" ca="1" si="21"/>
        <v>0</v>
      </c>
      <c r="AH71" s="14">
        <f t="shared" ca="1" si="21"/>
        <v>0</v>
      </c>
      <c r="AI71" s="14">
        <f t="shared" ca="1" si="21"/>
        <v>0</v>
      </c>
      <c r="AJ71" s="14">
        <f t="shared" ca="1" si="21"/>
        <v>0</v>
      </c>
      <c r="AK71" s="14">
        <f t="shared" ca="1" si="21"/>
        <v>0</v>
      </c>
      <c r="AL71" s="14">
        <f t="shared" ca="1" si="21"/>
        <v>0</v>
      </c>
    </row>
    <row r="72" spans="1:54" ht="21" hidden="1" customHeight="1" outlineLevel="1" thickBot="1" x14ac:dyDescent="0.4">
      <c r="A72" s="5">
        <f t="shared" si="19"/>
        <v>0</v>
      </c>
      <c r="B72" s="5">
        <f t="shared" si="19"/>
        <v>0</v>
      </c>
      <c r="C72" s="5">
        <f t="shared" si="19"/>
        <v>0</v>
      </c>
      <c r="D72" s="5">
        <f t="shared" si="19"/>
        <v>0</v>
      </c>
      <c r="E72" s="6">
        <f t="shared" si="19"/>
        <v>0</v>
      </c>
      <c r="F72" s="14">
        <f t="shared" ca="1" si="20"/>
        <v>0</v>
      </c>
      <c r="G72" s="14">
        <f t="shared" ref="G72:AL74" ca="1" si="22">$A72*H.Ar + $B72*H.Se + $C72*H.Ge + $D72*H.Ga</f>
        <v>0</v>
      </c>
      <c r="H72" s="14">
        <f t="shared" ca="1" si="22"/>
        <v>0</v>
      </c>
      <c r="I72" s="14">
        <f t="shared" ca="1" si="22"/>
        <v>0</v>
      </c>
      <c r="J72" s="14">
        <f t="shared" ca="1" si="22"/>
        <v>0</v>
      </c>
      <c r="K72" s="14">
        <f t="shared" ca="1" si="22"/>
        <v>0</v>
      </c>
      <c r="L72" s="14">
        <f t="shared" ca="1" si="22"/>
        <v>0</v>
      </c>
      <c r="M72" s="14">
        <f t="shared" ca="1" si="22"/>
        <v>0</v>
      </c>
      <c r="N72" s="14">
        <f t="shared" ca="1" si="22"/>
        <v>0</v>
      </c>
      <c r="O72" s="14">
        <f t="shared" ca="1" si="22"/>
        <v>0</v>
      </c>
      <c r="P72" s="14">
        <f t="shared" ca="1" si="22"/>
        <v>0</v>
      </c>
      <c r="Q72" s="14">
        <f t="shared" ca="1" si="22"/>
        <v>0</v>
      </c>
      <c r="R72" s="14">
        <f t="shared" ca="1" si="22"/>
        <v>0</v>
      </c>
      <c r="S72" s="14">
        <f t="shared" ca="1" si="22"/>
        <v>0</v>
      </c>
      <c r="T72" s="14">
        <f t="shared" ca="1" si="22"/>
        <v>0</v>
      </c>
      <c r="U72" s="14">
        <f t="shared" ca="1" si="22"/>
        <v>0</v>
      </c>
      <c r="V72" s="14">
        <f t="shared" ca="1" si="22"/>
        <v>0</v>
      </c>
      <c r="W72" s="14">
        <f t="shared" ca="1" si="22"/>
        <v>0</v>
      </c>
      <c r="X72" s="14">
        <f t="shared" ca="1" si="22"/>
        <v>0</v>
      </c>
      <c r="Y72" s="14">
        <f t="shared" ca="1" si="22"/>
        <v>0</v>
      </c>
      <c r="Z72" s="14">
        <f t="shared" ca="1" si="22"/>
        <v>0</v>
      </c>
      <c r="AA72" s="14">
        <f t="shared" ca="1" si="22"/>
        <v>0</v>
      </c>
      <c r="AB72" s="14">
        <f t="shared" ca="1" si="22"/>
        <v>0</v>
      </c>
      <c r="AC72" s="14">
        <f t="shared" ca="1" si="22"/>
        <v>0</v>
      </c>
      <c r="AD72" s="14">
        <f t="shared" ca="1" si="22"/>
        <v>0</v>
      </c>
      <c r="AE72" s="14">
        <f t="shared" ca="1" si="22"/>
        <v>0</v>
      </c>
      <c r="AF72" s="14">
        <f t="shared" ca="1" si="22"/>
        <v>0</v>
      </c>
      <c r="AG72" s="14">
        <f t="shared" ca="1" si="22"/>
        <v>0</v>
      </c>
      <c r="AH72" s="14">
        <f t="shared" ca="1" si="22"/>
        <v>0</v>
      </c>
      <c r="AI72" s="14">
        <f t="shared" ca="1" si="22"/>
        <v>0</v>
      </c>
      <c r="AJ72" s="14">
        <f t="shared" ca="1" si="22"/>
        <v>0</v>
      </c>
      <c r="AK72" s="14">
        <f t="shared" ca="1" si="22"/>
        <v>0</v>
      </c>
      <c r="AL72" s="14">
        <f t="shared" ca="1" si="22"/>
        <v>0</v>
      </c>
    </row>
    <row r="73" spans="1:54" ht="21" hidden="1" customHeight="1" outlineLevel="1" thickBot="1" x14ac:dyDescent="0.4">
      <c r="A73" s="5">
        <f t="shared" si="19"/>
        <v>0</v>
      </c>
      <c r="B73" s="5">
        <f t="shared" si="19"/>
        <v>0</v>
      </c>
      <c r="C73" s="5">
        <f t="shared" si="19"/>
        <v>0</v>
      </c>
      <c r="D73" s="5">
        <f t="shared" si="19"/>
        <v>0</v>
      </c>
      <c r="E73" s="6">
        <f t="shared" si="19"/>
        <v>0</v>
      </c>
      <c r="F73" s="14">
        <f t="shared" ca="1" si="20"/>
        <v>0</v>
      </c>
      <c r="G73" s="14">
        <f t="shared" ca="1" si="22"/>
        <v>0</v>
      </c>
      <c r="H73" s="14">
        <f t="shared" ca="1" si="22"/>
        <v>0</v>
      </c>
      <c r="I73" s="14">
        <f t="shared" ca="1" si="22"/>
        <v>0</v>
      </c>
      <c r="J73" s="14">
        <f t="shared" ca="1" si="22"/>
        <v>0</v>
      </c>
      <c r="K73" s="14">
        <f t="shared" ca="1" si="22"/>
        <v>0</v>
      </c>
      <c r="L73" s="14">
        <f t="shared" ca="1" si="22"/>
        <v>0</v>
      </c>
      <c r="M73" s="14">
        <f t="shared" ca="1" si="22"/>
        <v>0</v>
      </c>
      <c r="N73" s="14">
        <f t="shared" ca="1" si="22"/>
        <v>0</v>
      </c>
      <c r="O73" s="14">
        <f t="shared" ca="1" si="22"/>
        <v>0</v>
      </c>
      <c r="P73" s="14">
        <f t="shared" ca="1" si="22"/>
        <v>0</v>
      </c>
      <c r="Q73" s="14">
        <f t="shared" ca="1" si="22"/>
        <v>0</v>
      </c>
      <c r="R73" s="14">
        <f t="shared" ca="1" si="22"/>
        <v>0</v>
      </c>
      <c r="S73" s="14">
        <f t="shared" ca="1" si="22"/>
        <v>0</v>
      </c>
      <c r="T73" s="14">
        <f t="shared" ca="1" si="22"/>
        <v>0</v>
      </c>
      <c r="U73" s="14">
        <f t="shared" ca="1" si="22"/>
        <v>0</v>
      </c>
      <c r="V73" s="14">
        <f t="shared" ca="1" si="22"/>
        <v>0</v>
      </c>
      <c r="W73" s="14">
        <f t="shared" ca="1" si="22"/>
        <v>0</v>
      </c>
      <c r="X73" s="14">
        <f t="shared" ca="1" si="22"/>
        <v>0</v>
      </c>
      <c r="Y73" s="14">
        <f t="shared" ca="1" si="22"/>
        <v>0</v>
      </c>
      <c r="Z73" s="14">
        <f t="shared" ca="1" si="22"/>
        <v>0</v>
      </c>
      <c r="AA73" s="14">
        <f t="shared" ca="1" si="22"/>
        <v>0</v>
      </c>
      <c r="AB73" s="14">
        <f t="shared" ca="1" si="22"/>
        <v>0</v>
      </c>
      <c r="AC73" s="14">
        <f t="shared" ca="1" si="22"/>
        <v>0</v>
      </c>
      <c r="AD73" s="14">
        <f t="shared" ca="1" si="22"/>
        <v>0</v>
      </c>
      <c r="AE73" s="14">
        <f t="shared" ca="1" si="22"/>
        <v>0</v>
      </c>
      <c r="AF73" s="14">
        <f t="shared" ca="1" si="22"/>
        <v>0</v>
      </c>
      <c r="AG73" s="14">
        <f t="shared" ca="1" si="22"/>
        <v>0</v>
      </c>
      <c r="AH73" s="14">
        <f t="shared" ca="1" si="22"/>
        <v>0</v>
      </c>
      <c r="AI73" s="14">
        <f t="shared" ca="1" si="22"/>
        <v>0</v>
      </c>
      <c r="AJ73" s="14">
        <f t="shared" ca="1" si="22"/>
        <v>0</v>
      </c>
      <c r="AK73" s="14">
        <f t="shared" ca="1" si="22"/>
        <v>0</v>
      </c>
      <c r="AL73" s="14">
        <f t="shared" ca="1" si="22"/>
        <v>0</v>
      </c>
    </row>
    <row r="74" spans="1:54" ht="21" hidden="1" customHeight="1" outlineLevel="1" thickBot="1" x14ac:dyDescent="0.4">
      <c r="A74" s="5">
        <f t="shared" si="19"/>
        <v>0</v>
      </c>
      <c r="B74" s="5">
        <f t="shared" si="19"/>
        <v>0</v>
      </c>
      <c r="C74" s="5">
        <f t="shared" si="19"/>
        <v>0</v>
      </c>
      <c r="D74" s="5">
        <f t="shared" si="19"/>
        <v>0</v>
      </c>
      <c r="E74" s="6">
        <f t="shared" si="19"/>
        <v>0</v>
      </c>
      <c r="F74" s="14">
        <f t="shared" ca="1" si="20"/>
        <v>0</v>
      </c>
      <c r="G74" s="14">
        <f t="shared" ca="1" si="22"/>
        <v>0</v>
      </c>
      <c r="H74" s="14">
        <f t="shared" ca="1" si="22"/>
        <v>0</v>
      </c>
      <c r="I74" s="14">
        <f t="shared" ca="1" si="22"/>
        <v>0</v>
      </c>
      <c r="J74" s="14">
        <f t="shared" ca="1" si="22"/>
        <v>0</v>
      </c>
      <c r="K74" s="14">
        <f t="shared" ca="1" si="22"/>
        <v>0</v>
      </c>
      <c r="L74" s="14">
        <f t="shared" ca="1" si="22"/>
        <v>0</v>
      </c>
      <c r="M74" s="14">
        <f t="shared" ca="1" si="22"/>
        <v>0</v>
      </c>
      <c r="N74" s="14">
        <f t="shared" ca="1" si="22"/>
        <v>0</v>
      </c>
      <c r="O74" s="14">
        <f t="shared" ca="1" si="22"/>
        <v>0</v>
      </c>
      <c r="P74" s="14">
        <f t="shared" ca="1" si="22"/>
        <v>0</v>
      </c>
      <c r="Q74" s="14">
        <f t="shared" ca="1" si="22"/>
        <v>0</v>
      </c>
      <c r="R74" s="14">
        <f t="shared" ca="1" si="22"/>
        <v>0</v>
      </c>
      <c r="S74" s="14">
        <f t="shared" ca="1" si="22"/>
        <v>0</v>
      </c>
      <c r="T74" s="14">
        <f t="shared" ca="1" si="22"/>
        <v>0</v>
      </c>
      <c r="U74" s="14">
        <f t="shared" ca="1" si="22"/>
        <v>0</v>
      </c>
      <c r="V74" s="14">
        <f t="shared" ca="1" si="22"/>
        <v>0</v>
      </c>
      <c r="W74" s="14">
        <f t="shared" ca="1" si="22"/>
        <v>0</v>
      </c>
      <c r="X74" s="14">
        <f t="shared" ca="1" si="22"/>
        <v>0</v>
      </c>
      <c r="Y74" s="14">
        <f t="shared" ca="1" si="22"/>
        <v>0</v>
      </c>
      <c r="Z74" s="14">
        <f t="shared" ca="1" si="22"/>
        <v>0</v>
      </c>
      <c r="AA74" s="14">
        <f t="shared" ca="1" si="22"/>
        <v>0</v>
      </c>
      <c r="AB74" s="14">
        <f t="shared" ca="1" si="22"/>
        <v>0</v>
      </c>
      <c r="AC74" s="14">
        <f t="shared" ca="1" si="22"/>
        <v>0</v>
      </c>
      <c r="AD74" s="14">
        <f t="shared" ca="1" si="22"/>
        <v>0</v>
      </c>
      <c r="AE74" s="14">
        <f t="shared" ca="1" si="22"/>
        <v>0</v>
      </c>
      <c r="AF74" s="14">
        <f t="shared" ca="1" si="22"/>
        <v>0</v>
      </c>
      <c r="AG74" s="14">
        <f t="shared" ca="1" si="22"/>
        <v>0</v>
      </c>
      <c r="AH74" s="14">
        <f t="shared" ca="1" si="22"/>
        <v>0</v>
      </c>
      <c r="AI74" s="14">
        <f t="shared" ca="1" si="22"/>
        <v>0</v>
      </c>
      <c r="AJ74" s="14">
        <f t="shared" ca="1" si="22"/>
        <v>0</v>
      </c>
      <c r="AK74" s="14">
        <f t="shared" ca="1" si="22"/>
        <v>0</v>
      </c>
      <c r="AL74" s="14">
        <f t="shared" ca="1" si="22"/>
        <v>0</v>
      </c>
    </row>
    <row r="75" spans="1:54" ht="21" hidden="1" customHeight="1" outlineLevel="1" thickBot="1" x14ac:dyDescent="0.4">
      <c r="A75" s="5">
        <f t="shared" si="19"/>
        <v>0</v>
      </c>
      <c r="B75" s="5">
        <f t="shared" si="19"/>
        <v>0</v>
      </c>
      <c r="C75" s="5">
        <f t="shared" si="19"/>
        <v>0</v>
      </c>
      <c r="D75" s="5">
        <f t="shared" si="19"/>
        <v>0</v>
      </c>
      <c r="E75" s="6">
        <f t="shared" si="19"/>
        <v>1</v>
      </c>
      <c r="F75" s="14"/>
      <c r="G75" s="14"/>
      <c r="H75" s="14"/>
      <c r="I75" s="14"/>
      <c r="J75" s="14"/>
      <c r="K75" s="14"/>
      <c r="L75" s="14"/>
      <c r="M75" s="14"/>
      <c r="N75" s="14"/>
      <c r="O75" s="14"/>
      <c r="P75" s="14"/>
      <c r="Q75" s="14"/>
      <c r="R75" s="14"/>
      <c r="S75" s="14"/>
      <c r="T75" s="14"/>
      <c r="U75" s="14"/>
      <c r="V75" s="14"/>
      <c r="W75" s="14"/>
      <c r="X75" s="14"/>
      <c r="Y75" s="14"/>
      <c r="Z75" s="14"/>
      <c r="AA75" s="14"/>
      <c r="AB75" s="14"/>
      <c r="AC75" s="14"/>
      <c r="AD75" s="14"/>
      <c r="AE75" s="14"/>
      <c r="AF75" s="14"/>
      <c r="AG75" s="14"/>
      <c r="AH75" s="14"/>
      <c r="AI75" s="14"/>
      <c r="AJ75" s="14"/>
      <c r="AK75" s="14"/>
      <c r="AL75" s="14"/>
    </row>
    <row r="76" spans="1:54" ht="21" hidden="1" customHeight="1" outlineLevel="1" x14ac:dyDescent="0.35">
      <c r="U76" s="55"/>
      <c r="V76" s="55"/>
      <c r="W76" s="55"/>
    </row>
    <row r="77" spans="1:54" ht="21" customHeight="1" collapsed="1" x14ac:dyDescent="0.35">
      <c r="U77" s="55"/>
      <c r="V77" s="55"/>
      <c r="W77" s="55"/>
    </row>
    <row r="78" spans="1:54" ht="21" customHeight="1" x14ac:dyDescent="0.4">
      <c r="A78" s="88"/>
      <c r="B78" s="88"/>
      <c r="C78" s="89">
        <f>E41</f>
        <v>8.3333333333333339</v>
      </c>
      <c r="D78" s="75"/>
      <c r="E78" s="74" t="s">
        <v>23</v>
      </c>
      <c r="F78" s="75"/>
      <c r="G78" s="75"/>
      <c r="H78" s="75"/>
      <c r="I78" s="75"/>
      <c r="J78" s="75"/>
      <c r="K78" s="75"/>
      <c r="L78" s="75"/>
      <c r="M78" s="75"/>
      <c r="N78" s="75"/>
      <c r="O78" s="75"/>
      <c r="P78" s="75"/>
      <c r="Q78" s="75"/>
      <c r="R78" s="75"/>
      <c r="S78" s="75"/>
      <c r="T78" s="75"/>
      <c r="U78" s="75"/>
      <c r="V78" s="75"/>
      <c r="W78" s="75"/>
      <c r="X78" s="75"/>
      <c r="Y78" s="75"/>
      <c r="Z78" s="75"/>
      <c r="AA78" s="75"/>
      <c r="AB78" s="75"/>
      <c r="AC78" s="75"/>
      <c r="AD78" s="75"/>
      <c r="AE78" s="75"/>
      <c r="AF78" s="75"/>
      <c r="AG78" s="75"/>
      <c r="AH78" s="75"/>
      <c r="AI78" s="75"/>
      <c r="AJ78" s="75"/>
      <c r="AK78" s="75"/>
      <c r="AL78" s="75"/>
      <c r="AM78" s="75"/>
      <c r="AN78" s="75"/>
      <c r="AO78" s="75"/>
      <c r="AP78" s="75"/>
      <c r="AQ78" s="75"/>
      <c r="AR78" s="75"/>
      <c r="AS78" s="75"/>
      <c r="AT78" s="75"/>
      <c r="AU78" s="75"/>
      <c r="AV78" s="75"/>
      <c r="AW78" s="75"/>
      <c r="AX78" s="75"/>
      <c r="AY78" s="75"/>
      <c r="AZ78" s="75"/>
      <c r="BA78" s="75"/>
      <c r="BB78" s="75"/>
    </row>
    <row r="79" spans="1:54" ht="21" hidden="1" customHeight="1" outlineLevel="1" thickTop="1" thickBot="1" x14ac:dyDescent="0.4">
      <c r="A79" s="12" t="s">
        <v>1</v>
      </c>
      <c r="B79" s="2" t="s">
        <v>2</v>
      </c>
      <c r="C79" s="2" t="s">
        <v>3</v>
      </c>
      <c r="D79" s="13" t="s">
        <v>4</v>
      </c>
      <c r="E79" s="3">
        <f t="shared" ref="E79:E109" si="23">E45</f>
        <v>0</v>
      </c>
      <c r="F79" s="3">
        <f t="shared" ref="F79:AL79" si="24">F3</f>
        <v>298.2</v>
      </c>
      <c r="G79" s="3">
        <f t="shared" si="24"/>
        <v>331.5</v>
      </c>
      <c r="H79" s="3">
        <f t="shared" si="24"/>
        <v>364.9</v>
      </c>
      <c r="I79" s="3">
        <f t="shared" si="24"/>
        <v>398.3</v>
      </c>
      <c r="J79" s="3">
        <f t="shared" si="24"/>
        <v>431.7</v>
      </c>
      <c r="K79" s="3">
        <f t="shared" si="24"/>
        <v>465.1</v>
      </c>
      <c r="L79" s="3">
        <f t="shared" si="24"/>
        <v>498.5</v>
      </c>
      <c r="M79" s="3">
        <f t="shared" si="24"/>
        <v>531.79999999999995</v>
      </c>
      <c r="N79" s="3">
        <f t="shared" si="24"/>
        <v>565.20000000000005</v>
      </c>
      <c r="O79" s="3">
        <f t="shared" si="24"/>
        <v>698.8</v>
      </c>
      <c r="P79" s="3">
        <f t="shared" si="24"/>
        <v>832.3</v>
      </c>
      <c r="Q79" s="3">
        <f t="shared" si="24"/>
        <v>965.8</v>
      </c>
      <c r="R79" s="3">
        <f t="shared" si="24"/>
        <v>999.2</v>
      </c>
      <c r="S79" s="3">
        <f t="shared" si="24"/>
        <v>1033</v>
      </c>
      <c r="T79" s="3">
        <f t="shared" si="24"/>
        <v>1066</v>
      </c>
      <c r="U79" s="3">
        <f t="shared" si="24"/>
        <v>1099</v>
      </c>
      <c r="V79" s="3">
        <f t="shared" si="24"/>
        <v>1233</v>
      </c>
      <c r="W79" s="3">
        <f t="shared" si="24"/>
        <v>1366</v>
      </c>
      <c r="X79" s="3">
        <f t="shared" si="24"/>
        <v>1400</v>
      </c>
      <c r="Y79" s="3">
        <f t="shared" si="24"/>
        <v>1433</v>
      </c>
      <c r="Z79" s="3">
        <f t="shared" si="24"/>
        <v>1467</v>
      </c>
      <c r="AA79" s="3">
        <f t="shared" si="24"/>
        <v>1500</v>
      </c>
      <c r="AB79" s="3">
        <f t="shared" si="24"/>
        <v>0</v>
      </c>
      <c r="AC79" s="3">
        <f t="shared" si="24"/>
        <v>0</v>
      </c>
      <c r="AD79" s="3">
        <f t="shared" si="24"/>
        <v>0</v>
      </c>
      <c r="AE79" s="3">
        <f t="shared" si="24"/>
        <v>0</v>
      </c>
      <c r="AF79" s="3">
        <f t="shared" si="24"/>
        <v>0</v>
      </c>
      <c r="AG79" s="3">
        <f t="shared" si="24"/>
        <v>0</v>
      </c>
      <c r="AH79" s="3">
        <f t="shared" si="24"/>
        <v>0</v>
      </c>
      <c r="AI79" s="3">
        <f t="shared" si="24"/>
        <v>0</v>
      </c>
      <c r="AJ79" s="3">
        <f t="shared" si="24"/>
        <v>0</v>
      </c>
      <c r="AK79" s="3">
        <f t="shared" si="24"/>
        <v>0</v>
      </c>
      <c r="AL79" s="3">
        <f t="shared" si="24"/>
        <v>0</v>
      </c>
    </row>
    <row r="80" spans="1:54" ht="21" hidden="1" customHeight="1" outlineLevel="1" thickTop="1" thickBot="1" x14ac:dyDescent="0.4">
      <c r="A80" s="5">
        <f>A46</f>
        <v>0</v>
      </c>
      <c r="B80" s="5">
        <f t="shared" ref="B80:D80" si="25">B46</f>
        <v>0</v>
      </c>
      <c r="C80" s="5">
        <f t="shared" si="25"/>
        <v>1</v>
      </c>
      <c r="D80" s="5">
        <f t="shared" si="25"/>
        <v>0</v>
      </c>
      <c r="E80" s="6" t="str">
        <f t="shared" si="23"/>
        <v>*Ge[l]</v>
      </c>
      <c r="F80" s="14">
        <f t="shared" ref="F80:AL80" si="26">F4*$C$78</f>
        <v>0</v>
      </c>
      <c r="G80" s="14">
        <f t="shared" si="26"/>
        <v>0</v>
      </c>
      <c r="H80" s="14">
        <f t="shared" si="26"/>
        <v>0</v>
      </c>
      <c r="I80" s="14">
        <f t="shared" si="26"/>
        <v>0</v>
      </c>
      <c r="J80" s="14">
        <f t="shared" si="26"/>
        <v>0</v>
      </c>
      <c r="K80" s="14">
        <f t="shared" si="26"/>
        <v>0</v>
      </c>
      <c r="L80" s="14">
        <f t="shared" si="26"/>
        <v>0</v>
      </c>
      <c r="M80" s="14">
        <f t="shared" si="26"/>
        <v>0</v>
      </c>
      <c r="N80" s="14">
        <f t="shared" si="26"/>
        <v>4.5386666666666667E-23</v>
      </c>
      <c r="O80" s="14">
        <f t="shared" si="26"/>
        <v>2.2605000000000003E-12</v>
      </c>
      <c r="P80" s="14">
        <f t="shared" si="26"/>
        <v>3.6087500000000001E-10</v>
      </c>
      <c r="Q80" s="14">
        <f t="shared" si="26"/>
        <v>1.1971666666666667E-8</v>
      </c>
      <c r="R80" s="14">
        <f t="shared" si="26"/>
        <v>2.0710833333333335E-8</v>
      </c>
      <c r="S80" s="14">
        <f t="shared" si="26"/>
        <v>3.7360833333333335E-8</v>
      </c>
      <c r="T80" s="14">
        <f t="shared" si="26"/>
        <v>9.8875000000000017E-8</v>
      </c>
      <c r="U80" s="14">
        <f t="shared" si="26"/>
        <v>2.4500833333333334E-7</v>
      </c>
      <c r="V80" s="14">
        <f t="shared" si="26"/>
        <v>0.49995000000000001</v>
      </c>
      <c r="W80" s="14">
        <f t="shared" si="26"/>
        <v>0.5</v>
      </c>
      <c r="X80" s="14">
        <f t="shared" si="26"/>
        <v>0.5</v>
      </c>
      <c r="Y80" s="14">
        <f t="shared" si="26"/>
        <v>0.5</v>
      </c>
      <c r="Z80" s="14">
        <f t="shared" si="26"/>
        <v>0.5</v>
      </c>
      <c r="AA80" s="14">
        <f t="shared" si="26"/>
        <v>0.5</v>
      </c>
      <c r="AB80" s="14">
        <f t="shared" si="26"/>
        <v>0</v>
      </c>
      <c r="AC80" s="14">
        <f t="shared" si="26"/>
        <v>0</v>
      </c>
      <c r="AD80" s="14">
        <f t="shared" si="26"/>
        <v>0</v>
      </c>
      <c r="AE80" s="14">
        <f t="shared" si="26"/>
        <v>0</v>
      </c>
      <c r="AF80" s="14">
        <f t="shared" si="26"/>
        <v>0</v>
      </c>
      <c r="AG80" s="14">
        <f t="shared" si="26"/>
        <v>0</v>
      </c>
      <c r="AH80" s="14">
        <f t="shared" si="26"/>
        <v>0</v>
      </c>
      <c r="AI80" s="14">
        <f t="shared" si="26"/>
        <v>0</v>
      </c>
      <c r="AJ80" s="14">
        <f t="shared" si="26"/>
        <v>0</v>
      </c>
      <c r="AK80" s="14">
        <f t="shared" si="26"/>
        <v>0</v>
      </c>
      <c r="AL80" s="14">
        <f t="shared" si="26"/>
        <v>0</v>
      </c>
    </row>
    <row r="81" spans="1:38" ht="21" hidden="1" customHeight="1" outlineLevel="1" thickBot="1" x14ac:dyDescent="0.4">
      <c r="A81" s="5">
        <f t="shared" ref="A81:D96" si="27">A47</f>
        <v>0</v>
      </c>
      <c r="B81" s="5">
        <f t="shared" si="27"/>
        <v>0</v>
      </c>
      <c r="C81" s="5">
        <f t="shared" si="27"/>
        <v>1</v>
      </c>
      <c r="D81" s="5">
        <f t="shared" si="27"/>
        <v>0</v>
      </c>
      <c r="E81" s="6" t="str">
        <f t="shared" si="23"/>
        <v>*Ge</v>
      </c>
      <c r="F81" s="14">
        <f t="shared" ref="F81:AL81" si="28">F5*$C$78</f>
        <v>0</v>
      </c>
      <c r="G81" s="14">
        <f t="shared" si="28"/>
        <v>0</v>
      </c>
      <c r="H81" s="14">
        <f t="shared" si="28"/>
        <v>0</v>
      </c>
      <c r="I81" s="14">
        <f t="shared" si="28"/>
        <v>2.0295833333333334E-23</v>
      </c>
      <c r="J81" s="14">
        <f t="shared" si="28"/>
        <v>8.2242500000000018E-15</v>
      </c>
      <c r="K81" s="14">
        <f t="shared" si="28"/>
        <v>1.6101666666666666E-10</v>
      </c>
      <c r="L81" s="14">
        <f t="shared" si="28"/>
        <v>3.8133333333333337E-8</v>
      </c>
      <c r="M81" s="14">
        <f t="shared" si="28"/>
        <v>0.5</v>
      </c>
      <c r="N81" s="14">
        <f t="shared" si="28"/>
        <v>0.5</v>
      </c>
      <c r="O81" s="14">
        <f t="shared" si="28"/>
        <v>0.5</v>
      </c>
      <c r="P81" s="14">
        <f t="shared" si="28"/>
        <v>0.5</v>
      </c>
      <c r="Q81" s="14">
        <f t="shared" si="28"/>
        <v>0.5</v>
      </c>
      <c r="R81" s="14">
        <f t="shared" si="28"/>
        <v>0.5</v>
      </c>
      <c r="S81" s="14">
        <f t="shared" si="28"/>
        <v>0.5</v>
      </c>
      <c r="T81" s="14">
        <f t="shared" si="28"/>
        <v>0.5</v>
      </c>
      <c r="U81" s="14">
        <f t="shared" si="28"/>
        <v>0.5</v>
      </c>
      <c r="V81" s="14">
        <f t="shared" si="28"/>
        <v>4.9101666666666671E-5</v>
      </c>
      <c r="W81" s="14">
        <f t="shared" si="28"/>
        <v>1.6452500000000003E-7</v>
      </c>
      <c r="X81" s="14">
        <f t="shared" si="28"/>
        <v>1.2127500000000001E-7</v>
      </c>
      <c r="Y81" s="14">
        <f t="shared" si="28"/>
        <v>6.8465833333333341E-8</v>
      </c>
      <c r="Z81" s="14">
        <f t="shared" si="28"/>
        <v>6.5566666666666665E-8</v>
      </c>
      <c r="AA81" s="14">
        <f t="shared" si="28"/>
        <v>5.0708333333333342E-8</v>
      </c>
      <c r="AB81" s="14">
        <f t="shared" si="28"/>
        <v>0</v>
      </c>
      <c r="AC81" s="14">
        <f t="shared" si="28"/>
        <v>0</v>
      </c>
      <c r="AD81" s="14">
        <f t="shared" si="28"/>
        <v>0</v>
      </c>
      <c r="AE81" s="14">
        <f t="shared" si="28"/>
        <v>0</v>
      </c>
      <c r="AF81" s="14">
        <f t="shared" si="28"/>
        <v>0</v>
      </c>
      <c r="AG81" s="14">
        <f t="shared" si="28"/>
        <v>0</v>
      </c>
      <c r="AH81" s="14">
        <f t="shared" si="28"/>
        <v>0</v>
      </c>
      <c r="AI81" s="14">
        <f t="shared" si="28"/>
        <v>0</v>
      </c>
      <c r="AJ81" s="14">
        <f t="shared" si="28"/>
        <v>0</v>
      </c>
      <c r="AK81" s="14">
        <f t="shared" si="28"/>
        <v>0</v>
      </c>
      <c r="AL81" s="14">
        <f t="shared" si="28"/>
        <v>0</v>
      </c>
    </row>
    <row r="82" spans="1:38" ht="21" hidden="1" customHeight="1" outlineLevel="1" thickBot="1" x14ac:dyDescent="0.4">
      <c r="A82" s="5">
        <f t="shared" si="27"/>
        <v>0</v>
      </c>
      <c r="B82" s="5">
        <f t="shared" si="27"/>
        <v>1</v>
      </c>
      <c r="C82" s="5">
        <f t="shared" si="27"/>
        <v>1</v>
      </c>
      <c r="D82" s="5">
        <f t="shared" si="27"/>
        <v>0</v>
      </c>
      <c r="E82" s="6" t="str">
        <f t="shared" si="23"/>
        <v>*GeSe</v>
      </c>
      <c r="F82" s="14">
        <f t="shared" ref="F82:AL82" si="29">F6*$C$78</f>
        <v>0.5</v>
      </c>
      <c r="G82" s="14">
        <f t="shared" si="29"/>
        <v>0.5</v>
      </c>
      <c r="H82" s="14">
        <f t="shared" si="29"/>
        <v>1</v>
      </c>
      <c r="I82" s="14">
        <f t="shared" si="29"/>
        <v>1</v>
      </c>
      <c r="J82" s="14">
        <f t="shared" si="29"/>
        <v>1</v>
      </c>
      <c r="K82" s="14">
        <f t="shared" si="29"/>
        <v>1</v>
      </c>
      <c r="L82" s="14">
        <f t="shared" si="29"/>
        <v>1</v>
      </c>
      <c r="M82" s="14">
        <f t="shared" si="29"/>
        <v>7.0004166666666667E-8</v>
      </c>
      <c r="N82" s="14">
        <f t="shared" si="29"/>
        <v>6.7773333333333339E-10</v>
      </c>
      <c r="O82" s="14">
        <f t="shared" si="29"/>
        <v>6.0457500000000001E-25</v>
      </c>
      <c r="P82" s="14">
        <f t="shared" si="29"/>
        <v>0</v>
      </c>
      <c r="Q82" s="14">
        <f t="shared" si="29"/>
        <v>0</v>
      </c>
      <c r="R82" s="14">
        <f t="shared" si="29"/>
        <v>0</v>
      </c>
      <c r="S82" s="14">
        <f t="shared" si="29"/>
        <v>0</v>
      </c>
      <c r="T82" s="14">
        <f t="shared" si="29"/>
        <v>0</v>
      </c>
      <c r="U82" s="14">
        <f t="shared" si="29"/>
        <v>0</v>
      </c>
      <c r="V82" s="14">
        <f t="shared" si="29"/>
        <v>0</v>
      </c>
      <c r="W82" s="14">
        <f t="shared" si="29"/>
        <v>0</v>
      </c>
      <c r="X82" s="14">
        <f t="shared" si="29"/>
        <v>0</v>
      </c>
      <c r="Y82" s="14">
        <f t="shared" si="29"/>
        <v>0</v>
      </c>
      <c r="Z82" s="14">
        <f t="shared" si="29"/>
        <v>0</v>
      </c>
      <c r="AA82" s="14">
        <f t="shared" si="29"/>
        <v>0</v>
      </c>
      <c r="AB82" s="14">
        <f t="shared" si="29"/>
        <v>0</v>
      </c>
      <c r="AC82" s="14">
        <f t="shared" si="29"/>
        <v>0</v>
      </c>
      <c r="AD82" s="14">
        <f t="shared" si="29"/>
        <v>0</v>
      </c>
      <c r="AE82" s="14">
        <f t="shared" si="29"/>
        <v>0</v>
      </c>
      <c r="AF82" s="14">
        <f t="shared" si="29"/>
        <v>0</v>
      </c>
      <c r="AG82" s="14">
        <f t="shared" si="29"/>
        <v>0</v>
      </c>
      <c r="AH82" s="14">
        <f t="shared" si="29"/>
        <v>0</v>
      </c>
      <c r="AI82" s="14">
        <f t="shared" si="29"/>
        <v>0</v>
      </c>
      <c r="AJ82" s="14">
        <f t="shared" si="29"/>
        <v>0</v>
      </c>
      <c r="AK82" s="14">
        <f t="shared" si="29"/>
        <v>0</v>
      </c>
      <c r="AL82" s="14">
        <f t="shared" si="29"/>
        <v>0</v>
      </c>
    </row>
    <row r="83" spans="1:38" ht="21" hidden="1" customHeight="1" outlineLevel="1" thickBot="1" x14ac:dyDescent="0.4">
      <c r="A83" s="5">
        <f t="shared" si="27"/>
        <v>0</v>
      </c>
      <c r="B83" s="5">
        <f t="shared" si="27"/>
        <v>0</v>
      </c>
      <c r="C83" s="5">
        <f t="shared" si="27"/>
        <v>0</v>
      </c>
      <c r="D83" s="5">
        <f t="shared" si="27"/>
        <v>1</v>
      </c>
      <c r="E83" s="6" t="str">
        <f t="shared" si="23"/>
        <v>*Ga</v>
      </c>
      <c r="F83" s="14">
        <f t="shared" ref="F83:AL83" si="30">F7*$C$78</f>
        <v>0</v>
      </c>
      <c r="G83" s="14">
        <f t="shared" si="30"/>
        <v>0</v>
      </c>
      <c r="H83" s="14">
        <f t="shared" si="30"/>
        <v>0</v>
      </c>
      <c r="I83" s="14">
        <f t="shared" si="30"/>
        <v>0</v>
      </c>
      <c r="J83" s="14">
        <f t="shared" si="30"/>
        <v>0</v>
      </c>
      <c r="K83" s="14">
        <f t="shared" si="30"/>
        <v>0</v>
      </c>
      <c r="L83" s="14">
        <f t="shared" si="30"/>
        <v>0</v>
      </c>
      <c r="M83" s="14">
        <f t="shared" si="30"/>
        <v>1.2927500000000001</v>
      </c>
      <c r="N83" s="14">
        <f t="shared" si="30"/>
        <v>1.666666666666667</v>
      </c>
      <c r="O83" s="14">
        <f t="shared" si="30"/>
        <v>1.666666666666667</v>
      </c>
      <c r="P83" s="14">
        <f t="shared" si="30"/>
        <v>1.666666666666667</v>
      </c>
      <c r="Q83" s="14">
        <f t="shared" si="30"/>
        <v>1.666666666666667</v>
      </c>
      <c r="R83" s="14">
        <f t="shared" si="30"/>
        <v>1.666666666666667</v>
      </c>
      <c r="S83" s="14">
        <f t="shared" si="30"/>
        <v>1.666666666666667</v>
      </c>
      <c r="T83" s="14">
        <f t="shared" si="30"/>
        <v>1.666666666666667</v>
      </c>
      <c r="U83" s="14">
        <f t="shared" si="30"/>
        <v>1.666666666666667</v>
      </c>
      <c r="V83" s="14">
        <f t="shared" si="30"/>
        <v>1.666666666666667</v>
      </c>
      <c r="W83" s="14">
        <f t="shared" si="30"/>
        <v>1.666666666666667</v>
      </c>
      <c r="X83" s="14">
        <f t="shared" si="30"/>
        <v>1.666666666666667</v>
      </c>
      <c r="Y83" s="14">
        <f t="shared" si="30"/>
        <v>1.666666666666667</v>
      </c>
      <c r="Z83" s="14">
        <f t="shared" si="30"/>
        <v>1.666666666666667</v>
      </c>
      <c r="AA83" s="14">
        <f t="shared" si="30"/>
        <v>1.666666666666667</v>
      </c>
      <c r="AB83" s="14">
        <f t="shared" si="30"/>
        <v>0</v>
      </c>
      <c r="AC83" s="14">
        <f t="shared" si="30"/>
        <v>0</v>
      </c>
      <c r="AD83" s="14">
        <f t="shared" si="30"/>
        <v>0</v>
      </c>
      <c r="AE83" s="14">
        <f t="shared" si="30"/>
        <v>0</v>
      </c>
      <c r="AF83" s="14">
        <f t="shared" si="30"/>
        <v>0</v>
      </c>
      <c r="AG83" s="14">
        <f t="shared" si="30"/>
        <v>0</v>
      </c>
      <c r="AH83" s="14">
        <f t="shared" si="30"/>
        <v>0</v>
      </c>
      <c r="AI83" s="14">
        <f t="shared" si="30"/>
        <v>0</v>
      </c>
      <c r="AJ83" s="14">
        <f t="shared" si="30"/>
        <v>0</v>
      </c>
      <c r="AK83" s="14">
        <f t="shared" si="30"/>
        <v>0</v>
      </c>
      <c r="AL83" s="14">
        <f t="shared" si="30"/>
        <v>0</v>
      </c>
    </row>
    <row r="84" spans="1:38" ht="21" hidden="1" customHeight="1" outlineLevel="1" thickBot="1" x14ac:dyDescent="0.4">
      <c r="A84" s="5">
        <f t="shared" si="27"/>
        <v>0</v>
      </c>
      <c r="B84" s="5">
        <f t="shared" si="27"/>
        <v>0</v>
      </c>
      <c r="C84" s="5">
        <f t="shared" si="27"/>
        <v>1</v>
      </c>
      <c r="D84" s="5">
        <f t="shared" si="27"/>
        <v>0</v>
      </c>
      <c r="E84" s="6" t="str">
        <f t="shared" si="23"/>
        <v>*Ge[c]</v>
      </c>
      <c r="F84" s="14">
        <f t="shared" ref="F84:AL84" si="31">F8*$C$78</f>
        <v>0</v>
      </c>
      <c r="G84" s="14">
        <f t="shared" si="31"/>
        <v>0</v>
      </c>
      <c r="H84" s="14">
        <f t="shared" si="31"/>
        <v>0</v>
      </c>
      <c r="I84" s="14">
        <f t="shared" si="31"/>
        <v>2.0295833333333334E-23</v>
      </c>
      <c r="J84" s="14">
        <f t="shared" si="31"/>
        <v>8.2242500000000018E-15</v>
      </c>
      <c r="K84" s="14">
        <f t="shared" si="31"/>
        <v>1.6101666666666666E-10</v>
      </c>
      <c r="L84" s="14">
        <f t="shared" si="31"/>
        <v>3.8133333333333337E-8</v>
      </c>
      <c r="M84" s="14">
        <f t="shared" si="31"/>
        <v>0.5</v>
      </c>
      <c r="N84" s="14">
        <f t="shared" si="31"/>
        <v>0.5</v>
      </c>
      <c r="O84" s="14">
        <f t="shared" si="31"/>
        <v>0.5</v>
      </c>
      <c r="P84" s="14">
        <f t="shared" si="31"/>
        <v>0.5</v>
      </c>
      <c r="Q84" s="14">
        <f t="shared" si="31"/>
        <v>0.5</v>
      </c>
      <c r="R84" s="14">
        <f t="shared" si="31"/>
        <v>0.5</v>
      </c>
      <c r="S84" s="14">
        <f t="shared" si="31"/>
        <v>0.5</v>
      </c>
      <c r="T84" s="14">
        <f t="shared" si="31"/>
        <v>0.5</v>
      </c>
      <c r="U84" s="14">
        <f t="shared" si="31"/>
        <v>0.5</v>
      </c>
      <c r="V84" s="14">
        <f t="shared" si="31"/>
        <v>4.9101666666666671E-5</v>
      </c>
      <c r="W84" s="14">
        <f t="shared" si="31"/>
        <v>1.6452500000000003E-7</v>
      </c>
      <c r="X84" s="14">
        <f t="shared" si="31"/>
        <v>1.2127500000000001E-7</v>
      </c>
      <c r="Y84" s="14">
        <f t="shared" si="31"/>
        <v>6.8465833333333341E-8</v>
      </c>
      <c r="Z84" s="14">
        <f t="shared" si="31"/>
        <v>6.5566666666666665E-8</v>
      </c>
      <c r="AA84" s="14">
        <f t="shared" si="31"/>
        <v>5.0708333333333342E-8</v>
      </c>
      <c r="AB84" s="14">
        <f t="shared" si="31"/>
        <v>0</v>
      </c>
      <c r="AC84" s="14">
        <f t="shared" si="31"/>
        <v>0</v>
      </c>
      <c r="AD84" s="14">
        <f t="shared" si="31"/>
        <v>0</v>
      </c>
      <c r="AE84" s="14">
        <f t="shared" si="31"/>
        <v>0</v>
      </c>
      <c r="AF84" s="14">
        <f t="shared" si="31"/>
        <v>0</v>
      </c>
      <c r="AG84" s="14">
        <f t="shared" si="31"/>
        <v>0</v>
      </c>
      <c r="AH84" s="14">
        <f t="shared" si="31"/>
        <v>0</v>
      </c>
      <c r="AI84" s="14">
        <f t="shared" si="31"/>
        <v>0</v>
      </c>
      <c r="AJ84" s="14">
        <f t="shared" si="31"/>
        <v>0</v>
      </c>
      <c r="AK84" s="14">
        <f t="shared" si="31"/>
        <v>0</v>
      </c>
      <c r="AL84" s="14">
        <f t="shared" si="31"/>
        <v>0</v>
      </c>
    </row>
    <row r="85" spans="1:38" ht="21" hidden="1" customHeight="1" outlineLevel="1" thickBot="1" x14ac:dyDescent="0.4">
      <c r="A85" s="5">
        <f t="shared" si="27"/>
        <v>0</v>
      </c>
      <c r="B85" s="5">
        <f t="shared" si="27"/>
        <v>1</v>
      </c>
      <c r="C85" s="5">
        <f t="shared" si="27"/>
        <v>0</v>
      </c>
      <c r="D85" s="5">
        <f t="shared" si="27"/>
        <v>0</v>
      </c>
      <c r="E85" s="6" t="str">
        <f t="shared" si="23"/>
        <v>*Se[m]</v>
      </c>
      <c r="F85" s="14">
        <f t="shared" ref="F85:AL85" si="32">F9*$C$78</f>
        <v>7.2607500000000001E-14</v>
      </c>
      <c r="G85" s="14">
        <f t="shared" si="32"/>
        <v>8.212166666666667E-8</v>
      </c>
      <c r="H85" s="14">
        <f t="shared" si="32"/>
        <v>0.5</v>
      </c>
      <c r="I85" s="14">
        <f t="shared" si="32"/>
        <v>0.5</v>
      </c>
      <c r="J85" s="14">
        <f t="shared" si="32"/>
        <v>0.5</v>
      </c>
      <c r="K85" s="14">
        <f t="shared" si="32"/>
        <v>0.5</v>
      </c>
      <c r="L85" s="14">
        <f t="shared" si="32"/>
        <v>0.5</v>
      </c>
      <c r="M85" s="14">
        <f t="shared" si="32"/>
        <v>3.4391666666666669</v>
      </c>
      <c r="N85" s="14">
        <f t="shared" si="32"/>
        <v>3.999916666666667</v>
      </c>
      <c r="O85" s="14">
        <f t="shared" si="32"/>
        <v>4</v>
      </c>
      <c r="P85" s="14">
        <f t="shared" si="32"/>
        <v>4</v>
      </c>
      <c r="Q85" s="14">
        <f t="shared" si="32"/>
        <v>4</v>
      </c>
      <c r="R85" s="14">
        <f t="shared" si="32"/>
        <v>4</v>
      </c>
      <c r="S85" s="14">
        <f t="shared" si="32"/>
        <v>4</v>
      </c>
      <c r="T85" s="14">
        <f t="shared" si="32"/>
        <v>4</v>
      </c>
      <c r="U85" s="14">
        <f t="shared" si="32"/>
        <v>4</v>
      </c>
      <c r="V85" s="14">
        <f t="shared" si="32"/>
        <v>4</v>
      </c>
      <c r="W85" s="14">
        <f t="shared" si="32"/>
        <v>4</v>
      </c>
      <c r="X85" s="14">
        <f t="shared" si="32"/>
        <v>4</v>
      </c>
      <c r="Y85" s="14">
        <f t="shared" si="32"/>
        <v>4</v>
      </c>
      <c r="Z85" s="14">
        <f t="shared" si="32"/>
        <v>4</v>
      </c>
      <c r="AA85" s="14">
        <f t="shared" si="32"/>
        <v>4</v>
      </c>
      <c r="AB85" s="14">
        <f t="shared" si="32"/>
        <v>0</v>
      </c>
      <c r="AC85" s="14">
        <f t="shared" si="32"/>
        <v>0</v>
      </c>
      <c r="AD85" s="14">
        <f t="shared" si="32"/>
        <v>0</v>
      </c>
      <c r="AE85" s="14">
        <f t="shared" si="32"/>
        <v>0</v>
      </c>
      <c r="AF85" s="14">
        <f t="shared" si="32"/>
        <v>0</v>
      </c>
      <c r="AG85" s="14">
        <f t="shared" si="32"/>
        <v>0</v>
      </c>
      <c r="AH85" s="14">
        <f t="shared" si="32"/>
        <v>0</v>
      </c>
      <c r="AI85" s="14">
        <f t="shared" si="32"/>
        <v>0</v>
      </c>
      <c r="AJ85" s="14">
        <f t="shared" si="32"/>
        <v>0</v>
      </c>
      <c r="AK85" s="14">
        <f t="shared" si="32"/>
        <v>0</v>
      </c>
      <c r="AL85" s="14">
        <f t="shared" si="32"/>
        <v>0</v>
      </c>
    </row>
    <row r="86" spans="1:38" ht="21" hidden="1" customHeight="1" outlineLevel="1" thickBot="1" x14ac:dyDescent="0.4">
      <c r="A86" s="5">
        <f t="shared" si="27"/>
        <v>0</v>
      </c>
      <c r="B86" s="5">
        <f t="shared" si="27"/>
        <v>2</v>
      </c>
      <c r="C86" s="5">
        <f t="shared" si="27"/>
        <v>1</v>
      </c>
      <c r="D86" s="5">
        <f t="shared" si="27"/>
        <v>0</v>
      </c>
      <c r="E86" s="6" t="str">
        <f t="shared" si="23"/>
        <v>*GeSe2</v>
      </c>
      <c r="F86" s="14">
        <f t="shared" ref="F86:AL86" si="33">F10*$C$78</f>
        <v>0.5</v>
      </c>
      <c r="G86" s="14">
        <f t="shared" si="33"/>
        <v>0.5</v>
      </c>
      <c r="H86" s="14">
        <f t="shared" si="33"/>
        <v>3.0980000000000003E-9</v>
      </c>
      <c r="I86" s="14">
        <f t="shared" si="33"/>
        <v>3.0569166666666668E-11</v>
      </c>
      <c r="J86" s="14">
        <f t="shared" si="33"/>
        <v>1.8156666666666669E-16</v>
      </c>
      <c r="K86" s="14">
        <f t="shared" si="33"/>
        <v>1.6450000000000002E-28</v>
      </c>
      <c r="L86" s="14">
        <f t="shared" si="33"/>
        <v>0</v>
      </c>
      <c r="M86" s="14">
        <f t="shared" si="33"/>
        <v>0</v>
      </c>
      <c r="N86" s="14">
        <f t="shared" si="33"/>
        <v>0</v>
      </c>
      <c r="O86" s="14">
        <f t="shared" si="33"/>
        <v>0</v>
      </c>
      <c r="P86" s="14">
        <f t="shared" si="33"/>
        <v>0</v>
      </c>
      <c r="Q86" s="14">
        <f t="shared" si="33"/>
        <v>0</v>
      </c>
      <c r="R86" s="14">
        <f t="shared" si="33"/>
        <v>0</v>
      </c>
      <c r="S86" s="14">
        <f t="shared" si="33"/>
        <v>0</v>
      </c>
      <c r="T86" s="14">
        <f t="shared" si="33"/>
        <v>0</v>
      </c>
      <c r="U86" s="14">
        <f t="shared" si="33"/>
        <v>0</v>
      </c>
      <c r="V86" s="14">
        <f t="shared" si="33"/>
        <v>0</v>
      </c>
      <c r="W86" s="14">
        <f t="shared" si="33"/>
        <v>0</v>
      </c>
      <c r="X86" s="14">
        <f t="shared" si="33"/>
        <v>0</v>
      </c>
      <c r="Y86" s="14">
        <f t="shared" si="33"/>
        <v>0</v>
      </c>
      <c r="Z86" s="14">
        <f t="shared" si="33"/>
        <v>0</v>
      </c>
      <c r="AA86" s="14">
        <f t="shared" si="33"/>
        <v>0</v>
      </c>
      <c r="AB86" s="14">
        <f t="shared" si="33"/>
        <v>0</v>
      </c>
      <c r="AC86" s="14">
        <f t="shared" si="33"/>
        <v>0</v>
      </c>
      <c r="AD86" s="14">
        <f t="shared" si="33"/>
        <v>0</v>
      </c>
      <c r="AE86" s="14">
        <f t="shared" si="33"/>
        <v>0</v>
      </c>
      <c r="AF86" s="14">
        <f t="shared" si="33"/>
        <v>0</v>
      </c>
      <c r="AG86" s="14">
        <f t="shared" si="33"/>
        <v>0</v>
      </c>
      <c r="AH86" s="14">
        <f t="shared" si="33"/>
        <v>0</v>
      </c>
      <c r="AI86" s="14">
        <f t="shared" si="33"/>
        <v>0</v>
      </c>
      <c r="AJ86" s="14">
        <f t="shared" si="33"/>
        <v>0</v>
      </c>
      <c r="AK86" s="14">
        <f t="shared" si="33"/>
        <v>0</v>
      </c>
      <c r="AL86" s="14">
        <f t="shared" si="33"/>
        <v>0</v>
      </c>
    </row>
    <row r="87" spans="1:38" ht="21" hidden="1" customHeight="1" outlineLevel="1" thickBot="1" x14ac:dyDescent="0.4">
      <c r="A87" s="5">
        <f t="shared" si="27"/>
        <v>0</v>
      </c>
      <c r="B87" s="5">
        <f t="shared" si="27"/>
        <v>3</v>
      </c>
      <c r="C87" s="5">
        <f t="shared" si="27"/>
        <v>0</v>
      </c>
      <c r="D87" s="5">
        <f t="shared" si="27"/>
        <v>2</v>
      </c>
      <c r="E87" s="6" t="str">
        <f t="shared" si="23"/>
        <v>Ga2Se3</v>
      </c>
      <c r="F87" s="14">
        <f t="shared" ref="F87:AL87" si="34">F11*$C$78</f>
        <v>0.83333333333333348</v>
      </c>
      <c r="G87" s="14">
        <f t="shared" si="34"/>
        <v>0.83333333333333348</v>
      </c>
      <c r="H87" s="14">
        <f t="shared" si="34"/>
        <v>0.83333333333333348</v>
      </c>
      <c r="I87" s="14">
        <f t="shared" si="34"/>
        <v>0.83333333333333348</v>
      </c>
      <c r="J87" s="14">
        <f t="shared" si="34"/>
        <v>0.83333333333333348</v>
      </c>
      <c r="K87" s="14">
        <f t="shared" si="34"/>
        <v>0.83333333333333348</v>
      </c>
      <c r="L87" s="14">
        <f t="shared" si="34"/>
        <v>0.83333333333333348</v>
      </c>
      <c r="M87" s="14">
        <f t="shared" si="34"/>
        <v>0.1869416666666667</v>
      </c>
      <c r="N87" s="14">
        <f t="shared" si="34"/>
        <v>1.6968333333333335E-5</v>
      </c>
      <c r="O87" s="14">
        <f t="shared" si="34"/>
        <v>6.4800833333333341E-19</v>
      </c>
      <c r="P87" s="14">
        <f t="shared" si="34"/>
        <v>2.0922500000000002E-29</v>
      </c>
      <c r="Q87" s="14">
        <f t="shared" si="34"/>
        <v>0</v>
      </c>
      <c r="R87" s="14">
        <f t="shared" si="34"/>
        <v>0</v>
      </c>
      <c r="S87" s="14">
        <f t="shared" si="34"/>
        <v>0</v>
      </c>
      <c r="T87" s="14">
        <f t="shared" si="34"/>
        <v>0</v>
      </c>
      <c r="U87" s="14">
        <f t="shared" si="34"/>
        <v>0</v>
      </c>
      <c r="V87" s="14">
        <f t="shared" si="34"/>
        <v>0</v>
      </c>
      <c r="W87" s="14">
        <f t="shared" si="34"/>
        <v>0</v>
      </c>
      <c r="X87" s="14">
        <f t="shared" si="34"/>
        <v>0</v>
      </c>
      <c r="Y87" s="14">
        <f t="shared" si="34"/>
        <v>0</v>
      </c>
      <c r="Z87" s="14">
        <f t="shared" si="34"/>
        <v>0</v>
      </c>
      <c r="AA87" s="14">
        <f t="shared" si="34"/>
        <v>0</v>
      </c>
      <c r="AB87" s="14">
        <f t="shared" si="34"/>
        <v>0</v>
      </c>
      <c r="AC87" s="14">
        <f t="shared" si="34"/>
        <v>0</v>
      </c>
      <c r="AD87" s="14">
        <f t="shared" si="34"/>
        <v>0</v>
      </c>
      <c r="AE87" s="14">
        <f t="shared" si="34"/>
        <v>0</v>
      </c>
      <c r="AF87" s="14">
        <f t="shared" si="34"/>
        <v>0</v>
      </c>
      <c r="AG87" s="14">
        <f t="shared" si="34"/>
        <v>0</v>
      </c>
      <c r="AH87" s="14">
        <f t="shared" si="34"/>
        <v>0</v>
      </c>
      <c r="AI87" s="14">
        <f t="shared" si="34"/>
        <v>0</v>
      </c>
      <c r="AJ87" s="14">
        <f t="shared" si="34"/>
        <v>0</v>
      </c>
      <c r="AK87" s="14">
        <f t="shared" si="34"/>
        <v>0</v>
      </c>
      <c r="AL87" s="14">
        <f t="shared" si="34"/>
        <v>0</v>
      </c>
    </row>
    <row r="88" spans="1:38" ht="21" hidden="1" customHeight="1" outlineLevel="1" thickBot="1" x14ac:dyDescent="0.4">
      <c r="A88" s="5">
        <f t="shared" si="27"/>
        <v>0</v>
      </c>
      <c r="B88" s="5">
        <f t="shared" si="27"/>
        <v>0</v>
      </c>
      <c r="C88" s="5">
        <f t="shared" si="27"/>
        <v>2</v>
      </c>
      <c r="D88" s="5">
        <f t="shared" si="27"/>
        <v>0</v>
      </c>
      <c r="E88" s="6" t="str">
        <f t="shared" si="23"/>
        <v>Ge2</v>
      </c>
      <c r="F88" s="14">
        <f t="shared" ref="F88:AL88" si="35">F12*$C$78</f>
        <v>0</v>
      </c>
      <c r="G88" s="14">
        <f t="shared" si="35"/>
        <v>0</v>
      </c>
      <c r="H88" s="14">
        <f t="shared" si="35"/>
        <v>0</v>
      </c>
      <c r="I88" s="14">
        <f t="shared" si="35"/>
        <v>0</v>
      </c>
      <c r="J88" s="14">
        <f t="shared" si="35"/>
        <v>0</v>
      </c>
      <c r="K88" s="14">
        <f t="shared" si="35"/>
        <v>0</v>
      </c>
      <c r="L88" s="14">
        <f t="shared" si="35"/>
        <v>0</v>
      </c>
      <c r="M88" s="14">
        <f t="shared" si="35"/>
        <v>0</v>
      </c>
      <c r="N88" s="14">
        <f t="shared" si="35"/>
        <v>3.4659166666666666E-35</v>
      </c>
      <c r="O88" s="14">
        <f t="shared" si="35"/>
        <v>1.1382500000000001E-26</v>
      </c>
      <c r="P88" s="14">
        <f t="shared" si="35"/>
        <v>6.6835833333333341E-21</v>
      </c>
      <c r="Q88" s="14">
        <f t="shared" si="35"/>
        <v>9.6708333333333335E-17</v>
      </c>
      <c r="R88" s="14">
        <f t="shared" si="35"/>
        <v>7.0775833333333342E-16</v>
      </c>
      <c r="S88" s="14">
        <f t="shared" si="35"/>
        <v>4.5462500000000001E-15</v>
      </c>
      <c r="T88" s="14">
        <f t="shared" si="35"/>
        <v>2.5948333333333333E-14</v>
      </c>
      <c r="U88" s="14">
        <f t="shared" si="35"/>
        <v>1.3302500000000001E-13</v>
      </c>
      <c r="V88" s="14">
        <f t="shared" si="35"/>
        <v>3.2892499999999998E-11</v>
      </c>
      <c r="W88" s="14">
        <f t="shared" si="35"/>
        <v>1.4873333333333334E-9</v>
      </c>
      <c r="X88" s="14">
        <f t="shared" si="35"/>
        <v>3.4333333333333339E-9</v>
      </c>
      <c r="Y88" s="14">
        <f t="shared" si="35"/>
        <v>7.6145833333333341E-9</v>
      </c>
      <c r="Z88" s="14">
        <f t="shared" si="35"/>
        <v>1.6270833333333336E-8</v>
      </c>
      <c r="AA88" s="14">
        <f t="shared" si="35"/>
        <v>3.3580000000000007E-8</v>
      </c>
      <c r="AB88" s="14">
        <f t="shared" si="35"/>
        <v>0</v>
      </c>
      <c r="AC88" s="14">
        <f t="shared" si="35"/>
        <v>0</v>
      </c>
      <c r="AD88" s="14">
        <f t="shared" si="35"/>
        <v>0</v>
      </c>
      <c r="AE88" s="14">
        <f t="shared" si="35"/>
        <v>0</v>
      </c>
      <c r="AF88" s="14">
        <f t="shared" si="35"/>
        <v>0</v>
      </c>
      <c r="AG88" s="14">
        <f t="shared" si="35"/>
        <v>0</v>
      </c>
      <c r="AH88" s="14">
        <f t="shared" si="35"/>
        <v>0</v>
      </c>
      <c r="AI88" s="14">
        <f t="shared" si="35"/>
        <v>0</v>
      </c>
      <c r="AJ88" s="14">
        <f t="shared" si="35"/>
        <v>0</v>
      </c>
      <c r="AK88" s="14">
        <f t="shared" si="35"/>
        <v>0</v>
      </c>
      <c r="AL88" s="14">
        <f t="shared" si="35"/>
        <v>0</v>
      </c>
    </row>
    <row r="89" spans="1:38" ht="21" hidden="1" customHeight="1" outlineLevel="1" thickBot="1" x14ac:dyDescent="0.4">
      <c r="A89" s="5">
        <f t="shared" si="27"/>
        <v>0</v>
      </c>
      <c r="B89" s="5">
        <f t="shared" si="27"/>
        <v>0</v>
      </c>
      <c r="C89" s="5">
        <f t="shared" si="27"/>
        <v>1</v>
      </c>
      <c r="D89" s="5">
        <f t="shared" si="27"/>
        <v>0</v>
      </c>
      <c r="E89" s="6" t="str">
        <f t="shared" si="23"/>
        <v>Ge</v>
      </c>
      <c r="F89" s="14">
        <f t="shared" ref="F89:AL89" si="36">F13*$C$78</f>
        <v>0</v>
      </c>
      <c r="G89" s="14">
        <f t="shared" si="36"/>
        <v>0</v>
      </c>
      <c r="H89" s="14">
        <f t="shared" si="36"/>
        <v>0</v>
      </c>
      <c r="I89" s="14">
        <f t="shared" si="36"/>
        <v>0</v>
      </c>
      <c r="J89" s="14">
        <f t="shared" si="36"/>
        <v>0</v>
      </c>
      <c r="K89" s="14">
        <f t="shared" si="36"/>
        <v>0</v>
      </c>
      <c r="L89" s="14">
        <f t="shared" si="36"/>
        <v>2.1125000000000003E-32</v>
      </c>
      <c r="M89" s="14">
        <f t="shared" si="36"/>
        <v>8.7649999999999997E-30</v>
      </c>
      <c r="N89" s="14">
        <f t="shared" si="36"/>
        <v>1.1552500000000001E-27</v>
      </c>
      <c r="O89" s="14">
        <f t="shared" si="36"/>
        <v>4.5978333333333336E-21</v>
      </c>
      <c r="P89" s="14">
        <f t="shared" si="36"/>
        <v>1.4071666666666667E-16</v>
      </c>
      <c r="Q89" s="14">
        <f t="shared" si="36"/>
        <v>2.4789166666666669E-13</v>
      </c>
      <c r="R89" s="14">
        <f t="shared" si="36"/>
        <v>1.1750000000000001E-12</v>
      </c>
      <c r="S89" s="14">
        <f t="shared" si="36"/>
        <v>5.0355833333333335E-12</v>
      </c>
      <c r="T89" s="14">
        <f t="shared" si="36"/>
        <v>1.9695833333333336E-11</v>
      </c>
      <c r="U89" s="14">
        <f t="shared" si="36"/>
        <v>7.0894166666666668E-11</v>
      </c>
      <c r="V89" s="14">
        <f t="shared" si="36"/>
        <v>5.5629166666666676E-9</v>
      </c>
      <c r="W89" s="14">
        <f t="shared" si="36"/>
        <v>1.3705000000000003E-7</v>
      </c>
      <c r="X89" s="14">
        <f t="shared" si="36"/>
        <v>2.7732500000000003E-7</v>
      </c>
      <c r="Y89" s="14">
        <f t="shared" si="36"/>
        <v>5.4290833333333338E-7</v>
      </c>
      <c r="Z89" s="14">
        <f t="shared" si="36"/>
        <v>1.0305833333333334E-6</v>
      </c>
      <c r="AA89" s="14">
        <f t="shared" si="36"/>
        <v>1.9006666666666667E-6</v>
      </c>
      <c r="AB89" s="14">
        <f t="shared" si="36"/>
        <v>0</v>
      </c>
      <c r="AC89" s="14">
        <f t="shared" si="36"/>
        <v>0</v>
      </c>
      <c r="AD89" s="14">
        <f t="shared" si="36"/>
        <v>0</v>
      </c>
      <c r="AE89" s="14">
        <f t="shared" si="36"/>
        <v>0</v>
      </c>
      <c r="AF89" s="14">
        <f t="shared" si="36"/>
        <v>0</v>
      </c>
      <c r="AG89" s="14">
        <f t="shared" si="36"/>
        <v>0</v>
      </c>
      <c r="AH89" s="14">
        <f t="shared" si="36"/>
        <v>0</v>
      </c>
      <c r="AI89" s="14">
        <f t="shared" si="36"/>
        <v>0</v>
      </c>
      <c r="AJ89" s="14">
        <f t="shared" si="36"/>
        <v>0</v>
      </c>
      <c r="AK89" s="14">
        <f t="shared" si="36"/>
        <v>0</v>
      </c>
      <c r="AL89" s="14">
        <f t="shared" si="36"/>
        <v>0</v>
      </c>
    </row>
    <row r="90" spans="1:38" ht="21" hidden="1" customHeight="1" outlineLevel="1" thickBot="1" x14ac:dyDescent="0.4">
      <c r="A90" s="5">
        <f t="shared" si="27"/>
        <v>1</v>
      </c>
      <c r="B90" s="5">
        <f t="shared" si="27"/>
        <v>0</v>
      </c>
      <c r="C90" s="5">
        <f t="shared" si="27"/>
        <v>0</v>
      </c>
      <c r="D90" s="5">
        <f t="shared" si="27"/>
        <v>0</v>
      </c>
      <c r="E90" s="6" t="str">
        <f t="shared" si="23"/>
        <v>Ar</v>
      </c>
      <c r="F90" s="14">
        <f t="shared" ref="F90:AL90" si="37">F14*$C$78</f>
        <v>1.666666666666667</v>
      </c>
      <c r="G90" s="14">
        <f t="shared" si="37"/>
        <v>1.666666666666667</v>
      </c>
      <c r="H90" s="14">
        <f t="shared" si="37"/>
        <v>1.666666666666667</v>
      </c>
      <c r="I90" s="14">
        <f t="shared" si="37"/>
        <v>1.666666666666667</v>
      </c>
      <c r="J90" s="14">
        <f t="shared" si="37"/>
        <v>1.666666666666667</v>
      </c>
      <c r="K90" s="14">
        <f t="shared" si="37"/>
        <v>1.666666666666667</v>
      </c>
      <c r="L90" s="14">
        <f t="shared" si="37"/>
        <v>1.666666666666667</v>
      </c>
      <c r="M90" s="14">
        <f t="shared" si="37"/>
        <v>1.666666666666667</v>
      </c>
      <c r="N90" s="14">
        <f t="shared" si="37"/>
        <v>1.666666666666667</v>
      </c>
      <c r="O90" s="14">
        <f t="shared" si="37"/>
        <v>1.666666666666667</v>
      </c>
      <c r="P90" s="14">
        <f t="shared" si="37"/>
        <v>1.666666666666667</v>
      </c>
      <c r="Q90" s="14">
        <f t="shared" si="37"/>
        <v>1.666666666666667</v>
      </c>
      <c r="R90" s="14">
        <f t="shared" si="37"/>
        <v>1.666666666666667</v>
      </c>
      <c r="S90" s="14">
        <f t="shared" si="37"/>
        <v>1.666666666666667</v>
      </c>
      <c r="T90" s="14">
        <f t="shared" si="37"/>
        <v>1.666666666666667</v>
      </c>
      <c r="U90" s="14">
        <f t="shared" si="37"/>
        <v>1.666666666666667</v>
      </c>
      <c r="V90" s="14">
        <f t="shared" si="37"/>
        <v>1.666666666666667</v>
      </c>
      <c r="W90" s="14">
        <f t="shared" si="37"/>
        <v>1.666666666666667</v>
      </c>
      <c r="X90" s="14">
        <f t="shared" si="37"/>
        <v>1.666666666666667</v>
      </c>
      <c r="Y90" s="14">
        <f t="shared" si="37"/>
        <v>1.666666666666667</v>
      </c>
      <c r="Z90" s="14">
        <f t="shared" si="37"/>
        <v>1.666666666666667</v>
      </c>
      <c r="AA90" s="14">
        <f t="shared" si="37"/>
        <v>1.666666666666667</v>
      </c>
      <c r="AB90" s="14">
        <f t="shared" si="37"/>
        <v>0</v>
      </c>
      <c r="AC90" s="14">
        <f t="shared" si="37"/>
        <v>0</v>
      </c>
      <c r="AD90" s="14">
        <f t="shared" si="37"/>
        <v>0</v>
      </c>
      <c r="AE90" s="14">
        <f t="shared" si="37"/>
        <v>0</v>
      </c>
      <c r="AF90" s="14">
        <f t="shared" si="37"/>
        <v>0</v>
      </c>
      <c r="AG90" s="14">
        <f t="shared" si="37"/>
        <v>0</v>
      </c>
      <c r="AH90" s="14">
        <f t="shared" si="37"/>
        <v>0</v>
      </c>
      <c r="AI90" s="14">
        <f t="shared" si="37"/>
        <v>0</v>
      </c>
      <c r="AJ90" s="14">
        <f t="shared" si="37"/>
        <v>0</v>
      </c>
      <c r="AK90" s="14">
        <f t="shared" si="37"/>
        <v>0</v>
      </c>
      <c r="AL90" s="14">
        <f t="shared" si="37"/>
        <v>0</v>
      </c>
    </row>
    <row r="91" spans="1:38" ht="21" hidden="1" customHeight="1" outlineLevel="1" thickBot="1" x14ac:dyDescent="0.4">
      <c r="A91" s="5">
        <f t="shared" si="27"/>
        <v>0</v>
      </c>
      <c r="B91" s="5">
        <f t="shared" si="27"/>
        <v>0</v>
      </c>
      <c r="C91" s="5">
        <f t="shared" si="27"/>
        <v>1</v>
      </c>
      <c r="D91" s="5">
        <f t="shared" si="27"/>
        <v>0</v>
      </c>
      <c r="E91" s="6" t="str">
        <f t="shared" si="23"/>
        <v>(l)Ge[l]</v>
      </c>
      <c r="F91" s="14">
        <f t="shared" ref="F91:AL91" si="38">F15*$C$78</f>
        <v>0</v>
      </c>
      <c r="G91" s="14">
        <f t="shared" si="38"/>
        <v>0</v>
      </c>
      <c r="H91" s="14">
        <f t="shared" si="38"/>
        <v>0</v>
      </c>
      <c r="I91" s="14">
        <f t="shared" si="38"/>
        <v>0</v>
      </c>
      <c r="J91" s="14">
        <f t="shared" si="38"/>
        <v>0</v>
      </c>
      <c r="K91" s="14">
        <f t="shared" si="38"/>
        <v>0</v>
      </c>
      <c r="L91" s="14">
        <f t="shared" si="38"/>
        <v>0</v>
      </c>
      <c r="M91" s="14">
        <f t="shared" si="38"/>
        <v>0</v>
      </c>
      <c r="N91" s="14">
        <f t="shared" si="38"/>
        <v>1.6715000000000003E-21</v>
      </c>
      <c r="O91" s="14">
        <f t="shared" si="38"/>
        <v>6.3442499999999998E-11</v>
      </c>
      <c r="P91" s="14">
        <f t="shared" si="38"/>
        <v>4.3445000000000004E-10</v>
      </c>
      <c r="Q91" s="14">
        <f t="shared" si="38"/>
        <v>1.1971666666666667E-8</v>
      </c>
      <c r="R91" s="14">
        <f t="shared" si="38"/>
        <v>2.0710833333333335E-8</v>
      </c>
      <c r="S91" s="14">
        <f t="shared" si="38"/>
        <v>3.7360833333333335E-8</v>
      </c>
      <c r="T91" s="14">
        <f t="shared" si="38"/>
        <v>9.8875000000000017E-8</v>
      </c>
      <c r="U91" s="14">
        <f t="shared" si="38"/>
        <v>2.4500833333333334E-7</v>
      </c>
      <c r="V91" s="14">
        <f t="shared" si="38"/>
        <v>0.49995000000000001</v>
      </c>
      <c r="W91" s="14">
        <f t="shared" si="38"/>
        <v>0.5</v>
      </c>
      <c r="X91" s="14">
        <f t="shared" si="38"/>
        <v>0.5</v>
      </c>
      <c r="Y91" s="14">
        <f t="shared" si="38"/>
        <v>0.5</v>
      </c>
      <c r="Z91" s="14">
        <f t="shared" si="38"/>
        <v>0.5</v>
      </c>
      <c r="AA91" s="14">
        <f t="shared" si="38"/>
        <v>0.5</v>
      </c>
      <c r="AB91" s="14">
        <f t="shared" si="38"/>
        <v>0</v>
      </c>
      <c r="AC91" s="14">
        <f t="shared" si="38"/>
        <v>0</v>
      </c>
      <c r="AD91" s="14">
        <f t="shared" si="38"/>
        <v>0</v>
      </c>
      <c r="AE91" s="14">
        <f t="shared" si="38"/>
        <v>0</v>
      </c>
      <c r="AF91" s="14">
        <f t="shared" si="38"/>
        <v>0</v>
      </c>
      <c r="AG91" s="14">
        <f t="shared" si="38"/>
        <v>0</v>
      </c>
      <c r="AH91" s="14">
        <f t="shared" si="38"/>
        <v>0</v>
      </c>
      <c r="AI91" s="14">
        <f t="shared" si="38"/>
        <v>0</v>
      </c>
      <c r="AJ91" s="14">
        <f t="shared" si="38"/>
        <v>0</v>
      </c>
      <c r="AK91" s="14">
        <f t="shared" si="38"/>
        <v>0</v>
      </c>
      <c r="AL91" s="14">
        <f t="shared" si="38"/>
        <v>0</v>
      </c>
    </row>
    <row r="92" spans="1:38" ht="21" hidden="1" customHeight="1" outlineLevel="1" thickBot="1" x14ac:dyDescent="0.4">
      <c r="A92" s="5">
        <f t="shared" si="27"/>
        <v>1</v>
      </c>
      <c r="B92" s="5">
        <f t="shared" si="27"/>
        <v>0</v>
      </c>
      <c r="C92" s="5">
        <f t="shared" si="27"/>
        <v>0</v>
      </c>
      <c r="D92" s="5">
        <f t="shared" si="27"/>
        <v>0</v>
      </c>
      <c r="E92" s="6" t="str">
        <f t="shared" si="23"/>
        <v>H (Ar)</v>
      </c>
      <c r="F92" s="14">
        <f t="shared" ref="F92:AL92" si="39">F16*$C$78</f>
        <v>-158.5</v>
      </c>
      <c r="G92" s="14">
        <f t="shared" si="39"/>
        <v>-158.58333333333334</v>
      </c>
      <c r="H92" s="14">
        <f t="shared" si="39"/>
        <v>-158.83333333333334</v>
      </c>
      <c r="I92" s="14">
        <f t="shared" si="39"/>
        <v>-159.25</v>
      </c>
      <c r="J92" s="14">
        <f t="shared" si="39"/>
        <v>-159.75000000000003</v>
      </c>
      <c r="K92" s="14">
        <f t="shared" si="39"/>
        <v>-160.25000000000003</v>
      </c>
      <c r="L92" s="14">
        <f t="shared" si="39"/>
        <v>-160.83333333333334</v>
      </c>
      <c r="M92" s="14">
        <f t="shared" si="39"/>
        <v>-158.91666666666669</v>
      </c>
      <c r="N92" s="14">
        <f t="shared" si="39"/>
        <v>-158.58333333333334</v>
      </c>
      <c r="O92" s="14">
        <f t="shared" si="39"/>
        <v>-160.91666666666666</v>
      </c>
      <c r="P92" s="14">
        <f t="shared" si="39"/>
        <v>-163.08333333333334</v>
      </c>
      <c r="Q92" s="14">
        <f t="shared" si="39"/>
        <v>-165.16666666666669</v>
      </c>
      <c r="R92" s="14">
        <f t="shared" si="39"/>
        <v>-165.66666666666666</v>
      </c>
      <c r="S92" s="14">
        <f t="shared" si="39"/>
        <v>-166.16666666666669</v>
      </c>
      <c r="T92" s="14">
        <f t="shared" si="39"/>
        <v>-166.66666666666669</v>
      </c>
      <c r="U92" s="14">
        <f t="shared" si="39"/>
        <v>-167.08333333333334</v>
      </c>
      <c r="V92" s="14">
        <f t="shared" si="39"/>
        <v>-168.83333333333337</v>
      </c>
      <c r="W92" s="14">
        <f t="shared" si="39"/>
        <v>-170.50000000000003</v>
      </c>
      <c r="X92" s="14">
        <f t="shared" si="39"/>
        <v>-170.91666666666669</v>
      </c>
      <c r="Y92" s="14">
        <f t="shared" si="39"/>
        <v>-171.33333333333334</v>
      </c>
      <c r="Z92" s="14">
        <f t="shared" si="39"/>
        <v>-171.66666666666669</v>
      </c>
      <c r="AA92" s="14">
        <f t="shared" si="39"/>
        <v>-172.08333333333334</v>
      </c>
      <c r="AB92" s="14">
        <f t="shared" si="39"/>
        <v>0</v>
      </c>
      <c r="AC92" s="14">
        <f t="shared" si="39"/>
        <v>0</v>
      </c>
      <c r="AD92" s="14">
        <f t="shared" si="39"/>
        <v>0</v>
      </c>
      <c r="AE92" s="14">
        <f t="shared" si="39"/>
        <v>0</v>
      </c>
      <c r="AF92" s="14">
        <f t="shared" si="39"/>
        <v>0</v>
      </c>
      <c r="AG92" s="14">
        <f t="shared" si="39"/>
        <v>0</v>
      </c>
      <c r="AH92" s="14">
        <f t="shared" si="39"/>
        <v>0</v>
      </c>
      <c r="AI92" s="14">
        <f t="shared" si="39"/>
        <v>0</v>
      </c>
      <c r="AJ92" s="14">
        <f t="shared" si="39"/>
        <v>0</v>
      </c>
      <c r="AK92" s="14">
        <f t="shared" si="39"/>
        <v>0</v>
      </c>
      <c r="AL92" s="14">
        <f t="shared" si="39"/>
        <v>0</v>
      </c>
    </row>
    <row r="93" spans="1:38" ht="21" hidden="1" customHeight="1" outlineLevel="1" thickBot="1" x14ac:dyDescent="0.4">
      <c r="A93" s="5">
        <f t="shared" si="27"/>
        <v>0</v>
      </c>
      <c r="B93" s="5">
        <f t="shared" si="27"/>
        <v>0</v>
      </c>
      <c r="C93" s="5">
        <f t="shared" si="27"/>
        <v>0</v>
      </c>
      <c r="D93" s="5">
        <f t="shared" si="27"/>
        <v>1</v>
      </c>
      <c r="E93" s="6" t="str">
        <f t="shared" si="23"/>
        <v>H (Ga)</v>
      </c>
      <c r="F93" s="14">
        <f t="shared" ref="F93:AL93" si="40">F17*$C$78</f>
        <v>-508.25000000000006</v>
      </c>
      <c r="G93" s="14">
        <f t="shared" si="40"/>
        <v>-461.58333333333337</v>
      </c>
      <c r="H93" s="14">
        <f t="shared" si="40"/>
        <v>-407.66666666666669</v>
      </c>
      <c r="I93" s="14">
        <f t="shared" si="40"/>
        <v>-355.5</v>
      </c>
      <c r="J93" s="14">
        <f t="shared" si="40"/>
        <v>-310.66666666666669</v>
      </c>
      <c r="K93" s="14">
        <f t="shared" si="40"/>
        <v>-271.66666666666669</v>
      </c>
      <c r="L93" s="14">
        <f t="shared" si="40"/>
        <v>-237.33333333333334</v>
      </c>
      <c r="M93" s="14">
        <f t="shared" si="40"/>
        <v>-211.75000000000003</v>
      </c>
      <c r="N93" s="14">
        <f t="shared" si="40"/>
        <v>-222.75000000000003</v>
      </c>
      <c r="O93" s="14">
        <f t="shared" si="40"/>
        <v>-264.83333333333337</v>
      </c>
      <c r="P93" s="14">
        <f t="shared" si="40"/>
        <v>-302.33333333333337</v>
      </c>
      <c r="Q93" s="14">
        <f t="shared" si="40"/>
        <v>-333.75</v>
      </c>
      <c r="R93" s="14">
        <f t="shared" si="40"/>
        <v>-340.5</v>
      </c>
      <c r="S93" s="14">
        <f t="shared" si="40"/>
        <v>-346.75</v>
      </c>
      <c r="T93" s="14">
        <f t="shared" si="40"/>
        <v>-352.58333333333337</v>
      </c>
      <c r="U93" s="14">
        <f t="shared" si="40"/>
        <v>-357.83333333333331</v>
      </c>
      <c r="V93" s="14">
        <f t="shared" si="40"/>
        <v>-373.83333333333337</v>
      </c>
      <c r="W93" s="14">
        <f t="shared" si="40"/>
        <v>-381</v>
      </c>
      <c r="X93" s="14">
        <f t="shared" si="40"/>
        <v>-381.33333333333337</v>
      </c>
      <c r="Y93" s="14">
        <f t="shared" si="40"/>
        <v>-381.16666666666669</v>
      </c>
      <c r="Z93" s="14">
        <f t="shared" si="40"/>
        <v>-380.33333333333337</v>
      </c>
      <c r="AA93" s="14">
        <f t="shared" si="40"/>
        <v>-378.91666666666669</v>
      </c>
      <c r="AB93" s="14">
        <f t="shared" si="40"/>
        <v>0</v>
      </c>
      <c r="AC93" s="14">
        <f t="shared" si="40"/>
        <v>0</v>
      </c>
      <c r="AD93" s="14">
        <f t="shared" si="40"/>
        <v>0</v>
      </c>
      <c r="AE93" s="14">
        <f t="shared" si="40"/>
        <v>0</v>
      </c>
      <c r="AF93" s="14">
        <f t="shared" si="40"/>
        <v>0</v>
      </c>
      <c r="AG93" s="14">
        <f t="shared" si="40"/>
        <v>0</v>
      </c>
      <c r="AH93" s="14">
        <f t="shared" si="40"/>
        <v>0</v>
      </c>
      <c r="AI93" s="14">
        <f t="shared" si="40"/>
        <v>0</v>
      </c>
      <c r="AJ93" s="14">
        <f t="shared" si="40"/>
        <v>0</v>
      </c>
      <c r="AK93" s="14">
        <f t="shared" si="40"/>
        <v>0</v>
      </c>
      <c r="AL93" s="14">
        <f t="shared" si="40"/>
        <v>0</v>
      </c>
    </row>
    <row r="94" spans="1:38" ht="21" hidden="1" customHeight="1" outlineLevel="1" thickBot="1" x14ac:dyDescent="0.4">
      <c r="A94" s="5">
        <f t="shared" si="27"/>
        <v>0</v>
      </c>
      <c r="B94" s="5">
        <f t="shared" si="27"/>
        <v>0</v>
      </c>
      <c r="C94" s="5">
        <f t="shared" si="27"/>
        <v>1</v>
      </c>
      <c r="D94" s="5">
        <f t="shared" si="27"/>
        <v>0</v>
      </c>
      <c r="E94" s="6" t="str">
        <f t="shared" si="23"/>
        <v>H (Ge)</v>
      </c>
      <c r="F94" s="14">
        <f t="shared" ref="F94:AL94" si="41">F18*$C$78</f>
        <v>-127.91666666666667</v>
      </c>
      <c r="G94" s="14">
        <f t="shared" si="41"/>
        <v>-119.66666666666667</v>
      </c>
      <c r="H94" s="14">
        <f t="shared" si="41"/>
        <v>-102.50000000000001</v>
      </c>
      <c r="I94" s="14">
        <f t="shared" si="41"/>
        <v>-83.416666666666671</v>
      </c>
      <c r="J94" s="14">
        <f t="shared" si="41"/>
        <v>-66.841666666666683</v>
      </c>
      <c r="K94" s="14">
        <f t="shared" si="41"/>
        <v>-52.333333333333336</v>
      </c>
      <c r="L94" s="14">
        <f t="shared" si="41"/>
        <v>-39.466666666666669</v>
      </c>
      <c r="M94" s="14">
        <f t="shared" si="41"/>
        <v>-34.508333333333333</v>
      </c>
      <c r="N94" s="14">
        <f t="shared" si="41"/>
        <v>-35.19166666666667</v>
      </c>
      <c r="O94" s="14">
        <f t="shared" si="41"/>
        <v>-37.94166666666667</v>
      </c>
      <c r="P94" s="14">
        <f t="shared" si="41"/>
        <v>-40.608333333333341</v>
      </c>
      <c r="Q94" s="14">
        <f t="shared" si="41"/>
        <v>-43.125</v>
      </c>
      <c r="R94" s="14">
        <f t="shared" si="41"/>
        <v>-43.725000000000001</v>
      </c>
      <c r="S94" s="14">
        <f t="shared" si="41"/>
        <v>-44.31666666666667</v>
      </c>
      <c r="T94" s="14">
        <f t="shared" si="41"/>
        <v>-44.908333333333339</v>
      </c>
      <c r="U94" s="14">
        <f t="shared" si="41"/>
        <v>-45.483333333333341</v>
      </c>
      <c r="V94" s="14">
        <f t="shared" si="41"/>
        <v>-48.225000000000001</v>
      </c>
      <c r="W94" s="14">
        <f t="shared" si="41"/>
        <v>-53.233333333333334</v>
      </c>
      <c r="X94" s="14">
        <f t="shared" si="41"/>
        <v>-54.375000000000007</v>
      </c>
      <c r="Y94" s="14">
        <f t="shared" si="41"/>
        <v>-55.483333333333341</v>
      </c>
      <c r="Z94" s="14">
        <f t="shared" si="41"/>
        <v>-56.558333333333337</v>
      </c>
      <c r="AA94" s="14">
        <f t="shared" si="41"/>
        <v>-57.591666666666669</v>
      </c>
      <c r="AB94" s="14">
        <f t="shared" si="41"/>
        <v>0</v>
      </c>
      <c r="AC94" s="14">
        <f t="shared" si="41"/>
        <v>0</v>
      </c>
      <c r="AD94" s="14">
        <f t="shared" si="41"/>
        <v>0</v>
      </c>
      <c r="AE94" s="14">
        <f t="shared" si="41"/>
        <v>0</v>
      </c>
      <c r="AF94" s="14">
        <f t="shared" si="41"/>
        <v>0</v>
      </c>
      <c r="AG94" s="14">
        <f t="shared" si="41"/>
        <v>0</v>
      </c>
      <c r="AH94" s="14">
        <f t="shared" si="41"/>
        <v>0</v>
      </c>
      <c r="AI94" s="14">
        <f t="shared" si="41"/>
        <v>0</v>
      </c>
      <c r="AJ94" s="14">
        <f t="shared" si="41"/>
        <v>0</v>
      </c>
      <c r="AK94" s="14">
        <f t="shared" si="41"/>
        <v>0</v>
      </c>
      <c r="AL94" s="14">
        <f t="shared" si="41"/>
        <v>0</v>
      </c>
    </row>
    <row r="95" spans="1:38" ht="21" hidden="1" customHeight="1" outlineLevel="1" thickBot="1" x14ac:dyDescent="0.4">
      <c r="A95" s="5">
        <f t="shared" si="27"/>
        <v>0</v>
      </c>
      <c r="B95" s="5">
        <f t="shared" si="27"/>
        <v>1</v>
      </c>
      <c r="C95" s="5">
        <f t="shared" si="27"/>
        <v>0</v>
      </c>
      <c r="D95" s="5">
        <f t="shared" si="27"/>
        <v>0</v>
      </c>
      <c r="E95" s="6" t="str">
        <f t="shared" si="23"/>
        <v>H (Se)</v>
      </c>
      <c r="F95" s="14">
        <f t="shared" ref="F95:AL95" si="42">F19*$C$78</f>
        <v>-182.41666666666669</v>
      </c>
      <c r="G95" s="14">
        <f t="shared" si="42"/>
        <v>-167.58333333333334</v>
      </c>
      <c r="H95" s="14">
        <f t="shared" si="42"/>
        <v>-166.41666666666666</v>
      </c>
      <c r="I95" s="14">
        <f t="shared" si="42"/>
        <v>-170.58333333333334</v>
      </c>
      <c r="J95" s="14">
        <f t="shared" si="42"/>
        <v>-174.83333333333334</v>
      </c>
      <c r="K95" s="14">
        <f t="shared" si="42"/>
        <v>-179.08333333333334</v>
      </c>
      <c r="L95" s="14">
        <f t="shared" si="42"/>
        <v>-183.41666666666669</v>
      </c>
      <c r="M95" s="14">
        <f t="shared" si="42"/>
        <v>-187.58333333333337</v>
      </c>
      <c r="N95" s="14">
        <f t="shared" si="42"/>
        <v>-191.83333333333334</v>
      </c>
      <c r="O95" s="14">
        <f t="shared" si="42"/>
        <v>-208.00000000000003</v>
      </c>
      <c r="P95" s="14">
        <f t="shared" si="42"/>
        <v>-223.08333333333334</v>
      </c>
      <c r="Q95" s="14">
        <f t="shared" si="42"/>
        <v>-237.41666666666666</v>
      </c>
      <c r="R95" s="14">
        <f t="shared" si="42"/>
        <v>-240.83333333333334</v>
      </c>
      <c r="S95" s="14">
        <f t="shared" si="42"/>
        <v>-244.25</v>
      </c>
      <c r="T95" s="14">
        <f t="shared" si="42"/>
        <v>-247.66666666666669</v>
      </c>
      <c r="U95" s="14">
        <f t="shared" si="42"/>
        <v>-251.00000000000003</v>
      </c>
      <c r="V95" s="14">
        <f t="shared" si="42"/>
        <v>-264.08333333333337</v>
      </c>
      <c r="W95" s="14">
        <f t="shared" si="42"/>
        <v>-276.83333333333337</v>
      </c>
      <c r="X95" s="14">
        <f t="shared" si="42"/>
        <v>-279.91666666666674</v>
      </c>
      <c r="Y95" s="14">
        <f t="shared" si="42"/>
        <v>-283.08333333333337</v>
      </c>
      <c r="Z95" s="14">
        <f t="shared" si="42"/>
        <v>-286.16666666666674</v>
      </c>
      <c r="AA95" s="14">
        <f t="shared" si="42"/>
        <v>-289.25</v>
      </c>
      <c r="AB95" s="14">
        <f t="shared" si="42"/>
        <v>0</v>
      </c>
      <c r="AC95" s="14">
        <f t="shared" si="42"/>
        <v>0</v>
      </c>
      <c r="AD95" s="14">
        <f t="shared" si="42"/>
        <v>0</v>
      </c>
      <c r="AE95" s="14">
        <f t="shared" si="42"/>
        <v>0</v>
      </c>
      <c r="AF95" s="14">
        <f t="shared" si="42"/>
        <v>0</v>
      </c>
      <c r="AG95" s="14">
        <f t="shared" si="42"/>
        <v>0</v>
      </c>
      <c r="AH95" s="14">
        <f t="shared" si="42"/>
        <v>0</v>
      </c>
      <c r="AI95" s="14">
        <f t="shared" si="42"/>
        <v>0</v>
      </c>
      <c r="AJ95" s="14">
        <f t="shared" si="42"/>
        <v>0</v>
      </c>
      <c r="AK95" s="14">
        <f t="shared" si="42"/>
        <v>0</v>
      </c>
      <c r="AL95" s="14">
        <f t="shared" si="42"/>
        <v>0</v>
      </c>
    </row>
    <row r="96" spans="1:38" ht="21" hidden="1" customHeight="1" outlineLevel="1" thickBot="1" x14ac:dyDescent="0.4">
      <c r="A96" s="5">
        <f t="shared" si="27"/>
        <v>0</v>
      </c>
      <c r="B96" s="5">
        <f t="shared" si="27"/>
        <v>0</v>
      </c>
      <c r="C96" s="5">
        <f t="shared" si="27"/>
        <v>0</v>
      </c>
      <c r="D96" s="5">
        <f t="shared" si="27"/>
        <v>0</v>
      </c>
      <c r="E96" s="6">
        <f t="shared" si="23"/>
        <v>0</v>
      </c>
      <c r="F96" s="14">
        <f t="shared" ref="F96:AL96" si="43">F20*$C$78</f>
        <v>0</v>
      </c>
      <c r="G96" s="14">
        <f t="shared" si="43"/>
        <v>0</v>
      </c>
      <c r="H96" s="14">
        <f t="shared" si="43"/>
        <v>0</v>
      </c>
      <c r="I96" s="14">
        <f t="shared" si="43"/>
        <v>0</v>
      </c>
      <c r="J96" s="14">
        <f t="shared" si="43"/>
        <v>0</v>
      </c>
      <c r="K96" s="14">
        <f t="shared" si="43"/>
        <v>0</v>
      </c>
      <c r="L96" s="14">
        <f t="shared" si="43"/>
        <v>0</v>
      </c>
      <c r="M96" s="14">
        <f t="shared" si="43"/>
        <v>0</v>
      </c>
      <c r="N96" s="14">
        <f t="shared" si="43"/>
        <v>0</v>
      </c>
      <c r="O96" s="14">
        <f t="shared" si="43"/>
        <v>0</v>
      </c>
      <c r="P96" s="14">
        <f t="shared" si="43"/>
        <v>0</v>
      </c>
      <c r="Q96" s="14">
        <f t="shared" si="43"/>
        <v>0</v>
      </c>
      <c r="R96" s="14">
        <f t="shared" si="43"/>
        <v>0</v>
      </c>
      <c r="S96" s="14">
        <f t="shared" si="43"/>
        <v>0</v>
      </c>
      <c r="T96" s="14">
        <f t="shared" si="43"/>
        <v>0</v>
      </c>
      <c r="U96" s="14">
        <f t="shared" si="43"/>
        <v>0</v>
      </c>
      <c r="V96" s="14">
        <f t="shared" si="43"/>
        <v>0</v>
      </c>
      <c r="W96" s="14">
        <f t="shared" si="43"/>
        <v>0</v>
      </c>
      <c r="X96" s="14">
        <f t="shared" si="43"/>
        <v>0</v>
      </c>
      <c r="Y96" s="14">
        <f t="shared" si="43"/>
        <v>0</v>
      </c>
      <c r="Z96" s="14">
        <f t="shared" si="43"/>
        <v>0</v>
      </c>
      <c r="AA96" s="14">
        <f t="shared" si="43"/>
        <v>0</v>
      </c>
      <c r="AB96" s="14">
        <f t="shared" si="43"/>
        <v>0</v>
      </c>
      <c r="AC96" s="14">
        <f t="shared" si="43"/>
        <v>0</v>
      </c>
      <c r="AD96" s="14">
        <f t="shared" si="43"/>
        <v>0</v>
      </c>
      <c r="AE96" s="14">
        <f t="shared" si="43"/>
        <v>0</v>
      </c>
      <c r="AF96" s="14">
        <f t="shared" si="43"/>
        <v>0</v>
      </c>
      <c r="AG96" s="14">
        <f t="shared" si="43"/>
        <v>0</v>
      </c>
      <c r="AH96" s="14">
        <f t="shared" si="43"/>
        <v>0</v>
      </c>
      <c r="AI96" s="14">
        <f t="shared" si="43"/>
        <v>0</v>
      </c>
      <c r="AJ96" s="14">
        <f t="shared" si="43"/>
        <v>0</v>
      </c>
      <c r="AK96" s="14">
        <f t="shared" si="43"/>
        <v>0</v>
      </c>
      <c r="AL96" s="14">
        <f t="shared" si="43"/>
        <v>0</v>
      </c>
    </row>
    <row r="97" spans="1:54" ht="21" hidden="1" customHeight="1" outlineLevel="1" thickBot="1" x14ac:dyDescent="0.4">
      <c r="A97" s="5">
        <f t="shared" ref="A97:D109" si="44">A63</f>
        <v>0</v>
      </c>
      <c r="B97" s="5">
        <f t="shared" si="44"/>
        <v>0</v>
      </c>
      <c r="C97" s="5">
        <f t="shared" si="44"/>
        <v>0</v>
      </c>
      <c r="D97" s="5">
        <f t="shared" si="44"/>
        <v>0</v>
      </c>
      <c r="E97" s="6">
        <f t="shared" si="23"/>
        <v>0</v>
      </c>
      <c r="F97" s="14">
        <f t="shared" ref="F97:AL97" si="45">F21*$C$78</f>
        <v>0</v>
      </c>
      <c r="G97" s="14">
        <f t="shared" si="45"/>
        <v>0</v>
      </c>
      <c r="H97" s="14">
        <f t="shared" si="45"/>
        <v>0</v>
      </c>
      <c r="I97" s="14">
        <f t="shared" si="45"/>
        <v>0</v>
      </c>
      <c r="J97" s="14">
        <f t="shared" si="45"/>
        <v>0</v>
      </c>
      <c r="K97" s="14">
        <f t="shared" si="45"/>
        <v>0</v>
      </c>
      <c r="L97" s="14">
        <f t="shared" si="45"/>
        <v>0</v>
      </c>
      <c r="M97" s="14">
        <f t="shared" si="45"/>
        <v>0</v>
      </c>
      <c r="N97" s="14">
        <f t="shared" si="45"/>
        <v>0</v>
      </c>
      <c r="O97" s="14">
        <f t="shared" si="45"/>
        <v>0</v>
      </c>
      <c r="P97" s="14">
        <f t="shared" si="45"/>
        <v>0</v>
      </c>
      <c r="Q97" s="14">
        <f t="shared" si="45"/>
        <v>0</v>
      </c>
      <c r="R97" s="14">
        <f t="shared" si="45"/>
        <v>0</v>
      </c>
      <c r="S97" s="14">
        <f t="shared" si="45"/>
        <v>0</v>
      </c>
      <c r="T97" s="14">
        <f t="shared" si="45"/>
        <v>0</v>
      </c>
      <c r="U97" s="14">
        <f t="shared" si="45"/>
        <v>0</v>
      </c>
      <c r="V97" s="14">
        <f t="shared" si="45"/>
        <v>0</v>
      </c>
      <c r="W97" s="14">
        <f t="shared" si="45"/>
        <v>0</v>
      </c>
      <c r="X97" s="14">
        <f t="shared" si="45"/>
        <v>0</v>
      </c>
      <c r="Y97" s="14">
        <f t="shared" si="45"/>
        <v>0</v>
      </c>
      <c r="Z97" s="14">
        <f t="shared" si="45"/>
        <v>0</v>
      </c>
      <c r="AA97" s="14">
        <f t="shared" si="45"/>
        <v>0</v>
      </c>
      <c r="AB97" s="14">
        <f t="shared" si="45"/>
        <v>0</v>
      </c>
      <c r="AC97" s="14">
        <f t="shared" si="45"/>
        <v>0</v>
      </c>
      <c r="AD97" s="14">
        <f t="shared" si="45"/>
        <v>0</v>
      </c>
      <c r="AE97" s="14">
        <f t="shared" si="45"/>
        <v>0</v>
      </c>
      <c r="AF97" s="14">
        <f t="shared" si="45"/>
        <v>0</v>
      </c>
      <c r="AG97" s="14">
        <f t="shared" si="45"/>
        <v>0</v>
      </c>
      <c r="AH97" s="14">
        <f t="shared" si="45"/>
        <v>0</v>
      </c>
      <c r="AI97" s="14">
        <f t="shared" si="45"/>
        <v>0</v>
      </c>
      <c r="AJ97" s="14">
        <f t="shared" si="45"/>
        <v>0</v>
      </c>
      <c r="AK97" s="14">
        <f t="shared" si="45"/>
        <v>0</v>
      </c>
      <c r="AL97" s="14">
        <f t="shared" si="45"/>
        <v>0</v>
      </c>
    </row>
    <row r="98" spans="1:54" ht="21" hidden="1" customHeight="1" outlineLevel="1" thickBot="1" x14ac:dyDescent="0.4">
      <c r="A98" s="5">
        <f t="shared" si="44"/>
        <v>0</v>
      </c>
      <c r="B98" s="5">
        <f t="shared" si="44"/>
        <v>0</v>
      </c>
      <c r="C98" s="5">
        <f t="shared" si="44"/>
        <v>0</v>
      </c>
      <c r="D98" s="5">
        <f t="shared" si="44"/>
        <v>0</v>
      </c>
      <c r="E98" s="6">
        <f t="shared" si="23"/>
        <v>0</v>
      </c>
      <c r="F98" s="14">
        <f t="shared" ref="F98:AL98" si="46">F22*$C$78</f>
        <v>0</v>
      </c>
      <c r="G98" s="14">
        <f t="shared" si="46"/>
        <v>0</v>
      </c>
      <c r="H98" s="14">
        <f t="shared" si="46"/>
        <v>0</v>
      </c>
      <c r="I98" s="14">
        <f t="shared" si="46"/>
        <v>0</v>
      </c>
      <c r="J98" s="14">
        <f t="shared" si="46"/>
        <v>0</v>
      </c>
      <c r="K98" s="14">
        <f t="shared" si="46"/>
        <v>0</v>
      </c>
      <c r="L98" s="14">
        <f t="shared" si="46"/>
        <v>0</v>
      </c>
      <c r="M98" s="14">
        <f t="shared" si="46"/>
        <v>0</v>
      </c>
      <c r="N98" s="14">
        <f t="shared" si="46"/>
        <v>0</v>
      </c>
      <c r="O98" s="14">
        <f t="shared" si="46"/>
        <v>0</v>
      </c>
      <c r="P98" s="14">
        <f t="shared" si="46"/>
        <v>0</v>
      </c>
      <c r="Q98" s="14">
        <f t="shared" si="46"/>
        <v>0</v>
      </c>
      <c r="R98" s="14">
        <f t="shared" si="46"/>
        <v>0</v>
      </c>
      <c r="S98" s="14">
        <f t="shared" si="46"/>
        <v>0</v>
      </c>
      <c r="T98" s="14">
        <f t="shared" si="46"/>
        <v>0</v>
      </c>
      <c r="U98" s="14">
        <f t="shared" si="46"/>
        <v>0</v>
      </c>
      <c r="V98" s="14">
        <f t="shared" si="46"/>
        <v>0</v>
      </c>
      <c r="W98" s="14">
        <f t="shared" si="46"/>
        <v>0</v>
      </c>
      <c r="X98" s="14">
        <f t="shared" si="46"/>
        <v>0</v>
      </c>
      <c r="Y98" s="14">
        <f t="shared" si="46"/>
        <v>0</v>
      </c>
      <c r="Z98" s="14">
        <f t="shared" si="46"/>
        <v>0</v>
      </c>
      <c r="AA98" s="14">
        <f t="shared" si="46"/>
        <v>0</v>
      </c>
      <c r="AB98" s="14">
        <f t="shared" si="46"/>
        <v>0</v>
      </c>
      <c r="AC98" s="14">
        <f t="shared" si="46"/>
        <v>0</v>
      </c>
      <c r="AD98" s="14">
        <f t="shared" si="46"/>
        <v>0</v>
      </c>
      <c r="AE98" s="14">
        <f t="shared" si="46"/>
        <v>0</v>
      </c>
      <c r="AF98" s="14">
        <f t="shared" si="46"/>
        <v>0</v>
      </c>
      <c r="AG98" s="14">
        <f t="shared" si="46"/>
        <v>0</v>
      </c>
      <c r="AH98" s="14">
        <f t="shared" si="46"/>
        <v>0</v>
      </c>
      <c r="AI98" s="14">
        <f t="shared" si="46"/>
        <v>0</v>
      </c>
      <c r="AJ98" s="14">
        <f t="shared" si="46"/>
        <v>0</v>
      </c>
      <c r="AK98" s="14">
        <f t="shared" si="46"/>
        <v>0</v>
      </c>
      <c r="AL98" s="14">
        <f t="shared" si="46"/>
        <v>0</v>
      </c>
    </row>
    <row r="99" spans="1:54" ht="21" hidden="1" customHeight="1" outlineLevel="1" thickBot="1" x14ac:dyDescent="0.4">
      <c r="A99" s="5">
        <f t="shared" si="44"/>
        <v>0</v>
      </c>
      <c r="B99" s="5">
        <f t="shared" si="44"/>
        <v>0</v>
      </c>
      <c r="C99" s="5">
        <f t="shared" si="44"/>
        <v>0</v>
      </c>
      <c r="D99" s="5">
        <f t="shared" si="44"/>
        <v>0</v>
      </c>
      <c r="E99" s="6">
        <f t="shared" si="23"/>
        <v>0</v>
      </c>
      <c r="F99" s="14">
        <f t="shared" ref="F99:AL99" si="47">F23*$C$78</f>
        <v>0</v>
      </c>
      <c r="G99" s="14">
        <f t="shared" si="47"/>
        <v>0</v>
      </c>
      <c r="H99" s="14">
        <f t="shared" si="47"/>
        <v>0</v>
      </c>
      <c r="I99" s="14">
        <f t="shared" si="47"/>
        <v>0</v>
      </c>
      <c r="J99" s="14">
        <f t="shared" si="47"/>
        <v>0</v>
      </c>
      <c r="K99" s="14">
        <f t="shared" si="47"/>
        <v>0</v>
      </c>
      <c r="L99" s="14">
        <f t="shared" si="47"/>
        <v>0</v>
      </c>
      <c r="M99" s="14">
        <f t="shared" si="47"/>
        <v>0</v>
      </c>
      <c r="N99" s="14">
        <f t="shared" si="47"/>
        <v>0</v>
      </c>
      <c r="O99" s="14">
        <f t="shared" si="47"/>
        <v>0</v>
      </c>
      <c r="P99" s="14">
        <f t="shared" si="47"/>
        <v>0</v>
      </c>
      <c r="Q99" s="14">
        <f t="shared" si="47"/>
        <v>0</v>
      </c>
      <c r="R99" s="14">
        <f t="shared" si="47"/>
        <v>0</v>
      </c>
      <c r="S99" s="14">
        <f t="shared" si="47"/>
        <v>0</v>
      </c>
      <c r="T99" s="14">
        <f t="shared" si="47"/>
        <v>0</v>
      </c>
      <c r="U99" s="14">
        <f t="shared" si="47"/>
        <v>0</v>
      </c>
      <c r="V99" s="14">
        <f t="shared" si="47"/>
        <v>0</v>
      </c>
      <c r="W99" s="14">
        <f t="shared" si="47"/>
        <v>0</v>
      </c>
      <c r="X99" s="14">
        <f t="shared" si="47"/>
        <v>0</v>
      </c>
      <c r="Y99" s="14">
        <f t="shared" si="47"/>
        <v>0</v>
      </c>
      <c r="Z99" s="14">
        <f t="shared" si="47"/>
        <v>0</v>
      </c>
      <c r="AA99" s="14">
        <f t="shared" si="47"/>
        <v>0</v>
      </c>
      <c r="AB99" s="14">
        <f t="shared" si="47"/>
        <v>0</v>
      </c>
      <c r="AC99" s="14">
        <f t="shared" si="47"/>
        <v>0</v>
      </c>
      <c r="AD99" s="14">
        <f t="shared" si="47"/>
        <v>0</v>
      </c>
      <c r="AE99" s="14">
        <f t="shared" si="47"/>
        <v>0</v>
      </c>
      <c r="AF99" s="14">
        <f t="shared" si="47"/>
        <v>0</v>
      </c>
      <c r="AG99" s="14">
        <f t="shared" si="47"/>
        <v>0</v>
      </c>
      <c r="AH99" s="14">
        <f t="shared" si="47"/>
        <v>0</v>
      </c>
      <c r="AI99" s="14">
        <f t="shared" si="47"/>
        <v>0</v>
      </c>
      <c r="AJ99" s="14">
        <f t="shared" si="47"/>
        <v>0</v>
      </c>
      <c r="AK99" s="14">
        <f t="shared" si="47"/>
        <v>0</v>
      </c>
      <c r="AL99" s="14">
        <f t="shared" si="47"/>
        <v>0</v>
      </c>
    </row>
    <row r="100" spans="1:54" ht="21" hidden="1" customHeight="1" outlineLevel="1" thickBot="1" x14ac:dyDescent="0.4">
      <c r="A100" s="5">
        <f t="shared" si="44"/>
        <v>0</v>
      </c>
      <c r="B100" s="5">
        <f t="shared" si="44"/>
        <v>0</v>
      </c>
      <c r="C100" s="5">
        <f t="shared" si="44"/>
        <v>0</v>
      </c>
      <c r="D100" s="5">
        <f t="shared" si="44"/>
        <v>0</v>
      </c>
      <c r="E100" s="6">
        <f t="shared" si="23"/>
        <v>0</v>
      </c>
      <c r="F100" s="14">
        <f t="shared" ref="F100:AL100" si="48">F24*$C$78</f>
        <v>0</v>
      </c>
      <c r="G100" s="14">
        <f t="shared" si="48"/>
        <v>0</v>
      </c>
      <c r="H100" s="14">
        <f t="shared" si="48"/>
        <v>0</v>
      </c>
      <c r="I100" s="14">
        <f t="shared" si="48"/>
        <v>0</v>
      </c>
      <c r="J100" s="14">
        <f t="shared" si="48"/>
        <v>0</v>
      </c>
      <c r="K100" s="14">
        <f t="shared" si="48"/>
        <v>0</v>
      </c>
      <c r="L100" s="14">
        <f t="shared" si="48"/>
        <v>0</v>
      </c>
      <c r="M100" s="14">
        <f t="shared" si="48"/>
        <v>0</v>
      </c>
      <c r="N100" s="14">
        <f t="shared" si="48"/>
        <v>0</v>
      </c>
      <c r="O100" s="14">
        <f t="shared" si="48"/>
        <v>0</v>
      </c>
      <c r="P100" s="14">
        <f t="shared" si="48"/>
        <v>0</v>
      </c>
      <c r="Q100" s="14">
        <f t="shared" si="48"/>
        <v>0</v>
      </c>
      <c r="R100" s="14">
        <f t="shared" si="48"/>
        <v>0</v>
      </c>
      <c r="S100" s="14">
        <f t="shared" si="48"/>
        <v>0</v>
      </c>
      <c r="T100" s="14">
        <f t="shared" si="48"/>
        <v>0</v>
      </c>
      <c r="U100" s="14">
        <f t="shared" si="48"/>
        <v>0</v>
      </c>
      <c r="V100" s="14">
        <f t="shared" si="48"/>
        <v>0</v>
      </c>
      <c r="W100" s="14">
        <f t="shared" si="48"/>
        <v>0</v>
      </c>
      <c r="X100" s="14">
        <f t="shared" si="48"/>
        <v>0</v>
      </c>
      <c r="Y100" s="14">
        <f t="shared" si="48"/>
        <v>0</v>
      </c>
      <c r="Z100" s="14">
        <f t="shared" si="48"/>
        <v>0</v>
      </c>
      <c r="AA100" s="14">
        <f t="shared" si="48"/>
        <v>0</v>
      </c>
      <c r="AB100" s="14">
        <f t="shared" si="48"/>
        <v>0</v>
      </c>
      <c r="AC100" s="14">
        <f t="shared" si="48"/>
        <v>0</v>
      </c>
      <c r="AD100" s="14">
        <f t="shared" si="48"/>
        <v>0</v>
      </c>
      <c r="AE100" s="14">
        <f t="shared" si="48"/>
        <v>0</v>
      </c>
      <c r="AF100" s="14">
        <f t="shared" si="48"/>
        <v>0</v>
      </c>
      <c r="AG100" s="14">
        <f t="shared" si="48"/>
        <v>0</v>
      </c>
      <c r="AH100" s="14">
        <f t="shared" si="48"/>
        <v>0</v>
      </c>
      <c r="AI100" s="14">
        <f t="shared" si="48"/>
        <v>0</v>
      </c>
      <c r="AJ100" s="14">
        <f t="shared" si="48"/>
        <v>0</v>
      </c>
      <c r="AK100" s="14">
        <f t="shared" si="48"/>
        <v>0</v>
      </c>
      <c r="AL100" s="14">
        <f t="shared" si="48"/>
        <v>0</v>
      </c>
    </row>
    <row r="101" spans="1:54" ht="21" hidden="1" customHeight="1" outlineLevel="1" thickBot="1" x14ac:dyDescent="0.4">
      <c r="A101" s="5">
        <f t="shared" si="44"/>
        <v>0</v>
      </c>
      <c r="B101" s="5">
        <f t="shared" si="44"/>
        <v>0</v>
      </c>
      <c r="C101" s="5">
        <f t="shared" si="44"/>
        <v>0</v>
      </c>
      <c r="D101" s="5">
        <f t="shared" si="44"/>
        <v>0</v>
      </c>
      <c r="E101" s="6">
        <f t="shared" si="23"/>
        <v>0</v>
      </c>
      <c r="F101" s="14">
        <f t="shared" ref="F101:AL101" si="49">F25*$C$78</f>
        <v>0</v>
      </c>
      <c r="G101" s="14">
        <f t="shared" si="49"/>
        <v>0</v>
      </c>
      <c r="H101" s="14">
        <f t="shared" si="49"/>
        <v>0</v>
      </c>
      <c r="I101" s="14">
        <f t="shared" si="49"/>
        <v>0</v>
      </c>
      <c r="J101" s="14">
        <f t="shared" si="49"/>
        <v>0</v>
      </c>
      <c r="K101" s="14">
        <f t="shared" si="49"/>
        <v>0</v>
      </c>
      <c r="L101" s="14">
        <f t="shared" si="49"/>
        <v>0</v>
      </c>
      <c r="M101" s="14">
        <f t="shared" si="49"/>
        <v>0</v>
      </c>
      <c r="N101" s="14">
        <f t="shared" si="49"/>
        <v>0</v>
      </c>
      <c r="O101" s="14">
        <f t="shared" si="49"/>
        <v>0</v>
      </c>
      <c r="P101" s="14">
        <f t="shared" si="49"/>
        <v>0</v>
      </c>
      <c r="Q101" s="14">
        <f t="shared" si="49"/>
        <v>0</v>
      </c>
      <c r="R101" s="14">
        <f t="shared" si="49"/>
        <v>0</v>
      </c>
      <c r="S101" s="14">
        <f t="shared" si="49"/>
        <v>0</v>
      </c>
      <c r="T101" s="14">
        <f t="shared" si="49"/>
        <v>0</v>
      </c>
      <c r="U101" s="14">
        <f t="shared" si="49"/>
        <v>0</v>
      </c>
      <c r="V101" s="14">
        <f t="shared" si="49"/>
        <v>0</v>
      </c>
      <c r="W101" s="14">
        <f t="shared" si="49"/>
        <v>0</v>
      </c>
      <c r="X101" s="14">
        <f t="shared" si="49"/>
        <v>0</v>
      </c>
      <c r="Y101" s="14">
        <f t="shared" si="49"/>
        <v>0</v>
      </c>
      <c r="Z101" s="14">
        <f t="shared" si="49"/>
        <v>0</v>
      </c>
      <c r="AA101" s="14">
        <f t="shared" si="49"/>
        <v>0</v>
      </c>
      <c r="AB101" s="14">
        <f t="shared" si="49"/>
        <v>0</v>
      </c>
      <c r="AC101" s="14">
        <f t="shared" si="49"/>
        <v>0</v>
      </c>
      <c r="AD101" s="14">
        <f t="shared" si="49"/>
        <v>0</v>
      </c>
      <c r="AE101" s="14">
        <f t="shared" si="49"/>
        <v>0</v>
      </c>
      <c r="AF101" s="14">
        <f t="shared" si="49"/>
        <v>0</v>
      </c>
      <c r="AG101" s="14">
        <f t="shared" si="49"/>
        <v>0</v>
      </c>
      <c r="AH101" s="14">
        <f t="shared" si="49"/>
        <v>0</v>
      </c>
      <c r="AI101" s="14">
        <f t="shared" si="49"/>
        <v>0</v>
      </c>
      <c r="AJ101" s="14">
        <f t="shared" si="49"/>
        <v>0</v>
      </c>
      <c r="AK101" s="14">
        <f t="shared" si="49"/>
        <v>0</v>
      </c>
      <c r="AL101" s="14">
        <f t="shared" si="49"/>
        <v>0</v>
      </c>
    </row>
    <row r="102" spans="1:54" ht="21" hidden="1" customHeight="1" outlineLevel="1" thickBot="1" x14ac:dyDescent="0.4">
      <c r="A102" s="5">
        <f t="shared" si="44"/>
        <v>0</v>
      </c>
      <c r="B102" s="5">
        <f t="shared" si="44"/>
        <v>0</v>
      </c>
      <c r="C102" s="5">
        <f t="shared" si="44"/>
        <v>0</v>
      </c>
      <c r="D102" s="5">
        <f t="shared" si="44"/>
        <v>0</v>
      </c>
      <c r="E102" s="6">
        <f t="shared" si="23"/>
        <v>0</v>
      </c>
      <c r="F102" s="14">
        <f t="shared" ref="F102:AL102" si="50">F26*$C$78</f>
        <v>0</v>
      </c>
      <c r="G102" s="14">
        <f t="shared" si="50"/>
        <v>0</v>
      </c>
      <c r="H102" s="14">
        <f t="shared" si="50"/>
        <v>0</v>
      </c>
      <c r="I102" s="14">
        <f t="shared" si="50"/>
        <v>0</v>
      </c>
      <c r="J102" s="14">
        <f t="shared" si="50"/>
        <v>0</v>
      </c>
      <c r="K102" s="14">
        <f t="shared" si="50"/>
        <v>0</v>
      </c>
      <c r="L102" s="14">
        <f t="shared" si="50"/>
        <v>0</v>
      </c>
      <c r="M102" s="14">
        <f t="shared" si="50"/>
        <v>0</v>
      </c>
      <c r="N102" s="14">
        <f t="shared" si="50"/>
        <v>0</v>
      </c>
      <c r="O102" s="14">
        <f t="shared" si="50"/>
        <v>0</v>
      </c>
      <c r="P102" s="14">
        <f t="shared" si="50"/>
        <v>0</v>
      </c>
      <c r="Q102" s="14">
        <f t="shared" si="50"/>
        <v>0</v>
      </c>
      <c r="R102" s="14">
        <f t="shared" si="50"/>
        <v>0</v>
      </c>
      <c r="S102" s="14">
        <f t="shared" si="50"/>
        <v>0</v>
      </c>
      <c r="T102" s="14">
        <f t="shared" si="50"/>
        <v>0</v>
      </c>
      <c r="U102" s="14">
        <f t="shared" si="50"/>
        <v>0</v>
      </c>
      <c r="V102" s="14">
        <f t="shared" si="50"/>
        <v>0</v>
      </c>
      <c r="W102" s="14">
        <f t="shared" si="50"/>
        <v>0</v>
      </c>
      <c r="X102" s="14">
        <f t="shared" si="50"/>
        <v>0</v>
      </c>
      <c r="Y102" s="14">
        <f t="shared" si="50"/>
        <v>0</v>
      </c>
      <c r="Z102" s="14">
        <f t="shared" si="50"/>
        <v>0</v>
      </c>
      <c r="AA102" s="14">
        <f t="shared" si="50"/>
        <v>0</v>
      </c>
      <c r="AB102" s="14">
        <f t="shared" si="50"/>
        <v>0</v>
      </c>
      <c r="AC102" s="14">
        <f t="shared" si="50"/>
        <v>0</v>
      </c>
      <c r="AD102" s="14">
        <f t="shared" si="50"/>
        <v>0</v>
      </c>
      <c r="AE102" s="14">
        <f t="shared" si="50"/>
        <v>0</v>
      </c>
      <c r="AF102" s="14">
        <f t="shared" si="50"/>
        <v>0</v>
      </c>
      <c r="AG102" s="14">
        <f t="shared" si="50"/>
        <v>0</v>
      </c>
      <c r="AH102" s="14">
        <f t="shared" si="50"/>
        <v>0</v>
      </c>
      <c r="AI102" s="14">
        <f t="shared" si="50"/>
        <v>0</v>
      </c>
      <c r="AJ102" s="14">
        <f t="shared" si="50"/>
        <v>0</v>
      </c>
      <c r="AK102" s="14">
        <f t="shared" si="50"/>
        <v>0</v>
      </c>
      <c r="AL102" s="14">
        <f t="shared" si="50"/>
        <v>0</v>
      </c>
    </row>
    <row r="103" spans="1:54" ht="21" hidden="1" customHeight="1" outlineLevel="1" thickBot="1" x14ac:dyDescent="0.4">
      <c r="A103" s="5">
        <f t="shared" si="44"/>
        <v>0</v>
      </c>
      <c r="B103" s="5">
        <f t="shared" si="44"/>
        <v>0</v>
      </c>
      <c r="C103" s="5">
        <f t="shared" si="44"/>
        <v>0</v>
      </c>
      <c r="D103" s="5">
        <f t="shared" si="44"/>
        <v>0</v>
      </c>
      <c r="E103" s="6">
        <f t="shared" si="23"/>
        <v>0</v>
      </c>
      <c r="F103" s="14">
        <f t="shared" ref="F103:AL103" si="51">F27*$C$78</f>
        <v>0</v>
      </c>
      <c r="G103" s="14">
        <f t="shared" si="51"/>
        <v>0</v>
      </c>
      <c r="H103" s="14">
        <f t="shared" si="51"/>
        <v>0</v>
      </c>
      <c r="I103" s="14">
        <f t="shared" si="51"/>
        <v>0</v>
      </c>
      <c r="J103" s="14">
        <f t="shared" si="51"/>
        <v>0</v>
      </c>
      <c r="K103" s="14">
        <f t="shared" si="51"/>
        <v>0</v>
      </c>
      <c r="L103" s="14">
        <f t="shared" si="51"/>
        <v>0</v>
      </c>
      <c r="M103" s="14">
        <f t="shared" si="51"/>
        <v>0</v>
      </c>
      <c r="N103" s="14">
        <f t="shared" si="51"/>
        <v>0</v>
      </c>
      <c r="O103" s="14">
        <f t="shared" si="51"/>
        <v>0</v>
      </c>
      <c r="P103" s="14">
        <f t="shared" si="51"/>
        <v>0</v>
      </c>
      <c r="Q103" s="14">
        <f t="shared" si="51"/>
        <v>0</v>
      </c>
      <c r="R103" s="14">
        <f t="shared" si="51"/>
        <v>0</v>
      </c>
      <c r="S103" s="14">
        <f t="shared" si="51"/>
        <v>0</v>
      </c>
      <c r="T103" s="14">
        <f t="shared" si="51"/>
        <v>0</v>
      </c>
      <c r="U103" s="14">
        <f t="shared" si="51"/>
        <v>0</v>
      </c>
      <c r="V103" s="14">
        <f t="shared" si="51"/>
        <v>0</v>
      </c>
      <c r="W103" s="14">
        <f t="shared" si="51"/>
        <v>0</v>
      </c>
      <c r="X103" s="14">
        <f t="shared" si="51"/>
        <v>0</v>
      </c>
      <c r="Y103" s="14">
        <f t="shared" si="51"/>
        <v>0</v>
      </c>
      <c r="Z103" s="14">
        <f t="shared" si="51"/>
        <v>0</v>
      </c>
      <c r="AA103" s="14">
        <f t="shared" si="51"/>
        <v>0</v>
      </c>
      <c r="AB103" s="14">
        <f t="shared" si="51"/>
        <v>0</v>
      </c>
      <c r="AC103" s="14">
        <f t="shared" si="51"/>
        <v>0</v>
      </c>
      <c r="AD103" s="14">
        <f t="shared" si="51"/>
        <v>0</v>
      </c>
      <c r="AE103" s="14">
        <f t="shared" si="51"/>
        <v>0</v>
      </c>
      <c r="AF103" s="14">
        <f t="shared" si="51"/>
        <v>0</v>
      </c>
      <c r="AG103" s="14">
        <f t="shared" si="51"/>
        <v>0</v>
      </c>
      <c r="AH103" s="14">
        <f t="shared" si="51"/>
        <v>0</v>
      </c>
      <c r="AI103" s="14">
        <f t="shared" si="51"/>
        <v>0</v>
      </c>
      <c r="AJ103" s="14">
        <f t="shared" si="51"/>
        <v>0</v>
      </c>
      <c r="AK103" s="14">
        <f t="shared" si="51"/>
        <v>0</v>
      </c>
      <c r="AL103" s="14">
        <f t="shared" si="51"/>
        <v>0</v>
      </c>
    </row>
    <row r="104" spans="1:54" ht="21" hidden="1" customHeight="1" outlineLevel="1" thickBot="1" x14ac:dyDescent="0.4">
      <c r="A104" s="5">
        <f t="shared" si="44"/>
        <v>0</v>
      </c>
      <c r="B104" s="5">
        <f t="shared" si="44"/>
        <v>0</v>
      </c>
      <c r="C104" s="5">
        <f t="shared" si="44"/>
        <v>0</v>
      </c>
      <c r="D104" s="5">
        <f t="shared" si="44"/>
        <v>0</v>
      </c>
      <c r="E104" s="6">
        <f t="shared" si="23"/>
        <v>0</v>
      </c>
      <c r="F104" s="14">
        <f t="shared" ref="F104:AL104" si="52">F28*$C$78</f>
        <v>0</v>
      </c>
      <c r="G104" s="14">
        <f t="shared" si="52"/>
        <v>0</v>
      </c>
      <c r="H104" s="14">
        <f t="shared" si="52"/>
        <v>0</v>
      </c>
      <c r="I104" s="14">
        <f t="shared" si="52"/>
        <v>0</v>
      </c>
      <c r="J104" s="14">
        <f t="shared" si="52"/>
        <v>0</v>
      </c>
      <c r="K104" s="14">
        <f t="shared" si="52"/>
        <v>0</v>
      </c>
      <c r="L104" s="14">
        <f t="shared" si="52"/>
        <v>0</v>
      </c>
      <c r="M104" s="14">
        <f t="shared" si="52"/>
        <v>0</v>
      </c>
      <c r="N104" s="14">
        <f t="shared" si="52"/>
        <v>0</v>
      </c>
      <c r="O104" s="14">
        <f t="shared" si="52"/>
        <v>0</v>
      </c>
      <c r="P104" s="14">
        <f t="shared" si="52"/>
        <v>0</v>
      </c>
      <c r="Q104" s="14">
        <f t="shared" si="52"/>
        <v>0</v>
      </c>
      <c r="R104" s="14">
        <f t="shared" si="52"/>
        <v>0</v>
      </c>
      <c r="S104" s="14">
        <f t="shared" si="52"/>
        <v>0</v>
      </c>
      <c r="T104" s="14">
        <f t="shared" si="52"/>
        <v>0</v>
      </c>
      <c r="U104" s="14">
        <f t="shared" si="52"/>
        <v>0</v>
      </c>
      <c r="V104" s="14">
        <f t="shared" si="52"/>
        <v>0</v>
      </c>
      <c r="W104" s="14">
        <f t="shared" si="52"/>
        <v>0</v>
      </c>
      <c r="X104" s="14">
        <f t="shared" si="52"/>
        <v>0</v>
      </c>
      <c r="Y104" s="14">
        <f t="shared" si="52"/>
        <v>0</v>
      </c>
      <c r="Z104" s="14">
        <f t="shared" si="52"/>
        <v>0</v>
      </c>
      <c r="AA104" s="14">
        <f t="shared" si="52"/>
        <v>0</v>
      </c>
      <c r="AB104" s="14">
        <f t="shared" si="52"/>
        <v>0</v>
      </c>
      <c r="AC104" s="14">
        <f t="shared" si="52"/>
        <v>0</v>
      </c>
      <c r="AD104" s="14">
        <f t="shared" si="52"/>
        <v>0</v>
      </c>
      <c r="AE104" s="14">
        <f t="shared" si="52"/>
        <v>0</v>
      </c>
      <c r="AF104" s="14">
        <f t="shared" si="52"/>
        <v>0</v>
      </c>
      <c r="AG104" s="14">
        <f t="shared" si="52"/>
        <v>0</v>
      </c>
      <c r="AH104" s="14">
        <f t="shared" si="52"/>
        <v>0</v>
      </c>
      <c r="AI104" s="14">
        <f t="shared" si="52"/>
        <v>0</v>
      </c>
      <c r="AJ104" s="14">
        <f t="shared" si="52"/>
        <v>0</v>
      </c>
      <c r="AK104" s="14">
        <f t="shared" si="52"/>
        <v>0</v>
      </c>
      <c r="AL104" s="14">
        <f t="shared" si="52"/>
        <v>0</v>
      </c>
    </row>
    <row r="105" spans="1:54" ht="21" hidden="1" customHeight="1" outlineLevel="1" thickBot="1" x14ac:dyDescent="0.4">
      <c r="A105" s="5">
        <f t="shared" si="44"/>
        <v>0</v>
      </c>
      <c r="B105" s="5">
        <f t="shared" si="44"/>
        <v>0</v>
      </c>
      <c r="C105" s="5">
        <f t="shared" si="44"/>
        <v>0</v>
      </c>
      <c r="D105" s="5">
        <f t="shared" si="44"/>
        <v>0</v>
      </c>
      <c r="E105" s="6">
        <f t="shared" si="23"/>
        <v>0</v>
      </c>
      <c r="F105" s="14">
        <f t="shared" ref="F105:AL105" si="53">F29*$C$78</f>
        <v>0</v>
      </c>
      <c r="G105" s="14">
        <f t="shared" si="53"/>
        <v>0</v>
      </c>
      <c r="H105" s="14">
        <f t="shared" si="53"/>
        <v>0</v>
      </c>
      <c r="I105" s="14">
        <f t="shared" si="53"/>
        <v>0</v>
      </c>
      <c r="J105" s="14">
        <f t="shared" si="53"/>
        <v>0</v>
      </c>
      <c r="K105" s="14">
        <f t="shared" si="53"/>
        <v>0</v>
      </c>
      <c r="L105" s="14">
        <f t="shared" si="53"/>
        <v>0</v>
      </c>
      <c r="M105" s="14">
        <f t="shared" si="53"/>
        <v>0</v>
      </c>
      <c r="N105" s="14">
        <f t="shared" si="53"/>
        <v>0</v>
      </c>
      <c r="O105" s="14">
        <f t="shared" si="53"/>
        <v>0</v>
      </c>
      <c r="P105" s="14">
        <f t="shared" si="53"/>
        <v>0</v>
      </c>
      <c r="Q105" s="14">
        <f t="shared" si="53"/>
        <v>0</v>
      </c>
      <c r="R105" s="14">
        <f t="shared" si="53"/>
        <v>0</v>
      </c>
      <c r="S105" s="14">
        <f t="shared" si="53"/>
        <v>0</v>
      </c>
      <c r="T105" s="14">
        <f t="shared" si="53"/>
        <v>0</v>
      </c>
      <c r="U105" s="14">
        <f t="shared" si="53"/>
        <v>0</v>
      </c>
      <c r="V105" s="14">
        <f t="shared" si="53"/>
        <v>0</v>
      </c>
      <c r="W105" s="14">
        <f t="shared" si="53"/>
        <v>0</v>
      </c>
      <c r="X105" s="14">
        <f t="shared" si="53"/>
        <v>0</v>
      </c>
      <c r="Y105" s="14">
        <f t="shared" si="53"/>
        <v>0</v>
      </c>
      <c r="Z105" s="14">
        <f t="shared" si="53"/>
        <v>0</v>
      </c>
      <c r="AA105" s="14">
        <f t="shared" si="53"/>
        <v>0</v>
      </c>
      <c r="AB105" s="14">
        <f t="shared" si="53"/>
        <v>0</v>
      </c>
      <c r="AC105" s="14">
        <f t="shared" si="53"/>
        <v>0</v>
      </c>
      <c r="AD105" s="14">
        <f t="shared" si="53"/>
        <v>0</v>
      </c>
      <c r="AE105" s="14">
        <f t="shared" si="53"/>
        <v>0</v>
      </c>
      <c r="AF105" s="14">
        <f t="shared" si="53"/>
        <v>0</v>
      </c>
      <c r="AG105" s="14">
        <f t="shared" si="53"/>
        <v>0</v>
      </c>
      <c r="AH105" s="14">
        <f t="shared" si="53"/>
        <v>0</v>
      </c>
      <c r="AI105" s="14">
        <f t="shared" si="53"/>
        <v>0</v>
      </c>
      <c r="AJ105" s="14">
        <f t="shared" si="53"/>
        <v>0</v>
      </c>
      <c r="AK105" s="14">
        <f t="shared" si="53"/>
        <v>0</v>
      </c>
      <c r="AL105" s="14">
        <f t="shared" si="53"/>
        <v>0</v>
      </c>
    </row>
    <row r="106" spans="1:54" ht="21" hidden="1" customHeight="1" outlineLevel="1" thickBot="1" x14ac:dyDescent="0.4">
      <c r="A106" s="5">
        <f t="shared" si="44"/>
        <v>0</v>
      </c>
      <c r="B106" s="5">
        <f t="shared" si="44"/>
        <v>0</v>
      </c>
      <c r="C106" s="5">
        <f t="shared" si="44"/>
        <v>0</v>
      </c>
      <c r="D106" s="5">
        <f t="shared" si="44"/>
        <v>0</v>
      </c>
      <c r="E106" s="6">
        <f t="shared" si="23"/>
        <v>0</v>
      </c>
      <c r="F106" s="14">
        <f t="shared" ref="F106:AL106" si="54">F30*$C$78</f>
        <v>0</v>
      </c>
      <c r="G106" s="14">
        <f t="shared" si="54"/>
        <v>0</v>
      </c>
      <c r="H106" s="14">
        <f t="shared" si="54"/>
        <v>0</v>
      </c>
      <c r="I106" s="14">
        <f t="shared" si="54"/>
        <v>0</v>
      </c>
      <c r="J106" s="14">
        <f t="shared" si="54"/>
        <v>0</v>
      </c>
      <c r="K106" s="14">
        <f t="shared" si="54"/>
        <v>0</v>
      </c>
      <c r="L106" s="14">
        <f t="shared" si="54"/>
        <v>0</v>
      </c>
      <c r="M106" s="14">
        <f t="shared" si="54"/>
        <v>0</v>
      </c>
      <c r="N106" s="14">
        <f t="shared" si="54"/>
        <v>0</v>
      </c>
      <c r="O106" s="14">
        <f t="shared" si="54"/>
        <v>0</v>
      </c>
      <c r="P106" s="14">
        <f t="shared" si="54"/>
        <v>0</v>
      </c>
      <c r="Q106" s="14">
        <f t="shared" si="54"/>
        <v>0</v>
      </c>
      <c r="R106" s="14">
        <f t="shared" si="54"/>
        <v>0</v>
      </c>
      <c r="S106" s="14">
        <f t="shared" si="54"/>
        <v>0</v>
      </c>
      <c r="T106" s="14">
        <f t="shared" si="54"/>
        <v>0</v>
      </c>
      <c r="U106" s="14">
        <f t="shared" si="54"/>
        <v>0</v>
      </c>
      <c r="V106" s="14">
        <f t="shared" si="54"/>
        <v>0</v>
      </c>
      <c r="W106" s="14">
        <f t="shared" si="54"/>
        <v>0</v>
      </c>
      <c r="X106" s="14">
        <f t="shared" si="54"/>
        <v>0</v>
      </c>
      <c r="Y106" s="14">
        <f t="shared" si="54"/>
        <v>0</v>
      </c>
      <c r="Z106" s="14">
        <f t="shared" si="54"/>
        <v>0</v>
      </c>
      <c r="AA106" s="14">
        <f t="shared" si="54"/>
        <v>0</v>
      </c>
      <c r="AB106" s="14">
        <f t="shared" si="54"/>
        <v>0</v>
      </c>
      <c r="AC106" s="14">
        <f t="shared" si="54"/>
        <v>0</v>
      </c>
      <c r="AD106" s="14">
        <f t="shared" si="54"/>
        <v>0</v>
      </c>
      <c r="AE106" s="14">
        <f t="shared" si="54"/>
        <v>0</v>
      </c>
      <c r="AF106" s="14">
        <f t="shared" si="54"/>
        <v>0</v>
      </c>
      <c r="AG106" s="14">
        <f t="shared" si="54"/>
        <v>0</v>
      </c>
      <c r="AH106" s="14">
        <f t="shared" si="54"/>
        <v>0</v>
      </c>
      <c r="AI106" s="14">
        <f t="shared" si="54"/>
        <v>0</v>
      </c>
      <c r="AJ106" s="14">
        <f t="shared" si="54"/>
        <v>0</v>
      </c>
      <c r="AK106" s="14">
        <f t="shared" si="54"/>
        <v>0</v>
      </c>
      <c r="AL106" s="14">
        <f t="shared" si="54"/>
        <v>0</v>
      </c>
    </row>
    <row r="107" spans="1:54" ht="21" hidden="1" customHeight="1" outlineLevel="1" thickBot="1" x14ac:dyDescent="0.4">
      <c r="A107" s="5">
        <f t="shared" si="44"/>
        <v>0</v>
      </c>
      <c r="B107" s="5">
        <f t="shared" si="44"/>
        <v>0</v>
      </c>
      <c r="C107" s="5">
        <f t="shared" si="44"/>
        <v>0</v>
      </c>
      <c r="D107" s="5">
        <f t="shared" si="44"/>
        <v>0</v>
      </c>
      <c r="E107" s="6">
        <f t="shared" si="23"/>
        <v>0</v>
      </c>
      <c r="F107" s="14">
        <f t="shared" ref="F107:AL107" si="55">F31*$C$78</f>
        <v>0</v>
      </c>
      <c r="G107" s="14">
        <f t="shared" si="55"/>
        <v>0</v>
      </c>
      <c r="H107" s="14">
        <f t="shared" si="55"/>
        <v>0</v>
      </c>
      <c r="I107" s="14">
        <f t="shared" si="55"/>
        <v>0</v>
      </c>
      <c r="J107" s="14">
        <f t="shared" si="55"/>
        <v>0</v>
      </c>
      <c r="K107" s="14">
        <f t="shared" si="55"/>
        <v>0</v>
      </c>
      <c r="L107" s="14">
        <f t="shared" si="55"/>
        <v>0</v>
      </c>
      <c r="M107" s="14">
        <f t="shared" si="55"/>
        <v>0</v>
      </c>
      <c r="N107" s="14">
        <f t="shared" si="55"/>
        <v>0</v>
      </c>
      <c r="O107" s="14">
        <f t="shared" si="55"/>
        <v>0</v>
      </c>
      <c r="P107" s="14">
        <f t="shared" si="55"/>
        <v>0</v>
      </c>
      <c r="Q107" s="14">
        <f t="shared" si="55"/>
        <v>0</v>
      </c>
      <c r="R107" s="14">
        <f t="shared" si="55"/>
        <v>0</v>
      </c>
      <c r="S107" s="14">
        <f t="shared" si="55"/>
        <v>0</v>
      </c>
      <c r="T107" s="14">
        <f t="shared" si="55"/>
        <v>0</v>
      </c>
      <c r="U107" s="14">
        <f t="shared" si="55"/>
        <v>0</v>
      </c>
      <c r="V107" s="14">
        <f t="shared" si="55"/>
        <v>0</v>
      </c>
      <c r="W107" s="14">
        <f t="shared" si="55"/>
        <v>0</v>
      </c>
      <c r="X107" s="14">
        <f t="shared" si="55"/>
        <v>0</v>
      </c>
      <c r="Y107" s="14">
        <f t="shared" si="55"/>
        <v>0</v>
      </c>
      <c r="Z107" s="14">
        <f t="shared" si="55"/>
        <v>0</v>
      </c>
      <c r="AA107" s="14">
        <f t="shared" si="55"/>
        <v>0</v>
      </c>
      <c r="AB107" s="14">
        <f t="shared" si="55"/>
        <v>0</v>
      </c>
      <c r="AC107" s="14">
        <f t="shared" si="55"/>
        <v>0</v>
      </c>
      <c r="AD107" s="14">
        <f t="shared" si="55"/>
        <v>0</v>
      </c>
      <c r="AE107" s="14">
        <f t="shared" si="55"/>
        <v>0</v>
      </c>
      <c r="AF107" s="14">
        <f t="shared" si="55"/>
        <v>0</v>
      </c>
      <c r="AG107" s="14">
        <f t="shared" si="55"/>
        <v>0</v>
      </c>
      <c r="AH107" s="14">
        <f t="shared" si="55"/>
        <v>0</v>
      </c>
      <c r="AI107" s="14">
        <f t="shared" si="55"/>
        <v>0</v>
      </c>
      <c r="AJ107" s="14">
        <f t="shared" si="55"/>
        <v>0</v>
      </c>
      <c r="AK107" s="14">
        <f t="shared" si="55"/>
        <v>0</v>
      </c>
      <c r="AL107" s="14">
        <f t="shared" si="55"/>
        <v>0</v>
      </c>
    </row>
    <row r="108" spans="1:54" ht="21" hidden="1" customHeight="1" outlineLevel="1" thickBot="1" x14ac:dyDescent="0.4">
      <c r="A108" s="5">
        <f t="shared" si="44"/>
        <v>0</v>
      </c>
      <c r="B108" s="5">
        <f t="shared" si="44"/>
        <v>0</v>
      </c>
      <c r="C108" s="5">
        <f t="shared" si="44"/>
        <v>0</v>
      </c>
      <c r="D108" s="5">
        <f t="shared" si="44"/>
        <v>0</v>
      </c>
      <c r="E108" s="6">
        <f t="shared" si="23"/>
        <v>0</v>
      </c>
      <c r="F108" s="14">
        <f t="shared" ref="F108:AL108" si="56">F32*$C$78</f>
        <v>0</v>
      </c>
      <c r="G108" s="14">
        <f t="shared" si="56"/>
        <v>0</v>
      </c>
      <c r="H108" s="14">
        <f t="shared" si="56"/>
        <v>0</v>
      </c>
      <c r="I108" s="14">
        <f t="shared" si="56"/>
        <v>0</v>
      </c>
      <c r="J108" s="14">
        <f t="shared" si="56"/>
        <v>0</v>
      </c>
      <c r="K108" s="14">
        <f t="shared" si="56"/>
        <v>0</v>
      </c>
      <c r="L108" s="14">
        <f t="shared" si="56"/>
        <v>0</v>
      </c>
      <c r="M108" s="14">
        <f t="shared" si="56"/>
        <v>0</v>
      </c>
      <c r="N108" s="14">
        <f t="shared" si="56"/>
        <v>0</v>
      </c>
      <c r="O108" s="14">
        <f t="shared" si="56"/>
        <v>0</v>
      </c>
      <c r="P108" s="14">
        <f t="shared" si="56"/>
        <v>0</v>
      </c>
      <c r="Q108" s="14">
        <f t="shared" si="56"/>
        <v>0</v>
      </c>
      <c r="R108" s="14">
        <f t="shared" si="56"/>
        <v>0</v>
      </c>
      <c r="S108" s="14">
        <f t="shared" si="56"/>
        <v>0</v>
      </c>
      <c r="T108" s="14">
        <f t="shared" si="56"/>
        <v>0</v>
      </c>
      <c r="U108" s="14">
        <f t="shared" si="56"/>
        <v>0</v>
      </c>
      <c r="V108" s="14">
        <f t="shared" si="56"/>
        <v>0</v>
      </c>
      <c r="W108" s="14">
        <f t="shared" si="56"/>
        <v>0</v>
      </c>
      <c r="X108" s="14">
        <f t="shared" si="56"/>
        <v>0</v>
      </c>
      <c r="Y108" s="14">
        <f t="shared" si="56"/>
        <v>0</v>
      </c>
      <c r="Z108" s="14">
        <f t="shared" si="56"/>
        <v>0</v>
      </c>
      <c r="AA108" s="14">
        <f t="shared" si="56"/>
        <v>0</v>
      </c>
      <c r="AB108" s="14">
        <f t="shared" si="56"/>
        <v>0</v>
      </c>
      <c r="AC108" s="14">
        <f t="shared" si="56"/>
        <v>0</v>
      </c>
      <c r="AD108" s="14">
        <f t="shared" si="56"/>
        <v>0</v>
      </c>
      <c r="AE108" s="14">
        <f t="shared" si="56"/>
        <v>0</v>
      </c>
      <c r="AF108" s="14">
        <f t="shared" si="56"/>
        <v>0</v>
      </c>
      <c r="AG108" s="14">
        <f t="shared" si="56"/>
        <v>0</v>
      </c>
      <c r="AH108" s="14">
        <f t="shared" si="56"/>
        <v>0</v>
      </c>
      <c r="AI108" s="14">
        <f t="shared" si="56"/>
        <v>0</v>
      </c>
      <c r="AJ108" s="14">
        <f t="shared" si="56"/>
        <v>0</v>
      </c>
      <c r="AK108" s="14">
        <f t="shared" si="56"/>
        <v>0</v>
      </c>
      <c r="AL108" s="14">
        <f t="shared" si="56"/>
        <v>0</v>
      </c>
    </row>
    <row r="109" spans="1:54" ht="21" hidden="1" customHeight="1" outlineLevel="1" thickBot="1" x14ac:dyDescent="0.4">
      <c r="A109" s="5">
        <f t="shared" si="44"/>
        <v>0</v>
      </c>
      <c r="B109" s="5">
        <f t="shared" si="44"/>
        <v>0</v>
      </c>
      <c r="C109" s="5">
        <f t="shared" si="44"/>
        <v>0</v>
      </c>
      <c r="D109" s="5">
        <f t="shared" si="44"/>
        <v>0</v>
      </c>
      <c r="E109" s="6">
        <f t="shared" si="23"/>
        <v>1</v>
      </c>
      <c r="F109" s="14"/>
      <c r="G109" s="14"/>
      <c r="H109" s="14"/>
      <c r="I109" s="14"/>
      <c r="J109" s="14"/>
      <c r="K109" s="14"/>
      <c r="L109" s="14"/>
      <c r="M109" s="14"/>
      <c r="N109" s="14"/>
      <c r="O109" s="14"/>
      <c r="P109" s="14"/>
      <c r="Q109" s="14"/>
      <c r="R109" s="14"/>
      <c r="S109" s="14"/>
      <c r="T109" s="14"/>
      <c r="U109" s="14"/>
      <c r="V109" s="14"/>
      <c r="W109" s="14"/>
      <c r="X109" s="14"/>
      <c r="Y109" s="14"/>
      <c r="Z109" s="14"/>
      <c r="AA109" s="14"/>
      <c r="AB109" s="14"/>
      <c r="AC109" s="14"/>
      <c r="AD109" s="14"/>
      <c r="AE109" s="14"/>
      <c r="AF109" s="14"/>
      <c r="AG109" s="14"/>
      <c r="AH109" s="14"/>
      <c r="AI109" s="14"/>
      <c r="AJ109" s="14"/>
      <c r="AK109" s="14"/>
      <c r="AL109" s="14"/>
    </row>
    <row r="110" spans="1:54" ht="21" hidden="1" customHeight="1" outlineLevel="1" x14ac:dyDescent="0.35">
      <c r="U110" s="55"/>
      <c r="V110" s="55"/>
      <c r="W110" s="55"/>
    </row>
    <row r="111" spans="1:54" ht="21" customHeight="1" collapsed="1" x14ac:dyDescent="0.35">
      <c r="U111" s="55"/>
      <c r="V111" s="55"/>
      <c r="W111" s="55"/>
    </row>
    <row r="112" spans="1:54" ht="21" customHeight="1" thickBot="1" x14ac:dyDescent="0.45">
      <c r="A112" s="75"/>
      <c r="B112" s="75"/>
      <c r="C112" s="75"/>
      <c r="D112" s="75"/>
      <c r="E112" s="74" t="s">
        <v>24</v>
      </c>
      <c r="F112" s="75"/>
      <c r="G112" s="75"/>
      <c r="H112" s="75"/>
      <c r="I112" s="75"/>
      <c r="J112" s="75"/>
      <c r="K112" s="75"/>
      <c r="L112" s="75"/>
      <c r="M112" s="75"/>
      <c r="N112" s="75"/>
      <c r="O112" s="75"/>
      <c r="P112" s="75"/>
      <c r="Q112" s="75"/>
      <c r="R112" s="75"/>
      <c r="S112" s="75"/>
      <c r="T112" s="75"/>
      <c r="U112" s="75"/>
      <c r="V112" s="75"/>
      <c r="W112" s="75"/>
      <c r="X112" s="75"/>
      <c r="Y112" s="75"/>
      <c r="Z112" s="75"/>
      <c r="AA112" s="75"/>
      <c r="AB112" s="75"/>
      <c r="AC112" s="75"/>
      <c r="AD112" s="75"/>
      <c r="AE112" s="75"/>
      <c r="AF112" s="75"/>
      <c r="AG112" s="75"/>
      <c r="AH112" s="75"/>
      <c r="AI112" s="75"/>
      <c r="AJ112" s="75"/>
      <c r="AK112" s="75"/>
      <c r="AL112" s="75"/>
      <c r="AM112" s="75"/>
      <c r="AN112" s="75"/>
      <c r="AO112" s="75"/>
      <c r="AP112" s="75"/>
      <c r="AQ112" s="75"/>
      <c r="AR112" s="75"/>
      <c r="AS112" s="75"/>
      <c r="AT112" s="75"/>
      <c r="AU112" s="75"/>
      <c r="AV112" s="75"/>
      <c r="AW112" s="75"/>
      <c r="AX112" s="75"/>
      <c r="AY112" s="75"/>
      <c r="AZ112" s="75"/>
      <c r="BA112" s="75"/>
      <c r="BB112" s="75"/>
    </row>
    <row r="113" spans="1:38" ht="21" customHeight="1" outlineLevel="1" thickTop="1" thickBot="1" x14ac:dyDescent="0.4">
      <c r="A113" s="92" t="s">
        <v>10</v>
      </c>
      <c r="B113" s="93"/>
      <c r="C113" s="23" t="s">
        <v>11</v>
      </c>
      <c r="D113" s="15" t="s">
        <v>12</v>
      </c>
      <c r="E113" s="15"/>
      <c r="F113" s="4">
        <f t="shared" ref="F113:AL113" si="57">F3</f>
        <v>298.2</v>
      </c>
      <c r="G113" s="4">
        <f t="shared" si="57"/>
        <v>331.5</v>
      </c>
      <c r="H113" s="4">
        <f t="shared" si="57"/>
        <v>364.9</v>
      </c>
      <c r="I113" s="4">
        <f t="shared" si="57"/>
        <v>398.3</v>
      </c>
      <c r="J113" s="4">
        <f t="shared" si="57"/>
        <v>431.7</v>
      </c>
      <c r="K113" s="4">
        <f t="shared" si="57"/>
        <v>465.1</v>
      </c>
      <c r="L113" s="4">
        <f t="shared" si="57"/>
        <v>498.5</v>
      </c>
      <c r="M113" s="4">
        <f t="shared" si="57"/>
        <v>531.79999999999995</v>
      </c>
      <c r="N113" s="4">
        <f t="shared" si="57"/>
        <v>565.20000000000005</v>
      </c>
      <c r="O113" s="4">
        <f t="shared" si="57"/>
        <v>698.8</v>
      </c>
      <c r="P113" s="4">
        <f t="shared" si="57"/>
        <v>832.3</v>
      </c>
      <c r="Q113" s="4">
        <f t="shared" si="57"/>
        <v>965.8</v>
      </c>
      <c r="R113" s="4">
        <f t="shared" si="57"/>
        <v>999.2</v>
      </c>
      <c r="S113" s="4">
        <f t="shared" si="57"/>
        <v>1033</v>
      </c>
      <c r="T113" s="4">
        <f t="shared" si="57"/>
        <v>1066</v>
      </c>
      <c r="U113" s="4">
        <f t="shared" si="57"/>
        <v>1099</v>
      </c>
      <c r="V113" s="4">
        <f t="shared" si="57"/>
        <v>1233</v>
      </c>
      <c r="W113" s="4">
        <f t="shared" si="57"/>
        <v>1366</v>
      </c>
      <c r="X113" s="4">
        <f t="shared" si="57"/>
        <v>1400</v>
      </c>
      <c r="Y113" s="4">
        <f t="shared" si="57"/>
        <v>1433</v>
      </c>
      <c r="Z113" s="4">
        <f t="shared" si="57"/>
        <v>1467</v>
      </c>
      <c r="AA113" s="4">
        <f t="shared" si="57"/>
        <v>1500</v>
      </c>
      <c r="AB113" s="4">
        <f t="shared" si="57"/>
        <v>0</v>
      </c>
      <c r="AC113" s="4">
        <f t="shared" si="57"/>
        <v>0</v>
      </c>
      <c r="AD113" s="4">
        <f t="shared" si="57"/>
        <v>0</v>
      </c>
      <c r="AE113" s="4">
        <f t="shared" si="57"/>
        <v>0</v>
      </c>
      <c r="AF113" s="4">
        <f t="shared" si="57"/>
        <v>0</v>
      </c>
      <c r="AG113" s="4">
        <f t="shared" si="57"/>
        <v>0</v>
      </c>
      <c r="AH113" s="4">
        <f t="shared" si="57"/>
        <v>0</v>
      </c>
      <c r="AI113" s="4">
        <f t="shared" si="57"/>
        <v>0</v>
      </c>
      <c r="AJ113" s="4">
        <f t="shared" si="57"/>
        <v>0</v>
      </c>
      <c r="AK113" s="4">
        <f t="shared" si="57"/>
        <v>0</v>
      </c>
      <c r="AL113" s="4">
        <f t="shared" si="57"/>
        <v>0</v>
      </c>
    </row>
    <row r="114" spans="1:38" ht="21" customHeight="1" outlineLevel="1" thickTop="1" thickBot="1" x14ac:dyDescent="0.4">
      <c r="A114" s="21">
        <f>$A$2</f>
        <v>700</v>
      </c>
      <c r="B114" s="50">
        <f ca="1">MIN(MIN(F114:AL117),MIN(F41:AL41))</f>
        <v>-2762.92082175</v>
      </c>
      <c r="C114" s="24">
        <f>COUNTA(E114:E121)+1</f>
        <v>5</v>
      </c>
      <c r="E114" s="17" t="s">
        <v>33</v>
      </c>
      <c r="F114" s="52">
        <f t="shared" ref="F114:AL114" ca="1" si="58">F$113*$B$2*SUMPRODUCT(F$90:F$91,F$56:F$57)/1000</f>
        <v>-78.596469630000016</v>
      </c>
      <c r="G114" s="52">
        <f t="shared" ca="1" si="58"/>
        <v>-87.419276587500022</v>
      </c>
      <c r="H114" s="52">
        <f t="shared" ca="1" si="58"/>
        <v>-96.378829355000008</v>
      </c>
      <c r="I114" s="52">
        <f t="shared" ca="1" si="58"/>
        <v>-105.47654139750003</v>
      </c>
      <c r="J114" s="52">
        <f t="shared" ca="1" si="58"/>
        <v>-114.68036031750003</v>
      </c>
      <c r="K114" s="52">
        <f t="shared" ca="1" si="58"/>
        <v>-123.93972009750003</v>
      </c>
      <c r="L114" s="52">
        <f t="shared" ca="1" si="58"/>
        <v>-133.32370037500002</v>
      </c>
      <c r="M114" s="52">
        <f t="shared" ca="1" si="58"/>
        <v>-140.53481079500003</v>
      </c>
      <c r="N114" s="52">
        <f t="shared" ca="1" si="58"/>
        <v>-149.04788877000004</v>
      </c>
      <c r="O114" s="52">
        <f t="shared" ca="1" si="58"/>
        <v>-186.99072151167834</v>
      </c>
      <c r="P114" s="52">
        <f t="shared" ca="1" si="58"/>
        <v>-225.71249819715055</v>
      </c>
      <c r="Q114" s="52">
        <f t="shared" ca="1" si="58"/>
        <v>-265.26242726749456</v>
      </c>
      <c r="R114" s="52">
        <f t="shared" ca="1" si="58"/>
        <v>-275.26671122281181</v>
      </c>
      <c r="S114" s="52">
        <f t="shared" ca="1" si="58"/>
        <v>-285.43706385648062</v>
      </c>
      <c r="T114" s="52">
        <f t="shared" ca="1" si="58"/>
        <v>-295.44190472267474</v>
      </c>
      <c r="U114" s="52">
        <f t="shared" ca="1" si="58"/>
        <v>-305.34933184435323</v>
      </c>
      <c r="V114" s="52">
        <f t="shared" ca="1" si="58"/>
        <v>-375.82894208764111</v>
      </c>
      <c r="W114" s="52">
        <f t="shared" ca="1" si="58"/>
        <v>-423.57059545800018</v>
      </c>
      <c r="X114" s="52">
        <f t="shared" ca="1" si="58"/>
        <v>-435.88073375000016</v>
      </c>
      <c r="Y114" s="52">
        <f t="shared" ca="1" si="58"/>
        <v>-447.94028132650016</v>
      </c>
      <c r="Z114" s="52">
        <f t="shared" ca="1" si="58"/>
        <v>-460.16820168525021</v>
      </c>
      <c r="AA114" s="52">
        <f t="shared" ca="1" si="58"/>
        <v>-472.33219462500011</v>
      </c>
      <c r="AB114" s="52">
        <f t="shared" ca="1" si="58"/>
        <v>0</v>
      </c>
      <c r="AC114" s="52">
        <f t="shared" ca="1" si="58"/>
        <v>0</v>
      </c>
      <c r="AD114" s="52">
        <f t="shared" ca="1" si="58"/>
        <v>0</v>
      </c>
      <c r="AE114" s="52">
        <f t="shared" ca="1" si="58"/>
        <v>0</v>
      </c>
      <c r="AF114" s="52">
        <f t="shared" ca="1" si="58"/>
        <v>0</v>
      </c>
      <c r="AG114" s="52">
        <f t="shared" ca="1" si="58"/>
        <v>0</v>
      </c>
      <c r="AH114" s="52">
        <f t="shared" ca="1" si="58"/>
        <v>0</v>
      </c>
      <c r="AI114" s="52">
        <f t="shared" ca="1" si="58"/>
        <v>0</v>
      </c>
      <c r="AJ114" s="52">
        <f t="shared" ca="1" si="58"/>
        <v>0</v>
      </c>
      <c r="AK114" s="52">
        <f t="shared" ca="1" si="58"/>
        <v>0</v>
      </c>
      <c r="AL114" s="52">
        <f t="shared" ca="1" si="58"/>
        <v>0</v>
      </c>
    </row>
    <row r="115" spans="1:38" ht="21" customHeight="1" outlineLevel="1" thickBot="1" x14ac:dyDescent="0.4">
      <c r="A115" s="22">
        <f>$A$114</f>
        <v>700</v>
      </c>
      <c r="B115" s="51">
        <f ca="1">MAX(MAX(F114:AL117),MAX(F41:AL41))</f>
        <v>0</v>
      </c>
      <c r="C115" s="25">
        <f xml:space="preserve"> COUNTIF(F113:AL113,"&lt;&gt;"&amp;0)</f>
        <v>22</v>
      </c>
      <c r="E115" s="17" t="s">
        <v>14</v>
      </c>
      <c r="F115" s="14">
        <f t="shared" ref="F115:AL115" ca="1" si="59">F$113*$B$2*SUMPRODUCT(F$87:F$88,F$53:F$54)/1000</f>
        <v>-387.7136573625001</v>
      </c>
      <c r="G115" s="14">
        <f t="shared" ca="1" si="59"/>
        <v>-393.01924374375011</v>
      </c>
      <c r="H115" s="14">
        <f t="shared" ca="1" si="59"/>
        <v>-398.83946303124998</v>
      </c>
      <c r="I115" s="14">
        <f t="shared" ca="1" si="59"/>
        <v>-404.93388067125011</v>
      </c>
      <c r="J115" s="14">
        <f t="shared" ca="1" si="59"/>
        <v>-411.2819390625001</v>
      </c>
      <c r="K115" s="14">
        <f t="shared" ca="1" si="59"/>
        <v>-417.86956591375014</v>
      </c>
      <c r="L115" s="14">
        <f t="shared" ca="1" si="59"/>
        <v>-424.80523080625011</v>
      </c>
      <c r="M115" s="14">
        <f t="shared" ca="1" si="59"/>
        <v>-97.82702426331339</v>
      </c>
      <c r="N115" s="14">
        <f t="shared" ca="1" si="59"/>
        <v>-9.7697728422550829E-3</v>
      </c>
      <c r="O115" s="14">
        <f t="shared" ca="1" si="59"/>
        <v>-5.2123217459878711E-16</v>
      </c>
      <c r="P115" s="14">
        <f t="shared" ca="1" si="59"/>
        <v>-4.5076670268139559E-19</v>
      </c>
      <c r="Q115" s="14">
        <f t="shared" ca="1" si="59"/>
        <v>-8.0376221716931261E-15</v>
      </c>
      <c r="R115" s="14">
        <f t="shared" ca="1" si="59"/>
        <v>-6.1704184146661999E-14</v>
      </c>
      <c r="S115" s="14">
        <f t="shared" ca="1" si="59"/>
        <v>-4.1530590093432749E-13</v>
      </c>
      <c r="T115" s="14">
        <f t="shared" ca="1" si="59"/>
        <v>-2.4787971597587908E-12</v>
      </c>
      <c r="U115" s="14">
        <f t="shared" ca="1" si="59"/>
        <v>-1.3268768733421951E-11</v>
      </c>
      <c r="V115" s="14">
        <f t="shared" ca="1" si="59"/>
        <v>-3.9028294697784076E-9</v>
      </c>
      <c r="W115" s="14">
        <f t="shared" ca="1" si="59"/>
        <v>-2.1581918657892804E-7</v>
      </c>
      <c r="X115" s="14">
        <f t="shared" ca="1" si="59"/>
        <v>-5.2154364150000008E-7</v>
      </c>
      <c r="Y115" s="14">
        <f t="shared" ca="1" si="59"/>
        <v>-1.2080982589613129E-6</v>
      </c>
      <c r="Z115" s="14">
        <f t="shared" ca="1" si="59"/>
        <v>-2.6939150270566882E-6</v>
      </c>
      <c r="AA115" s="14">
        <f t="shared" ca="1" si="59"/>
        <v>-5.7886724670300022E-6</v>
      </c>
      <c r="AB115" s="14">
        <f t="shared" ca="1" si="59"/>
        <v>0</v>
      </c>
      <c r="AC115" s="14">
        <f t="shared" ca="1" si="59"/>
        <v>0</v>
      </c>
      <c r="AD115" s="14">
        <f t="shared" ca="1" si="59"/>
        <v>0</v>
      </c>
      <c r="AE115" s="14">
        <f t="shared" ca="1" si="59"/>
        <v>0</v>
      </c>
      <c r="AF115" s="14">
        <f t="shared" ca="1" si="59"/>
        <v>0</v>
      </c>
      <c r="AG115" s="14">
        <f t="shared" ca="1" si="59"/>
        <v>0</v>
      </c>
      <c r="AH115" s="14">
        <f t="shared" ca="1" si="59"/>
        <v>0</v>
      </c>
      <c r="AI115" s="14">
        <f t="shared" ca="1" si="59"/>
        <v>0</v>
      </c>
      <c r="AJ115" s="14">
        <f t="shared" ca="1" si="59"/>
        <v>0</v>
      </c>
      <c r="AK115" s="14">
        <f t="shared" ca="1" si="59"/>
        <v>0</v>
      </c>
      <c r="AL115" s="14">
        <f t="shared" ca="1" si="59"/>
        <v>0</v>
      </c>
    </row>
    <row r="116" spans="1:38" ht="21" customHeight="1" outlineLevel="1" thickBot="1" x14ac:dyDescent="0.4">
      <c r="E116" s="17" t="s">
        <v>15</v>
      </c>
      <c r="F116" s="14">
        <f t="shared" ref="F116:AL116" ca="1" si="60">F$113*$B$2*SUMPRODUCT(F$87:F$89,F$53:F$55)/1000</f>
        <v>-387.7136573625001</v>
      </c>
      <c r="G116" s="14">
        <f t="shared" ca="1" si="60"/>
        <v>-393.01924374375011</v>
      </c>
      <c r="H116" s="14">
        <f t="shared" ca="1" si="60"/>
        <v>-398.83946303124998</v>
      </c>
      <c r="I116" s="14">
        <f t="shared" ca="1" si="60"/>
        <v>-404.93388067125011</v>
      </c>
      <c r="J116" s="14">
        <f t="shared" ca="1" si="60"/>
        <v>-411.2819390625001</v>
      </c>
      <c r="K116" s="14">
        <f t="shared" ca="1" si="60"/>
        <v>-417.86956591375014</v>
      </c>
      <c r="L116" s="14">
        <f t="shared" ca="1" si="60"/>
        <v>-424.80523080625011</v>
      </c>
      <c r="M116" s="14">
        <f t="shared" ca="1" si="60"/>
        <v>-97.82702426331339</v>
      </c>
      <c r="N116" s="14">
        <f t="shared" ca="1" si="60"/>
        <v>-9.7697728422550829E-3</v>
      </c>
      <c r="O116" s="14">
        <f t="shared" ca="1" si="60"/>
        <v>-5.2135380437530261E-16</v>
      </c>
      <c r="P116" s="14">
        <f t="shared" ca="1" si="60"/>
        <v>-4.74568858058136E-15</v>
      </c>
      <c r="Q116" s="14">
        <f t="shared" ca="1" si="60"/>
        <v>-1.0309422660575631E-11</v>
      </c>
      <c r="R116" s="14">
        <f t="shared" ca="1" si="60"/>
        <v>-5.1281458836036665E-11</v>
      </c>
      <c r="S116" s="14">
        <f t="shared" ca="1" si="60"/>
        <v>-2.3041887730372607E-10</v>
      </c>
      <c r="T116" s="14">
        <f t="shared" ca="1" si="60"/>
        <v>-9.4323239197797161E-10</v>
      </c>
      <c r="U116" s="14">
        <f t="shared" ca="1" si="60"/>
        <v>-3.5489887538815944E-9</v>
      </c>
      <c r="V116" s="14">
        <f t="shared" ca="1" si="60"/>
        <v>-3.3393422119415529E-7</v>
      </c>
      <c r="W116" s="14">
        <f t="shared" ca="1" si="60"/>
        <v>-1.0159124717946732E-5</v>
      </c>
      <c r="X116" s="14">
        <f t="shared" ca="1" si="60"/>
        <v>-2.1585197580187506E-5</v>
      </c>
      <c r="Y116" s="14">
        <f t="shared" ca="1" si="60"/>
        <v>-4.4275892225073797E-5</v>
      </c>
      <c r="Z116" s="14">
        <f t="shared" ca="1" si="60"/>
        <v>-8.8009272618887836E-5</v>
      </c>
      <c r="AA116" s="14">
        <f t="shared" ca="1" si="60"/>
        <v>-1.6961143605152999E-4</v>
      </c>
      <c r="AB116" s="14">
        <f t="shared" ca="1" si="60"/>
        <v>0</v>
      </c>
      <c r="AC116" s="14">
        <f t="shared" ca="1" si="60"/>
        <v>0</v>
      </c>
      <c r="AD116" s="14">
        <f t="shared" ca="1" si="60"/>
        <v>0</v>
      </c>
      <c r="AE116" s="14">
        <f t="shared" ca="1" si="60"/>
        <v>0</v>
      </c>
      <c r="AF116" s="14">
        <f t="shared" ca="1" si="60"/>
        <v>0</v>
      </c>
      <c r="AG116" s="14">
        <f t="shared" ca="1" si="60"/>
        <v>0</v>
      </c>
      <c r="AH116" s="14">
        <f t="shared" ca="1" si="60"/>
        <v>0</v>
      </c>
      <c r="AI116" s="14">
        <f t="shared" ca="1" si="60"/>
        <v>0</v>
      </c>
      <c r="AJ116" s="14">
        <f t="shared" ca="1" si="60"/>
        <v>0</v>
      </c>
      <c r="AK116" s="14">
        <f t="shared" ca="1" si="60"/>
        <v>0</v>
      </c>
      <c r="AL116" s="14">
        <f t="shared" ca="1" si="60"/>
        <v>0</v>
      </c>
    </row>
    <row r="117" spans="1:38" ht="21" customHeight="1" outlineLevel="1" thickBot="1" x14ac:dyDescent="0.4">
      <c r="E117" s="17" t="s">
        <v>34</v>
      </c>
      <c r="F117" s="14">
        <f ca="1">F115+F114</f>
        <v>-466.3101269925001</v>
      </c>
      <c r="G117" s="14">
        <f t="shared" ref="G117:AL117" ca="1" si="61">G115+G114</f>
        <v>-480.43852033125012</v>
      </c>
      <c r="H117" s="14">
        <f t="shared" ca="1" si="61"/>
        <v>-495.21829238624997</v>
      </c>
      <c r="I117" s="14">
        <f t="shared" ca="1" si="61"/>
        <v>-510.41042206875011</v>
      </c>
      <c r="J117" s="14">
        <f t="shared" ca="1" si="61"/>
        <v>-525.9622993800001</v>
      </c>
      <c r="K117" s="14">
        <f t="shared" ca="1" si="61"/>
        <v>-541.80928601125015</v>
      </c>
      <c r="L117" s="14">
        <f t="shared" ca="1" si="61"/>
        <v>-558.1289311812501</v>
      </c>
      <c r="M117" s="14">
        <f t="shared" ca="1" si="61"/>
        <v>-238.36183505831343</v>
      </c>
      <c r="N117" s="14">
        <f t="shared" ca="1" si="61"/>
        <v>-149.05765854284229</v>
      </c>
      <c r="O117" s="14">
        <f t="shared" ca="1" si="61"/>
        <v>-186.99072151167834</v>
      </c>
      <c r="P117" s="14">
        <f t="shared" ca="1" si="61"/>
        <v>-225.71249819715055</v>
      </c>
      <c r="Q117" s="14">
        <f t="shared" ca="1" si="61"/>
        <v>-265.26242726749456</v>
      </c>
      <c r="R117" s="14">
        <f t="shared" ca="1" si="61"/>
        <v>-275.26671122281186</v>
      </c>
      <c r="S117" s="14">
        <f t="shared" ca="1" si="61"/>
        <v>-285.43706385648102</v>
      </c>
      <c r="T117" s="14">
        <f t="shared" ca="1" si="61"/>
        <v>-295.44190472267724</v>
      </c>
      <c r="U117" s="14">
        <f t="shared" ca="1" si="61"/>
        <v>-305.34933184436647</v>
      </c>
      <c r="V117" s="14">
        <f t="shared" ca="1" si="61"/>
        <v>-375.82894209154392</v>
      </c>
      <c r="W117" s="14">
        <f t="shared" ca="1" si="61"/>
        <v>-423.57059567381935</v>
      </c>
      <c r="X117" s="14">
        <f t="shared" ca="1" si="61"/>
        <v>-435.88073427154382</v>
      </c>
      <c r="Y117" s="14">
        <f t="shared" ca="1" si="61"/>
        <v>-447.9402825345984</v>
      </c>
      <c r="Z117" s="14">
        <f t="shared" ca="1" si="61"/>
        <v>-460.16820437916522</v>
      </c>
      <c r="AA117" s="14">
        <f t="shared" ca="1" si="61"/>
        <v>-472.33220041367258</v>
      </c>
      <c r="AB117" s="14">
        <f t="shared" ca="1" si="61"/>
        <v>0</v>
      </c>
      <c r="AC117" s="14">
        <f t="shared" ca="1" si="61"/>
        <v>0</v>
      </c>
      <c r="AD117" s="14">
        <f t="shared" ca="1" si="61"/>
        <v>0</v>
      </c>
      <c r="AE117" s="14">
        <f t="shared" ca="1" si="61"/>
        <v>0</v>
      </c>
      <c r="AF117" s="14">
        <f t="shared" ca="1" si="61"/>
        <v>0</v>
      </c>
      <c r="AG117" s="14">
        <f t="shared" ca="1" si="61"/>
        <v>0</v>
      </c>
      <c r="AH117" s="14">
        <f t="shared" ca="1" si="61"/>
        <v>0</v>
      </c>
      <c r="AI117" s="14">
        <f t="shared" ca="1" si="61"/>
        <v>0</v>
      </c>
      <c r="AJ117" s="14">
        <f t="shared" ca="1" si="61"/>
        <v>0</v>
      </c>
      <c r="AK117" s="14">
        <f t="shared" ca="1" si="61"/>
        <v>0</v>
      </c>
      <c r="AL117" s="14">
        <f t="shared" ca="1" si="61"/>
        <v>0</v>
      </c>
    </row>
    <row r="118" spans="1:38" ht="21" customHeight="1" outlineLevel="1" thickBot="1" x14ac:dyDescent="0.4">
      <c r="E118" s="17"/>
      <c r="F118" s="14"/>
      <c r="G118" s="14"/>
      <c r="H118" s="14"/>
      <c r="I118" s="14"/>
      <c r="J118" s="14"/>
      <c r="K118" s="14"/>
      <c r="L118" s="14"/>
      <c r="M118" s="14"/>
      <c r="N118" s="14"/>
      <c r="O118" s="14"/>
      <c r="P118" s="14"/>
      <c r="Q118" s="14"/>
      <c r="R118" s="14"/>
      <c r="S118" s="14"/>
      <c r="T118" s="14"/>
      <c r="U118" s="14"/>
      <c r="V118" s="14"/>
      <c r="W118" s="14"/>
      <c r="X118" s="14"/>
      <c r="Y118" s="14"/>
      <c r="Z118" s="14"/>
      <c r="AA118" s="14"/>
      <c r="AB118" s="14"/>
      <c r="AC118" s="14"/>
      <c r="AD118" s="14"/>
      <c r="AE118" s="14"/>
      <c r="AF118" s="14"/>
      <c r="AG118" s="14"/>
      <c r="AH118" s="14"/>
      <c r="AI118" s="14"/>
      <c r="AJ118" s="14"/>
      <c r="AK118" s="14"/>
      <c r="AL118" s="14"/>
    </row>
    <row r="119" spans="1:38" ht="21" customHeight="1" outlineLevel="1" thickBot="1" x14ac:dyDescent="0.4">
      <c r="E119" s="17"/>
      <c r="F119" s="14"/>
      <c r="G119" s="14"/>
      <c r="H119" s="14"/>
      <c r="I119" s="14"/>
      <c r="J119" s="14"/>
      <c r="K119" s="14"/>
      <c r="L119" s="14"/>
      <c r="M119" s="14"/>
      <c r="N119" s="14"/>
      <c r="O119" s="14"/>
      <c r="P119" s="14"/>
      <c r="Q119" s="14"/>
      <c r="R119" s="14"/>
      <c r="S119" s="14"/>
      <c r="T119" s="14"/>
      <c r="U119" s="14"/>
      <c r="V119" s="14"/>
      <c r="W119" s="14"/>
      <c r="X119" s="14"/>
      <c r="Y119" s="14"/>
      <c r="Z119" s="14"/>
      <c r="AA119" s="14"/>
      <c r="AB119" s="14"/>
      <c r="AC119" s="14"/>
      <c r="AD119" s="14"/>
      <c r="AE119" s="14"/>
      <c r="AF119" s="14"/>
      <c r="AG119" s="14"/>
      <c r="AH119" s="14"/>
      <c r="AI119" s="14"/>
      <c r="AJ119" s="14"/>
      <c r="AK119" s="14"/>
      <c r="AL119" s="14"/>
    </row>
    <row r="120" spans="1:38" ht="21" customHeight="1" outlineLevel="1" thickBot="1" x14ac:dyDescent="0.4">
      <c r="E120" s="17"/>
      <c r="F120" s="14"/>
      <c r="G120" s="14"/>
      <c r="H120" s="14"/>
      <c r="I120" s="14"/>
      <c r="J120" s="14"/>
      <c r="K120" s="14"/>
      <c r="L120" s="14"/>
      <c r="M120" s="14"/>
      <c r="N120" s="14"/>
      <c r="O120" s="14"/>
      <c r="P120" s="14"/>
      <c r="Q120" s="14"/>
      <c r="R120" s="14"/>
      <c r="S120" s="14"/>
      <c r="T120" s="14"/>
      <c r="U120" s="14"/>
      <c r="V120" s="14"/>
      <c r="W120" s="14"/>
      <c r="X120" s="14"/>
      <c r="Y120" s="14"/>
      <c r="Z120" s="14"/>
      <c r="AA120" s="14"/>
      <c r="AB120" s="14"/>
      <c r="AC120" s="14"/>
      <c r="AD120" s="14"/>
      <c r="AE120" s="14"/>
      <c r="AF120" s="14"/>
      <c r="AG120" s="14"/>
      <c r="AH120" s="14"/>
      <c r="AI120" s="14"/>
      <c r="AJ120" s="14"/>
      <c r="AK120" s="14"/>
      <c r="AL120" s="14"/>
    </row>
    <row r="121" spans="1:38" ht="21" customHeight="1" outlineLevel="1" thickBot="1" x14ac:dyDescent="0.4">
      <c r="E121" s="18"/>
      <c r="U121" s="55"/>
      <c r="V121" s="55"/>
      <c r="W121" s="55"/>
    </row>
    <row r="122" spans="1:38" ht="21" customHeight="1" outlineLevel="1" thickTop="1" thickBot="1" x14ac:dyDescent="0.4">
      <c r="E122" s="4">
        <f t="array" aca="1" ref="E122:AL135" ca="1">OFFSET(E113,0,0,C114,C115+1)</f>
        <v>0</v>
      </c>
      <c r="F122" s="4">
        <f ca="1"/>
        <v>298.2</v>
      </c>
      <c r="G122" s="4">
        <f ca="1"/>
        <v>331.5</v>
      </c>
      <c r="H122" s="4">
        <f ca="1"/>
        <v>364.9</v>
      </c>
      <c r="I122" s="4">
        <f ca="1"/>
        <v>398.3</v>
      </c>
      <c r="J122" s="4">
        <f ca="1"/>
        <v>431.7</v>
      </c>
      <c r="K122" s="4">
        <f ca="1"/>
        <v>465.1</v>
      </c>
      <c r="L122" s="4">
        <f ca="1"/>
        <v>498.5</v>
      </c>
      <c r="M122" s="4">
        <f ca="1"/>
        <v>531.79999999999995</v>
      </c>
      <c r="N122" s="4">
        <f ca="1"/>
        <v>565.20000000000005</v>
      </c>
      <c r="O122" s="4">
        <f ca="1"/>
        <v>698.8</v>
      </c>
      <c r="P122" s="4">
        <f ca="1"/>
        <v>832.3</v>
      </c>
      <c r="Q122" s="4">
        <f ca="1"/>
        <v>965.8</v>
      </c>
      <c r="R122" s="4">
        <f ca="1"/>
        <v>999.2</v>
      </c>
      <c r="S122" s="4">
        <f ca="1"/>
        <v>1033</v>
      </c>
      <c r="T122" s="20">
        <f ca="1"/>
        <v>1066</v>
      </c>
      <c r="U122" s="65">
        <f ca="1"/>
        <v>1099</v>
      </c>
      <c r="V122" s="66">
        <f ca="1"/>
        <v>1233</v>
      </c>
      <c r="W122" s="68">
        <f ca="1"/>
        <v>1366</v>
      </c>
      <c r="X122" s="62">
        <f ca="1"/>
        <v>1400</v>
      </c>
      <c r="Y122" s="4">
        <f ca="1"/>
        <v>1433</v>
      </c>
      <c r="Z122" s="4">
        <f ca="1"/>
        <v>1467</v>
      </c>
      <c r="AA122" s="4">
        <f ca="1"/>
        <v>1500</v>
      </c>
      <c r="AB122" s="4" t="e">
        <f ca="1"/>
        <v>#N/A</v>
      </c>
      <c r="AC122" s="4" t="e">
        <f ca="1"/>
        <v>#N/A</v>
      </c>
      <c r="AD122" s="4" t="e">
        <f ca="1"/>
        <v>#N/A</v>
      </c>
      <c r="AE122" s="4" t="e">
        <f ca="1"/>
        <v>#N/A</v>
      </c>
      <c r="AF122" s="4" t="e">
        <f ca="1"/>
        <v>#N/A</v>
      </c>
      <c r="AG122" s="4" t="e">
        <f ca="1"/>
        <v>#N/A</v>
      </c>
      <c r="AH122" s="4" t="e">
        <f ca="1"/>
        <v>#N/A</v>
      </c>
      <c r="AI122" s="4" t="e">
        <f ca="1"/>
        <v>#N/A</v>
      </c>
      <c r="AJ122" s="4" t="e">
        <f ca="1"/>
        <v>#N/A</v>
      </c>
      <c r="AK122" s="4" t="e">
        <f ca="1"/>
        <v>#N/A</v>
      </c>
      <c r="AL122" s="4" t="e">
        <f ca="1"/>
        <v>#N/A</v>
      </c>
    </row>
    <row r="123" spans="1:38" ht="21" customHeight="1" outlineLevel="1" thickTop="1" thickBot="1" x14ac:dyDescent="0.4">
      <c r="E123" s="17" t="str">
        <f ca="1"/>
        <v xml:space="preserve">Расвор: </v>
      </c>
      <c r="F123" s="55">
        <f ca="1"/>
        <v>-78.596469630000016</v>
      </c>
      <c r="G123" s="55">
        <f ca="1"/>
        <v>-87.419276587500022</v>
      </c>
      <c r="H123" s="55">
        <f ca="1"/>
        <v>-96.378829355000008</v>
      </c>
      <c r="I123" s="55">
        <f ca="1"/>
        <v>-105.47654139750003</v>
      </c>
      <c r="J123" s="55">
        <f ca="1"/>
        <v>-114.68036031750003</v>
      </c>
      <c r="K123" s="55">
        <f ca="1"/>
        <v>-123.93972009750003</v>
      </c>
      <c r="L123" s="55">
        <f ca="1"/>
        <v>-133.32370037500002</v>
      </c>
      <c r="M123" s="55">
        <f ca="1"/>
        <v>-140.53481079500003</v>
      </c>
      <c r="N123" s="55">
        <f ca="1"/>
        <v>-149.04788877000004</v>
      </c>
      <c r="O123" s="55">
        <f ca="1"/>
        <v>-186.99072151167834</v>
      </c>
      <c r="P123" s="55">
        <f ca="1"/>
        <v>-225.71249819715055</v>
      </c>
      <c r="Q123" s="55">
        <f ca="1"/>
        <v>-265.26242726749456</v>
      </c>
      <c r="R123" s="55">
        <f ca="1"/>
        <v>-275.26671122281181</v>
      </c>
      <c r="S123" s="55">
        <f ca="1"/>
        <v>-285.43706385648062</v>
      </c>
      <c r="T123" s="55">
        <f ca="1"/>
        <v>-295.44190472267474</v>
      </c>
      <c r="U123" s="55">
        <f ca="1"/>
        <v>-305.34933184435323</v>
      </c>
      <c r="V123" s="55">
        <f ca="1"/>
        <v>-375.82894208764111</v>
      </c>
      <c r="W123" s="55">
        <f ca="1"/>
        <v>-423.57059545800018</v>
      </c>
      <c r="X123" s="55">
        <f ca="1"/>
        <v>-435.88073375000016</v>
      </c>
      <c r="Y123" s="55">
        <f ca="1"/>
        <v>-447.94028132650016</v>
      </c>
      <c r="Z123" s="55">
        <f ca="1"/>
        <v>-460.16820168525021</v>
      </c>
      <c r="AA123" s="55">
        <f ca="1"/>
        <v>-472.33219462500011</v>
      </c>
      <c r="AB123" s="55" t="e">
        <f ca="1"/>
        <v>#N/A</v>
      </c>
      <c r="AC123" s="55" t="e">
        <f ca="1"/>
        <v>#N/A</v>
      </c>
      <c r="AD123" s="55" t="e">
        <f ca="1"/>
        <v>#N/A</v>
      </c>
      <c r="AE123" s="55" t="e">
        <f ca="1"/>
        <v>#N/A</v>
      </c>
      <c r="AF123" s="55" t="e">
        <f ca="1"/>
        <v>#N/A</v>
      </c>
      <c r="AG123" s="55" t="e">
        <f ca="1"/>
        <v>#N/A</v>
      </c>
      <c r="AH123" s="55" t="e">
        <f ca="1"/>
        <v>#N/A</v>
      </c>
      <c r="AI123" s="55" t="e">
        <f ca="1"/>
        <v>#N/A</v>
      </c>
      <c r="AJ123" s="55" t="e">
        <f ca="1"/>
        <v>#N/A</v>
      </c>
      <c r="AK123" s="55" t="e">
        <f ca="1"/>
        <v>#N/A</v>
      </c>
      <c r="AL123" s="55" t="e">
        <f ca="1"/>
        <v>#N/A</v>
      </c>
    </row>
    <row r="124" spans="1:38" ht="21" customHeight="1" outlineLevel="1" thickBot="1" x14ac:dyDescent="0.4">
      <c r="E124" s="17" t="str">
        <f ca="1"/>
        <v xml:space="preserve">Газовая без Ar: </v>
      </c>
      <c r="F124" s="55">
        <f ca="1"/>
        <v>-387.7136573625001</v>
      </c>
      <c r="G124" s="55">
        <f ca="1"/>
        <v>-393.01924374375011</v>
      </c>
      <c r="H124" s="55">
        <f ca="1"/>
        <v>-398.83946303124998</v>
      </c>
      <c r="I124" s="55">
        <f ca="1"/>
        <v>-404.93388067125011</v>
      </c>
      <c r="J124" s="55">
        <f ca="1"/>
        <v>-411.2819390625001</v>
      </c>
      <c r="K124" s="55">
        <f ca="1"/>
        <v>-417.86956591375014</v>
      </c>
      <c r="L124" s="55">
        <f ca="1"/>
        <v>-424.80523080625011</v>
      </c>
      <c r="M124" s="55">
        <f ca="1"/>
        <v>-97.82702426331339</v>
      </c>
      <c r="N124" s="55">
        <f ca="1"/>
        <v>-9.7697728422550829E-3</v>
      </c>
      <c r="O124" s="55">
        <f ca="1"/>
        <v>-5.2123217459878711E-16</v>
      </c>
      <c r="P124" s="55">
        <f ca="1"/>
        <v>-4.5076670268139559E-19</v>
      </c>
      <c r="Q124" s="55">
        <f ca="1"/>
        <v>-8.0376221716931261E-15</v>
      </c>
      <c r="R124" s="55">
        <f ca="1"/>
        <v>-6.1704184146661999E-14</v>
      </c>
      <c r="S124" s="55">
        <f ca="1"/>
        <v>-4.1530590093432749E-13</v>
      </c>
      <c r="T124" s="55">
        <f ca="1"/>
        <v>-2.4787971597587908E-12</v>
      </c>
      <c r="U124" s="55">
        <f ca="1"/>
        <v>-1.3268768733421951E-11</v>
      </c>
      <c r="V124" s="55">
        <f ca="1"/>
        <v>-3.9028294697784076E-9</v>
      </c>
      <c r="W124" s="55">
        <f ca="1"/>
        <v>-2.1581918657892804E-7</v>
      </c>
      <c r="X124" s="55">
        <f ca="1"/>
        <v>-5.2154364150000008E-7</v>
      </c>
      <c r="Y124" s="55">
        <f ca="1"/>
        <v>-1.2080982589613129E-6</v>
      </c>
      <c r="Z124" s="55">
        <f ca="1"/>
        <v>-2.6939150270566882E-6</v>
      </c>
      <c r="AA124" s="55">
        <f ca="1"/>
        <v>-5.7886724670300022E-6</v>
      </c>
      <c r="AB124" s="55" t="e">
        <f ca="1"/>
        <v>#N/A</v>
      </c>
      <c r="AC124" s="55" t="e">
        <f ca="1"/>
        <v>#N/A</v>
      </c>
      <c r="AD124" s="55" t="e">
        <f ca="1"/>
        <v>#N/A</v>
      </c>
      <c r="AE124" s="55" t="e">
        <f ca="1"/>
        <v>#N/A</v>
      </c>
      <c r="AF124" s="55" t="e">
        <f ca="1"/>
        <v>#N/A</v>
      </c>
      <c r="AG124" s="55" t="e">
        <f ca="1"/>
        <v>#N/A</v>
      </c>
      <c r="AH124" s="55" t="e">
        <f ca="1"/>
        <v>#N/A</v>
      </c>
      <c r="AI124" s="55" t="e">
        <f ca="1"/>
        <v>#N/A</v>
      </c>
      <c r="AJ124" s="55" t="e">
        <f ca="1"/>
        <v>#N/A</v>
      </c>
      <c r="AK124" s="55" t="e">
        <f ca="1"/>
        <v>#N/A</v>
      </c>
      <c r="AL124" s="55" t="e">
        <f ca="1"/>
        <v>#N/A</v>
      </c>
    </row>
    <row r="125" spans="1:38" ht="21" customHeight="1" outlineLevel="1" thickBot="1" x14ac:dyDescent="0.4">
      <c r="E125" s="17" t="str">
        <f ca="1"/>
        <v xml:space="preserve">Газовая: </v>
      </c>
      <c r="F125" s="55">
        <f ca="1"/>
        <v>-387.7136573625001</v>
      </c>
      <c r="G125" s="55">
        <f ca="1"/>
        <v>-393.01924374375011</v>
      </c>
      <c r="H125" s="55">
        <f ca="1"/>
        <v>-398.83946303124998</v>
      </c>
      <c r="I125" s="55">
        <f ca="1"/>
        <v>-404.93388067125011</v>
      </c>
      <c r="J125" s="55">
        <f ca="1"/>
        <v>-411.2819390625001</v>
      </c>
      <c r="K125" s="55">
        <f ca="1"/>
        <v>-417.86956591375014</v>
      </c>
      <c r="L125" s="55">
        <f ca="1"/>
        <v>-424.80523080625011</v>
      </c>
      <c r="M125" s="55">
        <f ca="1"/>
        <v>-97.82702426331339</v>
      </c>
      <c r="N125" s="55">
        <f ca="1"/>
        <v>-9.7697728422550829E-3</v>
      </c>
      <c r="O125" s="55">
        <f ca="1"/>
        <v>-5.2135380437530261E-16</v>
      </c>
      <c r="P125" s="55">
        <f ca="1"/>
        <v>-4.74568858058136E-15</v>
      </c>
      <c r="Q125" s="55">
        <f ca="1"/>
        <v>-1.0309422660575631E-11</v>
      </c>
      <c r="R125" s="55">
        <f ca="1"/>
        <v>-5.1281458836036665E-11</v>
      </c>
      <c r="S125" s="55">
        <f ca="1"/>
        <v>-2.3041887730372607E-10</v>
      </c>
      <c r="T125" s="55">
        <f ca="1"/>
        <v>-9.4323239197797161E-10</v>
      </c>
      <c r="U125" s="55">
        <f ca="1"/>
        <v>-3.5489887538815944E-9</v>
      </c>
      <c r="V125" s="55">
        <f ca="1"/>
        <v>-3.3393422119415529E-7</v>
      </c>
      <c r="W125" s="55">
        <f ca="1"/>
        <v>-1.0159124717946732E-5</v>
      </c>
      <c r="X125" s="55">
        <f ca="1"/>
        <v>-2.1585197580187506E-5</v>
      </c>
      <c r="Y125" s="55">
        <f ca="1"/>
        <v>-4.4275892225073797E-5</v>
      </c>
      <c r="Z125" s="55">
        <f ca="1"/>
        <v>-8.8009272618887836E-5</v>
      </c>
      <c r="AA125" s="55">
        <f ca="1"/>
        <v>-1.6961143605152999E-4</v>
      </c>
      <c r="AB125" s="55" t="e">
        <f ca="1"/>
        <v>#N/A</v>
      </c>
      <c r="AC125" s="55" t="e">
        <f ca="1"/>
        <v>#N/A</v>
      </c>
      <c r="AD125" s="55" t="e">
        <f ca="1"/>
        <v>#N/A</v>
      </c>
      <c r="AE125" s="55" t="e">
        <f ca="1"/>
        <v>#N/A</v>
      </c>
      <c r="AF125" s="55" t="e">
        <f ca="1"/>
        <v>#N/A</v>
      </c>
      <c r="AG125" s="55" t="e">
        <f ca="1"/>
        <v>#N/A</v>
      </c>
      <c r="AH125" s="55" t="e">
        <f ca="1"/>
        <v>#N/A</v>
      </c>
      <c r="AI125" s="55" t="e">
        <f ca="1"/>
        <v>#N/A</v>
      </c>
      <c r="AJ125" s="55" t="e">
        <f ca="1"/>
        <v>#N/A</v>
      </c>
      <c r="AK125" s="55" t="e">
        <f ca="1"/>
        <v>#N/A</v>
      </c>
      <c r="AL125" s="55" t="e">
        <f ca="1"/>
        <v>#N/A</v>
      </c>
    </row>
    <row r="126" spans="1:38" ht="21" customHeight="1" outlineLevel="1" thickBot="1" x14ac:dyDescent="0.4">
      <c r="E126" s="17" t="str">
        <f ca="1"/>
        <v>Раствор + газовая без Ar</v>
      </c>
      <c r="F126" s="55">
        <f ca="1"/>
        <v>-466.3101269925001</v>
      </c>
      <c r="G126" s="55">
        <f ca="1"/>
        <v>-480.43852033125012</v>
      </c>
      <c r="H126" s="55">
        <f ca="1"/>
        <v>-495.21829238624997</v>
      </c>
      <c r="I126" s="55">
        <f ca="1"/>
        <v>-510.41042206875011</v>
      </c>
      <c r="J126" s="55">
        <f ca="1"/>
        <v>-525.9622993800001</v>
      </c>
      <c r="K126" s="55">
        <f ca="1"/>
        <v>-541.80928601125015</v>
      </c>
      <c r="L126" s="55">
        <f ca="1"/>
        <v>-558.1289311812501</v>
      </c>
      <c r="M126" s="55">
        <f ca="1"/>
        <v>-238.36183505831343</v>
      </c>
      <c r="N126" s="55">
        <f ca="1"/>
        <v>-149.05765854284229</v>
      </c>
      <c r="O126" s="55">
        <f ca="1"/>
        <v>-186.99072151167834</v>
      </c>
      <c r="P126" s="55">
        <f ca="1"/>
        <v>-225.71249819715055</v>
      </c>
      <c r="Q126" s="55">
        <f ca="1"/>
        <v>-265.26242726749456</v>
      </c>
      <c r="R126" s="55">
        <f ca="1"/>
        <v>-275.26671122281186</v>
      </c>
      <c r="S126" s="55">
        <f ca="1"/>
        <v>-285.43706385648102</v>
      </c>
      <c r="T126" s="55">
        <f ca="1"/>
        <v>-295.44190472267724</v>
      </c>
      <c r="U126" s="55">
        <f ca="1"/>
        <v>-305.34933184436647</v>
      </c>
      <c r="V126" s="55">
        <f ca="1"/>
        <v>-375.82894209154392</v>
      </c>
      <c r="W126" s="55">
        <f ca="1"/>
        <v>-423.57059567381935</v>
      </c>
      <c r="X126" s="55">
        <f ca="1"/>
        <v>-435.88073427154382</v>
      </c>
      <c r="Y126" s="55">
        <f ca="1"/>
        <v>-447.9402825345984</v>
      </c>
      <c r="Z126" s="55">
        <f ca="1"/>
        <v>-460.16820437916522</v>
      </c>
      <c r="AA126" s="55">
        <f ca="1"/>
        <v>-472.33220041367258</v>
      </c>
      <c r="AB126" s="55" t="e">
        <f ca="1"/>
        <v>#N/A</v>
      </c>
      <c r="AC126" s="55" t="e">
        <f ca="1"/>
        <v>#N/A</v>
      </c>
      <c r="AD126" s="55" t="e">
        <f ca="1"/>
        <v>#N/A</v>
      </c>
      <c r="AE126" s="55" t="e">
        <f ca="1"/>
        <v>#N/A</v>
      </c>
      <c r="AF126" s="55" t="e">
        <f ca="1"/>
        <v>#N/A</v>
      </c>
      <c r="AG126" s="55" t="e">
        <f ca="1"/>
        <v>#N/A</v>
      </c>
      <c r="AH126" s="55" t="e">
        <f ca="1"/>
        <v>#N/A</v>
      </c>
      <c r="AI126" s="55" t="e">
        <f ca="1"/>
        <v>#N/A</v>
      </c>
      <c r="AJ126" s="55" t="e">
        <f ca="1"/>
        <v>#N/A</v>
      </c>
      <c r="AK126" s="55" t="e">
        <f ca="1"/>
        <v>#N/A</v>
      </c>
      <c r="AL126" s="55" t="e">
        <f ca="1"/>
        <v>#N/A</v>
      </c>
    </row>
    <row r="127" spans="1:38" ht="21" customHeight="1" outlineLevel="1" thickBot="1" x14ac:dyDescent="0.4">
      <c r="E127" s="17" t="e">
        <f ca="1"/>
        <v>#N/A</v>
      </c>
      <c r="F127" s="55" t="e">
        <f ca="1"/>
        <v>#N/A</v>
      </c>
      <c r="G127" s="55" t="e">
        <f ca="1"/>
        <v>#N/A</v>
      </c>
      <c r="H127" s="55" t="e">
        <f ca="1"/>
        <v>#N/A</v>
      </c>
      <c r="I127" s="55" t="e">
        <f ca="1"/>
        <v>#N/A</v>
      </c>
      <c r="J127" s="55" t="e">
        <f ca="1"/>
        <v>#N/A</v>
      </c>
      <c r="K127" s="55" t="e">
        <f ca="1"/>
        <v>#N/A</v>
      </c>
      <c r="L127" s="55" t="e">
        <f ca="1"/>
        <v>#N/A</v>
      </c>
      <c r="M127" s="55" t="e">
        <f ca="1"/>
        <v>#N/A</v>
      </c>
      <c r="N127" s="55" t="e">
        <f ca="1"/>
        <v>#N/A</v>
      </c>
      <c r="O127" s="55" t="e">
        <f ca="1"/>
        <v>#N/A</v>
      </c>
      <c r="P127" s="55" t="e">
        <f ca="1"/>
        <v>#N/A</v>
      </c>
      <c r="Q127" s="55" t="e">
        <f ca="1"/>
        <v>#N/A</v>
      </c>
      <c r="R127" s="55" t="e">
        <f ca="1"/>
        <v>#N/A</v>
      </c>
      <c r="S127" s="55" t="e">
        <f ca="1"/>
        <v>#N/A</v>
      </c>
      <c r="T127" s="55" t="e">
        <f ca="1"/>
        <v>#N/A</v>
      </c>
      <c r="U127" s="55" t="e">
        <f ca="1"/>
        <v>#N/A</v>
      </c>
      <c r="V127" s="55" t="e">
        <f ca="1"/>
        <v>#N/A</v>
      </c>
      <c r="W127" s="55" t="e">
        <f ca="1"/>
        <v>#N/A</v>
      </c>
      <c r="X127" s="55" t="e">
        <f ca="1"/>
        <v>#N/A</v>
      </c>
      <c r="Y127" s="55" t="e">
        <f ca="1"/>
        <v>#N/A</v>
      </c>
      <c r="Z127" s="55" t="e">
        <f ca="1"/>
        <v>#N/A</v>
      </c>
      <c r="AA127" s="55" t="e">
        <f ca="1"/>
        <v>#N/A</v>
      </c>
      <c r="AB127" s="55" t="e">
        <f ca="1"/>
        <v>#N/A</v>
      </c>
      <c r="AC127" s="55" t="e">
        <f ca="1"/>
        <v>#N/A</v>
      </c>
      <c r="AD127" s="55" t="e">
        <f ca="1"/>
        <v>#N/A</v>
      </c>
      <c r="AE127" s="55" t="e">
        <f ca="1"/>
        <v>#N/A</v>
      </c>
      <c r="AF127" s="55" t="e">
        <f ca="1"/>
        <v>#N/A</v>
      </c>
      <c r="AG127" s="55" t="e">
        <f ca="1"/>
        <v>#N/A</v>
      </c>
      <c r="AH127" s="55" t="e">
        <f ca="1"/>
        <v>#N/A</v>
      </c>
      <c r="AI127" s="55" t="e">
        <f ca="1"/>
        <v>#N/A</v>
      </c>
      <c r="AJ127" s="55" t="e">
        <f ca="1"/>
        <v>#N/A</v>
      </c>
      <c r="AK127" s="55" t="e">
        <f ca="1"/>
        <v>#N/A</v>
      </c>
      <c r="AL127" s="55" t="e">
        <f ca="1"/>
        <v>#N/A</v>
      </c>
    </row>
    <row r="128" spans="1:38" ht="21" customHeight="1" outlineLevel="1" thickBot="1" x14ac:dyDescent="0.4">
      <c r="E128" s="17" t="e">
        <f ca="1"/>
        <v>#N/A</v>
      </c>
      <c r="F128" s="55" t="e">
        <f ca="1"/>
        <v>#N/A</v>
      </c>
      <c r="G128" s="55" t="e">
        <f ca="1"/>
        <v>#N/A</v>
      </c>
      <c r="H128" s="55" t="e">
        <f ca="1"/>
        <v>#N/A</v>
      </c>
      <c r="I128" s="55" t="e">
        <f ca="1"/>
        <v>#N/A</v>
      </c>
      <c r="J128" s="55" t="e">
        <f ca="1"/>
        <v>#N/A</v>
      </c>
      <c r="K128" s="55" t="e">
        <f ca="1"/>
        <v>#N/A</v>
      </c>
      <c r="L128" s="55" t="e">
        <f ca="1"/>
        <v>#N/A</v>
      </c>
      <c r="M128" s="55" t="e">
        <f ca="1"/>
        <v>#N/A</v>
      </c>
      <c r="N128" s="55" t="e">
        <f ca="1"/>
        <v>#N/A</v>
      </c>
      <c r="O128" s="55" t="e">
        <f ca="1"/>
        <v>#N/A</v>
      </c>
      <c r="P128" s="55" t="e">
        <f ca="1"/>
        <v>#N/A</v>
      </c>
      <c r="Q128" s="55" t="e">
        <f ca="1"/>
        <v>#N/A</v>
      </c>
      <c r="R128" s="55" t="e">
        <f ca="1"/>
        <v>#N/A</v>
      </c>
      <c r="S128" s="55" t="e">
        <f ca="1"/>
        <v>#N/A</v>
      </c>
      <c r="T128" s="55" t="e">
        <f ca="1"/>
        <v>#N/A</v>
      </c>
      <c r="U128" s="55" t="e">
        <f ca="1"/>
        <v>#N/A</v>
      </c>
      <c r="V128" s="55" t="e">
        <f ca="1"/>
        <v>#N/A</v>
      </c>
      <c r="W128" s="55" t="e">
        <f ca="1"/>
        <v>#N/A</v>
      </c>
      <c r="X128" s="55" t="e">
        <f ca="1"/>
        <v>#N/A</v>
      </c>
      <c r="Y128" s="55" t="e">
        <f ca="1"/>
        <v>#N/A</v>
      </c>
      <c r="Z128" s="55" t="e">
        <f ca="1"/>
        <v>#N/A</v>
      </c>
      <c r="AA128" s="55" t="e">
        <f ca="1"/>
        <v>#N/A</v>
      </c>
      <c r="AB128" s="55" t="e">
        <f ca="1"/>
        <v>#N/A</v>
      </c>
      <c r="AC128" s="55" t="e">
        <f ca="1"/>
        <v>#N/A</v>
      </c>
      <c r="AD128" s="55" t="e">
        <f ca="1"/>
        <v>#N/A</v>
      </c>
      <c r="AE128" s="55" t="e">
        <f ca="1"/>
        <v>#N/A</v>
      </c>
      <c r="AF128" s="55" t="e">
        <f ca="1"/>
        <v>#N/A</v>
      </c>
      <c r="AG128" s="55" t="e">
        <f ca="1"/>
        <v>#N/A</v>
      </c>
      <c r="AH128" s="55" t="e">
        <f ca="1"/>
        <v>#N/A</v>
      </c>
      <c r="AI128" s="55" t="e">
        <f ca="1"/>
        <v>#N/A</v>
      </c>
      <c r="AJ128" s="55" t="e">
        <f ca="1"/>
        <v>#N/A</v>
      </c>
      <c r="AK128" s="55" t="e">
        <f ca="1"/>
        <v>#N/A</v>
      </c>
      <c r="AL128" s="55" t="e">
        <f ca="1"/>
        <v>#N/A</v>
      </c>
    </row>
    <row r="129" spans="5:38" ht="21" customHeight="1" outlineLevel="1" thickBot="1" x14ac:dyDescent="0.4">
      <c r="E129" s="17" t="e">
        <f ca="1"/>
        <v>#N/A</v>
      </c>
      <c r="F129" s="55" t="e">
        <f ca="1"/>
        <v>#N/A</v>
      </c>
      <c r="G129" s="55" t="e">
        <f ca="1"/>
        <v>#N/A</v>
      </c>
      <c r="H129" s="55" t="e">
        <f ca="1"/>
        <v>#N/A</v>
      </c>
      <c r="I129" s="55" t="e">
        <f ca="1"/>
        <v>#N/A</v>
      </c>
      <c r="J129" s="55" t="e">
        <f ca="1"/>
        <v>#N/A</v>
      </c>
      <c r="K129" s="55" t="e">
        <f ca="1"/>
        <v>#N/A</v>
      </c>
      <c r="L129" s="55" t="e">
        <f ca="1"/>
        <v>#N/A</v>
      </c>
      <c r="M129" s="55" t="e">
        <f ca="1"/>
        <v>#N/A</v>
      </c>
      <c r="N129" s="55" t="e">
        <f ca="1"/>
        <v>#N/A</v>
      </c>
      <c r="O129" s="55" t="e">
        <f ca="1"/>
        <v>#N/A</v>
      </c>
      <c r="P129" s="55" t="e">
        <f ca="1"/>
        <v>#N/A</v>
      </c>
      <c r="Q129" s="55" t="e">
        <f ca="1"/>
        <v>#N/A</v>
      </c>
      <c r="R129" s="55" t="e">
        <f ca="1"/>
        <v>#N/A</v>
      </c>
      <c r="S129" s="55" t="e">
        <f ca="1"/>
        <v>#N/A</v>
      </c>
      <c r="T129" s="55" t="e">
        <f ca="1"/>
        <v>#N/A</v>
      </c>
      <c r="U129" s="55" t="e">
        <f ca="1"/>
        <v>#N/A</v>
      </c>
      <c r="V129" s="55" t="e">
        <f ca="1"/>
        <v>#N/A</v>
      </c>
      <c r="W129" s="55" t="e">
        <f ca="1"/>
        <v>#N/A</v>
      </c>
      <c r="X129" s="55" t="e">
        <f ca="1"/>
        <v>#N/A</v>
      </c>
      <c r="Y129" s="55" t="e">
        <f ca="1"/>
        <v>#N/A</v>
      </c>
      <c r="Z129" s="55" t="e">
        <f ca="1"/>
        <v>#N/A</v>
      </c>
      <c r="AA129" s="55" t="e">
        <f ca="1"/>
        <v>#N/A</v>
      </c>
      <c r="AB129" s="55" t="e">
        <f ca="1"/>
        <v>#N/A</v>
      </c>
      <c r="AC129" s="55" t="e">
        <f ca="1"/>
        <v>#N/A</v>
      </c>
      <c r="AD129" s="55" t="e">
        <f ca="1"/>
        <v>#N/A</v>
      </c>
      <c r="AE129" s="55" t="e">
        <f ca="1"/>
        <v>#N/A</v>
      </c>
      <c r="AF129" s="55" t="e">
        <f ca="1"/>
        <v>#N/A</v>
      </c>
      <c r="AG129" s="55" t="e">
        <f ca="1"/>
        <v>#N/A</v>
      </c>
      <c r="AH129" s="55" t="e">
        <f ca="1"/>
        <v>#N/A</v>
      </c>
      <c r="AI129" s="55" t="e">
        <f ca="1"/>
        <v>#N/A</v>
      </c>
      <c r="AJ129" s="55" t="e">
        <f ca="1"/>
        <v>#N/A</v>
      </c>
      <c r="AK129" s="55" t="e">
        <f ca="1"/>
        <v>#N/A</v>
      </c>
      <c r="AL129" s="55" t="e">
        <f ca="1"/>
        <v>#N/A</v>
      </c>
    </row>
    <row r="130" spans="5:38" ht="21" customHeight="1" outlineLevel="1" thickBot="1" x14ac:dyDescent="0.4">
      <c r="E130" s="17" t="e">
        <f ca="1"/>
        <v>#N/A</v>
      </c>
      <c r="F130" s="55" t="e">
        <f ca="1"/>
        <v>#N/A</v>
      </c>
      <c r="G130" s="55" t="e">
        <f ca="1"/>
        <v>#N/A</v>
      </c>
      <c r="H130" s="55" t="e">
        <f ca="1"/>
        <v>#N/A</v>
      </c>
      <c r="I130" s="55" t="e">
        <f ca="1"/>
        <v>#N/A</v>
      </c>
      <c r="J130" s="55" t="e">
        <f ca="1"/>
        <v>#N/A</v>
      </c>
      <c r="K130" s="55" t="e">
        <f ca="1"/>
        <v>#N/A</v>
      </c>
      <c r="L130" s="55" t="e">
        <f ca="1"/>
        <v>#N/A</v>
      </c>
      <c r="M130" s="55" t="e">
        <f ca="1"/>
        <v>#N/A</v>
      </c>
      <c r="N130" s="55" t="e">
        <f ca="1"/>
        <v>#N/A</v>
      </c>
      <c r="O130" s="55" t="e">
        <f ca="1"/>
        <v>#N/A</v>
      </c>
      <c r="P130" s="55" t="e">
        <f ca="1"/>
        <v>#N/A</v>
      </c>
      <c r="Q130" s="55" t="e">
        <f ca="1"/>
        <v>#N/A</v>
      </c>
      <c r="R130" s="55" t="e">
        <f ca="1"/>
        <v>#N/A</v>
      </c>
      <c r="S130" s="55" t="e">
        <f ca="1"/>
        <v>#N/A</v>
      </c>
      <c r="T130" s="55" t="e">
        <f ca="1"/>
        <v>#N/A</v>
      </c>
      <c r="U130" s="55" t="e">
        <f ca="1"/>
        <v>#N/A</v>
      </c>
      <c r="V130" s="55" t="e">
        <f ca="1"/>
        <v>#N/A</v>
      </c>
      <c r="W130" s="55" t="e">
        <f ca="1"/>
        <v>#N/A</v>
      </c>
      <c r="X130" s="55" t="e">
        <f ca="1"/>
        <v>#N/A</v>
      </c>
      <c r="Y130" s="55" t="e">
        <f ca="1"/>
        <v>#N/A</v>
      </c>
      <c r="Z130" s="55" t="e">
        <f ca="1"/>
        <v>#N/A</v>
      </c>
      <c r="AA130" s="55" t="e">
        <f ca="1"/>
        <v>#N/A</v>
      </c>
      <c r="AB130" s="55" t="e">
        <f ca="1"/>
        <v>#N/A</v>
      </c>
      <c r="AC130" s="55" t="e">
        <f ca="1"/>
        <v>#N/A</v>
      </c>
      <c r="AD130" s="55" t="e">
        <f ca="1"/>
        <v>#N/A</v>
      </c>
      <c r="AE130" s="55" t="e">
        <f ca="1"/>
        <v>#N/A</v>
      </c>
      <c r="AF130" s="55" t="e">
        <f ca="1"/>
        <v>#N/A</v>
      </c>
      <c r="AG130" s="55" t="e">
        <f ca="1"/>
        <v>#N/A</v>
      </c>
      <c r="AH130" s="55" t="e">
        <f ca="1"/>
        <v>#N/A</v>
      </c>
      <c r="AI130" s="55" t="e">
        <f ca="1"/>
        <v>#N/A</v>
      </c>
      <c r="AJ130" s="55" t="e">
        <f ca="1"/>
        <v>#N/A</v>
      </c>
      <c r="AK130" s="55" t="e">
        <f ca="1"/>
        <v>#N/A</v>
      </c>
      <c r="AL130" s="55" t="e">
        <f ca="1"/>
        <v>#N/A</v>
      </c>
    </row>
    <row r="131" spans="5:38" ht="21" customHeight="1" outlineLevel="1" thickBot="1" x14ac:dyDescent="0.4">
      <c r="E131" s="17" t="e">
        <f ca="1"/>
        <v>#N/A</v>
      </c>
      <c r="F131" s="55" t="e">
        <f ca="1"/>
        <v>#N/A</v>
      </c>
      <c r="G131" s="55" t="e">
        <f ca="1"/>
        <v>#N/A</v>
      </c>
      <c r="H131" s="55" t="e">
        <f ca="1"/>
        <v>#N/A</v>
      </c>
      <c r="I131" s="55" t="e">
        <f ca="1"/>
        <v>#N/A</v>
      </c>
      <c r="J131" s="55" t="e">
        <f ca="1"/>
        <v>#N/A</v>
      </c>
      <c r="K131" s="55" t="e">
        <f ca="1"/>
        <v>#N/A</v>
      </c>
      <c r="L131" s="55" t="e">
        <f ca="1"/>
        <v>#N/A</v>
      </c>
      <c r="M131" s="55" t="e">
        <f ca="1"/>
        <v>#N/A</v>
      </c>
      <c r="N131" s="55" t="e">
        <f ca="1"/>
        <v>#N/A</v>
      </c>
      <c r="O131" s="55" t="e">
        <f ca="1"/>
        <v>#N/A</v>
      </c>
      <c r="P131" s="55" t="e">
        <f ca="1"/>
        <v>#N/A</v>
      </c>
      <c r="Q131" s="55" t="e">
        <f ca="1"/>
        <v>#N/A</v>
      </c>
      <c r="R131" s="55" t="e">
        <f ca="1"/>
        <v>#N/A</v>
      </c>
      <c r="S131" s="55" t="e">
        <f ca="1"/>
        <v>#N/A</v>
      </c>
      <c r="T131" s="55" t="e">
        <f ca="1"/>
        <v>#N/A</v>
      </c>
      <c r="U131" s="55" t="e">
        <f ca="1"/>
        <v>#N/A</v>
      </c>
      <c r="V131" s="55" t="e">
        <f ca="1"/>
        <v>#N/A</v>
      </c>
      <c r="W131" s="55" t="e">
        <f ca="1"/>
        <v>#N/A</v>
      </c>
      <c r="X131" s="55" t="e">
        <f ca="1"/>
        <v>#N/A</v>
      </c>
      <c r="Y131" s="55" t="e">
        <f ca="1"/>
        <v>#N/A</v>
      </c>
      <c r="Z131" s="55" t="e">
        <f ca="1"/>
        <v>#N/A</v>
      </c>
      <c r="AA131" s="55" t="e">
        <f ca="1"/>
        <v>#N/A</v>
      </c>
      <c r="AB131" s="55" t="e">
        <f ca="1"/>
        <v>#N/A</v>
      </c>
      <c r="AC131" s="55" t="e">
        <f ca="1"/>
        <v>#N/A</v>
      </c>
      <c r="AD131" s="55" t="e">
        <f ca="1"/>
        <v>#N/A</v>
      </c>
      <c r="AE131" s="55" t="e">
        <f ca="1"/>
        <v>#N/A</v>
      </c>
      <c r="AF131" s="55" t="e">
        <f ca="1"/>
        <v>#N/A</v>
      </c>
      <c r="AG131" s="55" t="e">
        <f ca="1"/>
        <v>#N/A</v>
      </c>
      <c r="AH131" s="55" t="e">
        <f ca="1"/>
        <v>#N/A</v>
      </c>
      <c r="AI131" s="55" t="e">
        <f ca="1"/>
        <v>#N/A</v>
      </c>
      <c r="AJ131" s="55" t="e">
        <f ca="1"/>
        <v>#N/A</v>
      </c>
      <c r="AK131" s="55" t="e">
        <f ca="1"/>
        <v>#N/A</v>
      </c>
      <c r="AL131" s="55" t="e">
        <f ca="1"/>
        <v>#N/A</v>
      </c>
    </row>
    <row r="132" spans="5:38" ht="21" customHeight="1" outlineLevel="1" thickBot="1" x14ac:dyDescent="0.4">
      <c r="E132" s="17" t="e">
        <f ca="1"/>
        <v>#N/A</v>
      </c>
      <c r="F132" s="55" t="e">
        <f ca="1"/>
        <v>#N/A</v>
      </c>
      <c r="G132" s="55" t="e">
        <f ca="1"/>
        <v>#N/A</v>
      </c>
      <c r="H132" s="55" t="e">
        <f ca="1"/>
        <v>#N/A</v>
      </c>
      <c r="I132" s="55" t="e">
        <f ca="1"/>
        <v>#N/A</v>
      </c>
      <c r="J132" s="55" t="e">
        <f ca="1"/>
        <v>#N/A</v>
      </c>
      <c r="K132" s="55" t="e">
        <f ca="1"/>
        <v>#N/A</v>
      </c>
      <c r="L132" s="55" t="e">
        <f ca="1"/>
        <v>#N/A</v>
      </c>
      <c r="M132" s="55" t="e">
        <f ca="1"/>
        <v>#N/A</v>
      </c>
      <c r="N132" s="55" t="e">
        <f ca="1"/>
        <v>#N/A</v>
      </c>
      <c r="O132" s="55" t="e">
        <f ca="1"/>
        <v>#N/A</v>
      </c>
      <c r="P132" s="55" t="e">
        <f ca="1"/>
        <v>#N/A</v>
      </c>
      <c r="Q132" s="55" t="e">
        <f ca="1"/>
        <v>#N/A</v>
      </c>
      <c r="R132" s="55" t="e">
        <f ca="1"/>
        <v>#N/A</v>
      </c>
      <c r="S132" s="55" t="e">
        <f ca="1"/>
        <v>#N/A</v>
      </c>
      <c r="T132" s="55" t="e">
        <f ca="1"/>
        <v>#N/A</v>
      </c>
      <c r="U132" s="55" t="e">
        <f ca="1"/>
        <v>#N/A</v>
      </c>
      <c r="V132" s="55" t="e">
        <f ca="1"/>
        <v>#N/A</v>
      </c>
      <c r="W132" s="55" t="e">
        <f ca="1"/>
        <v>#N/A</v>
      </c>
      <c r="X132" s="55" t="e">
        <f ca="1"/>
        <v>#N/A</v>
      </c>
      <c r="Y132" s="55" t="e">
        <f ca="1"/>
        <v>#N/A</v>
      </c>
      <c r="Z132" s="55" t="e">
        <f ca="1"/>
        <v>#N/A</v>
      </c>
      <c r="AA132" s="55" t="e">
        <f ca="1"/>
        <v>#N/A</v>
      </c>
      <c r="AB132" s="55" t="e">
        <f ca="1"/>
        <v>#N/A</v>
      </c>
      <c r="AC132" s="55" t="e">
        <f ca="1"/>
        <v>#N/A</v>
      </c>
      <c r="AD132" s="55" t="e">
        <f ca="1"/>
        <v>#N/A</v>
      </c>
      <c r="AE132" s="55" t="e">
        <f ca="1"/>
        <v>#N/A</v>
      </c>
      <c r="AF132" s="55" t="e">
        <f ca="1"/>
        <v>#N/A</v>
      </c>
      <c r="AG132" s="55" t="e">
        <f ca="1"/>
        <v>#N/A</v>
      </c>
      <c r="AH132" s="55" t="e">
        <f ca="1"/>
        <v>#N/A</v>
      </c>
      <c r="AI132" s="55" t="e">
        <f ca="1"/>
        <v>#N/A</v>
      </c>
      <c r="AJ132" s="55" t="e">
        <f ca="1"/>
        <v>#N/A</v>
      </c>
      <c r="AK132" s="55" t="e">
        <f ca="1"/>
        <v>#N/A</v>
      </c>
      <c r="AL132" s="55" t="e">
        <f ca="1"/>
        <v>#N/A</v>
      </c>
    </row>
    <row r="133" spans="5:38" ht="21" customHeight="1" outlineLevel="1" thickBot="1" x14ac:dyDescent="0.4">
      <c r="E133" s="17" t="e">
        <f ca="1"/>
        <v>#N/A</v>
      </c>
      <c r="F133" s="55" t="e">
        <f ca="1"/>
        <v>#N/A</v>
      </c>
      <c r="G133" s="55" t="e">
        <f ca="1"/>
        <v>#N/A</v>
      </c>
      <c r="H133" s="55" t="e">
        <f ca="1"/>
        <v>#N/A</v>
      </c>
      <c r="I133" s="55" t="e">
        <f ca="1"/>
        <v>#N/A</v>
      </c>
      <c r="J133" s="55" t="e">
        <f ca="1"/>
        <v>#N/A</v>
      </c>
      <c r="K133" s="55" t="e">
        <f ca="1"/>
        <v>#N/A</v>
      </c>
      <c r="L133" s="55" t="e">
        <f ca="1"/>
        <v>#N/A</v>
      </c>
      <c r="M133" s="55" t="e">
        <f ca="1"/>
        <v>#N/A</v>
      </c>
      <c r="N133" s="55" t="e">
        <f ca="1"/>
        <v>#N/A</v>
      </c>
      <c r="O133" s="55" t="e">
        <f ca="1"/>
        <v>#N/A</v>
      </c>
      <c r="P133" s="55" t="e">
        <f ca="1"/>
        <v>#N/A</v>
      </c>
      <c r="Q133" s="55" t="e">
        <f ca="1"/>
        <v>#N/A</v>
      </c>
      <c r="R133" s="55" t="e">
        <f ca="1"/>
        <v>#N/A</v>
      </c>
      <c r="S133" s="55" t="e">
        <f ca="1"/>
        <v>#N/A</v>
      </c>
      <c r="T133" s="55" t="e">
        <f ca="1"/>
        <v>#N/A</v>
      </c>
      <c r="U133" s="55" t="e">
        <f ca="1"/>
        <v>#N/A</v>
      </c>
      <c r="V133" s="55" t="e">
        <f ca="1"/>
        <v>#N/A</v>
      </c>
      <c r="W133" s="55" t="e">
        <f ca="1"/>
        <v>#N/A</v>
      </c>
      <c r="X133" s="55" t="e">
        <f ca="1"/>
        <v>#N/A</v>
      </c>
      <c r="Y133" s="55" t="e">
        <f ca="1"/>
        <v>#N/A</v>
      </c>
      <c r="Z133" s="55" t="e">
        <f ca="1"/>
        <v>#N/A</v>
      </c>
      <c r="AA133" s="55" t="e">
        <f ca="1"/>
        <v>#N/A</v>
      </c>
      <c r="AB133" s="55" t="e">
        <f ca="1"/>
        <v>#N/A</v>
      </c>
      <c r="AC133" s="55" t="e">
        <f ca="1"/>
        <v>#N/A</v>
      </c>
      <c r="AD133" s="55" t="e">
        <f ca="1"/>
        <v>#N/A</v>
      </c>
      <c r="AE133" s="55" t="e">
        <f ca="1"/>
        <v>#N/A</v>
      </c>
      <c r="AF133" s="55" t="e">
        <f ca="1"/>
        <v>#N/A</v>
      </c>
      <c r="AG133" s="55" t="e">
        <f ca="1"/>
        <v>#N/A</v>
      </c>
      <c r="AH133" s="55" t="e">
        <f ca="1"/>
        <v>#N/A</v>
      </c>
      <c r="AI133" s="55" t="e">
        <f ca="1"/>
        <v>#N/A</v>
      </c>
      <c r="AJ133" s="55" t="e">
        <f ca="1"/>
        <v>#N/A</v>
      </c>
      <c r="AK133" s="55" t="e">
        <f ca="1"/>
        <v>#N/A</v>
      </c>
      <c r="AL133" s="55" t="e">
        <f ca="1"/>
        <v>#N/A</v>
      </c>
    </row>
    <row r="134" spans="5:38" ht="21" customHeight="1" outlineLevel="1" thickBot="1" x14ac:dyDescent="0.4">
      <c r="E134" s="17" t="e">
        <f ca="1"/>
        <v>#N/A</v>
      </c>
      <c r="F134" s="55" t="e">
        <f ca="1"/>
        <v>#N/A</v>
      </c>
      <c r="G134" s="55" t="e">
        <f ca="1"/>
        <v>#N/A</v>
      </c>
      <c r="H134" s="55" t="e">
        <f ca="1"/>
        <v>#N/A</v>
      </c>
      <c r="I134" s="55" t="e">
        <f ca="1"/>
        <v>#N/A</v>
      </c>
      <c r="J134" s="55" t="e">
        <f ca="1"/>
        <v>#N/A</v>
      </c>
      <c r="K134" s="55" t="e">
        <f ca="1"/>
        <v>#N/A</v>
      </c>
      <c r="L134" s="55" t="e">
        <f ca="1"/>
        <v>#N/A</v>
      </c>
      <c r="M134" s="55" t="e">
        <f ca="1"/>
        <v>#N/A</v>
      </c>
      <c r="N134" s="55" t="e">
        <f ca="1"/>
        <v>#N/A</v>
      </c>
      <c r="O134" s="55" t="e">
        <f ca="1"/>
        <v>#N/A</v>
      </c>
      <c r="P134" s="55" t="e">
        <f ca="1"/>
        <v>#N/A</v>
      </c>
      <c r="Q134" s="55" t="e">
        <f ca="1"/>
        <v>#N/A</v>
      </c>
      <c r="R134" s="55" t="e">
        <f ca="1"/>
        <v>#N/A</v>
      </c>
      <c r="S134" s="55" t="e">
        <f ca="1"/>
        <v>#N/A</v>
      </c>
      <c r="T134" s="55" t="e">
        <f ca="1"/>
        <v>#N/A</v>
      </c>
      <c r="U134" s="55" t="e">
        <f ca="1"/>
        <v>#N/A</v>
      </c>
      <c r="V134" s="55" t="e">
        <f ca="1"/>
        <v>#N/A</v>
      </c>
      <c r="W134" s="55" t="e">
        <f ca="1"/>
        <v>#N/A</v>
      </c>
      <c r="X134" s="55" t="e">
        <f ca="1"/>
        <v>#N/A</v>
      </c>
      <c r="Y134" s="55" t="e">
        <f ca="1"/>
        <v>#N/A</v>
      </c>
      <c r="Z134" s="55" t="e">
        <f ca="1"/>
        <v>#N/A</v>
      </c>
      <c r="AA134" s="55" t="e">
        <f ca="1"/>
        <v>#N/A</v>
      </c>
      <c r="AB134" s="55" t="e">
        <f ca="1"/>
        <v>#N/A</v>
      </c>
      <c r="AC134" s="55" t="e">
        <f ca="1"/>
        <v>#N/A</v>
      </c>
      <c r="AD134" s="55" t="e">
        <f ca="1"/>
        <v>#N/A</v>
      </c>
      <c r="AE134" s="55" t="e">
        <f ca="1"/>
        <v>#N/A</v>
      </c>
      <c r="AF134" s="55" t="e">
        <f ca="1"/>
        <v>#N/A</v>
      </c>
      <c r="AG134" s="55" t="e">
        <f ca="1"/>
        <v>#N/A</v>
      </c>
      <c r="AH134" s="55" t="e">
        <f ca="1"/>
        <v>#N/A</v>
      </c>
      <c r="AI134" s="55" t="e">
        <f ca="1"/>
        <v>#N/A</v>
      </c>
      <c r="AJ134" s="55" t="e">
        <f ca="1"/>
        <v>#N/A</v>
      </c>
      <c r="AK134" s="55" t="e">
        <f ca="1"/>
        <v>#N/A</v>
      </c>
      <c r="AL134" s="55" t="e">
        <f ca="1"/>
        <v>#N/A</v>
      </c>
    </row>
    <row r="135" spans="5:38" ht="21" customHeight="1" outlineLevel="1" thickBot="1" x14ac:dyDescent="0.4">
      <c r="E135" s="17" t="e">
        <f ca="1"/>
        <v>#N/A</v>
      </c>
      <c r="F135" s="55" t="e">
        <f ca="1"/>
        <v>#N/A</v>
      </c>
      <c r="G135" s="55" t="e">
        <f ca="1"/>
        <v>#N/A</v>
      </c>
      <c r="H135" s="55" t="e">
        <f ca="1"/>
        <v>#N/A</v>
      </c>
      <c r="I135" s="55" t="e">
        <f ca="1"/>
        <v>#N/A</v>
      </c>
      <c r="J135" s="55" t="e">
        <f ca="1"/>
        <v>#N/A</v>
      </c>
      <c r="K135" s="55" t="e">
        <f ca="1"/>
        <v>#N/A</v>
      </c>
      <c r="L135" s="55" t="e">
        <f ca="1"/>
        <v>#N/A</v>
      </c>
      <c r="M135" s="55" t="e">
        <f ca="1"/>
        <v>#N/A</v>
      </c>
      <c r="N135" s="55" t="e">
        <f ca="1"/>
        <v>#N/A</v>
      </c>
      <c r="O135" s="55" t="e">
        <f ca="1"/>
        <v>#N/A</v>
      </c>
      <c r="P135" s="55" t="e">
        <f ca="1"/>
        <v>#N/A</v>
      </c>
      <c r="Q135" s="55" t="e">
        <f ca="1"/>
        <v>#N/A</v>
      </c>
      <c r="R135" s="55" t="e">
        <f ca="1"/>
        <v>#N/A</v>
      </c>
      <c r="S135" s="55" t="e">
        <f ca="1"/>
        <v>#N/A</v>
      </c>
      <c r="T135" s="55" t="e">
        <f ca="1"/>
        <v>#N/A</v>
      </c>
      <c r="U135" s="55" t="e">
        <f ca="1"/>
        <v>#N/A</v>
      </c>
      <c r="V135" s="55" t="e">
        <f ca="1"/>
        <v>#N/A</v>
      </c>
      <c r="W135" s="55" t="e">
        <f ca="1"/>
        <v>#N/A</v>
      </c>
      <c r="X135" s="55" t="e">
        <f ca="1"/>
        <v>#N/A</v>
      </c>
      <c r="Y135" s="55" t="e">
        <f ca="1"/>
        <v>#N/A</v>
      </c>
      <c r="Z135" s="55" t="e">
        <f ca="1"/>
        <v>#N/A</v>
      </c>
      <c r="AA135" s="55" t="e">
        <f ca="1"/>
        <v>#N/A</v>
      </c>
      <c r="AB135" s="55" t="e">
        <f ca="1"/>
        <v>#N/A</v>
      </c>
      <c r="AC135" s="55" t="e">
        <f ca="1"/>
        <v>#N/A</v>
      </c>
      <c r="AD135" s="55" t="e">
        <f ca="1"/>
        <v>#N/A</v>
      </c>
      <c r="AE135" s="55" t="e">
        <f ca="1"/>
        <v>#N/A</v>
      </c>
      <c r="AF135" s="55" t="e">
        <f ca="1"/>
        <v>#N/A</v>
      </c>
      <c r="AG135" s="55" t="e">
        <f ca="1"/>
        <v>#N/A</v>
      </c>
      <c r="AH135" s="55" t="e">
        <f ca="1"/>
        <v>#N/A</v>
      </c>
      <c r="AI135" s="55" t="e">
        <f ca="1"/>
        <v>#N/A</v>
      </c>
      <c r="AJ135" s="55" t="e">
        <f ca="1"/>
        <v>#N/A</v>
      </c>
      <c r="AK135" s="55" t="e">
        <f ca="1"/>
        <v>#N/A</v>
      </c>
      <c r="AL135" s="55" t="e">
        <f ca="1"/>
        <v>#N/A</v>
      </c>
    </row>
    <row r="136" spans="5:38" ht="21" customHeight="1" outlineLevel="1" thickBot="1" x14ac:dyDescent="0.4">
      <c r="E136" s="18"/>
    </row>
  </sheetData>
  <mergeCells count="2">
    <mergeCell ref="A1:BB1"/>
    <mergeCell ref="A113:B113"/>
  </mergeCells>
  <conditionalFormatting sqref="A4:D33">
    <cfRule type="cellIs" dxfId="3" priority="49" operator="equal">
      <formula>0</formula>
    </cfRule>
  </conditionalFormatting>
  <conditionalFormatting sqref="A80:D109">
    <cfRule type="cellIs" dxfId="2" priority="48" operator="equal">
      <formula>0</formula>
    </cfRule>
  </conditionalFormatting>
  <conditionalFormatting sqref="F32:AL32">
    <cfRule type="colorScale" priority="47">
      <colorScale>
        <cfvo type="min"/>
        <cfvo type="max"/>
        <color rgb="FFFFEF9C"/>
        <color rgb="FF63BE7B"/>
      </colorScale>
    </cfRule>
  </conditionalFormatting>
  <conditionalFormatting sqref="F31:AL31">
    <cfRule type="colorScale" priority="46">
      <colorScale>
        <cfvo type="min"/>
        <cfvo type="max"/>
        <color rgb="FFFFEF9C"/>
        <color rgb="FF63BE7B"/>
      </colorScale>
    </cfRule>
  </conditionalFormatting>
  <conditionalFormatting sqref="F30:AL30">
    <cfRule type="colorScale" priority="45">
      <colorScale>
        <cfvo type="min"/>
        <cfvo type="max"/>
        <color rgb="FFFFEF9C"/>
        <color rgb="FF63BE7B"/>
      </colorScale>
    </cfRule>
  </conditionalFormatting>
  <conditionalFormatting sqref="F29:AL29">
    <cfRule type="colorScale" priority="44">
      <colorScale>
        <cfvo type="min"/>
        <cfvo type="max"/>
        <color rgb="FFFFEF9C"/>
        <color rgb="FF63BE7B"/>
      </colorScale>
    </cfRule>
  </conditionalFormatting>
  <conditionalFormatting sqref="F28:AL28">
    <cfRule type="colorScale" priority="43">
      <colorScale>
        <cfvo type="min"/>
        <cfvo type="max"/>
        <color rgb="FFFFEF9C"/>
        <color rgb="FF63BE7B"/>
      </colorScale>
    </cfRule>
  </conditionalFormatting>
  <conditionalFormatting sqref="F27:AL27">
    <cfRule type="colorScale" priority="42">
      <colorScale>
        <cfvo type="min"/>
        <cfvo type="max"/>
        <color rgb="FFFFEF9C"/>
        <color rgb="FF63BE7B"/>
      </colorScale>
    </cfRule>
  </conditionalFormatting>
  <conditionalFormatting sqref="F26:AL26">
    <cfRule type="colorScale" priority="41">
      <colorScale>
        <cfvo type="min"/>
        <cfvo type="max"/>
        <color rgb="FFFFEF9C"/>
        <color rgb="FF63BE7B"/>
      </colorScale>
    </cfRule>
  </conditionalFormatting>
  <conditionalFormatting sqref="F25:AL25">
    <cfRule type="colorScale" priority="2">
      <colorScale>
        <cfvo type="min"/>
        <cfvo type="max"/>
        <color rgb="FFFFEF9C"/>
        <color rgb="FF63BE7B"/>
      </colorScale>
    </cfRule>
  </conditionalFormatting>
  <conditionalFormatting sqref="F24:G24">
    <cfRule type="colorScale" priority="40">
      <colorScale>
        <cfvo type="min"/>
        <cfvo type="max"/>
        <color rgb="FFFFEF9C"/>
        <color rgb="FF63BE7B"/>
      </colorScale>
    </cfRule>
  </conditionalFormatting>
  <conditionalFormatting sqref="F23:G23">
    <cfRule type="colorScale" priority="39">
      <colorScale>
        <cfvo type="min"/>
        <cfvo type="max"/>
        <color rgb="FFFFEF9C"/>
        <color rgb="FF63BE7B"/>
      </colorScale>
    </cfRule>
  </conditionalFormatting>
  <conditionalFormatting sqref="F20:AK20">
    <cfRule type="colorScale" priority="7">
      <colorScale>
        <cfvo type="min"/>
        <cfvo type="max"/>
        <color rgb="FFFFEF9C"/>
        <color rgb="FF63BE7B"/>
      </colorScale>
    </cfRule>
    <cfRule type="colorScale" priority="36">
      <colorScale>
        <cfvo type="min"/>
        <cfvo type="max"/>
        <color rgb="FFFFEF9C"/>
        <color rgb="FF63BE7B"/>
      </colorScale>
    </cfRule>
  </conditionalFormatting>
  <conditionalFormatting sqref="F21:AK21">
    <cfRule type="colorScale" priority="6">
      <colorScale>
        <cfvo type="min"/>
        <cfvo type="max"/>
        <color rgb="FFFFEF9C"/>
        <color rgb="FF63BE7B"/>
      </colorScale>
    </cfRule>
    <cfRule type="colorScale" priority="37">
      <colorScale>
        <cfvo type="min"/>
        <cfvo type="max"/>
        <color rgb="FFFFEF9C"/>
        <color rgb="FF63BE7B"/>
      </colorScale>
    </cfRule>
  </conditionalFormatting>
  <conditionalFormatting sqref="F22:AK22">
    <cfRule type="colorScale" priority="5">
      <colorScale>
        <cfvo type="min"/>
        <cfvo type="max"/>
        <color rgb="FFFFEF9C"/>
        <color rgb="FF63BE7B"/>
      </colorScale>
    </cfRule>
    <cfRule type="colorScale" priority="38">
      <colorScale>
        <cfvo type="min"/>
        <cfvo type="max"/>
        <color rgb="FFFFEF9C"/>
        <color rgb="FF63BE7B"/>
      </colorScale>
    </cfRule>
  </conditionalFormatting>
  <conditionalFormatting sqref="F23:AL23">
    <cfRule type="colorScale" priority="4">
      <colorScale>
        <cfvo type="min"/>
        <cfvo type="max"/>
        <color rgb="FFFFEF9C"/>
        <color rgb="FF63BE7B"/>
      </colorScale>
    </cfRule>
  </conditionalFormatting>
  <conditionalFormatting sqref="F24:AL24">
    <cfRule type="colorScale" priority="3">
      <colorScale>
        <cfvo type="min"/>
        <cfvo type="max"/>
        <color rgb="FFFFEF9C"/>
        <color rgb="FF63BE7B"/>
      </colorScale>
    </cfRule>
  </conditionalFormatting>
  <conditionalFormatting sqref="A46:D75">
    <cfRule type="cellIs" dxfId="1" priority="1" operator="equal">
      <formula>0</formula>
    </cfRule>
  </conditionalFormatting>
  <pageMargins left="0.7" right="0.7" top="0.75" bottom="0.75" header="0.3" footer="0.3"/>
  <pageSetup paperSize="9" orientation="portrait" horizontalDpi="0" verticalDpi="0" r:id="rId1"/>
  <drawing r:id="rId2"/>
  <extLst>
    <ext xmlns:x14="http://schemas.microsoft.com/office/spreadsheetml/2009/9/main" uri="{05C60535-1F16-4fd2-B633-F4F36F0B64E0}">
      <x14:sparklineGroups xmlns:xm="http://schemas.microsoft.com/office/excel/2006/main">
        <x14:sparklineGroup displayEmptyCellsAs="gap" xr2:uid="{BC6C071D-4003-4C5C-9A78-C18F168C0DA5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SOLID!F29:AK29</xm:f>
              <xm:sqref>AL29</xm:sqref>
            </x14:sparkline>
            <x14:sparkline>
              <xm:f>SOLID!F30:AK30</xm:f>
              <xm:sqref>AL30</xm:sqref>
            </x14:sparkline>
            <x14:sparkline>
              <xm:f>SOLID!F31:AK31</xm:f>
              <xm:sqref>AL31</xm:sqref>
            </x14:sparkline>
            <x14:sparkline>
              <xm:f>SOLID!F32:AK32</xm:f>
              <xm:sqref>AL32</xm:sqref>
            </x14:sparkline>
          </x14:sparklines>
        </x14:sparklineGroup>
      </x14:sparklineGroup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70271F-9BF9-44F9-AFD1-CCBC36EBCE73}">
  <sheetPr codeName="Лист5">
    <tabColor theme="2" tint="-0.499984740745262"/>
  </sheetPr>
  <dimension ref="A1:CQ156"/>
  <sheetViews>
    <sheetView tabSelected="1" zoomScale="85" zoomScaleNormal="85" workbookViewId="0">
      <pane ySplit="1" topLeftCell="A2" activePane="bottomLeft" state="frozen"/>
      <selection pane="bottomLeft" activeCell="CY146" sqref="CY146"/>
    </sheetView>
  </sheetViews>
  <sheetFormatPr defaultRowHeight="21" outlineLevelRow="1" x14ac:dyDescent="0.35"/>
  <cols>
    <col min="1" max="1" width="13.81640625" bestFit="1" customWidth="1"/>
    <col min="2" max="5" width="4.26953125" style="38" customWidth="1"/>
    <col min="6" max="33" width="4.26953125" hidden="1" customWidth="1"/>
    <col min="34" max="34" width="4.26953125" customWidth="1"/>
    <col min="35" max="94" width="4.26953125" hidden="1" customWidth="1"/>
    <col min="95" max="95" width="3.453125" style="55" customWidth="1"/>
    <col min="96" max="16384" width="8.7265625" style="37"/>
  </cols>
  <sheetData>
    <row r="1" spans="1:94" ht="18.75" customHeight="1" thickBot="1" x14ac:dyDescent="0.4">
      <c r="A1" s="34" t="s">
        <v>18</v>
      </c>
      <c r="B1" s="39">
        <v>290</v>
      </c>
      <c r="C1" s="69">
        <v>1000</v>
      </c>
      <c r="D1" s="70" t="s">
        <v>19</v>
      </c>
      <c r="E1" s="71">
        <v>80</v>
      </c>
      <c r="F1" s="37"/>
      <c r="G1" s="37"/>
      <c r="H1" s="37"/>
      <c r="I1" s="37"/>
      <c r="J1" s="37"/>
    </row>
    <row r="2" spans="1:94" ht="23.25" customHeight="1" thickTop="1" thickBot="1" x14ac:dyDescent="0.4">
      <c r="A2" s="4" t="s">
        <v>29</v>
      </c>
      <c r="B2" s="72">
        <f>FLUID!F45</f>
        <v>298.2</v>
      </c>
      <c r="C2" s="72">
        <f>FLUID!G45</f>
        <v>431.7</v>
      </c>
      <c r="D2" s="72">
        <f>FLUID!H45</f>
        <v>465.1</v>
      </c>
      <c r="E2" s="72">
        <f>FLUID!I45</f>
        <v>498.5</v>
      </c>
      <c r="F2" s="72">
        <f>FLUID!J45</f>
        <v>531.79999999999995</v>
      </c>
      <c r="G2" s="72">
        <f>FLUID!K45</f>
        <v>565.20000000000005</v>
      </c>
      <c r="H2" s="72">
        <f>FLUID!L45</f>
        <v>698.8</v>
      </c>
      <c r="I2" s="72">
        <f>FLUID!M45</f>
        <v>732.2</v>
      </c>
      <c r="J2" s="72">
        <f>FLUID!N45</f>
        <v>765.5</v>
      </c>
      <c r="K2" s="72">
        <f>FLUID!O45</f>
        <v>798.9</v>
      </c>
      <c r="L2" s="72">
        <f>FLUID!P45</f>
        <v>832.3</v>
      </c>
      <c r="M2" s="72">
        <f>FLUID!Q45</f>
        <v>965.8</v>
      </c>
      <c r="N2" s="72">
        <f>FLUID!R45</f>
        <v>999.2</v>
      </c>
      <c r="O2" s="72">
        <f>FLUID!S45</f>
        <v>1033</v>
      </c>
      <c r="P2" s="72">
        <f>FLUID!T45</f>
        <v>1066</v>
      </c>
      <c r="Q2" s="72">
        <f>FLUID!U45</f>
        <v>1099</v>
      </c>
      <c r="R2" s="72">
        <f>FLUID!V45</f>
        <v>1233</v>
      </c>
      <c r="S2" s="72">
        <f>FLUID!W45</f>
        <v>1366</v>
      </c>
      <c r="T2" s="72">
        <f>FLUID!X45</f>
        <v>1500</v>
      </c>
      <c r="U2" s="72">
        <f>FLUID!Y45</f>
        <v>0</v>
      </c>
      <c r="V2" s="72">
        <f>FLUID!Z45</f>
        <v>0</v>
      </c>
      <c r="W2" s="72">
        <f>FLUID!AA45</f>
        <v>0</v>
      </c>
      <c r="X2" s="72">
        <f>FLUID!AB45</f>
        <v>0</v>
      </c>
      <c r="Y2" s="72">
        <f>FLUID!AC45</f>
        <v>0</v>
      </c>
      <c r="Z2" s="72">
        <f>FLUID!AD45</f>
        <v>0</v>
      </c>
      <c r="AA2" s="72">
        <f>FLUID!AE45</f>
        <v>0</v>
      </c>
      <c r="AB2" s="72">
        <f>FLUID!AF45</f>
        <v>0</v>
      </c>
      <c r="AC2" s="72">
        <f>FLUID!AG45</f>
        <v>0</v>
      </c>
      <c r="AD2" s="72">
        <f>FLUID!AH45</f>
        <v>0</v>
      </c>
      <c r="AE2" s="72">
        <f>FLUID!AI45</f>
        <v>0</v>
      </c>
      <c r="AF2" s="72">
        <f>FLUID!AJ45</f>
        <v>0</v>
      </c>
      <c r="AG2" s="72">
        <f>FLUID!AK45</f>
        <v>0</v>
      </c>
      <c r="AH2" s="72">
        <f>FLUID!AL45</f>
        <v>0</v>
      </c>
      <c r="AI2" s="55"/>
      <c r="AJ2" s="55"/>
      <c r="AK2" s="55"/>
      <c r="AL2" s="55"/>
      <c r="AM2" s="55"/>
      <c r="AN2" s="55"/>
      <c r="AO2" s="55"/>
      <c r="AP2" s="55"/>
      <c r="AQ2" s="55"/>
      <c r="AR2" s="55"/>
      <c r="AS2" s="55"/>
      <c r="AT2" s="55"/>
      <c r="AU2" s="55"/>
      <c r="AV2" s="55"/>
      <c r="AW2" s="55"/>
      <c r="AX2" s="55"/>
      <c r="AY2" s="55"/>
      <c r="AZ2" s="55"/>
      <c r="BA2" s="55"/>
      <c r="BB2" s="55"/>
      <c r="BC2" s="55"/>
      <c r="BD2" s="55"/>
      <c r="BE2" s="55"/>
      <c r="BF2" s="55"/>
      <c r="BG2" s="55"/>
      <c r="BH2" s="55"/>
      <c r="BI2" s="55"/>
      <c r="BJ2" s="55"/>
      <c r="BK2" s="55"/>
      <c r="BL2" s="55"/>
      <c r="BM2" s="55"/>
      <c r="BN2" s="55"/>
      <c r="BO2" s="55"/>
      <c r="BP2" s="55"/>
      <c r="BQ2" s="55"/>
      <c r="BR2" s="55"/>
      <c r="BS2" s="55"/>
      <c r="BT2" s="55"/>
      <c r="BU2" s="55"/>
      <c r="BV2" s="55"/>
      <c r="BW2" s="55"/>
      <c r="BX2" s="55"/>
      <c r="BY2" s="55"/>
      <c r="BZ2" s="55"/>
      <c r="CA2" s="55"/>
      <c r="CB2" s="55"/>
      <c r="CC2" s="55"/>
      <c r="CD2" s="55"/>
      <c r="CE2" s="55"/>
      <c r="CF2" s="55"/>
      <c r="CG2" s="55"/>
      <c r="CH2" s="55"/>
      <c r="CI2" s="55"/>
      <c r="CJ2" s="55"/>
      <c r="CK2" s="55"/>
      <c r="CL2" s="55"/>
      <c r="CM2" s="55"/>
      <c r="CN2" s="55"/>
      <c r="CO2" s="55"/>
      <c r="CP2" s="55"/>
    </row>
    <row r="3" spans="1:94" ht="22.5" hidden="1" outlineLevel="1" thickTop="1" thickBot="1" x14ac:dyDescent="0.4">
      <c r="A3" s="48" t="str">
        <f>FLUID!E46</f>
        <v>Se3</v>
      </c>
      <c r="B3" s="16">
        <f ca="1">FLUID!F46</f>
        <v>-14.472</v>
      </c>
      <c r="C3" s="16">
        <f ca="1">FLUID!G46</f>
        <v>-16.785</v>
      </c>
      <c r="D3" s="16">
        <f ca="1">FLUID!H46</f>
        <v>-17.364000000000001</v>
      </c>
      <c r="E3" s="16">
        <f ca="1">FLUID!I46</f>
        <v>-17.924999999999997</v>
      </c>
      <c r="F3" s="14">
        <f ca="1">FLUID!J46</f>
        <v>-18.465</v>
      </c>
      <c r="G3" s="14">
        <f ca="1">FLUID!K46</f>
        <v>-18.977999999999998</v>
      </c>
      <c r="H3" s="14">
        <f ca="1">FLUID!L46</f>
        <v>-20.646000000000001</v>
      </c>
      <c r="I3" s="14">
        <f ca="1">FLUID!M46</f>
        <v>-21.018000000000001</v>
      </c>
      <c r="J3" s="14">
        <f ca="1">FLUID!N46</f>
        <v>-21.396000000000001</v>
      </c>
      <c r="K3" s="14">
        <f ca="1">FLUID!O46</f>
        <v>-21.783000000000001</v>
      </c>
      <c r="L3" s="14">
        <f ca="1">FLUID!P46</f>
        <v>-22.182000000000002</v>
      </c>
      <c r="M3" s="14">
        <f ca="1">FLUID!Q46</f>
        <v>-24.123000000000001</v>
      </c>
      <c r="N3" s="14">
        <f ca="1">FLUID!R46</f>
        <v>-24.756</v>
      </c>
      <c r="O3" s="14">
        <f ca="1">FLUID!S46</f>
        <v>-25.445999999999998</v>
      </c>
      <c r="P3" s="14">
        <f ca="1">FLUID!T46</f>
        <v>-26.183999999999997</v>
      </c>
      <c r="Q3" s="14">
        <f ca="1">FLUID!U46</f>
        <v>-26.945999999999998</v>
      </c>
      <c r="R3" s="14">
        <f ca="1">FLUID!V46</f>
        <v>-29.904</v>
      </c>
      <c r="S3" s="14">
        <f ca="1">FLUID!W46</f>
        <v>-32.49</v>
      </c>
      <c r="T3" s="14">
        <f ca="1">FLUID!X46</f>
        <v>-34.68</v>
      </c>
      <c r="U3" s="14">
        <f ca="1">FLUID!Y46</f>
        <v>0</v>
      </c>
      <c r="V3" s="14">
        <f ca="1">FLUID!Z46</f>
        <v>0</v>
      </c>
      <c r="W3" s="14">
        <f ca="1">FLUID!AA46</f>
        <v>0</v>
      </c>
      <c r="X3" s="14">
        <f ca="1">FLUID!AB46</f>
        <v>0</v>
      </c>
      <c r="Y3" s="14">
        <f ca="1">FLUID!AC46</f>
        <v>0</v>
      </c>
      <c r="Z3" s="14">
        <f ca="1">FLUID!AD46</f>
        <v>0</v>
      </c>
      <c r="AA3" s="14">
        <f ca="1">FLUID!AE46</f>
        <v>0</v>
      </c>
      <c r="AB3" s="14">
        <f ca="1">FLUID!AF46</f>
        <v>0</v>
      </c>
      <c r="AC3" s="14">
        <f ca="1">FLUID!AG46</f>
        <v>0</v>
      </c>
      <c r="AD3" s="14">
        <f ca="1">FLUID!AH46</f>
        <v>0</v>
      </c>
      <c r="AE3" s="14">
        <f ca="1">FLUID!AI46</f>
        <v>0</v>
      </c>
      <c r="AF3" s="14">
        <f ca="1">FLUID!AJ46</f>
        <v>0</v>
      </c>
      <c r="AG3" s="14">
        <f ca="1">FLUID!AK46</f>
        <v>0</v>
      </c>
      <c r="AH3" s="14">
        <f ca="1">FLUID!AL46</f>
        <v>0</v>
      </c>
      <c r="AI3" s="55"/>
      <c r="AJ3" s="55"/>
      <c r="AK3" s="55"/>
      <c r="AL3" s="55"/>
      <c r="AM3" s="55"/>
      <c r="AN3" s="55"/>
      <c r="AO3" s="55"/>
      <c r="AP3" s="55"/>
      <c r="AQ3" s="55"/>
      <c r="AR3" s="55"/>
      <c r="AS3" s="55"/>
      <c r="AT3" s="55"/>
      <c r="AU3" s="55"/>
      <c r="AV3" s="55"/>
      <c r="AW3" s="55"/>
      <c r="AX3" s="55"/>
      <c r="AY3" s="55"/>
      <c r="AZ3" s="55"/>
      <c r="BA3" s="55"/>
      <c r="BB3" s="55"/>
      <c r="BC3" s="55"/>
      <c r="BD3" s="55"/>
      <c r="BE3" s="55"/>
      <c r="BF3" s="55"/>
      <c r="BG3" s="55"/>
      <c r="BH3" s="55"/>
      <c r="BI3" s="55"/>
      <c r="BJ3" s="55"/>
      <c r="BK3" s="55"/>
      <c r="BL3" s="55"/>
      <c r="BM3" s="55"/>
      <c r="BN3" s="55"/>
      <c r="BO3" s="55"/>
      <c r="BP3" s="55"/>
      <c r="BQ3" s="55"/>
      <c r="BR3" s="55"/>
      <c r="BS3" s="55"/>
      <c r="BT3" s="55"/>
      <c r="BU3" s="55"/>
      <c r="BV3" s="55"/>
      <c r="BW3" s="55"/>
      <c r="BX3" s="55"/>
      <c r="BY3" s="55"/>
      <c r="BZ3" s="55"/>
      <c r="CA3" s="55"/>
      <c r="CB3" s="55"/>
      <c r="CC3" s="55"/>
      <c r="CD3" s="55"/>
      <c r="CE3" s="55"/>
      <c r="CF3" s="55"/>
      <c r="CG3" s="55"/>
      <c r="CH3" s="55"/>
      <c r="CI3" s="55"/>
      <c r="CJ3" s="55"/>
      <c r="CK3" s="55"/>
      <c r="CL3" s="55"/>
      <c r="CM3" s="55"/>
      <c r="CN3" s="55"/>
      <c r="CO3" s="55"/>
      <c r="CP3" s="55"/>
    </row>
    <row r="4" spans="1:94" ht="22.5" hidden="1" outlineLevel="1" thickTop="1" thickBot="1" x14ac:dyDescent="0.4">
      <c r="A4" s="36" t="str">
        <f>FLUID!E47</f>
        <v>Se4</v>
      </c>
      <c r="B4" s="16">
        <f ca="1">FLUID!F47</f>
        <v>-19.295999999999999</v>
      </c>
      <c r="C4" s="16">
        <f ca="1">FLUID!G47</f>
        <v>-22.38</v>
      </c>
      <c r="D4" s="16">
        <f ca="1">FLUID!H47</f>
        <v>-23.152000000000001</v>
      </c>
      <c r="E4" s="16">
        <f ca="1">FLUID!I47</f>
        <v>-23.9</v>
      </c>
      <c r="F4" s="14">
        <f ca="1">FLUID!J47</f>
        <v>-24.62</v>
      </c>
      <c r="G4" s="14">
        <f ca="1">FLUID!K47</f>
        <v>-25.303999999999998</v>
      </c>
      <c r="H4" s="14">
        <f ca="1">FLUID!L47</f>
        <v>-27.527999999999999</v>
      </c>
      <c r="I4" s="14">
        <f ca="1">FLUID!M47</f>
        <v>-28.024000000000001</v>
      </c>
      <c r="J4" s="14">
        <f ca="1">FLUID!N47</f>
        <v>-28.527999999999999</v>
      </c>
      <c r="K4" s="14">
        <f ca="1">FLUID!O47</f>
        <v>-29.044</v>
      </c>
      <c r="L4" s="14">
        <f ca="1">FLUID!P47</f>
        <v>-29.576000000000001</v>
      </c>
      <c r="M4" s="14">
        <f ca="1">FLUID!Q47</f>
        <v>-32.164000000000001</v>
      </c>
      <c r="N4" s="14">
        <f ca="1">FLUID!R47</f>
        <v>-33.008000000000003</v>
      </c>
      <c r="O4" s="14">
        <f ca="1">FLUID!S47</f>
        <v>-33.927999999999997</v>
      </c>
      <c r="P4" s="14">
        <f ca="1">FLUID!T47</f>
        <v>-34.911999999999999</v>
      </c>
      <c r="Q4" s="14">
        <f ca="1">FLUID!U47</f>
        <v>-35.927999999999997</v>
      </c>
      <c r="R4" s="14">
        <f ca="1">FLUID!V47</f>
        <v>-39.872</v>
      </c>
      <c r="S4" s="14">
        <f ca="1">FLUID!W47</f>
        <v>-43.32</v>
      </c>
      <c r="T4" s="14">
        <f ca="1">FLUID!X47</f>
        <v>-46.24</v>
      </c>
      <c r="U4" s="14">
        <f ca="1">FLUID!Y47</f>
        <v>0</v>
      </c>
      <c r="V4" s="14">
        <f ca="1">FLUID!Z47</f>
        <v>0</v>
      </c>
      <c r="W4" s="14">
        <f ca="1">FLUID!AA47</f>
        <v>0</v>
      </c>
      <c r="X4" s="14">
        <f ca="1">FLUID!AB47</f>
        <v>0</v>
      </c>
      <c r="Y4" s="14">
        <f ca="1">FLUID!AC47</f>
        <v>0</v>
      </c>
      <c r="Z4" s="14">
        <f ca="1">FLUID!AD47</f>
        <v>0</v>
      </c>
      <c r="AA4" s="14">
        <f ca="1">FLUID!AE47</f>
        <v>0</v>
      </c>
      <c r="AB4" s="14">
        <f ca="1">FLUID!AF47</f>
        <v>0</v>
      </c>
      <c r="AC4" s="14">
        <f ca="1">FLUID!AG47</f>
        <v>0</v>
      </c>
      <c r="AD4" s="14">
        <f ca="1">FLUID!AH47</f>
        <v>0</v>
      </c>
      <c r="AE4" s="14">
        <f ca="1">FLUID!AI47</f>
        <v>0</v>
      </c>
      <c r="AF4" s="14">
        <f ca="1">FLUID!AJ47</f>
        <v>0</v>
      </c>
      <c r="AG4" s="14">
        <f ca="1">FLUID!AK47</f>
        <v>0</v>
      </c>
      <c r="AH4" s="14">
        <f ca="1">FLUID!AL47</f>
        <v>0</v>
      </c>
      <c r="AI4" s="55"/>
      <c r="AJ4" s="55"/>
      <c r="AK4" s="55"/>
      <c r="AL4" s="55"/>
      <c r="AM4" s="55"/>
      <c r="AN4" s="55"/>
      <c r="AO4" s="55"/>
      <c r="AP4" s="55"/>
      <c r="AQ4" s="55"/>
      <c r="AR4" s="55"/>
      <c r="AS4" s="55"/>
      <c r="AT4" s="55"/>
      <c r="AU4" s="55"/>
      <c r="AV4" s="55"/>
      <c r="AW4" s="55"/>
      <c r="AX4" s="55"/>
      <c r="AY4" s="55"/>
      <c r="AZ4" s="55"/>
      <c r="BA4" s="55"/>
      <c r="BB4" s="55"/>
      <c r="BC4" s="55"/>
      <c r="BD4" s="55"/>
      <c r="BE4" s="55"/>
      <c r="BF4" s="55"/>
      <c r="BG4" s="55"/>
      <c r="BH4" s="55"/>
      <c r="BI4" s="55"/>
      <c r="BJ4" s="55"/>
      <c r="BK4" s="55"/>
      <c r="BL4" s="55"/>
      <c r="BM4" s="55"/>
      <c r="BN4" s="55"/>
      <c r="BO4" s="55"/>
      <c r="BP4" s="55"/>
      <c r="BQ4" s="55"/>
      <c r="BR4" s="55"/>
      <c r="BS4" s="55"/>
      <c r="BT4" s="55"/>
      <c r="BU4" s="55"/>
      <c r="BV4" s="55"/>
      <c r="BW4" s="55"/>
      <c r="BX4" s="55"/>
      <c r="BY4" s="55"/>
      <c r="BZ4" s="55"/>
      <c r="CA4" s="55"/>
      <c r="CB4" s="55"/>
      <c r="CC4" s="55"/>
      <c r="CD4" s="55"/>
      <c r="CE4" s="55"/>
      <c r="CF4" s="55"/>
      <c r="CG4" s="55"/>
      <c r="CH4" s="55"/>
      <c r="CI4" s="55"/>
      <c r="CJ4" s="55"/>
      <c r="CK4" s="55"/>
      <c r="CL4" s="55"/>
      <c r="CM4" s="55"/>
      <c r="CN4" s="55"/>
      <c r="CO4" s="55"/>
      <c r="CP4" s="55"/>
    </row>
    <row r="5" spans="1:94" ht="22.5" hidden="1" outlineLevel="1" thickTop="1" thickBot="1" x14ac:dyDescent="0.4">
      <c r="A5" s="36" t="str">
        <f>FLUID!E48</f>
        <v>Se5</v>
      </c>
      <c r="B5" s="16">
        <f ca="1">FLUID!F48</f>
        <v>-24.119999999999997</v>
      </c>
      <c r="C5" s="16">
        <f ca="1">FLUID!G48</f>
        <v>-27.974999999999998</v>
      </c>
      <c r="D5" s="16">
        <f ca="1">FLUID!H48</f>
        <v>-28.94</v>
      </c>
      <c r="E5" s="16">
        <f ca="1">FLUID!I48</f>
        <v>-29.875</v>
      </c>
      <c r="F5" s="14">
        <f ca="1">FLUID!J48</f>
        <v>-30.775000000000002</v>
      </c>
      <c r="G5" s="14">
        <f ca="1">FLUID!K48</f>
        <v>-31.63</v>
      </c>
      <c r="H5" s="14">
        <f ca="1">FLUID!L48</f>
        <v>-34.409999999999997</v>
      </c>
      <c r="I5" s="14">
        <f ca="1">FLUID!M48</f>
        <v>-35.03</v>
      </c>
      <c r="J5" s="14">
        <f ca="1">FLUID!N48</f>
        <v>-35.659999999999997</v>
      </c>
      <c r="K5" s="14">
        <f ca="1">FLUID!O48</f>
        <v>-36.305</v>
      </c>
      <c r="L5" s="14">
        <f ca="1">FLUID!P48</f>
        <v>-36.97</v>
      </c>
      <c r="M5" s="14">
        <f ca="1">FLUID!Q48</f>
        <v>-40.204999999999998</v>
      </c>
      <c r="N5" s="14">
        <f ca="1">FLUID!R48</f>
        <v>-41.260000000000005</v>
      </c>
      <c r="O5" s="14">
        <f ca="1">FLUID!S48</f>
        <v>-42.41</v>
      </c>
      <c r="P5" s="14">
        <f ca="1">FLUID!T48</f>
        <v>-43.64</v>
      </c>
      <c r="Q5" s="14">
        <f ca="1">FLUID!U48</f>
        <v>-44.91</v>
      </c>
      <c r="R5" s="14">
        <f ca="1">FLUID!V48</f>
        <v>-49.84</v>
      </c>
      <c r="S5" s="14">
        <f ca="1">FLUID!W48</f>
        <v>-54.15</v>
      </c>
      <c r="T5" s="14">
        <f ca="1">FLUID!X48</f>
        <v>-57.800000000000004</v>
      </c>
      <c r="U5" s="14">
        <f ca="1">FLUID!Y48</f>
        <v>0</v>
      </c>
      <c r="V5" s="14">
        <f ca="1">FLUID!Z48</f>
        <v>0</v>
      </c>
      <c r="W5" s="14">
        <f ca="1">FLUID!AA48</f>
        <v>0</v>
      </c>
      <c r="X5" s="14">
        <f ca="1">FLUID!AB48</f>
        <v>0</v>
      </c>
      <c r="Y5" s="14">
        <f ca="1">FLUID!AC48</f>
        <v>0</v>
      </c>
      <c r="Z5" s="14">
        <f ca="1">FLUID!AD48</f>
        <v>0</v>
      </c>
      <c r="AA5" s="14">
        <f ca="1">FLUID!AE48</f>
        <v>0</v>
      </c>
      <c r="AB5" s="14">
        <f ca="1">FLUID!AF48</f>
        <v>0</v>
      </c>
      <c r="AC5" s="14">
        <f ca="1">FLUID!AG48</f>
        <v>0</v>
      </c>
      <c r="AD5" s="14">
        <f ca="1">FLUID!AH48</f>
        <v>0</v>
      </c>
      <c r="AE5" s="14">
        <f ca="1">FLUID!AI48</f>
        <v>0</v>
      </c>
      <c r="AF5" s="14">
        <f ca="1">FLUID!AJ48</f>
        <v>0</v>
      </c>
      <c r="AG5" s="14">
        <f ca="1">FLUID!AK48</f>
        <v>0</v>
      </c>
      <c r="AH5" s="14">
        <f ca="1">FLUID!AL48</f>
        <v>0</v>
      </c>
      <c r="AI5" s="55"/>
      <c r="AJ5" s="55"/>
      <c r="AK5" s="55"/>
      <c r="AL5" s="55"/>
      <c r="AM5" s="55"/>
      <c r="AN5" s="55"/>
      <c r="AO5" s="55"/>
      <c r="AP5" s="55"/>
      <c r="AQ5" s="55"/>
      <c r="AR5" s="55"/>
      <c r="AS5" s="55"/>
      <c r="AT5" s="55"/>
      <c r="AU5" s="55"/>
      <c r="AV5" s="55"/>
      <c r="AW5" s="55"/>
      <c r="AX5" s="55"/>
      <c r="AY5" s="55"/>
      <c r="AZ5" s="55"/>
      <c r="BA5" s="55"/>
      <c r="BB5" s="55"/>
      <c r="BC5" s="55"/>
      <c r="BD5" s="55"/>
      <c r="BE5" s="55"/>
      <c r="BF5" s="55"/>
      <c r="BG5" s="55"/>
      <c r="BH5" s="55"/>
      <c r="BI5" s="55"/>
      <c r="BJ5" s="55"/>
      <c r="BK5" s="55"/>
      <c r="BL5" s="55"/>
      <c r="BM5" s="55"/>
      <c r="BN5" s="55"/>
      <c r="BO5" s="55"/>
      <c r="BP5" s="55"/>
      <c r="BQ5" s="55"/>
      <c r="BR5" s="55"/>
      <c r="BS5" s="55"/>
      <c r="BT5" s="55"/>
      <c r="BU5" s="55"/>
      <c r="BV5" s="55"/>
      <c r="BW5" s="55"/>
      <c r="BX5" s="55"/>
      <c r="BY5" s="55"/>
      <c r="BZ5" s="55"/>
      <c r="CA5" s="55"/>
      <c r="CB5" s="55"/>
      <c r="CC5" s="55"/>
      <c r="CD5" s="55"/>
      <c r="CE5" s="55"/>
      <c r="CF5" s="55"/>
      <c r="CG5" s="55"/>
      <c r="CH5" s="55"/>
      <c r="CI5" s="55"/>
      <c r="CJ5" s="55"/>
      <c r="CK5" s="55"/>
      <c r="CL5" s="55"/>
      <c r="CM5" s="55"/>
      <c r="CN5" s="55"/>
      <c r="CO5" s="55"/>
      <c r="CP5" s="55"/>
    </row>
    <row r="6" spans="1:94" ht="22.5" hidden="1" outlineLevel="1" thickTop="1" thickBot="1" x14ac:dyDescent="0.4">
      <c r="A6" s="36" t="str">
        <f>FLUID!E49</f>
        <v>Se6</v>
      </c>
      <c r="B6" s="16">
        <f ca="1">FLUID!F49</f>
        <v>-28.943999999999999</v>
      </c>
      <c r="C6" s="16">
        <f ca="1">FLUID!G49</f>
        <v>-33.57</v>
      </c>
      <c r="D6" s="16">
        <f ca="1">FLUID!H49</f>
        <v>-34.728000000000002</v>
      </c>
      <c r="E6" s="16">
        <f ca="1">FLUID!I49</f>
        <v>-35.849999999999994</v>
      </c>
      <c r="F6" s="14">
        <f ca="1">FLUID!J49</f>
        <v>-36.93</v>
      </c>
      <c r="G6" s="14">
        <f ca="1">FLUID!K49</f>
        <v>-37.955999999999996</v>
      </c>
      <c r="H6" s="14">
        <f ca="1">FLUID!L49</f>
        <v>-41.292000000000002</v>
      </c>
      <c r="I6" s="14">
        <f ca="1">FLUID!M49</f>
        <v>-42.036000000000001</v>
      </c>
      <c r="J6" s="14">
        <f ca="1">FLUID!N49</f>
        <v>-42.792000000000002</v>
      </c>
      <c r="K6" s="14">
        <f ca="1">FLUID!O49</f>
        <v>-43.566000000000003</v>
      </c>
      <c r="L6" s="14">
        <f ca="1">FLUID!P49</f>
        <v>-44.364000000000004</v>
      </c>
      <c r="M6" s="14">
        <f ca="1">FLUID!Q49</f>
        <v>-48.246000000000002</v>
      </c>
      <c r="N6" s="14">
        <f ca="1">FLUID!R49</f>
        <v>-49.512</v>
      </c>
      <c r="O6" s="14">
        <f ca="1">FLUID!S49</f>
        <v>-50.891999999999996</v>
      </c>
      <c r="P6" s="14">
        <f ca="1">FLUID!T49</f>
        <v>-52.367999999999995</v>
      </c>
      <c r="Q6" s="14">
        <f ca="1">FLUID!U49</f>
        <v>-53.891999999999996</v>
      </c>
      <c r="R6" s="14">
        <f ca="1">FLUID!V49</f>
        <v>-59.808</v>
      </c>
      <c r="S6" s="14">
        <f ca="1">FLUID!W49</f>
        <v>-64.98</v>
      </c>
      <c r="T6" s="14">
        <f ca="1">FLUID!X49</f>
        <v>-69.36</v>
      </c>
      <c r="U6" s="14">
        <f ca="1">FLUID!Y49</f>
        <v>0</v>
      </c>
      <c r="V6" s="14">
        <f ca="1">FLUID!Z49</f>
        <v>0</v>
      </c>
      <c r="W6" s="14">
        <f ca="1">FLUID!AA49</f>
        <v>0</v>
      </c>
      <c r="X6" s="14">
        <f ca="1">FLUID!AB49</f>
        <v>0</v>
      </c>
      <c r="Y6" s="14">
        <f ca="1">FLUID!AC49</f>
        <v>0</v>
      </c>
      <c r="Z6" s="14">
        <f ca="1">FLUID!AD49</f>
        <v>0</v>
      </c>
      <c r="AA6" s="14">
        <f ca="1">FLUID!AE49</f>
        <v>0</v>
      </c>
      <c r="AB6" s="14">
        <f ca="1">FLUID!AF49</f>
        <v>0</v>
      </c>
      <c r="AC6" s="14">
        <f ca="1">FLUID!AG49</f>
        <v>0</v>
      </c>
      <c r="AD6" s="14">
        <f ca="1">FLUID!AH49</f>
        <v>0</v>
      </c>
      <c r="AE6" s="14">
        <f ca="1">FLUID!AI49</f>
        <v>0</v>
      </c>
      <c r="AF6" s="14">
        <f ca="1">FLUID!AJ49</f>
        <v>0</v>
      </c>
      <c r="AG6" s="14">
        <f ca="1">FLUID!AK49</f>
        <v>0</v>
      </c>
      <c r="AH6" s="14">
        <f ca="1">FLUID!AL49</f>
        <v>0</v>
      </c>
      <c r="AI6" s="55"/>
      <c r="AJ6" s="55"/>
      <c r="AK6" s="55"/>
      <c r="AL6" s="55"/>
      <c r="AM6" s="55"/>
      <c r="AN6" s="55"/>
      <c r="AO6" s="55"/>
      <c r="AP6" s="55"/>
      <c r="AQ6" s="55"/>
      <c r="AR6" s="55"/>
      <c r="AS6" s="55"/>
      <c r="AT6" s="55"/>
      <c r="AU6" s="55"/>
      <c r="AV6" s="55"/>
      <c r="AW6" s="55"/>
      <c r="AX6" s="55"/>
      <c r="AY6" s="55"/>
      <c r="AZ6" s="55"/>
      <c r="BA6" s="55"/>
      <c r="BB6" s="55"/>
      <c r="BC6" s="55"/>
      <c r="BD6" s="55"/>
      <c r="BE6" s="55"/>
      <c r="BF6" s="55"/>
      <c r="BG6" s="55"/>
      <c r="BH6" s="55"/>
      <c r="BI6" s="55"/>
      <c r="BJ6" s="55"/>
      <c r="BK6" s="55"/>
      <c r="BL6" s="55"/>
      <c r="BM6" s="55"/>
      <c r="BN6" s="55"/>
      <c r="BO6" s="55"/>
      <c r="BP6" s="55"/>
      <c r="BQ6" s="55"/>
      <c r="BR6" s="55"/>
      <c r="BS6" s="55"/>
      <c r="BT6" s="55"/>
      <c r="BU6" s="55"/>
      <c r="BV6" s="55"/>
      <c r="BW6" s="55"/>
      <c r="BX6" s="55"/>
      <c r="BY6" s="55"/>
      <c r="BZ6" s="55"/>
      <c r="CA6" s="55"/>
      <c r="CB6" s="55"/>
      <c r="CC6" s="55"/>
      <c r="CD6" s="55"/>
      <c r="CE6" s="55"/>
      <c r="CF6" s="55"/>
      <c r="CG6" s="55"/>
      <c r="CH6" s="55"/>
      <c r="CI6" s="55"/>
      <c r="CJ6" s="55"/>
      <c r="CK6" s="55"/>
      <c r="CL6" s="55"/>
      <c r="CM6" s="55"/>
      <c r="CN6" s="55"/>
      <c r="CO6" s="55"/>
      <c r="CP6" s="55"/>
    </row>
    <row r="7" spans="1:94" ht="22.5" hidden="1" outlineLevel="1" thickTop="1" thickBot="1" x14ac:dyDescent="0.4">
      <c r="A7" s="36" t="str">
        <f>FLUID!E50</f>
        <v>Se7</v>
      </c>
      <c r="B7" s="16">
        <f ca="1">FLUID!F50</f>
        <v>-33.768000000000001</v>
      </c>
      <c r="C7" s="16">
        <f ca="1">FLUID!G50</f>
        <v>-39.164999999999999</v>
      </c>
      <c r="D7" s="16">
        <f ca="1">FLUID!H50</f>
        <v>-40.516000000000005</v>
      </c>
      <c r="E7" s="16">
        <f ca="1">FLUID!I50</f>
        <v>-41.824999999999996</v>
      </c>
      <c r="F7" s="14">
        <f ca="1">FLUID!J50</f>
        <v>-43.085000000000001</v>
      </c>
      <c r="G7" s="14">
        <f ca="1">FLUID!K50</f>
        <v>-44.281999999999996</v>
      </c>
      <c r="H7" s="14">
        <f ca="1">FLUID!L50</f>
        <v>-48.173999999999999</v>
      </c>
      <c r="I7" s="14">
        <f ca="1">FLUID!M50</f>
        <v>-49.042000000000002</v>
      </c>
      <c r="J7" s="14">
        <f ca="1">FLUID!N50</f>
        <v>-49.923999999999999</v>
      </c>
      <c r="K7" s="14">
        <f ca="1">FLUID!O50</f>
        <v>-50.826999999999998</v>
      </c>
      <c r="L7" s="14">
        <f ca="1">FLUID!P50</f>
        <v>-51.758000000000003</v>
      </c>
      <c r="M7" s="14">
        <f ca="1">FLUID!Q50</f>
        <v>-56.287000000000006</v>
      </c>
      <c r="N7" s="14">
        <f ca="1">FLUID!R50</f>
        <v>-57.764000000000003</v>
      </c>
      <c r="O7" s="14">
        <f ca="1">FLUID!S50</f>
        <v>-59.373999999999995</v>
      </c>
      <c r="P7" s="14">
        <f ca="1">FLUID!T50</f>
        <v>-61.095999999999997</v>
      </c>
      <c r="Q7" s="14">
        <f ca="1">FLUID!U50</f>
        <v>-62.873999999999995</v>
      </c>
      <c r="R7" s="14">
        <f ca="1">FLUID!V50</f>
        <v>-69.775999999999996</v>
      </c>
      <c r="S7" s="14">
        <f ca="1">FLUID!W50</f>
        <v>-75.81</v>
      </c>
      <c r="T7" s="14">
        <f ca="1">FLUID!X50</f>
        <v>-80.92</v>
      </c>
      <c r="U7" s="14">
        <f ca="1">FLUID!Y50</f>
        <v>0</v>
      </c>
      <c r="V7" s="14">
        <f ca="1">FLUID!Z50</f>
        <v>0</v>
      </c>
      <c r="W7" s="14">
        <f ca="1">FLUID!AA50</f>
        <v>0</v>
      </c>
      <c r="X7" s="14">
        <f ca="1">FLUID!AB50</f>
        <v>0</v>
      </c>
      <c r="Y7" s="14">
        <f ca="1">FLUID!AC50</f>
        <v>0</v>
      </c>
      <c r="Z7" s="14">
        <f ca="1">FLUID!AD50</f>
        <v>0</v>
      </c>
      <c r="AA7" s="14">
        <f ca="1">FLUID!AE50</f>
        <v>0</v>
      </c>
      <c r="AB7" s="14">
        <f ca="1">FLUID!AF50</f>
        <v>0</v>
      </c>
      <c r="AC7" s="14">
        <f ca="1">FLUID!AG50</f>
        <v>0</v>
      </c>
      <c r="AD7" s="14">
        <f ca="1">FLUID!AH50</f>
        <v>0</v>
      </c>
      <c r="AE7" s="14">
        <f ca="1">FLUID!AI50</f>
        <v>0</v>
      </c>
      <c r="AF7" s="14">
        <f ca="1">FLUID!AJ50</f>
        <v>0</v>
      </c>
      <c r="AG7" s="14">
        <f ca="1">FLUID!AK50</f>
        <v>0</v>
      </c>
      <c r="AH7" s="14">
        <f ca="1">FLUID!AL50</f>
        <v>0</v>
      </c>
      <c r="AI7" s="55"/>
      <c r="AJ7" s="55"/>
      <c r="AK7" s="55"/>
      <c r="AL7" s="55"/>
      <c r="AM7" s="55"/>
      <c r="AN7" s="55"/>
      <c r="AO7" s="55"/>
      <c r="AP7" s="55"/>
      <c r="AQ7" s="55"/>
      <c r="AR7" s="55"/>
      <c r="AS7" s="55"/>
      <c r="AT7" s="55"/>
      <c r="AU7" s="55"/>
      <c r="AV7" s="55"/>
      <c r="AW7" s="55"/>
      <c r="AX7" s="55"/>
      <c r="AY7" s="55"/>
      <c r="AZ7" s="55"/>
      <c r="BA7" s="55"/>
      <c r="BB7" s="55"/>
      <c r="BC7" s="55"/>
      <c r="BD7" s="55"/>
      <c r="BE7" s="55"/>
      <c r="BF7" s="55"/>
      <c r="BG7" s="55"/>
      <c r="BH7" s="55"/>
      <c r="BI7" s="55"/>
      <c r="BJ7" s="55"/>
      <c r="BK7" s="55"/>
      <c r="BL7" s="55"/>
      <c r="BM7" s="55"/>
      <c r="BN7" s="55"/>
      <c r="BO7" s="55"/>
      <c r="BP7" s="55"/>
      <c r="BQ7" s="55"/>
      <c r="BR7" s="55"/>
      <c r="BS7" s="55"/>
      <c r="BT7" s="55"/>
      <c r="BU7" s="55"/>
      <c r="BV7" s="55"/>
      <c r="BW7" s="55"/>
      <c r="BX7" s="55"/>
      <c r="BY7" s="55"/>
      <c r="BZ7" s="55"/>
      <c r="CA7" s="55"/>
      <c r="CB7" s="55"/>
      <c r="CC7" s="55"/>
      <c r="CD7" s="55"/>
      <c r="CE7" s="55"/>
      <c r="CF7" s="55"/>
      <c r="CG7" s="55"/>
      <c r="CH7" s="55"/>
      <c r="CI7" s="55"/>
      <c r="CJ7" s="55"/>
      <c r="CK7" s="55"/>
      <c r="CL7" s="55"/>
      <c r="CM7" s="55"/>
      <c r="CN7" s="55"/>
      <c r="CO7" s="55"/>
      <c r="CP7" s="55"/>
    </row>
    <row r="8" spans="1:94" ht="22.5" hidden="1" outlineLevel="1" thickTop="1" thickBot="1" x14ac:dyDescent="0.4">
      <c r="A8" s="36" t="str">
        <f>FLUID!E51</f>
        <v>Se8</v>
      </c>
      <c r="B8" s="16">
        <f ca="1">FLUID!F51</f>
        <v>-38.591999999999999</v>
      </c>
      <c r="C8" s="16">
        <f ca="1">FLUID!G51</f>
        <v>-44.76</v>
      </c>
      <c r="D8" s="16">
        <f ca="1">FLUID!H51</f>
        <v>-46.304000000000002</v>
      </c>
      <c r="E8" s="16">
        <f ca="1">FLUID!I51</f>
        <v>-47.8</v>
      </c>
      <c r="F8" s="14">
        <f ca="1">FLUID!J51</f>
        <v>-49.24</v>
      </c>
      <c r="G8" s="14">
        <f ca="1">FLUID!K51</f>
        <v>-50.607999999999997</v>
      </c>
      <c r="H8" s="14">
        <f ca="1">FLUID!L51</f>
        <v>-55.055999999999997</v>
      </c>
      <c r="I8" s="14">
        <f ca="1">FLUID!M51</f>
        <v>-56.048000000000002</v>
      </c>
      <c r="J8" s="14">
        <f ca="1">FLUID!N51</f>
        <v>-57.055999999999997</v>
      </c>
      <c r="K8" s="14">
        <f ca="1">FLUID!O51</f>
        <v>-58.088000000000001</v>
      </c>
      <c r="L8" s="14">
        <f ca="1">FLUID!P51</f>
        <v>-59.152000000000001</v>
      </c>
      <c r="M8" s="14">
        <f ca="1">FLUID!Q51</f>
        <v>-64.328000000000003</v>
      </c>
      <c r="N8" s="14">
        <f ca="1">FLUID!R51</f>
        <v>-66.016000000000005</v>
      </c>
      <c r="O8" s="14">
        <f ca="1">FLUID!S51</f>
        <v>-67.855999999999995</v>
      </c>
      <c r="P8" s="14">
        <f ca="1">FLUID!T51</f>
        <v>-69.823999999999998</v>
      </c>
      <c r="Q8" s="14">
        <f ca="1">FLUID!U51</f>
        <v>-71.855999999999995</v>
      </c>
      <c r="R8" s="14">
        <f ca="1">FLUID!V51</f>
        <v>-79.744</v>
      </c>
      <c r="S8" s="14">
        <f ca="1">FLUID!W51</f>
        <v>-86.64</v>
      </c>
      <c r="T8" s="14">
        <f ca="1">FLUID!X51</f>
        <v>-92.48</v>
      </c>
      <c r="U8" s="14">
        <f ca="1">FLUID!Y51</f>
        <v>0</v>
      </c>
      <c r="V8" s="14">
        <f ca="1">FLUID!Z51</f>
        <v>0</v>
      </c>
      <c r="W8" s="14">
        <f ca="1">FLUID!AA51</f>
        <v>0</v>
      </c>
      <c r="X8" s="14">
        <f ca="1">FLUID!AB51</f>
        <v>0</v>
      </c>
      <c r="Y8" s="14">
        <f ca="1">FLUID!AC51</f>
        <v>0</v>
      </c>
      <c r="Z8" s="14">
        <f ca="1">FLUID!AD51</f>
        <v>0</v>
      </c>
      <c r="AA8" s="14">
        <f ca="1">FLUID!AE51</f>
        <v>0</v>
      </c>
      <c r="AB8" s="14">
        <f ca="1">FLUID!AF51</f>
        <v>0</v>
      </c>
      <c r="AC8" s="14">
        <f ca="1">FLUID!AG51</f>
        <v>0</v>
      </c>
      <c r="AD8" s="14">
        <f ca="1">FLUID!AH51</f>
        <v>0</v>
      </c>
      <c r="AE8" s="14">
        <f ca="1">FLUID!AI51</f>
        <v>0</v>
      </c>
      <c r="AF8" s="14">
        <f ca="1">FLUID!AJ51</f>
        <v>0</v>
      </c>
      <c r="AG8" s="14">
        <f ca="1">FLUID!AK51</f>
        <v>0</v>
      </c>
      <c r="AH8" s="14">
        <f ca="1">FLUID!AL51</f>
        <v>0</v>
      </c>
      <c r="AI8" s="55"/>
      <c r="AJ8" s="55"/>
      <c r="AK8" s="55"/>
      <c r="AL8" s="55"/>
      <c r="AM8" s="55"/>
      <c r="AN8" s="55"/>
      <c r="AO8" s="55"/>
      <c r="AP8" s="55"/>
      <c r="AQ8" s="55"/>
      <c r="AR8" s="55"/>
      <c r="AS8" s="55"/>
      <c r="AT8" s="55"/>
      <c r="AU8" s="55"/>
      <c r="AV8" s="55"/>
      <c r="AW8" s="55"/>
      <c r="AX8" s="55"/>
      <c r="AY8" s="55"/>
      <c r="AZ8" s="55"/>
      <c r="BA8" s="55"/>
      <c r="BB8" s="55"/>
      <c r="BC8" s="55"/>
      <c r="BD8" s="55"/>
      <c r="BE8" s="55"/>
      <c r="BF8" s="55"/>
      <c r="BG8" s="55"/>
      <c r="BH8" s="55"/>
      <c r="BI8" s="55"/>
      <c r="BJ8" s="55"/>
      <c r="BK8" s="55"/>
      <c r="BL8" s="55"/>
      <c r="BM8" s="55"/>
      <c r="BN8" s="55"/>
      <c r="BO8" s="55"/>
      <c r="BP8" s="55"/>
      <c r="BQ8" s="55"/>
      <c r="BR8" s="55"/>
      <c r="BS8" s="55"/>
      <c r="BT8" s="55"/>
      <c r="BU8" s="55"/>
      <c r="BV8" s="55"/>
      <c r="BW8" s="55"/>
      <c r="BX8" s="55"/>
      <c r="BY8" s="55"/>
      <c r="BZ8" s="55"/>
      <c r="CA8" s="55"/>
      <c r="CB8" s="55"/>
      <c r="CC8" s="55"/>
      <c r="CD8" s="55"/>
      <c r="CE8" s="55"/>
      <c r="CF8" s="55"/>
      <c r="CG8" s="55"/>
      <c r="CH8" s="55"/>
      <c r="CI8" s="55"/>
      <c r="CJ8" s="55"/>
      <c r="CK8" s="55"/>
      <c r="CL8" s="55"/>
      <c r="CM8" s="55"/>
      <c r="CN8" s="55"/>
      <c r="CO8" s="55"/>
      <c r="CP8" s="55"/>
    </row>
    <row r="9" spans="1:94" ht="22.5" hidden="1" outlineLevel="1" thickTop="1" thickBot="1" x14ac:dyDescent="0.4">
      <c r="A9" s="36" t="str">
        <f>FLUID!E52</f>
        <v>Se2</v>
      </c>
      <c r="B9" s="16">
        <f ca="1">FLUID!F52</f>
        <v>-9.6479999999999997</v>
      </c>
      <c r="C9" s="16">
        <f ca="1">FLUID!G52</f>
        <v>-11.19</v>
      </c>
      <c r="D9" s="16">
        <f ca="1">FLUID!H52</f>
        <v>-11.576000000000001</v>
      </c>
      <c r="E9" s="16">
        <f ca="1">FLUID!I52</f>
        <v>-11.95</v>
      </c>
      <c r="F9" s="14">
        <f ca="1">FLUID!J52</f>
        <v>-12.31</v>
      </c>
      <c r="G9" s="14">
        <f ca="1">FLUID!K52</f>
        <v>-12.651999999999999</v>
      </c>
      <c r="H9" s="14">
        <f ca="1">FLUID!L52</f>
        <v>-13.763999999999999</v>
      </c>
      <c r="I9" s="14">
        <f ca="1">FLUID!M52</f>
        <v>-14.012</v>
      </c>
      <c r="J9" s="14">
        <f ca="1">FLUID!N52</f>
        <v>-14.263999999999999</v>
      </c>
      <c r="K9" s="14">
        <f ca="1">FLUID!O52</f>
        <v>-14.522</v>
      </c>
      <c r="L9" s="14">
        <f ca="1">FLUID!P52</f>
        <v>-14.788</v>
      </c>
      <c r="M9" s="14">
        <f ca="1">FLUID!Q52</f>
        <v>-16.082000000000001</v>
      </c>
      <c r="N9" s="14">
        <f ca="1">FLUID!R52</f>
        <v>-16.504000000000001</v>
      </c>
      <c r="O9" s="14">
        <f ca="1">FLUID!S52</f>
        <v>-16.963999999999999</v>
      </c>
      <c r="P9" s="14">
        <f ca="1">FLUID!T52</f>
        <v>-17.456</v>
      </c>
      <c r="Q9" s="14">
        <f ca="1">FLUID!U52</f>
        <v>-17.963999999999999</v>
      </c>
      <c r="R9" s="14">
        <f ca="1">FLUID!V52</f>
        <v>-19.936</v>
      </c>
      <c r="S9" s="14">
        <f ca="1">FLUID!W52</f>
        <v>-21.66</v>
      </c>
      <c r="T9" s="14">
        <f ca="1">FLUID!X52</f>
        <v>-23.12</v>
      </c>
      <c r="U9" s="14">
        <f ca="1">FLUID!Y52</f>
        <v>0</v>
      </c>
      <c r="V9" s="14">
        <f ca="1">FLUID!Z52</f>
        <v>0</v>
      </c>
      <c r="W9" s="14">
        <f ca="1">FLUID!AA52</f>
        <v>0</v>
      </c>
      <c r="X9" s="14">
        <f ca="1">FLUID!AB52</f>
        <v>0</v>
      </c>
      <c r="Y9" s="14">
        <f ca="1">FLUID!AC52</f>
        <v>0</v>
      </c>
      <c r="Z9" s="14">
        <f ca="1">FLUID!AD52</f>
        <v>0</v>
      </c>
      <c r="AA9" s="14">
        <f ca="1">FLUID!AE52</f>
        <v>0</v>
      </c>
      <c r="AB9" s="14">
        <f ca="1">FLUID!AF52</f>
        <v>0</v>
      </c>
      <c r="AC9" s="14">
        <f ca="1">FLUID!AG52</f>
        <v>0</v>
      </c>
      <c r="AD9" s="14">
        <f ca="1">FLUID!AH52</f>
        <v>0</v>
      </c>
      <c r="AE9" s="14">
        <f ca="1">FLUID!AI52</f>
        <v>0</v>
      </c>
      <c r="AF9" s="14">
        <f ca="1">FLUID!AJ52</f>
        <v>0</v>
      </c>
      <c r="AG9" s="14">
        <f ca="1">FLUID!AK52</f>
        <v>0</v>
      </c>
      <c r="AH9" s="14">
        <f ca="1">FLUID!AL52</f>
        <v>0</v>
      </c>
      <c r="AI9" s="55"/>
      <c r="AJ9" s="55"/>
      <c r="AK9" s="55"/>
      <c r="AL9" s="55"/>
      <c r="AM9" s="55"/>
      <c r="AN9" s="55"/>
      <c r="AO9" s="55"/>
      <c r="AP9" s="55"/>
      <c r="AQ9" s="55"/>
      <c r="AR9" s="55"/>
      <c r="AS9" s="55"/>
      <c r="AT9" s="55"/>
      <c r="AU9" s="55"/>
      <c r="AV9" s="55"/>
      <c r="AW9" s="55"/>
      <c r="AX9" s="55"/>
      <c r="AY9" s="55"/>
      <c r="AZ9" s="55"/>
      <c r="BA9" s="55"/>
      <c r="BB9" s="55"/>
      <c r="BC9" s="55"/>
      <c r="BD9" s="55"/>
      <c r="BE9" s="55"/>
      <c r="BF9" s="55"/>
      <c r="BG9" s="55"/>
      <c r="BH9" s="55"/>
      <c r="BI9" s="55"/>
      <c r="BJ9" s="55"/>
      <c r="BK9" s="55"/>
      <c r="BL9" s="55"/>
      <c r="BM9" s="55"/>
      <c r="BN9" s="55"/>
      <c r="BO9" s="55"/>
      <c r="BP9" s="55"/>
      <c r="BQ9" s="55"/>
      <c r="BR9" s="55"/>
      <c r="BS9" s="55"/>
      <c r="BT9" s="55"/>
      <c r="BU9" s="55"/>
      <c r="BV9" s="55"/>
      <c r="BW9" s="55"/>
      <c r="BX9" s="55"/>
      <c r="BY9" s="55"/>
      <c r="BZ9" s="55"/>
      <c r="CA9" s="55"/>
      <c r="CB9" s="55"/>
      <c r="CC9" s="55"/>
      <c r="CD9" s="55"/>
      <c r="CE9" s="55"/>
      <c r="CF9" s="55"/>
      <c r="CG9" s="55"/>
      <c r="CH9" s="55"/>
      <c r="CI9" s="55"/>
      <c r="CJ9" s="55"/>
      <c r="CK9" s="55"/>
      <c r="CL9" s="55"/>
      <c r="CM9" s="55"/>
      <c r="CN9" s="55"/>
      <c r="CO9" s="55"/>
      <c r="CP9" s="55"/>
    </row>
    <row r="10" spans="1:94" ht="22.5" hidden="1" outlineLevel="1" thickTop="1" thickBot="1" x14ac:dyDescent="0.4">
      <c r="A10" s="36" t="str">
        <f>FLUID!E53</f>
        <v>Se</v>
      </c>
      <c r="B10" s="16">
        <f ca="1">FLUID!F53</f>
        <v>-4.8239999999999998</v>
      </c>
      <c r="C10" s="16">
        <f ca="1">FLUID!G53</f>
        <v>-5.5949999999999998</v>
      </c>
      <c r="D10" s="16">
        <f ca="1">FLUID!H53</f>
        <v>-5.7880000000000003</v>
      </c>
      <c r="E10" s="16">
        <f ca="1">FLUID!I53</f>
        <v>-5.9749999999999996</v>
      </c>
      <c r="F10" s="14">
        <f ca="1">FLUID!J53</f>
        <v>-6.1550000000000002</v>
      </c>
      <c r="G10" s="14">
        <f ca="1">FLUID!K53</f>
        <v>-6.3259999999999996</v>
      </c>
      <c r="H10" s="14">
        <f ca="1">FLUID!L53</f>
        <v>-6.8819999999999997</v>
      </c>
      <c r="I10" s="14">
        <f ca="1">FLUID!M53</f>
        <v>-7.0060000000000002</v>
      </c>
      <c r="J10" s="14">
        <f ca="1">FLUID!N53</f>
        <v>-7.1319999999999997</v>
      </c>
      <c r="K10" s="14">
        <f ca="1">FLUID!O53</f>
        <v>-7.2610000000000001</v>
      </c>
      <c r="L10" s="14">
        <f ca="1">FLUID!P53</f>
        <v>-7.3940000000000001</v>
      </c>
      <c r="M10" s="14">
        <f ca="1">FLUID!Q53</f>
        <v>-8.0410000000000004</v>
      </c>
      <c r="N10" s="14">
        <f ca="1">FLUID!R53</f>
        <v>-8.2520000000000007</v>
      </c>
      <c r="O10" s="14">
        <f ca="1">FLUID!S53</f>
        <v>-8.4819999999999993</v>
      </c>
      <c r="P10" s="14">
        <f ca="1">FLUID!T53</f>
        <v>-8.7279999999999998</v>
      </c>
      <c r="Q10" s="14">
        <f ca="1">FLUID!U53</f>
        <v>-8.9819999999999993</v>
      </c>
      <c r="R10" s="14">
        <f ca="1">FLUID!V53</f>
        <v>-9.968</v>
      </c>
      <c r="S10" s="14">
        <f ca="1">FLUID!W53</f>
        <v>-10.83</v>
      </c>
      <c r="T10" s="14">
        <f ca="1">FLUID!X53</f>
        <v>-11.56</v>
      </c>
      <c r="U10" s="14">
        <f ca="1">FLUID!Y53</f>
        <v>0</v>
      </c>
      <c r="V10" s="14">
        <f ca="1">FLUID!Z53</f>
        <v>0</v>
      </c>
      <c r="W10" s="14">
        <f ca="1">FLUID!AA53</f>
        <v>0</v>
      </c>
      <c r="X10" s="14">
        <f ca="1">FLUID!AB53</f>
        <v>0</v>
      </c>
      <c r="Y10" s="14">
        <f ca="1">FLUID!AC53</f>
        <v>0</v>
      </c>
      <c r="Z10" s="14">
        <f ca="1">FLUID!AD53</f>
        <v>0</v>
      </c>
      <c r="AA10" s="14">
        <f ca="1">FLUID!AE53</f>
        <v>0</v>
      </c>
      <c r="AB10" s="14">
        <f ca="1">FLUID!AF53</f>
        <v>0</v>
      </c>
      <c r="AC10" s="14">
        <f ca="1">FLUID!AG53</f>
        <v>0</v>
      </c>
      <c r="AD10" s="14">
        <f ca="1">FLUID!AH53</f>
        <v>0</v>
      </c>
      <c r="AE10" s="14">
        <f ca="1">FLUID!AI53</f>
        <v>0</v>
      </c>
      <c r="AF10" s="14">
        <f ca="1">FLUID!AJ53</f>
        <v>0</v>
      </c>
      <c r="AG10" s="14">
        <f ca="1">FLUID!AK53</f>
        <v>0</v>
      </c>
      <c r="AH10" s="14">
        <f ca="1">FLUID!AL53</f>
        <v>0</v>
      </c>
      <c r="AI10" s="55"/>
      <c r="AJ10" s="55"/>
      <c r="AK10" s="55"/>
      <c r="AL10" s="55"/>
      <c r="AM10" s="55"/>
      <c r="AN10" s="55"/>
      <c r="AO10" s="55"/>
      <c r="AP10" s="55"/>
      <c r="AQ10" s="55"/>
      <c r="AR10" s="55"/>
      <c r="AS10" s="55"/>
      <c r="AT10" s="55"/>
      <c r="AU10" s="55"/>
      <c r="AV10" s="55"/>
      <c r="AW10" s="55"/>
      <c r="AX10" s="55"/>
      <c r="AY10" s="55"/>
      <c r="AZ10" s="55"/>
      <c r="BA10" s="55"/>
      <c r="BB10" s="55"/>
      <c r="BC10" s="55"/>
      <c r="BD10" s="55"/>
      <c r="BE10" s="55"/>
      <c r="BF10" s="55"/>
      <c r="BG10" s="55"/>
      <c r="BH10" s="55"/>
      <c r="BI10" s="55"/>
      <c r="BJ10" s="55"/>
      <c r="BK10" s="55"/>
      <c r="BL10" s="55"/>
      <c r="BM10" s="55"/>
      <c r="BN10" s="55"/>
      <c r="BO10" s="55"/>
      <c r="BP10" s="55"/>
      <c r="BQ10" s="55"/>
      <c r="BR10" s="55"/>
      <c r="BS10" s="55"/>
      <c r="BT10" s="55"/>
      <c r="BU10" s="55"/>
      <c r="BV10" s="55"/>
      <c r="BW10" s="55"/>
      <c r="BX10" s="55"/>
      <c r="BY10" s="55"/>
      <c r="BZ10" s="55"/>
      <c r="CA10" s="55"/>
      <c r="CB10" s="55"/>
      <c r="CC10" s="55"/>
      <c r="CD10" s="55"/>
      <c r="CE10" s="55"/>
      <c r="CF10" s="55"/>
      <c r="CG10" s="55"/>
      <c r="CH10" s="55"/>
      <c r="CI10" s="55"/>
      <c r="CJ10" s="55"/>
      <c r="CK10" s="55"/>
      <c r="CL10" s="55"/>
      <c r="CM10" s="55"/>
      <c r="CN10" s="55"/>
      <c r="CO10" s="55"/>
      <c r="CP10" s="55"/>
    </row>
    <row r="11" spans="1:94" ht="22.5" hidden="1" outlineLevel="1" thickTop="1" thickBot="1" x14ac:dyDescent="0.4">
      <c r="A11" s="36" t="str">
        <f>FLUID!E54</f>
        <v>Ga2Se</v>
      </c>
      <c r="B11" s="16">
        <f ca="1">FLUID!F54</f>
        <v>-17.316000000000003</v>
      </c>
      <c r="C11" s="16">
        <f ca="1">FLUID!G54</f>
        <v>-19.890999999999998</v>
      </c>
      <c r="D11" s="16">
        <f ca="1">FLUID!H54</f>
        <v>-20.475999999999999</v>
      </c>
      <c r="E11" s="16">
        <f ca="1">FLUID!I54</f>
        <v>-21.036999999999999</v>
      </c>
      <c r="F11" s="14">
        <f ca="1">FLUID!J54</f>
        <v>-21.587</v>
      </c>
      <c r="G11" s="14">
        <f ca="1">FLUID!K54</f>
        <v>-22.14</v>
      </c>
      <c r="H11" s="14">
        <f ca="1">FLUID!L54</f>
        <v>-24.841999999999999</v>
      </c>
      <c r="I11" s="14">
        <f ca="1">FLUID!M54</f>
        <v>-25.64</v>
      </c>
      <c r="J11" s="14">
        <f ca="1">FLUID!N54</f>
        <v>-26.426000000000002</v>
      </c>
      <c r="K11" s="14">
        <f ca="1">FLUID!O54</f>
        <v>-27.186999999999998</v>
      </c>
      <c r="L11" s="14">
        <f ca="1">FLUID!P54</f>
        <v>-27.914000000000001</v>
      </c>
      <c r="M11" s="14">
        <f ca="1">FLUID!Q54</f>
        <v>-30.600999999999999</v>
      </c>
      <c r="N11" s="14">
        <f ca="1">FLUID!R54</f>
        <v>-31.231999999999999</v>
      </c>
      <c r="O11" s="14">
        <f ca="1">FLUID!S54</f>
        <v>-31.802</v>
      </c>
      <c r="P11" s="14">
        <f ca="1">FLUID!T54</f>
        <v>-32.347999999999999</v>
      </c>
      <c r="Q11" s="14">
        <f ca="1">FLUID!U54</f>
        <v>-32.861999999999995</v>
      </c>
      <c r="R11" s="14">
        <f ca="1">FLUID!V54</f>
        <v>-34.647999999999996</v>
      </c>
      <c r="S11" s="14">
        <f ca="1">FLUID!W54</f>
        <v>-36.130000000000003</v>
      </c>
      <c r="T11" s="14">
        <f ca="1">FLUID!X54</f>
        <v>-37.4</v>
      </c>
      <c r="U11" s="14">
        <f ca="1">FLUID!Y54</f>
        <v>0</v>
      </c>
      <c r="V11" s="14">
        <f ca="1">FLUID!Z54</f>
        <v>0</v>
      </c>
      <c r="W11" s="14">
        <f ca="1">FLUID!AA54</f>
        <v>0</v>
      </c>
      <c r="X11" s="14">
        <f ca="1">FLUID!AB54</f>
        <v>0</v>
      </c>
      <c r="Y11" s="14">
        <f ca="1">FLUID!AC54</f>
        <v>0</v>
      </c>
      <c r="Z11" s="14">
        <f ca="1">FLUID!AD54</f>
        <v>0</v>
      </c>
      <c r="AA11" s="14">
        <f ca="1">FLUID!AE54</f>
        <v>0</v>
      </c>
      <c r="AB11" s="14">
        <f ca="1">FLUID!AF54</f>
        <v>0</v>
      </c>
      <c r="AC11" s="14">
        <f ca="1">FLUID!AG54</f>
        <v>0</v>
      </c>
      <c r="AD11" s="14">
        <f ca="1">FLUID!AH54</f>
        <v>0</v>
      </c>
      <c r="AE11" s="14">
        <f ca="1">FLUID!AI54</f>
        <v>0</v>
      </c>
      <c r="AF11" s="14">
        <f ca="1">FLUID!AJ54</f>
        <v>0</v>
      </c>
      <c r="AG11" s="14">
        <f ca="1">FLUID!AK54</f>
        <v>0</v>
      </c>
      <c r="AH11" s="14">
        <f ca="1">FLUID!AL54</f>
        <v>0</v>
      </c>
      <c r="AI11" s="55"/>
      <c r="AJ11" s="55"/>
      <c r="AK11" s="55"/>
      <c r="AL11" s="55"/>
      <c r="AM11" s="55"/>
      <c r="AN11" s="55"/>
      <c r="AO11" s="55"/>
      <c r="AP11" s="55"/>
      <c r="AQ11" s="55"/>
      <c r="AR11" s="55"/>
      <c r="AS11" s="55"/>
      <c r="AT11" s="55"/>
      <c r="AU11" s="55"/>
      <c r="AV11" s="55"/>
      <c r="AW11" s="55"/>
      <c r="AX11" s="55"/>
      <c r="AY11" s="55"/>
      <c r="AZ11" s="55"/>
      <c r="BA11" s="55"/>
      <c r="BB11" s="55"/>
      <c r="BC11" s="55"/>
      <c r="BD11" s="55"/>
      <c r="BE11" s="55"/>
      <c r="BF11" s="55"/>
      <c r="BG11" s="55"/>
      <c r="BH11" s="55"/>
      <c r="BI11" s="55"/>
      <c r="BJ11" s="55"/>
      <c r="BK11" s="55"/>
      <c r="BL11" s="55"/>
      <c r="BM11" s="55"/>
      <c r="BN11" s="55"/>
      <c r="BO11" s="55"/>
      <c r="BP11" s="55"/>
      <c r="BQ11" s="55"/>
      <c r="BR11" s="55"/>
      <c r="BS11" s="55"/>
      <c r="BT11" s="55"/>
      <c r="BU11" s="55"/>
      <c r="BV11" s="55"/>
      <c r="BW11" s="55"/>
      <c r="BX11" s="55"/>
      <c r="BY11" s="55"/>
      <c r="BZ11" s="55"/>
      <c r="CA11" s="55"/>
      <c r="CB11" s="55"/>
      <c r="CC11" s="55"/>
      <c r="CD11" s="55"/>
      <c r="CE11" s="55"/>
      <c r="CF11" s="55"/>
      <c r="CG11" s="55"/>
      <c r="CH11" s="55"/>
      <c r="CI11" s="55"/>
      <c r="CJ11" s="55"/>
      <c r="CK11" s="55"/>
      <c r="CL11" s="55"/>
      <c r="CM11" s="55"/>
      <c r="CN11" s="55"/>
      <c r="CO11" s="55"/>
      <c r="CP11" s="55"/>
    </row>
    <row r="12" spans="1:94" ht="22.5" hidden="1" outlineLevel="1" thickTop="1" thickBot="1" x14ac:dyDescent="0.4">
      <c r="A12" s="36" t="str">
        <f>FLUID!E55</f>
        <v>Ar</v>
      </c>
      <c r="B12" s="16">
        <f ca="1">FLUID!F55</f>
        <v>-18.61</v>
      </c>
      <c r="C12" s="16">
        <f ca="1">FLUID!G55</f>
        <v>-18.760000000000002</v>
      </c>
      <c r="D12" s="16">
        <f ca="1">FLUID!H55</f>
        <v>-18.829999999999998</v>
      </c>
      <c r="E12" s="16">
        <f ca="1">FLUID!I55</f>
        <v>-18.899999999999999</v>
      </c>
      <c r="F12" s="14">
        <f ca="1">FLUID!J55</f>
        <v>-18.97</v>
      </c>
      <c r="G12" s="14">
        <f ca="1">FLUID!K55</f>
        <v>-19.059999999999999</v>
      </c>
      <c r="H12" s="14">
        <f ca="1">FLUID!L55</f>
        <v>-19.54</v>
      </c>
      <c r="I12" s="14">
        <f ca="1">FLUID!M55</f>
        <v>-19.649999999999999</v>
      </c>
      <c r="J12" s="14">
        <f ca="1">FLUID!N55</f>
        <v>-19.760000000000002</v>
      </c>
      <c r="K12" s="14">
        <f ca="1">FLUID!O55</f>
        <v>-19.850000000000001</v>
      </c>
      <c r="L12" s="14">
        <f ca="1">FLUID!P55</f>
        <v>-19.95</v>
      </c>
      <c r="M12" s="14">
        <f ca="1">FLUID!Q55</f>
        <v>-20.420000000000002</v>
      </c>
      <c r="N12" s="14">
        <f ca="1">FLUID!R55</f>
        <v>-20.54</v>
      </c>
      <c r="O12" s="14">
        <f ca="1">FLUID!S55</f>
        <v>-20.66</v>
      </c>
      <c r="P12" s="14">
        <f ca="1">FLUID!T55</f>
        <v>-20.76</v>
      </c>
      <c r="Q12" s="14">
        <f ca="1">FLUID!U55</f>
        <v>-20.85</v>
      </c>
      <c r="R12" s="14">
        <f ca="1">FLUID!V55</f>
        <v>-21.12</v>
      </c>
      <c r="S12" s="14">
        <f ca="1">FLUID!W55</f>
        <v>-21.34</v>
      </c>
      <c r="T12" s="14">
        <f ca="1">FLUID!X55</f>
        <v>-21.53</v>
      </c>
      <c r="U12" s="14">
        <f ca="1">FLUID!Y55</f>
        <v>0</v>
      </c>
      <c r="V12" s="14">
        <f ca="1">FLUID!Z55</f>
        <v>0</v>
      </c>
      <c r="W12" s="14">
        <f ca="1">FLUID!AA55</f>
        <v>0</v>
      </c>
      <c r="X12" s="14">
        <f ca="1">FLUID!AB55</f>
        <v>0</v>
      </c>
      <c r="Y12" s="14">
        <f ca="1">FLUID!AC55</f>
        <v>0</v>
      </c>
      <c r="Z12" s="14">
        <f ca="1">FLUID!AD55</f>
        <v>0</v>
      </c>
      <c r="AA12" s="14">
        <f ca="1">FLUID!AE55</f>
        <v>0</v>
      </c>
      <c r="AB12" s="14">
        <f ca="1">FLUID!AF55</f>
        <v>0</v>
      </c>
      <c r="AC12" s="14">
        <f ca="1">FLUID!AG55</f>
        <v>0</v>
      </c>
      <c r="AD12" s="14">
        <f ca="1">FLUID!AH55</f>
        <v>0</v>
      </c>
      <c r="AE12" s="14">
        <f ca="1">FLUID!AI55</f>
        <v>0</v>
      </c>
      <c r="AF12" s="14">
        <f ca="1">FLUID!AJ55</f>
        <v>0</v>
      </c>
      <c r="AG12" s="14">
        <f ca="1">FLUID!AK55</f>
        <v>0</v>
      </c>
      <c r="AH12" s="14">
        <f ca="1">FLUID!AL55</f>
        <v>0</v>
      </c>
      <c r="AI12" s="55"/>
      <c r="AJ12" s="55"/>
      <c r="AK12" s="55"/>
      <c r="AL12" s="55"/>
      <c r="AM12" s="55"/>
      <c r="AN12" s="55"/>
      <c r="AO12" s="55"/>
      <c r="AP12" s="55"/>
      <c r="AQ12" s="55"/>
      <c r="AR12" s="55"/>
      <c r="AS12" s="55"/>
      <c r="AT12" s="55"/>
      <c r="AU12" s="55"/>
      <c r="AV12" s="55"/>
      <c r="AW12" s="55"/>
      <c r="AX12" s="55"/>
      <c r="AY12" s="55"/>
      <c r="AZ12" s="55"/>
      <c r="BA12" s="55"/>
      <c r="BB12" s="55"/>
      <c r="BC12" s="55"/>
      <c r="BD12" s="55"/>
      <c r="BE12" s="55"/>
      <c r="BF12" s="55"/>
      <c r="BG12" s="55"/>
      <c r="BH12" s="55"/>
      <c r="BI12" s="55"/>
      <c r="BJ12" s="55"/>
      <c r="BK12" s="55"/>
      <c r="BL12" s="55"/>
      <c r="BM12" s="55"/>
      <c r="BN12" s="55"/>
      <c r="BO12" s="55"/>
      <c r="BP12" s="55"/>
      <c r="BQ12" s="55"/>
      <c r="BR12" s="55"/>
      <c r="BS12" s="55"/>
      <c r="BT12" s="55"/>
      <c r="BU12" s="55"/>
      <c r="BV12" s="55"/>
      <c r="BW12" s="55"/>
      <c r="BX12" s="55"/>
      <c r="BY12" s="55"/>
      <c r="BZ12" s="55"/>
      <c r="CA12" s="55"/>
      <c r="CB12" s="55"/>
      <c r="CC12" s="55"/>
      <c r="CD12" s="55"/>
      <c r="CE12" s="55"/>
      <c r="CF12" s="55"/>
      <c r="CG12" s="55"/>
      <c r="CH12" s="55"/>
      <c r="CI12" s="55"/>
      <c r="CJ12" s="55"/>
      <c r="CK12" s="55"/>
      <c r="CL12" s="55"/>
      <c r="CM12" s="55"/>
      <c r="CN12" s="55"/>
      <c r="CO12" s="55"/>
      <c r="CP12" s="55"/>
    </row>
    <row r="13" spans="1:94" ht="22.5" hidden="1" outlineLevel="1" thickTop="1" thickBot="1" x14ac:dyDescent="0.4">
      <c r="A13" s="36" t="str">
        <f>FLUID!E56</f>
        <v>(l)Ga[l]</v>
      </c>
      <c r="B13" s="16">
        <f ca="1">FLUID!F56</f>
        <v>-6.2460000000000004</v>
      </c>
      <c r="C13" s="16">
        <f ca="1">FLUID!G56</f>
        <v>-7.1479999999999997</v>
      </c>
      <c r="D13" s="16">
        <f ca="1">FLUID!H56</f>
        <v>-7.3440000000000003</v>
      </c>
      <c r="E13" s="16">
        <f ca="1">FLUID!I56</f>
        <v>-7.5309999999999997</v>
      </c>
      <c r="F13" s="14">
        <f ca="1">FLUID!J56</f>
        <v>-7.7160000000000002</v>
      </c>
      <c r="G13" s="14">
        <f ca="1">FLUID!K56</f>
        <v>-7.907</v>
      </c>
      <c r="H13" s="14">
        <f ca="1">FLUID!L56</f>
        <v>-8.98</v>
      </c>
      <c r="I13" s="14">
        <f ca="1">FLUID!M56</f>
        <v>-9.3170000000000002</v>
      </c>
      <c r="J13" s="14">
        <f ca="1">FLUID!N56</f>
        <v>-9.6470000000000002</v>
      </c>
      <c r="K13" s="14">
        <f ca="1">FLUID!O56</f>
        <v>-9.9629999999999992</v>
      </c>
      <c r="L13" s="14">
        <f ca="1">FLUID!P56</f>
        <v>-10.26</v>
      </c>
      <c r="M13" s="14">
        <f ca="1">FLUID!Q56</f>
        <v>-11.28</v>
      </c>
      <c r="N13" s="14">
        <f ca="1">FLUID!R56</f>
        <v>-11.49</v>
      </c>
      <c r="O13" s="14">
        <f ca="1">FLUID!S56</f>
        <v>-11.66</v>
      </c>
      <c r="P13" s="14">
        <f ca="1">FLUID!T56</f>
        <v>-11.81</v>
      </c>
      <c r="Q13" s="14">
        <f ca="1">FLUID!U56</f>
        <v>-11.94</v>
      </c>
      <c r="R13" s="14">
        <f ca="1">FLUID!V56</f>
        <v>-12.34</v>
      </c>
      <c r="S13" s="14">
        <f ca="1">FLUID!W56</f>
        <v>-12.65</v>
      </c>
      <c r="T13" s="14">
        <f ca="1">FLUID!X56</f>
        <v>-12.92</v>
      </c>
      <c r="U13" s="14">
        <f ca="1">FLUID!Y56</f>
        <v>0</v>
      </c>
      <c r="V13" s="14">
        <f ca="1">FLUID!Z56</f>
        <v>0</v>
      </c>
      <c r="W13" s="14">
        <f ca="1">FLUID!AA56</f>
        <v>0</v>
      </c>
      <c r="X13" s="14">
        <f ca="1">FLUID!AB56</f>
        <v>0</v>
      </c>
      <c r="Y13" s="14">
        <f ca="1">FLUID!AC56</f>
        <v>0</v>
      </c>
      <c r="Z13" s="14">
        <f ca="1">FLUID!AD56</f>
        <v>0</v>
      </c>
      <c r="AA13" s="14">
        <f ca="1">FLUID!AE56</f>
        <v>0</v>
      </c>
      <c r="AB13" s="14">
        <f ca="1">FLUID!AF56</f>
        <v>0</v>
      </c>
      <c r="AC13" s="14">
        <f ca="1">FLUID!AG56</f>
        <v>0</v>
      </c>
      <c r="AD13" s="14">
        <f ca="1">FLUID!AH56</f>
        <v>0</v>
      </c>
      <c r="AE13" s="14">
        <f ca="1">FLUID!AI56</f>
        <v>0</v>
      </c>
      <c r="AF13" s="14">
        <f ca="1">FLUID!AJ56</f>
        <v>0</v>
      </c>
      <c r="AG13" s="14">
        <f ca="1">FLUID!AK56</f>
        <v>0</v>
      </c>
      <c r="AH13" s="14">
        <f ca="1">FLUID!AL56</f>
        <v>0</v>
      </c>
      <c r="AI13" s="55"/>
      <c r="AJ13" s="55"/>
      <c r="AK13" s="55"/>
      <c r="AL13" s="55"/>
      <c r="AM13" s="55"/>
      <c r="AN13" s="55"/>
      <c r="AO13" s="55"/>
      <c r="AP13" s="55"/>
      <c r="AQ13" s="55"/>
      <c r="AR13" s="55"/>
      <c r="AS13" s="55"/>
      <c r="AT13" s="55"/>
      <c r="AU13" s="55"/>
      <c r="AV13" s="55"/>
      <c r="AW13" s="55"/>
      <c r="AX13" s="55"/>
      <c r="AY13" s="55"/>
      <c r="AZ13" s="55"/>
      <c r="BA13" s="55"/>
      <c r="BB13" s="55"/>
      <c r="BC13" s="55"/>
      <c r="BD13" s="55"/>
      <c r="BE13" s="55"/>
      <c r="BF13" s="55"/>
      <c r="BG13" s="55"/>
      <c r="BH13" s="55"/>
      <c r="BI13" s="55"/>
      <c r="BJ13" s="55"/>
      <c r="BK13" s="55"/>
      <c r="BL13" s="55"/>
      <c r="BM13" s="55"/>
      <c r="BN13" s="55"/>
      <c r="BO13" s="55"/>
      <c r="BP13" s="55"/>
      <c r="BQ13" s="55"/>
      <c r="BR13" s="55"/>
      <c r="BS13" s="55"/>
      <c r="BT13" s="55"/>
      <c r="BU13" s="55"/>
      <c r="BV13" s="55"/>
      <c r="BW13" s="55"/>
      <c r="BX13" s="55"/>
      <c r="BY13" s="55"/>
      <c r="BZ13" s="55"/>
      <c r="CA13" s="55"/>
      <c r="CB13" s="55"/>
      <c r="CC13" s="55"/>
      <c r="CD13" s="55"/>
      <c r="CE13" s="55"/>
      <c r="CF13" s="55"/>
      <c r="CG13" s="55"/>
      <c r="CH13" s="55"/>
      <c r="CI13" s="55"/>
      <c r="CJ13" s="55"/>
      <c r="CK13" s="55"/>
      <c r="CL13" s="55"/>
      <c r="CM13" s="55"/>
      <c r="CN13" s="55"/>
      <c r="CO13" s="55"/>
      <c r="CP13" s="55"/>
    </row>
    <row r="14" spans="1:94" ht="22.5" hidden="1" outlineLevel="1" thickTop="1" thickBot="1" x14ac:dyDescent="0.4">
      <c r="A14" s="36" t="str">
        <f>FLUID!E57</f>
        <v>(l)Ge[l]</v>
      </c>
      <c r="B14" s="16">
        <f ca="1">FLUID!F57</f>
        <v>5.367</v>
      </c>
      <c r="C14" s="16">
        <f ca="1">FLUID!G57</f>
        <v>0.73660000000000003</v>
      </c>
      <c r="D14" s="16">
        <f ca="1">FLUID!H57</f>
        <v>-5.534E-2</v>
      </c>
      <c r="E14" s="16">
        <f ca="1">FLUID!I57</f>
        <v>-0.75560000000000005</v>
      </c>
      <c r="F14" s="14">
        <f ca="1">FLUID!J57</f>
        <v>-1.3779999999999999</v>
      </c>
      <c r="G14" s="14">
        <f ca="1">FLUID!K57</f>
        <v>-1.93</v>
      </c>
      <c r="H14" s="14">
        <f ca="1">FLUID!L57</f>
        <v>-3.5449999999999999</v>
      </c>
      <c r="I14" s="14">
        <f ca="1">FLUID!M57</f>
        <v>-3.8580000000000001</v>
      </c>
      <c r="J14" s="14">
        <f ca="1">FLUID!N57</f>
        <v>-4.1520000000000001</v>
      </c>
      <c r="K14" s="14">
        <f ca="1">FLUID!O57</f>
        <v>-4.423</v>
      </c>
      <c r="L14" s="14">
        <f ca="1">FLUID!P57</f>
        <v>-4.6680000000000001</v>
      </c>
      <c r="M14" s="14">
        <f ca="1">FLUID!Q57</f>
        <v>-5.2690000000000001</v>
      </c>
      <c r="N14" s="14">
        <f ca="1">FLUID!R57</f>
        <v>-5.3449999999999998</v>
      </c>
      <c r="O14" s="14">
        <f ca="1">FLUID!S57</f>
        <v>-5.4130000000000003</v>
      </c>
      <c r="P14" s="14">
        <f ca="1">FLUID!T57</f>
        <v>-5.4939999999999998</v>
      </c>
      <c r="Q14" s="14">
        <f ca="1">FLUID!U57</f>
        <v>-5.5880000000000001</v>
      </c>
      <c r="R14" s="14">
        <f ca="1">FLUID!V57</f>
        <v>-6.0519999999999996</v>
      </c>
      <c r="S14" s="14">
        <f ca="1">FLUID!W57</f>
        <v>-6.5549999999999997</v>
      </c>
      <c r="T14" s="14">
        <f ca="1">FLUID!X57</f>
        <v>-7.0309999999999997</v>
      </c>
      <c r="U14" s="14">
        <f ca="1">FLUID!Y57</f>
        <v>0</v>
      </c>
      <c r="V14" s="14">
        <f ca="1">FLUID!Z57</f>
        <v>0</v>
      </c>
      <c r="W14" s="14">
        <f ca="1">FLUID!AA57</f>
        <v>0</v>
      </c>
      <c r="X14" s="14">
        <f ca="1">FLUID!AB57</f>
        <v>0</v>
      </c>
      <c r="Y14" s="14">
        <f ca="1">FLUID!AC57</f>
        <v>0</v>
      </c>
      <c r="Z14" s="14">
        <f ca="1">FLUID!AD57</f>
        <v>0</v>
      </c>
      <c r="AA14" s="14">
        <f ca="1">FLUID!AE57</f>
        <v>0</v>
      </c>
      <c r="AB14" s="14">
        <f ca="1">FLUID!AF57</f>
        <v>0</v>
      </c>
      <c r="AC14" s="14">
        <f ca="1">FLUID!AG57</f>
        <v>0</v>
      </c>
      <c r="AD14" s="14">
        <f ca="1">FLUID!AH57</f>
        <v>0</v>
      </c>
      <c r="AE14" s="14">
        <f ca="1">FLUID!AI57</f>
        <v>0</v>
      </c>
      <c r="AF14" s="14">
        <f ca="1">FLUID!AJ57</f>
        <v>0</v>
      </c>
      <c r="AG14" s="14">
        <f ca="1">FLUID!AK57</f>
        <v>0</v>
      </c>
      <c r="AH14" s="14">
        <f ca="1">FLUID!AL57</f>
        <v>0</v>
      </c>
      <c r="AI14" s="55"/>
      <c r="AJ14" s="55"/>
      <c r="AK14" s="55"/>
      <c r="AL14" s="55"/>
      <c r="AM14" s="55"/>
      <c r="AN14" s="55"/>
      <c r="AO14" s="55"/>
      <c r="AP14" s="55"/>
      <c r="AQ14" s="55"/>
      <c r="AR14" s="55"/>
      <c r="AS14" s="55"/>
      <c r="AT14" s="55"/>
      <c r="AU14" s="55"/>
      <c r="AV14" s="55"/>
      <c r="AW14" s="55"/>
      <c r="AX14" s="55"/>
      <c r="AY14" s="55"/>
      <c r="AZ14" s="55"/>
      <c r="BA14" s="55"/>
      <c r="BB14" s="55"/>
      <c r="BC14" s="55"/>
      <c r="BD14" s="55"/>
      <c r="BE14" s="55"/>
      <c r="BF14" s="55"/>
      <c r="BG14" s="55"/>
      <c r="BH14" s="55"/>
      <c r="BI14" s="55"/>
      <c r="BJ14" s="55"/>
      <c r="BK14" s="55"/>
      <c r="BL14" s="55"/>
      <c r="BM14" s="55"/>
      <c r="BN14" s="55"/>
      <c r="BO14" s="55"/>
      <c r="BP14" s="55"/>
      <c r="BQ14" s="55"/>
      <c r="BR14" s="55"/>
      <c r="BS14" s="55"/>
      <c r="BT14" s="55"/>
      <c r="BU14" s="55"/>
      <c r="BV14" s="55"/>
      <c r="BW14" s="55"/>
      <c r="BX14" s="55"/>
      <c r="BY14" s="55"/>
      <c r="BZ14" s="55"/>
      <c r="CA14" s="55"/>
      <c r="CB14" s="55"/>
      <c r="CC14" s="55"/>
      <c r="CD14" s="55"/>
      <c r="CE14" s="55"/>
      <c r="CF14" s="55"/>
      <c r="CG14" s="55"/>
      <c r="CH14" s="55"/>
      <c r="CI14" s="55"/>
      <c r="CJ14" s="55"/>
      <c r="CK14" s="55"/>
      <c r="CL14" s="55"/>
      <c r="CM14" s="55"/>
      <c r="CN14" s="55"/>
      <c r="CO14" s="55"/>
      <c r="CP14" s="55"/>
    </row>
    <row r="15" spans="1:94" ht="22.5" hidden="1" outlineLevel="1" thickTop="1" thickBot="1" x14ac:dyDescent="0.4">
      <c r="A15" s="36" t="str">
        <f>FLUID!E58</f>
        <v>(l)Se[l]</v>
      </c>
      <c r="B15" s="16">
        <f ca="1">FLUID!F58</f>
        <v>-4.8239999999999998</v>
      </c>
      <c r="C15" s="16">
        <f ca="1">FLUID!G58</f>
        <v>-5.5949999999999998</v>
      </c>
      <c r="D15" s="16">
        <f ca="1">FLUID!H58</f>
        <v>-5.7880000000000003</v>
      </c>
      <c r="E15" s="16">
        <f ca="1">FLUID!I58</f>
        <v>-5.9749999999999996</v>
      </c>
      <c r="F15" s="14">
        <f ca="1">FLUID!J58</f>
        <v>-6.1550000000000002</v>
      </c>
      <c r="G15" s="14">
        <f ca="1">FLUID!K58</f>
        <v>-6.3259999999999996</v>
      </c>
      <c r="H15" s="14">
        <f ca="1">FLUID!L58</f>
        <v>-6.8819999999999997</v>
      </c>
      <c r="I15" s="14">
        <f ca="1">FLUID!M58</f>
        <v>-7.0060000000000002</v>
      </c>
      <c r="J15" s="14">
        <f ca="1">FLUID!N58</f>
        <v>-7.1319999999999997</v>
      </c>
      <c r="K15" s="14">
        <f ca="1">FLUID!O58</f>
        <v>-7.2610000000000001</v>
      </c>
      <c r="L15" s="14">
        <f ca="1">FLUID!P58</f>
        <v>-7.3940000000000001</v>
      </c>
      <c r="M15" s="14">
        <f ca="1">FLUID!Q58</f>
        <v>-8.0410000000000004</v>
      </c>
      <c r="N15" s="14">
        <f ca="1">FLUID!R58</f>
        <v>-8.2520000000000007</v>
      </c>
      <c r="O15" s="14">
        <f ca="1">FLUID!S58</f>
        <v>-8.4819999999999993</v>
      </c>
      <c r="P15" s="14">
        <f ca="1">FLUID!T58</f>
        <v>-8.7279999999999998</v>
      </c>
      <c r="Q15" s="14">
        <f ca="1">FLUID!U58</f>
        <v>-8.9819999999999993</v>
      </c>
      <c r="R15" s="14">
        <f ca="1">FLUID!V58</f>
        <v>-9.968</v>
      </c>
      <c r="S15" s="14">
        <f ca="1">FLUID!W58</f>
        <v>-10.83</v>
      </c>
      <c r="T15" s="14">
        <f ca="1">FLUID!X58</f>
        <v>-11.56</v>
      </c>
      <c r="U15" s="14">
        <f ca="1">FLUID!Y58</f>
        <v>0</v>
      </c>
      <c r="V15" s="14">
        <f ca="1">FLUID!Z58</f>
        <v>0</v>
      </c>
      <c r="W15" s="14">
        <f ca="1">FLUID!AA58</f>
        <v>0</v>
      </c>
      <c r="X15" s="14">
        <f ca="1">FLUID!AB58</f>
        <v>0</v>
      </c>
      <c r="Y15" s="14">
        <f ca="1">FLUID!AC58</f>
        <v>0</v>
      </c>
      <c r="Z15" s="14">
        <f ca="1">FLUID!AD58</f>
        <v>0</v>
      </c>
      <c r="AA15" s="14">
        <f ca="1">FLUID!AE58</f>
        <v>0</v>
      </c>
      <c r="AB15" s="14">
        <f ca="1">FLUID!AF58</f>
        <v>0</v>
      </c>
      <c r="AC15" s="14">
        <f ca="1">FLUID!AG58</f>
        <v>0</v>
      </c>
      <c r="AD15" s="14">
        <f ca="1">FLUID!AH58</f>
        <v>0</v>
      </c>
      <c r="AE15" s="14">
        <f ca="1">FLUID!AI58</f>
        <v>0</v>
      </c>
      <c r="AF15" s="14">
        <f ca="1">FLUID!AJ58</f>
        <v>0</v>
      </c>
      <c r="AG15" s="14">
        <f ca="1">FLUID!AK58</f>
        <v>0</v>
      </c>
      <c r="AH15" s="14">
        <f ca="1">FLUID!AL58</f>
        <v>0</v>
      </c>
      <c r="AI15" s="55"/>
      <c r="AJ15" s="55"/>
      <c r="AK15" s="55"/>
      <c r="AL15" s="55"/>
      <c r="AM15" s="55"/>
      <c r="AN15" s="55"/>
      <c r="AO15" s="55"/>
      <c r="AP15" s="55"/>
      <c r="AQ15" s="55"/>
      <c r="AR15" s="55"/>
      <c r="AS15" s="55"/>
      <c r="AT15" s="55"/>
      <c r="AU15" s="55"/>
      <c r="AV15" s="55"/>
      <c r="AW15" s="55"/>
      <c r="AX15" s="55"/>
      <c r="AY15" s="55"/>
      <c r="AZ15" s="55"/>
      <c r="BA15" s="55"/>
      <c r="BB15" s="55"/>
      <c r="BC15" s="55"/>
      <c r="BD15" s="55"/>
      <c r="BE15" s="55"/>
      <c r="BF15" s="55"/>
      <c r="BG15" s="55"/>
      <c r="BH15" s="55"/>
      <c r="BI15" s="55"/>
      <c r="BJ15" s="55"/>
      <c r="BK15" s="55"/>
      <c r="BL15" s="55"/>
      <c r="BM15" s="55"/>
      <c r="BN15" s="55"/>
      <c r="BO15" s="55"/>
      <c r="BP15" s="55"/>
      <c r="BQ15" s="55"/>
      <c r="BR15" s="55"/>
      <c r="BS15" s="55"/>
      <c r="BT15" s="55"/>
      <c r="BU15" s="55"/>
      <c r="BV15" s="55"/>
      <c r="BW15" s="55"/>
      <c r="BX15" s="55"/>
      <c r="BY15" s="55"/>
      <c r="BZ15" s="55"/>
      <c r="CA15" s="55"/>
      <c r="CB15" s="55"/>
      <c r="CC15" s="55"/>
      <c r="CD15" s="55"/>
      <c r="CE15" s="55"/>
      <c r="CF15" s="55"/>
      <c r="CG15" s="55"/>
      <c r="CH15" s="55"/>
      <c r="CI15" s="55"/>
      <c r="CJ15" s="55"/>
      <c r="CK15" s="55"/>
      <c r="CL15" s="55"/>
      <c r="CM15" s="55"/>
      <c r="CN15" s="55"/>
      <c r="CO15" s="55"/>
      <c r="CP15" s="55"/>
    </row>
    <row r="16" spans="1:94" ht="22.5" hidden="1" outlineLevel="1" thickTop="1" thickBot="1" x14ac:dyDescent="0.4">
      <c r="A16" s="36" t="str">
        <f>FLUID!E59</f>
        <v>H (Аг)</v>
      </c>
      <c r="B16" s="16">
        <f ca="1">FLUID!F59</f>
        <v>0</v>
      </c>
      <c r="C16" s="16">
        <f ca="1">FLUID!G59</f>
        <v>0</v>
      </c>
      <c r="D16" s="16">
        <f ca="1">FLUID!H59</f>
        <v>0</v>
      </c>
      <c r="E16" s="16">
        <f ca="1">FLUID!I59</f>
        <v>0</v>
      </c>
      <c r="F16" s="14">
        <f ca="1">FLUID!J59</f>
        <v>0</v>
      </c>
      <c r="G16" s="14">
        <f ca="1">FLUID!K59</f>
        <v>0</v>
      </c>
      <c r="H16" s="14">
        <f ca="1">FLUID!L59</f>
        <v>0</v>
      </c>
      <c r="I16" s="14">
        <f ca="1">FLUID!M59</f>
        <v>0</v>
      </c>
      <c r="J16" s="14">
        <f ca="1">FLUID!N59</f>
        <v>0</v>
      </c>
      <c r="K16" s="14">
        <f ca="1">FLUID!O59</f>
        <v>0</v>
      </c>
      <c r="L16" s="14">
        <f ca="1">FLUID!P59</f>
        <v>0</v>
      </c>
      <c r="M16" s="14">
        <f ca="1">FLUID!Q59</f>
        <v>0</v>
      </c>
      <c r="N16" s="14">
        <f ca="1">FLUID!R59</f>
        <v>0</v>
      </c>
      <c r="O16" s="14">
        <f ca="1">FLUID!S59</f>
        <v>0</v>
      </c>
      <c r="P16" s="14">
        <f ca="1">FLUID!T59</f>
        <v>0</v>
      </c>
      <c r="Q16" s="14">
        <f ca="1">FLUID!U59</f>
        <v>0</v>
      </c>
      <c r="R16" s="14">
        <f ca="1">FLUID!V59</f>
        <v>0</v>
      </c>
      <c r="S16" s="14">
        <f ca="1">FLUID!W59</f>
        <v>0</v>
      </c>
      <c r="T16" s="14">
        <f ca="1">FLUID!X59</f>
        <v>0</v>
      </c>
      <c r="U16" s="14">
        <f ca="1">FLUID!Y59</f>
        <v>0</v>
      </c>
      <c r="V16" s="14">
        <f ca="1">FLUID!Z59</f>
        <v>0</v>
      </c>
      <c r="W16" s="14">
        <f ca="1">FLUID!AA59</f>
        <v>0</v>
      </c>
      <c r="X16" s="14">
        <f ca="1">FLUID!AB59</f>
        <v>0</v>
      </c>
      <c r="Y16" s="14">
        <f ca="1">FLUID!AC59</f>
        <v>0</v>
      </c>
      <c r="Z16" s="14">
        <f ca="1">FLUID!AD59</f>
        <v>0</v>
      </c>
      <c r="AA16" s="14">
        <f ca="1">FLUID!AE59</f>
        <v>0</v>
      </c>
      <c r="AB16" s="14">
        <f ca="1">FLUID!AF59</f>
        <v>0</v>
      </c>
      <c r="AC16" s="14">
        <f ca="1">FLUID!AG59</f>
        <v>0</v>
      </c>
      <c r="AD16" s="14">
        <f ca="1">FLUID!AH59</f>
        <v>0</v>
      </c>
      <c r="AE16" s="14">
        <f ca="1">FLUID!AI59</f>
        <v>0</v>
      </c>
      <c r="AF16" s="14">
        <f ca="1">FLUID!AJ59</f>
        <v>0</v>
      </c>
      <c r="AG16" s="14">
        <f ca="1">FLUID!AK59</f>
        <v>0</v>
      </c>
      <c r="AH16" s="14">
        <f ca="1">FLUID!AL59</f>
        <v>0</v>
      </c>
      <c r="AI16" s="55"/>
      <c r="AJ16" s="55"/>
      <c r="AK16" s="55"/>
      <c r="AL16" s="55"/>
      <c r="AM16" s="55"/>
      <c r="AN16" s="55"/>
      <c r="AO16" s="55"/>
      <c r="AP16" s="55"/>
      <c r="AQ16" s="55"/>
      <c r="AR16" s="55"/>
      <c r="AS16" s="55"/>
      <c r="AT16" s="55"/>
      <c r="AU16" s="55"/>
      <c r="AV16" s="55"/>
      <c r="AW16" s="55"/>
      <c r="AX16" s="55"/>
      <c r="AY16" s="55"/>
      <c r="AZ16" s="55"/>
      <c r="BA16" s="55"/>
      <c r="BB16" s="55"/>
      <c r="BC16" s="55"/>
      <c r="BD16" s="55"/>
      <c r="BE16" s="55"/>
      <c r="BF16" s="55"/>
      <c r="BG16" s="55"/>
      <c r="BH16" s="55"/>
      <c r="BI16" s="55"/>
      <c r="BJ16" s="55"/>
      <c r="BK16" s="55"/>
      <c r="BL16" s="55"/>
      <c r="BM16" s="55"/>
      <c r="BN16" s="55"/>
      <c r="BO16" s="55"/>
      <c r="BP16" s="55"/>
      <c r="BQ16" s="55"/>
      <c r="BR16" s="55"/>
      <c r="BS16" s="55"/>
      <c r="BT16" s="55"/>
      <c r="BU16" s="55"/>
      <c r="BV16" s="55"/>
      <c r="BW16" s="55"/>
      <c r="BX16" s="55"/>
      <c r="BY16" s="55"/>
      <c r="BZ16" s="55"/>
      <c r="CA16" s="55"/>
      <c r="CB16" s="55"/>
      <c r="CC16" s="55"/>
      <c r="CD16" s="55"/>
      <c r="CE16" s="55"/>
      <c r="CF16" s="55"/>
      <c r="CG16" s="55"/>
      <c r="CH16" s="55"/>
      <c r="CI16" s="55"/>
      <c r="CJ16" s="55"/>
      <c r="CK16" s="55"/>
      <c r="CL16" s="55"/>
      <c r="CM16" s="55"/>
      <c r="CN16" s="55"/>
      <c r="CO16" s="55"/>
      <c r="CP16" s="55"/>
    </row>
    <row r="17" spans="1:94" ht="22.5" hidden="1" outlineLevel="1" thickTop="1" thickBot="1" x14ac:dyDescent="0.4">
      <c r="A17" s="36" t="str">
        <f>FLUID!E60</f>
        <v>H (Ga)</v>
      </c>
      <c r="B17" s="16">
        <f ca="1">FLUID!F60</f>
        <v>-6.2460000000000004</v>
      </c>
      <c r="C17" s="16">
        <f ca="1">FLUID!G60</f>
        <v>-7.1479999999999997</v>
      </c>
      <c r="D17" s="16">
        <f ca="1">FLUID!H60</f>
        <v>-7.3440000000000003</v>
      </c>
      <c r="E17" s="16">
        <f ca="1">FLUID!I60</f>
        <v>-7.5309999999999997</v>
      </c>
      <c r="F17" s="14">
        <f ca="1">FLUID!J60</f>
        <v>-7.7160000000000002</v>
      </c>
      <c r="G17" s="14">
        <f ca="1">FLUID!K60</f>
        <v>-7.907</v>
      </c>
      <c r="H17" s="14">
        <f ca="1">FLUID!L60</f>
        <v>-8.98</v>
      </c>
      <c r="I17" s="14">
        <f ca="1">FLUID!M60</f>
        <v>-9.3170000000000002</v>
      </c>
      <c r="J17" s="14">
        <f ca="1">FLUID!N60</f>
        <v>-9.6470000000000002</v>
      </c>
      <c r="K17" s="14">
        <f ca="1">FLUID!O60</f>
        <v>-9.9629999999999992</v>
      </c>
      <c r="L17" s="14">
        <f ca="1">FLUID!P60</f>
        <v>-10.26</v>
      </c>
      <c r="M17" s="14">
        <f ca="1">FLUID!Q60</f>
        <v>-11.28</v>
      </c>
      <c r="N17" s="14">
        <f ca="1">FLUID!R60</f>
        <v>-11.49</v>
      </c>
      <c r="O17" s="14">
        <f ca="1">FLUID!S60</f>
        <v>-11.66</v>
      </c>
      <c r="P17" s="14">
        <f ca="1">FLUID!T60</f>
        <v>-11.81</v>
      </c>
      <c r="Q17" s="14">
        <f ca="1">FLUID!U60</f>
        <v>-11.94</v>
      </c>
      <c r="R17" s="14">
        <f ca="1">FLUID!V60</f>
        <v>-12.34</v>
      </c>
      <c r="S17" s="14">
        <f ca="1">FLUID!W60</f>
        <v>-12.65</v>
      </c>
      <c r="T17" s="14">
        <f ca="1">FLUID!X60</f>
        <v>-12.92</v>
      </c>
      <c r="U17" s="14">
        <f ca="1">FLUID!Y60</f>
        <v>0</v>
      </c>
      <c r="V17" s="14">
        <f ca="1">FLUID!Z60</f>
        <v>0</v>
      </c>
      <c r="W17" s="14">
        <f ca="1">FLUID!AA60</f>
        <v>0</v>
      </c>
      <c r="X17" s="14">
        <f ca="1">FLUID!AB60</f>
        <v>0</v>
      </c>
      <c r="Y17" s="14">
        <f ca="1">FLUID!AC60</f>
        <v>0</v>
      </c>
      <c r="Z17" s="14">
        <f ca="1">FLUID!AD60</f>
        <v>0</v>
      </c>
      <c r="AA17" s="14">
        <f ca="1">FLUID!AE60</f>
        <v>0</v>
      </c>
      <c r="AB17" s="14">
        <f ca="1">FLUID!AF60</f>
        <v>0</v>
      </c>
      <c r="AC17" s="14">
        <f ca="1">FLUID!AG60</f>
        <v>0</v>
      </c>
      <c r="AD17" s="14">
        <f ca="1">FLUID!AH60</f>
        <v>0</v>
      </c>
      <c r="AE17" s="14">
        <f ca="1">FLUID!AI60</f>
        <v>0</v>
      </c>
      <c r="AF17" s="14">
        <f ca="1">FLUID!AJ60</f>
        <v>0</v>
      </c>
      <c r="AG17" s="14">
        <f ca="1">FLUID!AK60</f>
        <v>0</v>
      </c>
      <c r="AH17" s="14">
        <f ca="1">FLUID!AL60</f>
        <v>0</v>
      </c>
      <c r="AI17" s="55"/>
      <c r="AJ17" s="55"/>
      <c r="AK17" s="55"/>
      <c r="AL17" s="55"/>
      <c r="AM17" s="55"/>
      <c r="AN17" s="55"/>
      <c r="AO17" s="55"/>
      <c r="AP17" s="55"/>
      <c r="AQ17" s="55"/>
      <c r="AR17" s="55"/>
      <c r="AS17" s="55"/>
      <c r="AT17" s="55"/>
      <c r="AU17" s="55"/>
      <c r="AV17" s="55"/>
      <c r="AW17" s="55"/>
      <c r="AX17" s="55"/>
      <c r="AY17" s="55"/>
      <c r="AZ17" s="55"/>
      <c r="BA17" s="55"/>
      <c r="BB17" s="55"/>
      <c r="BC17" s="55"/>
      <c r="BD17" s="55"/>
      <c r="BE17" s="55"/>
      <c r="BF17" s="55"/>
      <c r="BG17" s="55"/>
      <c r="BH17" s="55"/>
      <c r="BI17" s="55"/>
      <c r="BJ17" s="55"/>
      <c r="BK17" s="55"/>
      <c r="BL17" s="55"/>
      <c r="BM17" s="55"/>
      <c r="BN17" s="55"/>
      <c r="BO17" s="55"/>
      <c r="BP17" s="55"/>
      <c r="BQ17" s="55"/>
      <c r="BR17" s="55"/>
      <c r="BS17" s="55"/>
      <c r="BT17" s="55"/>
      <c r="BU17" s="55"/>
      <c r="BV17" s="55"/>
      <c r="BW17" s="55"/>
      <c r="BX17" s="55"/>
      <c r="BY17" s="55"/>
      <c r="BZ17" s="55"/>
      <c r="CA17" s="55"/>
      <c r="CB17" s="55"/>
      <c r="CC17" s="55"/>
      <c r="CD17" s="55"/>
      <c r="CE17" s="55"/>
      <c r="CF17" s="55"/>
      <c r="CG17" s="55"/>
      <c r="CH17" s="55"/>
      <c r="CI17" s="55"/>
      <c r="CJ17" s="55"/>
      <c r="CK17" s="55"/>
      <c r="CL17" s="55"/>
      <c r="CM17" s="55"/>
      <c r="CN17" s="55"/>
      <c r="CO17" s="55"/>
      <c r="CP17" s="55"/>
    </row>
    <row r="18" spans="1:94" ht="22.5" hidden="1" outlineLevel="1" thickTop="1" thickBot="1" x14ac:dyDescent="0.4">
      <c r="A18" s="36" t="str">
        <f>FLUID!E61</f>
        <v>H (Ge)</v>
      </c>
      <c r="B18" s="16">
        <f ca="1">FLUID!F61</f>
        <v>5.367</v>
      </c>
      <c r="C18" s="16">
        <f ca="1">FLUID!G61</f>
        <v>0.73660000000000003</v>
      </c>
      <c r="D18" s="16">
        <f ca="1">FLUID!H61</f>
        <v>-5.534E-2</v>
      </c>
      <c r="E18" s="16">
        <f ca="1">FLUID!I61</f>
        <v>-0.75560000000000005</v>
      </c>
      <c r="F18" s="14">
        <f ca="1">FLUID!J61</f>
        <v>-1.3779999999999999</v>
      </c>
      <c r="G18" s="14">
        <f ca="1">FLUID!K61</f>
        <v>-1.93</v>
      </c>
      <c r="H18" s="14">
        <f ca="1">FLUID!L61</f>
        <v>-3.5449999999999999</v>
      </c>
      <c r="I18" s="14">
        <f ca="1">FLUID!M61</f>
        <v>-3.8580000000000001</v>
      </c>
      <c r="J18" s="14">
        <f ca="1">FLUID!N61</f>
        <v>-4.1520000000000001</v>
      </c>
      <c r="K18" s="14">
        <f ca="1">FLUID!O61</f>
        <v>-4.423</v>
      </c>
      <c r="L18" s="14">
        <f ca="1">FLUID!P61</f>
        <v>-4.6680000000000001</v>
      </c>
      <c r="M18" s="14">
        <f ca="1">FLUID!Q61</f>
        <v>-5.2690000000000001</v>
      </c>
      <c r="N18" s="14">
        <f ca="1">FLUID!R61</f>
        <v>-5.3449999999999998</v>
      </c>
      <c r="O18" s="14">
        <f ca="1">FLUID!S61</f>
        <v>-5.4130000000000003</v>
      </c>
      <c r="P18" s="14">
        <f ca="1">FLUID!T61</f>
        <v>-5.4939999999999998</v>
      </c>
      <c r="Q18" s="14">
        <f ca="1">FLUID!U61</f>
        <v>-5.5880000000000001</v>
      </c>
      <c r="R18" s="14">
        <f ca="1">FLUID!V61</f>
        <v>-6.0519999999999996</v>
      </c>
      <c r="S18" s="14">
        <f ca="1">FLUID!W61</f>
        <v>-6.5549999999999997</v>
      </c>
      <c r="T18" s="14">
        <f ca="1">FLUID!X61</f>
        <v>-7.0309999999999997</v>
      </c>
      <c r="U18" s="14">
        <f ca="1">FLUID!Y61</f>
        <v>0</v>
      </c>
      <c r="V18" s="14">
        <f ca="1">FLUID!Z61</f>
        <v>0</v>
      </c>
      <c r="W18" s="14">
        <f ca="1">FLUID!AA61</f>
        <v>0</v>
      </c>
      <c r="X18" s="14">
        <f ca="1">FLUID!AB61</f>
        <v>0</v>
      </c>
      <c r="Y18" s="14">
        <f ca="1">FLUID!AC61</f>
        <v>0</v>
      </c>
      <c r="Z18" s="14">
        <f ca="1">FLUID!AD61</f>
        <v>0</v>
      </c>
      <c r="AA18" s="14">
        <f ca="1">FLUID!AE61</f>
        <v>0</v>
      </c>
      <c r="AB18" s="14">
        <f ca="1">FLUID!AF61</f>
        <v>0</v>
      </c>
      <c r="AC18" s="14">
        <f ca="1">FLUID!AG61</f>
        <v>0</v>
      </c>
      <c r="AD18" s="14">
        <f ca="1">FLUID!AH61</f>
        <v>0</v>
      </c>
      <c r="AE18" s="14">
        <f ca="1">FLUID!AI61</f>
        <v>0</v>
      </c>
      <c r="AF18" s="14">
        <f ca="1">FLUID!AJ61</f>
        <v>0</v>
      </c>
      <c r="AG18" s="14">
        <f ca="1">FLUID!AK61</f>
        <v>0</v>
      </c>
      <c r="AH18" s="14">
        <f ca="1">FLUID!AL61</f>
        <v>0</v>
      </c>
      <c r="AI18" s="55"/>
      <c r="AJ18" s="55"/>
      <c r="AK18" s="55"/>
      <c r="AL18" s="55"/>
      <c r="AM18" s="55"/>
      <c r="AN18" s="55"/>
      <c r="AO18" s="55"/>
      <c r="AP18" s="55"/>
      <c r="AQ18" s="55"/>
      <c r="AR18" s="55"/>
      <c r="AS18" s="55"/>
      <c r="AT18" s="55"/>
      <c r="AU18" s="55"/>
      <c r="AV18" s="55"/>
      <c r="AW18" s="55"/>
      <c r="AX18" s="55"/>
      <c r="AY18" s="55"/>
      <c r="AZ18" s="55"/>
      <c r="BA18" s="55"/>
      <c r="BB18" s="55"/>
      <c r="BC18" s="55"/>
      <c r="BD18" s="55"/>
      <c r="BE18" s="55"/>
      <c r="BF18" s="55"/>
      <c r="BG18" s="55"/>
      <c r="BH18" s="55"/>
      <c r="BI18" s="55"/>
      <c r="BJ18" s="55"/>
      <c r="BK18" s="55"/>
      <c r="BL18" s="55"/>
      <c r="BM18" s="55"/>
      <c r="BN18" s="55"/>
      <c r="BO18" s="55"/>
      <c r="BP18" s="55"/>
      <c r="BQ18" s="55"/>
      <c r="BR18" s="55"/>
      <c r="BS18" s="55"/>
      <c r="BT18" s="55"/>
      <c r="BU18" s="55"/>
      <c r="BV18" s="55"/>
      <c r="BW18" s="55"/>
      <c r="BX18" s="55"/>
      <c r="BY18" s="55"/>
      <c r="BZ18" s="55"/>
      <c r="CA18" s="55"/>
      <c r="CB18" s="55"/>
      <c r="CC18" s="55"/>
      <c r="CD18" s="55"/>
      <c r="CE18" s="55"/>
      <c r="CF18" s="55"/>
      <c r="CG18" s="55"/>
      <c r="CH18" s="55"/>
      <c r="CI18" s="55"/>
      <c r="CJ18" s="55"/>
      <c r="CK18" s="55"/>
      <c r="CL18" s="55"/>
      <c r="CM18" s="55"/>
      <c r="CN18" s="55"/>
      <c r="CO18" s="55"/>
      <c r="CP18" s="55"/>
    </row>
    <row r="19" spans="1:94" ht="22.5" hidden="1" customHeight="1" outlineLevel="1" thickBot="1" x14ac:dyDescent="0.4">
      <c r="A19" s="36" t="str">
        <f>FLUID!E62</f>
        <v>H (Se)</v>
      </c>
      <c r="B19" s="16">
        <f ca="1">FLUID!F62</f>
        <v>-4.8239999999999998</v>
      </c>
      <c r="C19" s="16">
        <f ca="1">FLUID!G62</f>
        <v>-5.5949999999999998</v>
      </c>
      <c r="D19" s="16">
        <f ca="1">FLUID!H62</f>
        <v>-5.7880000000000003</v>
      </c>
      <c r="E19" s="16">
        <f ca="1">FLUID!I62</f>
        <v>-5.9749999999999996</v>
      </c>
      <c r="F19" s="14">
        <f ca="1">FLUID!J62</f>
        <v>-6.1550000000000002</v>
      </c>
      <c r="G19" s="14">
        <f ca="1">FLUID!K62</f>
        <v>-6.3259999999999996</v>
      </c>
      <c r="H19" s="14">
        <f ca="1">FLUID!L62</f>
        <v>-6.8819999999999997</v>
      </c>
      <c r="I19" s="14">
        <f ca="1">FLUID!M62</f>
        <v>-7.0060000000000002</v>
      </c>
      <c r="J19" s="14">
        <f ca="1">FLUID!N62</f>
        <v>-7.1319999999999997</v>
      </c>
      <c r="K19" s="14">
        <f ca="1">FLUID!O62</f>
        <v>-7.2610000000000001</v>
      </c>
      <c r="L19" s="14">
        <f ca="1">FLUID!P62</f>
        <v>-7.3940000000000001</v>
      </c>
      <c r="M19" s="14">
        <f ca="1">FLUID!Q62</f>
        <v>-8.0410000000000004</v>
      </c>
      <c r="N19" s="14">
        <f ca="1">FLUID!R62</f>
        <v>-8.2520000000000007</v>
      </c>
      <c r="O19" s="14">
        <f ca="1">FLUID!S62</f>
        <v>-8.4819999999999993</v>
      </c>
      <c r="P19" s="14">
        <f ca="1">FLUID!T62</f>
        <v>-8.7279999999999998</v>
      </c>
      <c r="Q19" s="14">
        <f ca="1">FLUID!U62</f>
        <v>-8.9819999999999993</v>
      </c>
      <c r="R19" s="14">
        <f ca="1">FLUID!V62</f>
        <v>-9.968</v>
      </c>
      <c r="S19" s="14">
        <f ca="1">FLUID!W62</f>
        <v>-10.83</v>
      </c>
      <c r="T19" s="14">
        <f ca="1">FLUID!X62</f>
        <v>-11.56</v>
      </c>
      <c r="U19" s="14">
        <f ca="1">FLUID!Y62</f>
        <v>0</v>
      </c>
      <c r="V19" s="14">
        <f ca="1">FLUID!Z62</f>
        <v>0</v>
      </c>
      <c r="W19" s="14">
        <f ca="1">FLUID!AA62</f>
        <v>0</v>
      </c>
      <c r="X19" s="14">
        <f ca="1">FLUID!AB62</f>
        <v>0</v>
      </c>
      <c r="Y19" s="14">
        <f ca="1">FLUID!AC62</f>
        <v>0</v>
      </c>
      <c r="Z19" s="14">
        <f ca="1">FLUID!AD62</f>
        <v>0</v>
      </c>
      <c r="AA19" s="14">
        <f ca="1">FLUID!AE62</f>
        <v>0</v>
      </c>
      <c r="AB19" s="14">
        <f ca="1">FLUID!AF62</f>
        <v>0</v>
      </c>
      <c r="AC19" s="14">
        <f ca="1">FLUID!AG62</f>
        <v>0</v>
      </c>
      <c r="AD19" s="14">
        <f ca="1">FLUID!AH62</f>
        <v>0</v>
      </c>
      <c r="AE19" s="14">
        <f ca="1">FLUID!AI62</f>
        <v>0</v>
      </c>
      <c r="AF19" s="14">
        <f ca="1">FLUID!AJ62</f>
        <v>0</v>
      </c>
      <c r="AG19" s="14">
        <f ca="1">FLUID!AK62</f>
        <v>0</v>
      </c>
      <c r="AH19" s="14">
        <f ca="1">FLUID!AL62</f>
        <v>0</v>
      </c>
      <c r="AI19" s="55"/>
      <c r="AJ19" s="55"/>
      <c r="AK19" s="55"/>
      <c r="AL19" s="55"/>
      <c r="AM19" s="55"/>
      <c r="AN19" s="55"/>
      <c r="AO19" s="55"/>
      <c r="AP19" s="55"/>
      <c r="AQ19" s="55"/>
      <c r="AR19" s="55"/>
      <c r="AS19" s="55"/>
      <c r="AT19" s="55"/>
      <c r="AU19" s="55"/>
      <c r="AV19" s="55"/>
      <c r="AW19" s="55"/>
      <c r="AX19" s="55"/>
      <c r="AY19" s="55"/>
      <c r="AZ19" s="55"/>
      <c r="BA19" s="55"/>
      <c r="BB19" s="55"/>
      <c r="BC19" s="55"/>
      <c r="BD19" s="55"/>
      <c r="BE19" s="55"/>
      <c r="BF19" s="55"/>
      <c r="BG19" s="55"/>
      <c r="BH19" s="55"/>
      <c r="BI19" s="55"/>
      <c r="BJ19" s="55"/>
      <c r="BK19" s="55"/>
      <c r="BL19" s="55"/>
      <c r="BM19" s="55"/>
      <c r="BN19" s="55"/>
      <c r="BO19" s="55"/>
      <c r="BP19" s="55"/>
      <c r="BQ19" s="55"/>
      <c r="BR19" s="55"/>
      <c r="BS19" s="55"/>
      <c r="BT19" s="55"/>
      <c r="BU19" s="55"/>
      <c r="BV19" s="55"/>
      <c r="BW19" s="55"/>
      <c r="BX19" s="55"/>
      <c r="BY19" s="55"/>
      <c r="BZ19" s="55"/>
      <c r="CA19" s="55"/>
      <c r="CB19" s="55"/>
      <c r="CC19" s="55"/>
      <c r="CD19" s="55"/>
      <c r="CE19" s="55"/>
      <c r="CF19" s="55"/>
      <c r="CG19" s="55"/>
      <c r="CH19" s="55"/>
      <c r="CI19" s="55"/>
      <c r="CJ19" s="55"/>
      <c r="CK19" s="55"/>
      <c r="CL19" s="55"/>
      <c r="CM19" s="55"/>
      <c r="CN19" s="55"/>
      <c r="CO19" s="55"/>
      <c r="CP19" s="55"/>
    </row>
    <row r="20" spans="1:94" ht="22.5" hidden="1" customHeight="1" outlineLevel="1" thickBot="1" x14ac:dyDescent="0.4">
      <c r="A20" s="36">
        <f>FLUID!E63</f>
        <v>0</v>
      </c>
      <c r="B20" s="16">
        <f ca="1">FLUID!F63</f>
        <v>0</v>
      </c>
      <c r="C20" s="16">
        <f ca="1">FLUID!G63</f>
        <v>0</v>
      </c>
      <c r="D20" s="16">
        <f ca="1">FLUID!H63</f>
        <v>0</v>
      </c>
      <c r="E20" s="16">
        <f ca="1">FLUID!I63</f>
        <v>0</v>
      </c>
      <c r="F20" s="14">
        <f ca="1">FLUID!J63</f>
        <v>0</v>
      </c>
      <c r="G20" s="14">
        <f ca="1">FLUID!K63</f>
        <v>0</v>
      </c>
      <c r="H20" s="14">
        <f ca="1">FLUID!L63</f>
        <v>0</v>
      </c>
      <c r="I20" s="14">
        <f ca="1">FLUID!M63</f>
        <v>0</v>
      </c>
      <c r="J20" s="14">
        <f ca="1">FLUID!N63</f>
        <v>0</v>
      </c>
      <c r="K20" s="14">
        <f ca="1">FLUID!O63</f>
        <v>0</v>
      </c>
      <c r="L20" s="14">
        <f ca="1">FLUID!P63</f>
        <v>0</v>
      </c>
      <c r="M20" s="14">
        <f ca="1">FLUID!Q63</f>
        <v>0</v>
      </c>
      <c r="N20" s="14">
        <f ca="1">FLUID!R63</f>
        <v>0</v>
      </c>
      <c r="O20" s="14">
        <f ca="1">FLUID!S63</f>
        <v>0</v>
      </c>
      <c r="P20" s="14">
        <f ca="1">FLUID!T63</f>
        <v>0</v>
      </c>
      <c r="Q20" s="14">
        <f ca="1">FLUID!U63</f>
        <v>0</v>
      </c>
      <c r="R20" s="14">
        <f ca="1">FLUID!V63</f>
        <v>0</v>
      </c>
      <c r="S20" s="14">
        <f ca="1">FLUID!W63</f>
        <v>0</v>
      </c>
      <c r="T20" s="14">
        <f ca="1">FLUID!X63</f>
        <v>0</v>
      </c>
      <c r="U20" s="14">
        <f ca="1">FLUID!Y63</f>
        <v>0</v>
      </c>
      <c r="V20" s="14">
        <f ca="1">FLUID!Z63</f>
        <v>0</v>
      </c>
      <c r="W20" s="14">
        <f ca="1">FLUID!AA63</f>
        <v>0</v>
      </c>
      <c r="X20" s="14">
        <f ca="1">FLUID!AB63</f>
        <v>0</v>
      </c>
      <c r="Y20" s="14">
        <f ca="1">FLUID!AC63</f>
        <v>0</v>
      </c>
      <c r="Z20" s="14">
        <f ca="1">FLUID!AD63</f>
        <v>0</v>
      </c>
      <c r="AA20" s="14">
        <f ca="1">FLUID!AE63</f>
        <v>0</v>
      </c>
      <c r="AB20" s="14">
        <f ca="1">FLUID!AF63</f>
        <v>0</v>
      </c>
      <c r="AC20" s="14">
        <f ca="1">FLUID!AG63</f>
        <v>0</v>
      </c>
      <c r="AD20" s="14">
        <f ca="1">FLUID!AH63</f>
        <v>0</v>
      </c>
      <c r="AE20" s="14">
        <f ca="1">FLUID!AI63</f>
        <v>0</v>
      </c>
      <c r="AF20" s="14">
        <f ca="1">FLUID!AJ63</f>
        <v>0</v>
      </c>
      <c r="AG20" s="14">
        <f ca="1">FLUID!AK63</f>
        <v>0</v>
      </c>
      <c r="AH20" s="14">
        <f ca="1">FLUID!AL63</f>
        <v>0</v>
      </c>
      <c r="AI20" s="55"/>
      <c r="AJ20" s="55"/>
      <c r="AK20" s="55"/>
      <c r="AL20" s="55"/>
      <c r="AM20" s="55"/>
      <c r="AN20" s="55"/>
      <c r="AO20" s="55"/>
      <c r="AP20" s="55"/>
      <c r="AQ20" s="55"/>
      <c r="AR20" s="55"/>
      <c r="AS20" s="55"/>
      <c r="AT20" s="55"/>
      <c r="AU20" s="55"/>
      <c r="AV20" s="55"/>
      <c r="AW20" s="55"/>
      <c r="AX20" s="55"/>
      <c r="AY20" s="55"/>
      <c r="AZ20" s="55"/>
      <c r="BA20" s="55"/>
      <c r="BB20" s="55"/>
      <c r="BC20" s="55"/>
      <c r="BD20" s="55"/>
      <c r="BE20" s="55"/>
      <c r="BF20" s="55"/>
      <c r="BG20" s="55"/>
      <c r="BH20" s="55"/>
      <c r="BI20" s="55"/>
      <c r="BJ20" s="55"/>
      <c r="BK20" s="55"/>
      <c r="BL20" s="55"/>
      <c r="BM20" s="55"/>
      <c r="BN20" s="55"/>
      <c r="BO20" s="55"/>
      <c r="BP20" s="55"/>
      <c r="BQ20" s="55"/>
      <c r="BR20" s="55"/>
      <c r="BS20" s="55"/>
      <c r="BT20" s="55"/>
      <c r="BU20" s="55"/>
      <c r="BV20" s="55"/>
      <c r="BW20" s="55"/>
      <c r="BX20" s="55"/>
      <c r="BY20" s="55"/>
      <c r="BZ20" s="55"/>
      <c r="CA20" s="55"/>
      <c r="CB20" s="55"/>
      <c r="CC20" s="55"/>
      <c r="CD20" s="55"/>
      <c r="CE20" s="55"/>
      <c r="CF20" s="55"/>
      <c r="CG20" s="55"/>
      <c r="CH20" s="55"/>
      <c r="CI20" s="55"/>
      <c r="CJ20" s="55"/>
      <c r="CK20" s="55"/>
      <c r="CL20" s="55"/>
      <c r="CM20" s="55"/>
      <c r="CN20" s="55"/>
      <c r="CO20" s="55"/>
      <c r="CP20" s="55"/>
    </row>
    <row r="21" spans="1:94" ht="22.5" hidden="1" customHeight="1" outlineLevel="1" thickBot="1" x14ac:dyDescent="0.4">
      <c r="A21" s="36">
        <f>FLUID!E64</f>
        <v>0</v>
      </c>
      <c r="B21" s="16">
        <f ca="1">FLUID!F64</f>
        <v>0</v>
      </c>
      <c r="C21" s="16">
        <f ca="1">FLUID!G64</f>
        <v>0</v>
      </c>
      <c r="D21" s="16">
        <f ca="1">FLUID!H64</f>
        <v>0</v>
      </c>
      <c r="E21" s="16">
        <f ca="1">FLUID!I64</f>
        <v>0</v>
      </c>
      <c r="F21" s="14">
        <f ca="1">FLUID!J64</f>
        <v>0</v>
      </c>
      <c r="G21" s="14">
        <f ca="1">FLUID!K64</f>
        <v>0</v>
      </c>
      <c r="H21" s="14">
        <f ca="1">FLUID!L64</f>
        <v>0</v>
      </c>
      <c r="I21" s="14">
        <f ca="1">FLUID!M64</f>
        <v>0</v>
      </c>
      <c r="J21" s="14">
        <f ca="1">FLUID!N64</f>
        <v>0</v>
      </c>
      <c r="K21" s="14">
        <f ca="1">FLUID!O64</f>
        <v>0</v>
      </c>
      <c r="L21" s="14">
        <f ca="1">FLUID!P64</f>
        <v>0</v>
      </c>
      <c r="M21" s="14">
        <f ca="1">FLUID!Q64</f>
        <v>0</v>
      </c>
      <c r="N21" s="14">
        <f ca="1">FLUID!R64</f>
        <v>0</v>
      </c>
      <c r="O21" s="14">
        <f ca="1">FLUID!S64</f>
        <v>0</v>
      </c>
      <c r="P21" s="14">
        <f ca="1">FLUID!T64</f>
        <v>0</v>
      </c>
      <c r="Q21" s="14">
        <f ca="1">FLUID!U64</f>
        <v>0</v>
      </c>
      <c r="R21" s="14">
        <f ca="1">FLUID!V64</f>
        <v>0</v>
      </c>
      <c r="S21" s="14">
        <f ca="1">FLUID!W64</f>
        <v>0</v>
      </c>
      <c r="T21" s="14">
        <f ca="1">FLUID!X64</f>
        <v>0</v>
      </c>
      <c r="U21" s="14">
        <f ca="1">FLUID!Y64</f>
        <v>0</v>
      </c>
      <c r="V21" s="14">
        <f ca="1">FLUID!Z64</f>
        <v>0</v>
      </c>
      <c r="W21" s="14">
        <f ca="1">FLUID!AA64</f>
        <v>0</v>
      </c>
      <c r="X21" s="14">
        <f ca="1">FLUID!AB64</f>
        <v>0</v>
      </c>
      <c r="Y21" s="14">
        <f ca="1">FLUID!AC64</f>
        <v>0</v>
      </c>
      <c r="Z21" s="14">
        <f ca="1">FLUID!AD64</f>
        <v>0</v>
      </c>
      <c r="AA21" s="14">
        <f ca="1">FLUID!AE64</f>
        <v>0</v>
      </c>
      <c r="AB21" s="14">
        <f ca="1">FLUID!AF64</f>
        <v>0</v>
      </c>
      <c r="AC21" s="14">
        <f ca="1">FLUID!AG64</f>
        <v>0</v>
      </c>
      <c r="AD21" s="14">
        <f ca="1">FLUID!AH64</f>
        <v>0</v>
      </c>
      <c r="AE21" s="14">
        <f ca="1">FLUID!AI64</f>
        <v>0</v>
      </c>
      <c r="AF21" s="14">
        <f ca="1">FLUID!AJ64</f>
        <v>0</v>
      </c>
      <c r="AG21" s="14">
        <f ca="1">FLUID!AK64</f>
        <v>0</v>
      </c>
      <c r="AH21" s="14">
        <f ca="1">FLUID!AL64</f>
        <v>0</v>
      </c>
      <c r="AI21" s="55"/>
      <c r="AJ21" s="55"/>
      <c r="AK21" s="55"/>
      <c r="AL21" s="55"/>
      <c r="AM21" s="55"/>
      <c r="AN21" s="55"/>
      <c r="AO21" s="55"/>
      <c r="AP21" s="55"/>
      <c r="AQ21" s="55"/>
      <c r="AR21" s="55"/>
      <c r="AS21" s="55"/>
      <c r="AT21" s="55"/>
      <c r="AU21" s="55"/>
      <c r="AV21" s="55"/>
      <c r="AW21" s="55"/>
      <c r="AX21" s="55"/>
      <c r="AY21" s="55"/>
      <c r="AZ21" s="55"/>
      <c r="BA21" s="55"/>
      <c r="BB21" s="55"/>
      <c r="BC21" s="55"/>
      <c r="BD21" s="55"/>
      <c r="BE21" s="55"/>
      <c r="BF21" s="55"/>
      <c r="BG21" s="55"/>
      <c r="BH21" s="55"/>
      <c r="BI21" s="55"/>
      <c r="BJ21" s="55"/>
      <c r="BK21" s="55"/>
      <c r="BL21" s="55"/>
      <c r="BM21" s="55"/>
      <c r="BN21" s="55"/>
      <c r="BO21" s="55"/>
      <c r="BP21" s="55"/>
      <c r="BQ21" s="55"/>
      <c r="BR21" s="55"/>
      <c r="BS21" s="55"/>
      <c r="BT21" s="55"/>
      <c r="BU21" s="55"/>
      <c r="BV21" s="55"/>
      <c r="BW21" s="55"/>
      <c r="BX21" s="55"/>
      <c r="BY21" s="55"/>
      <c r="BZ21" s="55"/>
      <c r="CA21" s="55"/>
      <c r="CB21" s="55"/>
      <c r="CC21" s="55"/>
      <c r="CD21" s="55"/>
      <c r="CE21" s="55"/>
      <c r="CF21" s="55"/>
      <c r="CG21" s="55"/>
      <c r="CH21" s="55"/>
      <c r="CI21" s="55"/>
      <c r="CJ21" s="55"/>
      <c r="CK21" s="55"/>
      <c r="CL21" s="55"/>
      <c r="CM21" s="55"/>
      <c r="CN21" s="55"/>
      <c r="CO21" s="55"/>
      <c r="CP21" s="55"/>
    </row>
    <row r="22" spans="1:94" ht="22.5" hidden="1" customHeight="1" outlineLevel="1" thickBot="1" x14ac:dyDescent="0.4">
      <c r="A22" s="36">
        <f>FLUID!E65</f>
        <v>0</v>
      </c>
      <c r="B22" s="16">
        <f ca="1">FLUID!F65</f>
        <v>0</v>
      </c>
      <c r="C22" s="16">
        <f ca="1">FLUID!G65</f>
        <v>0</v>
      </c>
      <c r="D22" s="16">
        <f ca="1">FLUID!H65</f>
        <v>0</v>
      </c>
      <c r="E22" s="16">
        <f ca="1">FLUID!I65</f>
        <v>0</v>
      </c>
      <c r="F22" s="14">
        <f ca="1">FLUID!J65</f>
        <v>0</v>
      </c>
      <c r="G22" s="14">
        <f ca="1">FLUID!K65</f>
        <v>0</v>
      </c>
      <c r="H22" s="14">
        <f ca="1">FLUID!L65</f>
        <v>0</v>
      </c>
      <c r="I22" s="14">
        <f ca="1">FLUID!M65</f>
        <v>0</v>
      </c>
      <c r="J22" s="14">
        <f ca="1">FLUID!N65</f>
        <v>0</v>
      </c>
      <c r="K22" s="14">
        <f ca="1">FLUID!O65</f>
        <v>0</v>
      </c>
      <c r="L22" s="14">
        <f ca="1">FLUID!P65</f>
        <v>0</v>
      </c>
      <c r="M22" s="14">
        <f ca="1">FLUID!Q65</f>
        <v>0</v>
      </c>
      <c r="N22" s="14">
        <f ca="1">FLUID!R65</f>
        <v>0</v>
      </c>
      <c r="O22" s="14">
        <f ca="1">FLUID!S65</f>
        <v>0</v>
      </c>
      <c r="P22" s="14">
        <f ca="1">FLUID!T65</f>
        <v>0</v>
      </c>
      <c r="Q22" s="14">
        <f ca="1">FLUID!U65</f>
        <v>0</v>
      </c>
      <c r="R22" s="14">
        <f ca="1">FLUID!V65</f>
        <v>0</v>
      </c>
      <c r="S22" s="14">
        <f ca="1">FLUID!W65</f>
        <v>0</v>
      </c>
      <c r="T22" s="14">
        <f ca="1">FLUID!X65</f>
        <v>0</v>
      </c>
      <c r="U22" s="14">
        <f ca="1">FLUID!Y65</f>
        <v>0</v>
      </c>
      <c r="V22" s="14">
        <f ca="1">FLUID!Z65</f>
        <v>0</v>
      </c>
      <c r="W22" s="14">
        <f ca="1">FLUID!AA65</f>
        <v>0</v>
      </c>
      <c r="X22" s="14">
        <f ca="1">FLUID!AB65</f>
        <v>0</v>
      </c>
      <c r="Y22" s="14">
        <f ca="1">FLUID!AC65</f>
        <v>0</v>
      </c>
      <c r="Z22" s="14">
        <f ca="1">FLUID!AD65</f>
        <v>0</v>
      </c>
      <c r="AA22" s="14">
        <f ca="1">FLUID!AE65</f>
        <v>0</v>
      </c>
      <c r="AB22" s="14">
        <f ca="1">FLUID!AF65</f>
        <v>0</v>
      </c>
      <c r="AC22" s="14">
        <f ca="1">FLUID!AG65</f>
        <v>0</v>
      </c>
      <c r="AD22" s="14">
        <f ca="1">FLUID!AH65</f>
        <v>0</v>
      </c>
      <c r="AE22" s="14">
        <f ca="1">FLUID!AI65</f>
        <v>0</v>
      </c>
      <c r="AF22" s="14">
        <f ca="1">FLUID!AJ65</f>
        <v>0</v>
      </c>
      <c r="AG22" s="14">
        <f ca="1">FLUID!AK65</f>
        <v>0</v>
      </c>
      <c r="AH22" s="14">
        <f ca="1">FLUID!AL65</f>
        <v>0</v>
      </c>
      <c r="AI22" s="55"/>
      <c r="AJ22" s="55"/>
      <c r="AK22" s="55"/>
      <c r="AL22" s="55"/>
      <c r="AM22" s="55"/>
      <c r="AN22" s="55"/>
      <c r="AO22" s="55"/>
      <c r="AP22" s="55"/>
      <c r="AQ22" s="55"/>
      <c r="AR22" s="55"/>
      <c r="AS22" s="55"/>
      <c r="AT22" s="55"/>
      <c r="AU22" s="55"/>
      <c r="AV22" s="55"/>
      <c r="AW22" s="55"/>
      <c r="AX22" s="55"/>
      <c r="AY22" s="55"/>
      <c r="AZ22" s="55"/>
      <c r="BA22" s="55"/>
      <c r="BB22" s="55"/>
      <c r="BC22" s="55"/>
      <c r="BD22" s="55"/>
      <c r="BE22" s="55"/>
      <c r="BF22" s="55"/>
      <c r="BG22" s="55"/>
      <c r="BH22" s="55"/>
      <c r="BI22" s="55"/>
      <c r="BJ22" s="55"/>
      <c r="BK22" s="55"/>
      <c r="BL22" s="55"/>
      <c r="BM22" s="55"/>
      <c r="BN22" s="55"/>
      <c r="BO22" s="55"/>
      <c r="BP22" s="55"/>
      <c r="BQ22" s="55"/>
      <c r="BR22" s="55"/>
      <c r="BS22" s="55"/>
      <c r="BT22" s="55"/>
      <c r="BU22" s="55"/>
      <c r="BV22" s="55"/>
      <c r="BW22" s="55"/>
      <c r="BX22" s="55"/>
      <c r="BY22" s="55"/>
      <c r="BZ22" s="55"/>
      <c r="CA22" s="55"/>
      <c r="CB22" s="55"/>
      <c r="CC22" s="55"/>
      <c r="CD22" s="55"/>
      <c r="CE22" s="55"/>
      <c r="CF22" s="55"/>
      <c r="CG22" s="55"/>
      <c r="CH22" s="55"/>
      <c r="CI22" s="55"/>
      <c r="CJ22" s="55"/>
      <c r="CK22" s="55"/>
      <c r="CL22" s="55"/>
      <c r="CM22" s="55"/>
      <c r="CN22" s="55"/>
      <c r="CO22" s="55"/>
      <c r="CP22" s="55"/>
    </row>
    <row r="23" spans="1:94" ht="22.5" hidden="1" customHeight="1" outlineLevel="1" thickBot="1" x14ac:dyDescent="0.4">
      <c r="A23" s="36">
        <f>FLUID!E66</f>
        <v>0</v>
      </c>
      <c r="B23" s="16">
        <f ca="1">FLUID!F66</f>
        <v>0</v>
      </c>
      <c r="C23" s="16">
        <f ca="1">FLUID!G66</f>
        <v>0</v>
      </c>
      <c r="D23" s="16">
        <f ca="1">FLUID!H66</f>
        <v>0</v>
      </c>
      <c r="E23" s="16">
        <f ca="1">FLUID!I66</f>
        <v>0</v>
      </c>
      <c r="F23" s="14">
        <f ca="1">FLUID!J66</f>
        <v>0</v>
      </c>
      <c r="G23" s="14">
        <f ca="1">FLUID!K66</f>
        <v>0</v>
      </c>
      <c r="H23" s="14">
        <f ca="1">FLUID!L66</f>
        <v>0</v>
      </c>
      <c r="I23" s="14">
        <f ca="1">FLUID!M66</f>
        <v>0</v>
      </c>
      <c r="J23" s="14">
        <f ca="1">FLUID!N66</f>
        <v>0</v>
      </c>
      <c r="K23" s="14">
        <f ca="1">FLUID!O66</f>
        <v>0</v>
      </c>
      <c r="L23" s="14">
        <f ca="1">FLUID!P66</f>
        <v>0</v>
      </c>
      <c r="M23" s="14">
        <f ca="1">FLUID!Q66</f>
        <v>0</v>
      </c>
      <c r="N23" s="14">
        <f ca="1">FLUID!R66</f>
        <v>0</v>
      </c>
      <c r="O23" s="14">
        <f ca="1">FLUID!S66</f>
        <v>0</v>
      </c>
      <c r="P23" s="14">
        <f ca="1">FLUID!T66</f>
        <v>0</v>
      </c>
      <c r="Q23" s="14">
        <f ca="1">FLUID!U66</f>
        <v>0</v>
      </c>
      <c r="R23" s="14">
        <f ca="1">FLUID!V66</f>
        <v>0</v>
      </c>
      <c r="S23" s="14">
        <f ca="1">FLUID!W66</f>
        <v>0</v>
      </c>
      <c r="T23" s="14">
        <f ca="1">FLUID!X66</f>
        <v>0</v>
      </c>
      <c r="U23" s="14">
        <f ca="1">FLUID!Y66</f>
        <v>0</v>
      </c>
      <c r="V23" s="14">
        <f ca="1">FLUID!Z66</f>
        <v>0</v>
      </c>
      <c r="W23" s="14">
        <f ca="1">FLUID!AA66</f>
        <v>0</v>
      </c>
      <c r="X23" s="14">
        <f ca="1">FLUID!AB66</f>
        <v>0</v>
      </c>
      <c r="Y23" s="14">
        <f ca="1">FLUID!AC66</f>
        <v>0</v>
      </c>
      <c r="Z23" s="14">
        <f ca="1">FLUID!AD66</f>
        <v>0</v>
      </c>
      <c r="AA23" s="14">
        <f ca="1">FLUID!AE66</f>
        <v>0</v>
      </c>
      <c r="AB23" s="14">
        <f ca="1">FLUID!AF66</f>
        <v>0</v>
      </c>
      <c r="AC23" s="14">
        <f ca="1">FLUID!AG66</f>
        <v>0</v>
      </c>
      <c r="AD23" s="14">
        <f ca="1">FLUID!AH66</f>
        <v>0</v>
      </c>
      <c r="AE23" s="14">
        <f ca="1">FLUID!AI66</f>
        <v>0</v>
      </c>
      <c r="AF23" s="14">
        <f ca="1">FLUID!AJ66</f>
        <v>0</v>
      </c>
      <c r="AG23" s="14">
        <f ca="1">FLUID!AK66</f>
        <v>0</v>
      </c>
      <c r="AH23" s="14">
        <f ca="1">FLUID!AL66</f>
        <v>0</v>
      </c>
      <c r="AI23" s="55"/>
      <c r="AJ23" s="55"/>
      <c r="AK23" s="55"/>
      <c r="AL23" s="55"/>
      <c r="AM23" s="55"/>
      <c r="AN23" s="55"/>
      <c r="AO23" s="55"/>
      <c r="AP23" s="55"/>
      <c r="AQ23" s="55"/>
      <c r="AR23" s="55"/>
      <c r="AS23" s="55"/>
      <c r="AT23" s="55"/>
      <c r="AU23" s="55"/>
      <c r="AV23" s="55"/>
      <c r="AW23" s="55"/>
      <c r="AX23" s="55"/>
      <c r="AY23" s="55"/>
      <c r="AZ23" s="55"/>
      <c r="BA23" s="55"/>
      <c r="BB23" s="55"/>
      <c r="BC23" s="55"/>
      <c r="BD23" s="55"/>
      <c r="BE23" s="55"/>
      <c r="BF23" s="55"/>
      <c r="BG23" s="55"/>
      <c r="BH23" s="55"/>
      <c r="BI23" s="55"/>
      <c r="BJ23" s="55"/>
      <c r="BK23" s="55"/>
      <c r="BL23" s="55"/>
      <c r="BM23" s="55"/>
      <c r="BN23" s="55"/>
      <c r="BO23" s="55"/>
      <c r="BP23" s="55"/>
      <c r="BQ23" s="55"/>
      <c r="BR23" s="55"/>
      <c r="BS23" s="55"/>
      <c r="BT23" s="55"/>
      <c r="BU23" s="55"/>
      <c r="BV23" s="55"/>
      <c r="BW23" s="55"/>
      <c r="BX23" s="55"/>
      <c r="BY23" s="55"/>
      <c r="BZ23" s="55"/>
      <c r="CA23" s="55"/>
      <c r="CB23" s="55"/>
      <c r="CC23" s="55"/>
      <c r="CD23" s="55"/>
      <c r="CE23" s="55"/>
      <c r="CF23" s="55"/>
      <c r="CG23" s="55"/>
      <c r="CH23" s="55"/>
      <c r="CI23" s="55"/>
      <c r="CJ23" s="55"/>
      <c r="CK23" s="55"/>
      <c r="CL23" s="55"/>
      <c r="CM23" s="55"/>
      <c r="CN23" s="55"/>
      <c r="CO23" s="55"/>
      <c r="CP23" s="55"/>
    </row>
    <row r="24" spans="1:94" ht="22.5" hidden="1" customHeight="1" outlineLevel="1" thickBot="1" x14ac:dyDescent="0.4">
      <c r="A24" s="36">
        <f>FLUID!E67</f>
        <v>0</v>
      </c>
      <c r="B24" s="16">
        <f ca="1">FLUID!F67</f>
        <v>0</v>
      </c>
      <c r="C24" s="16">
        <f ca="1">FLUID!G67</f>
        <v>0</v>
      </c>
      <c r="D24" s="16">
        <f ca="1">FLUID!H67</f>
        <v>0</v>
      </c>
      <c r="E24" s="16">
        <f ca="1">FLUID!I67</f>
        <v>0</v>
      </c>
      <c r="F24" s="14">
        <f ca="1">FLUID!J67</f>
        <v>0</v>
      </c>
      <c r="G24" s="14">
        <f ca="1">FLUID!K67</f>
        <v>0</v>
      </c>
      <c r="H24" s="14">
        <f ca="1">FLUID!L67</f>
        <v>0</v>
      </c>
      <c r="I24" s="14">
        <f ca="1">FLUID!M67</f>
        <v>0</v>
      </c>
      <c r="J24" s="14">
        <f ca="1">FLUID!N67</f>
        <v>0</v>
      </c>
      <c r="K24" s="14">
        <f ca="1">FLUID!O67</f>
        <v>0</v>
      </c>
      <c r="L24" s="14">
        <f ca="1">FLUID!P67</f>
        <v>0</v>
      </c>
      <c r="M24" s="14">
        <f ca="1">FLUID!Q67</f>
        <v>0</v>
      </c>
      <c r="N24" s="14">
        <f ca="1">FLUID!R67</f>
        <v>0</v>
      </c>
      <c r="O24" s="14">
        <f ca="1">FLUID!S67</f>
        <v>0</v>
      </c>
      <c r="P24" s="14">
        <f ca="1">FLUID!T67</f>
        <v>0</v>
      </c>
      <c r="Q24" s="14">
        <f ca="1">FLUID!U67</f>
        <v>0</v>
      </c>
      <c r="R24" s="14">
        <f ca="1">FLUID!V67</f>
        <v>0</v>
      </c>
      <c r="S24" s="14">
        <f ca="1">FLUID!W67</f>
        <v>0</v>
      </c>
      <c r="T24" s="14">
        <f ca="1">FLUID!X67</f>
        <v>0</v>
      </c>
      <c r="U24" s="14">
        <f ca="1">FLUID!Y67</f>
        <v>0</v>
      </c>
      <c r="V24" s="14">
        <f ca="1">FLUID!Z67</f>
        <v>0</v>
      </c>
      <c r="W24" s="14">
        <f ca="1">FLUID!AA67</f>
        <v>0</v>
      </c>
      <c r="X24" s="14">
        <f ca="1">FLUID!AB67</f>
        <v>0</v>
      </c>
      <c r="Y24" s="14">
        <f ca="1">FLUID!AC67</f>
        <v>0</v>
      </c>
      <c r="Z24" s="14">
        <f ca="1">FLUID!AD67</f>
        <v>0</v>
      </c>
      <c r="AA24" s="14">
        <f ca="1">FLUID!AE67</f>
        <v>0</v>
      </c>
      <c r="AB24" s="14">
        <f ca="1">FLUID!AF67</f>
        <v>0</v>
      </c>
      <c r="AC24" s="14">
        <f ca="1">FLUID!AG67</f>
        <v>0</v>
      </c>
      <c r="AD24" s="14">
        <f ca="1">FLUID!AH67</f>
        <v>0</v>
      </c>
      <c r="AE24" s="14">
        <f ca="1">FLUID!AI67</f>
        <v>0</v>
      </c>
      <c r="AF24" s="14">
        <f ca="1">FLUID!AJ67</f>
        <v>0</v>
      </c>
      <c r="AG24" s="14">
        <f ca="1">FLUID!AK67</f>
        <v>0</v>
      </c>
      <c r="AH24" s="14">
        <f ca="1">FLUID!AL67</f>
        <v>0</v>
      </c>
      <c r="AI24" s="55"/>
      <c r="AJ24" s="55"/>
      <c r="AK24" s="55"/>
      <c r="AL24" s="55"/>
      <c r="AM24" s="55"/>
      <c r="AN24" s="55"/>
      <c r="AO24" s="55"/>
      <c r="AP24" s="55"/>
      <c r="AQ24" s="55"/>
      <c r="AR24" s="55"/>
      <c r="AS24" s="55"/>
      <c r="AT24" s="55"/>
      <c r="AU24" s="55"/>
      <c r="AV24" s="55"/>
      <c r="AW24" s="55"/>
      <c r="AX24" s="55"/>
      <c r="AY24" s="55"/>
      <c r="AZ24" s="55"/>
      <c r="BA24" s="55"/>
      <c r="BB24" s="55"/>
      <c r="BC24" s="55"/>
      <c r="BD24" s="55"/>
      <c r="BE24" s="55"/>
      <c r="BF24" s="55"/>
      <c r="BG24" s="55"/>
      <c r="BH24" s="55"/>
      <c r="BI24" s="55"/>
      <c r="BJ24" s="55"/>
      <c r="BK24" s="55"/>
      <c r="BL24" s="55"/>
      <c r="BM24" s="55"/>
      <c r="BN24" s="55"/>
      <c r="BO24" s="55"/>
      <c r="BP24" s="55"/>
      <c r="BQ24" s="55"/>
      <c r="BR24" s="55"/>
      <c r="BS24" s="55"/>
      <c r="BT24" s="55"/>
      <c r="BU24" s="55"/>
      <c r="BV24" s="55"/>
      <c r="BW24" s="55"/>
      <c r="BX24" s="55"/>
      <c r="BY24" s="55"/>
      <c r="BZ24" s="55"/>
      <c r="CA24" s="55"/>
      <c r="CB24" s="55"/>
      <c r="CC24" s="55"/>
      <c r="CD24" s="55"/>
      <c r="CE24" s="55"/>
      <c r="CF24" s="55"/>
      <c r="CG24" s="55"/>
      <c r="CH24" s="55"/>
      <c r="CI24" s="55"/>
      <c r="CJ24" s="55"/>
      <c r="CK24" s="55"/>
      <c r="CL24" s="55"/>
      <c r="CM24" s="55"/>
      <c r="CN24" s="55"/>
      <c r="CO24" s="55"/>
      <c r="CP24" s="55"/>
    </row>
    <row r="25" spans="1:94" ht="22.5" hidden="1" customHeight="1" outlineLevel="1" thickBot="1" x14ac:dyDescent="0.4">
      <c r="A25" s="36">
        <f>FLUID!E68</f>
        <v>0</v>
      </c>
      <c r="B25" s="16">
        <f ca="1">FLUID!F68</f>
        <v>0</v>
      </c>
      <c r="C25" s="16">
        <f ca="1">FLUID!G68</f>
        <v>0</v>
      </c>
      <c r="D25" s="16">
        <f ca="1">FLUID!H68</f>
        <v>0</v>
      </c>
      <c r="E25" s="16">
        <f ca="1">FLUID!I68</f>
        <v>0</v>
      </c>
      <c r="F25" s="14">
        <f ca="1">FLUID!J68</f>
        <v>0</v>
      </c>
      <c r="G25" s="14">
        <f ca="1">FLUID!K68</f>
        <v>0</v>
      </c>
      <c r="H25" s="14">
        <f ca="1">FLUID!L68</f>
        <v>0</v>
      </c>
      <c r="I25" s="14">
        <f ca="1">FLUID!M68</f>
        <v>0</v>
      </c>
      <c r="J25" s="14">
        <f ca="1">FLUID!N68</f>
        <v>0</v>
      </c>
      <c r="K25" s="14">
        <f ca="1">FLUID!O68</f>
        <v>0</v>
      </c>
      <c r="L25" s="14">
        <f ca="1">FLUID!P68</f>
        <v>0</v>
      </c>
      <c r="M25" s="14">
        <f ca="1">FLUID!Q68</f>
        <v>0</v>
      </c>
      <c r="N25" s="14">
        <f ca="1">FLUID!R68</f>
        <v>0</v>
      </c>
      <c r="O25" s="14">
        <f ca="1">FLUID!S68</f>
        <v>0</v>
      </c>
      <c r="P25" s="14">
        <f ca="1">FLUID!T68</f>
        <v>0</v>
      </c>
      <c r="Q25" s="14">
        <f ca="1">FLUID!U68</f>
        <v>0</v>
      </c>
      <c r="R25" s="14">
        <f ca="1">FLUID!V68</f>
        <v>0</v>
      </c>
      <c r="S25" s="14">
        <f ca="1">FLUID!W68</f>
        <v>0</v>
      </c>
      <c r="T25" s="14">
        <f ca="1">FLUID!X68</f>
        <v>0</v>
      </c>
      <c r="U25" s="14">
        <f ca="1">FLUID!Y68</f>
        <v>0</v>
      </c>
      <c r="V25" s="14">
        <f ca="1">FLUID!Z68</f>
        <v>0</v>
      </c>
      <c r="W25" s="14">
        <f ca="1">FLUID!AA68</f>
        <v>0</v>
      </c>
      <c r="X25" s="14">
        <f ca="1">FLUID!AB68</f>
        <v>0</v>
      </c>
      <c r="Y25" s="14">
        <f ca="1">FLUID!AC68</f>
        <v>0</v>
      </c>
      <c r="Z25" s="14">
        <f ca="1">FLUID!AD68</f>
        <v>0</v>
      </c>
      <c r="AA25" s="14">
        <f ca="1">FLUID!AE68</f>
        <v>0</v>
      </c>
      <c r="AB25" s="14">
        <f ca="1">FLUID!AF68</f>
        <v>0</v>
      </c>
      <c r="AC25" s="14">
        <f ca="1">FLUID!AG68</f>
        <v>0</v>
      </c>
      <c r="AD25" s="14">
        <f ca="1">FLUID!AH68</f>
        <v>0</v>
      </c>
      <c r="AE25" s="14">
        <f ca="1">FLUID!AI68</f>
        <v>0</v>
      </c>
      <c r="AF25" s="14">
        <f ca="1">FLUID!AJ68</f>
        <v>0</v>
      </c>
      <c r="AG25" s="14">
        <f ca="1">FLUID!AK68</f>
        <v>0</v>
      </c>
      <c r="AH25" s="14">
        <f ca="1">FLUID!AL68</f>
        <v>0</v>
      </c>
      <c r="AI25" s="55"/>
      <c r="AJ25" s="55"/>
      <c r="AK25" s="55"/>
      <c r="AL25" s="55"/>
      <c r="AM25" s="55"/>
      <c r="AN25" s="55"/>
      <c r="AO25" s="55"/>
      <c r="AP25" s="55"/>
      <c r="AQ25" s="55"/>
      <c r="AR25" s="55"/>
      <c r="AS25" s="55"/>
      <c r="AT25" s="55"/>
      <c r="AU25" s="55"/>
      <c r="AV25" s="55"/>
      <c r="AW25" s="55"/>
      <c r="AX25" s="55"/>
      <c r="AY25" s="55"/>
      <c r="AZ25" s="55"/>
      <c r="BA25" s="55"/>
      <c r="BB25" s="55"/>
      <c r="BC25" s="55"/>
      <c r="BD25" s="55"/>
      <c r="BE25" s="55"/>
      <c r="BF25" s="55"/>
      <c r="BG25" s="55"/>
      <c r="BH25" s="55"/>
      <c r="BI25" s="55"/>
      <c r="BJ25" s="55"/>
      <c r="BK25" s="55"/>
      <c r="BL25" s="55"/>
      <c r="BM25" s="55"/>
      <c r="BN25" s="55"/>
      <c r="BO25" s="55"/>
      <c r="BP25" s="55"/>
      <c r="BQ25" s="55"/>
      <c r="BR25" s="55"/>
      <c r="BS25" s="55"/>
      <c r="BT25" s="55"/>
      <c r="BU25" s="55"/>
      <c r="BV25" s="55"/>
      <c r="BW25" s="55"/>
      <c r="BX25" s="55"/>
      <c r="BY25" s="55"/>
      <c r="BZ25" s="55"/>
      <c r="CA25" s="55"/>
      <c r="CB25" s="55"/>
      <c r="CC25" s="55"/>
      <c r="CD25" s="55"/>
      <c r="CE25" s="55"/>
      <c r="CF25" s="55"/>
      <c r="CG25" s="55"/>
      <c r="CH25" s="55"/>
      <c r="CI25" s="55"/>
      <c r="CJ25" s="55"/>
      <c r="CK25" s="55"/>
      <c r="CL25" s="55"/>
      <c r="CM25" s="55"/>
      <c r="CN25" s="55"/>
      <c r="CO25" s="55"/>
      <c r="CP25" s="55"/>
    </row>
    <row r="26" spans="1:94" ht="22.5" hidden="1" customHeight="1" outlineLevel="1" thickBot="1" x14ac:dyDescent="0.4">
      <c r="A26" s="36">
        <f>FLUID!E69</f>
        <v>0</v>
      </c>
      <c r="B26" s="16">
        <f ca="1">FLUID!F69</f>
        <v>0</v>
      </c>
      <c r="C26" s="16">
        <f ca="1">FLUID!G69</f>
        <v>0</v>
      </c>
      <c r="D26" s="16">
        <f ca="1">FLUID!H69</f>
        <v>0</v>
      </c>
      <c r="E26" s="16">
        <f ca="1">FLUID!I69</f>
        <v>0</v>
      </c>
      <c r="F26" s="14">
        <f ca="1">FLUID!J69</f>
        <v>0</v>
      </c>
      <c r="G26" s="14">
        <f ca="1">FLUID!K69</f>
        <v>0</v>
      </c>
      <c r="H26" s="14">
        <f ca="1">FLUID!L69</f>
        <v>0</v>
      </c>
      <c r="I26" s="14">
        <f ca="1">FLUID!M69</f>
        <v>0</v>
      </c>
      <c r="J26" s="14">
        <f ca="1">FLUID!N69</f>
        <v>0</v>
      </c>
      <c r="K26" s="14">
        <f ca="1">FLUID!O69</f>
        <v>0</v>
      </c>
      <c r="L26" s="14">
        <f ca="1">FLUID!P69</f>
        <v>0</v>
      </c>
      <c r="M26" s="14">
        <f ca="1">FLUID!Q69</f>
        <v>0</v>
      </c>
      <c r="N26" s="14">
        <f ca="1">FLUID!R69</f>
        <v>0</v>
      </c>
      <c r="O26" s="14">
        <f ca="1">FLUID!S69</f>
        <v>0</v>
      </c>
      <c r="P26" s="14">
        <f ca="1">FLUID!T69</f>
        <v>0</v>
      </c>
      <c r="Q26" s="14">
        <f ca="1">FLUID!U69</f>
        <v>0</v>
      </c>
      <c r="R26" s="14">
        <f ca="1">FLUID!V69</f>
        <v>0</v>
      </c>
      <c r="S26" s="14">
        <f ca="1">FLUID!W69</f>
        <v>0</v>
      </c>
      <c r="T26" s="14">
        <f ca="1">FLUID!X69</f>
        <v>0</v>
      </c>
      <c r="U26" s="14">
        <f ca="1">FLUID!Y69</f>
        <v>0</v>
      </c>
      <c r="V26" s="14">
        <f ca="1">FLUID!Z69</f>
        <v>0</v>
      </c>
      <c r="W26" s="14">
        <f ca="1">FLUID!AA69</f>
        <v>0</v>
      </c>
      <c r="X26" s="14">
        <f ca="1">FLUID!AB69</f>
        <v>0</v>
      </c>
      <c r="Y26" s="14">
        <f ca="1">FLUID!AC69</f>
        <v>0</v>
      </c>
      <c r="Z26" s="14">
        <f ca="1">FLUID!AD69</f>
        <v>0</v>
      </c>
      <c r="AA26" s="14">
        <f ca="1">FLUID!AE69</f>
        <v>0</v>
      </c>
      <c r="AB26" s="14">
        <f ca="1">FLUID!AF69</f>
        <v>0</v>
      </c>
      <c r="AC26" s="14">
        <f ca="1">FLUID!AG69</f>
        <v>0</v>
      </c>
      <c r="AD26" s="14">
        <f ca="1">FLUID!AH69</f>
        <v>0</v>
      </c>
      <c r="AE26" s="14">
        <f ca="1">FLUID!AI69</f>
        <v>0</v>
      </c>
      <c r="AF26" s="14">
        <f ca="1">FLUID!AJ69</f>
        <v>0</v>
      </c>
      <c r="AG26" s="14">
        <f ca="1">FLUID!AK69</f>
        <v>0</v>
      </c>
      <c r="AH26" s="14">
        <f ca="1">FLUID!AL69</f>
        <v>0</v>
      </c>
      <c r="AI26" s="55"/>
      <c r="AJ26" s="55"/>
      <c r="AK26" s="55"/>
      <c r="AL26" s="55"/>
      <c r="AM26" s="55"/>
      <c r="AN26" s="55"/>
      <c r="AO26" s="55"/>
      <c r="AP26" s="55"/>
      <c r="AQ26" s="55"/>
      <c r="AR26" s="55"/>
      <c r="AS26" s="55"/>
      <c r="AT26" s="55"/>
      <c r="AU26" s="55"/>
      <c r="AV26" s="55"/>
      <c r="AW26" s="55"/>
      <c r="AX26" s="55"/>
      <c r="AY26" s="55"/>
      <c r="AZ26" s="55"/>
      <c r="BA26" s="55"/>
      <c r="BB26" s="55"/>
      <c r="BC26" s="55"/>
      <c r="BD26" s="55"/>
      <c r="BE26" s="55"/>
      <c r="BF26" s="55"/>
      <c r="BG26" s="55"/>
      <c r="BH26" s="55"/>
      <c r="BI26" s="55"/>
      <c r="BJ26" s="55"/>
      <c r="BK26" s="55"/>
      <c r="BL26" s="55"/>
      <c r="BM26" s="55"/>
      <c r="BN26" s="55"/>
      <c r="BO26" s="55"/>
      <c r="BP26" s="55"/>
      <c r="BQ26" s="55"/>
      <c r="BR26" s="55"/>
      <c r="BS26" s="55"/>
      <c r="BT26" s="55"/>
      <c r="BU26" s="55"/>
      <c r="BV26" s="55"/>
      <c r="BW26" s="55"/>
      <c r="BX26" s="55"/>
      <c r="BY26" s="55"/>
      <c r="BZ26" s="55"/>
      <c r="CA26" s="55"/>
      <c r="CB26" s="55"/>
      <c r="CC26" s="55"/>
      <c r="CD26" s="55"/>
      <c r="CE26" s="55"/>
      <c r="CF26" s="55"/>
      <c r="CG26" s="55"/>
      <c r="CH26" s="55"/>
      <c r="CI26" s="55"/>
      <c r="CJ26" s="55"/>
      <c r="CK26" s="55"/>
      <c r="CL26" s="55"/>
      <c r="CM26" s="55"/>
      <c r="CN26" s="55"/>
      <c r="CO26" s="55"/>
      <c r="CP26" s="55"/>
    </row>
    <row r="27" spans="1:94" ht="22.5" hidden="1" customHeight="1" outlineLevel="1" thickBot="1" x14ac:dyDescent="0.4">
      <c r="A27" s="36">
        <f>FLUID!E70</f>
        <v>0</v>
      </c>
      <c r="B27" s="16">
        <f ca="1">FLUID!F70</f>
        <v>0</v>
      </c>
      <c r="C27" s="16">
        <f ca="1">FLUID!G70</f>
        <v>0</v>
      </c>
      <c r="D27" s="16">
        <f ca="1">FLUID!H70</f>
        <v>0</v>
      </c>
      <c r="E27" s="16">
        <f ca="1">FLUID!I70</f>
        <v>0</v>
      </c>
      <c r="F27" s="14">
        <f ca="1">FLUID!J70</f>
        <v>0</v>
      </c>
      <c r="G27" s="14">
        <f ca="1">FLUID!K70</f>
        <v>0</v>
      </c>
      <c r="H27" s="14">
        <f ca="1">FLUID!L70</f>
        <v>0</v>
      </c>
      <c r="I27" s="14">
        <f ca="1">FLUID!M70</f>
        <v>0</v>
      </c>
      <c r="J27" s="14">
        <f ca="1">FLUID!N70</f>
        <v>0</v>
      </c>
      <c r="K27" s="14">
        <f ca="1">FLUID!O70</f>
        <v>0</v>
      </c>
      <c r="L27" s="14">
        <f ca="1">FLUID!P70</f>
        <v>0</v>
      </c>
      <c r="M27" s="14">
        <f ca="1">FLUID!Q70</f>
        <v>0</v>
      </c>
      <c r="N27" s="14">
        <f ca="1">FLUID!R70</f>
        <v>0</v>
      </c>
      <c r="O27" s="14">
        <f ca="1">FLUID!S70</f>
        <v>0</v>
      </c>
      <c r="P27" s="14">
        <f ca="1">FLUID!T70</f>
        <v>0</v>
      </c>
      <c r="Q27" s="14">
        <f ca="1">FLUID!U70</f>
        <v>0</v>
      </c>
      <c r="R27" s="14">
        <f ca="1">FLUID!V70</f>
        <v>0</v>
      </c>
      <c r="S27" s="14">
        <f ca="1">FLUID!W70</f>
        <v>0</v>
      </c>
      <c r="T27" s="14">
        <f ca="1">FLUID!X70</f>
        <v>0</v>
      </c>
      <c r="U27" s="14">
        <f ca="1">FLUID!Y70</f>
        <v>0</v>
      </c>
      <c r="V27" s="14">
        <f ca="1">FLUID!Z70</f>
        <v>0</v>
      </c>
      <c r="W27" s="14">
        <f ca="1">FLUID!AA70</f>
        <v>0</v>
      </c>
      <c r="X27" s="14">
        <f ca="1">FLUID!AB70</f>
        <v>0</v>
      </c>
      <c r="Y27" s="14">
        <f ca="1">FLUID!AC70</f>
        <v>0</v>
      </c>
      <c r="Z27" s="14">
        <f ca="1">FLUID!AD70</f>
        <v>0</v>
      </c>
      <c r="AA27" s="14">
        <f ca="1">FLUID!AE70</f>
        <v>0</v>
      </c>
      <c r="AB27" s="14">
        <f ca="1">FLUID!AF70</f>
        <v>0</v>
      </c>
      <c r="AC27" s="14">
        <f ca="1">FLUID!AG70</f>
        <v>0</v>
      </c>
      <c r="AD27" s="14">
        <f ca="1">FLUID!AH70</f>
        <v>0</v>
      </c>
      <c r="AE27" s="14">
        <f ca="1">FLUID!AI70</f>
        <v>0</v>
      </c>
      <c r="AF27" s="14">
        <f ca="1">FLUID!AJ70</f>
        <v>0</v>
      </c>
      <c r="AG27" s="14">
        <f ca="1">FLUID!AK70</f>
        <v>0</v>
      </c>
      <c r="AH27" s="14">
        <f ca="1">FLUID!AL70</f>
        <v>0</v>
      </c>
      <c r="AI27" s="55"/>
      <c r="AJ27" s="55"/>
      <c r="AK27" s="55"/>
      <c r="AL27" s="55"/>
      <c r="AM27" s="55"/>
      <c r="AN27" s="55"/>
      <c r="AO27" s="55"/>
      <c r="AP27" s="55"/>
      <c r="AQ27" s="55"/>
      <c r="AR27" s="55"/>
      <c r="AS27" s="55"/>
      <c r="AT27" s="55"/>
      <c r="AU27" s="55"/>
      <c r="AV27" s="55"/>
      <c r="AW27" s="55"/>
      <c r="AX27" s="55"/>
      <c r="AY27" s="55"/>
      <c r="AZ27" s="55"/>
      <c r="BA27" s="55"/>
      <c r="BB27" s="55"/>
      <c r="BC27" s="55"/>
      <c r="BD27" s="55"/>
      <c r="BE27" s="55"/>
      <c r="BF27" s="55"/>
      <c r="BG27" s="55"/>
      <c r="BH27" s="55"/>
      <c r="BI27" s="55"/>
      <c r="BJ27" s="55"/>
      <c r="BK27" s="55"/>
      <c r="BL27" s="55"/>
      <c r="BM27" s="55"/>
      <c r="BN27" s="55"/>
      <c r="BO27" s="55"/>
      <c r="BP27" s="55"/>
      <c r="BQ27" s="55"/>
      <c r="BR27" s="55"/>
      <c r="BS27" s="55"/>
      <c r="BT27" s="55"/>
      <c r="BU27" s="55"/>
      <c r="BV27" s="55"/>
      <c r="BW27" s="55"/>
      <c r="BX27" s="55"/>
      <c r="BY27" s="55"/>
      <c r="BZ27" s="55"/>
      <c r="CA27" s="55"/>
      <c r="CB27" s="55"/>
      <c r="CC27" s="55"/>
      <c r="CD27" s="55"/>
      <c r="CE27" s="55"/>
      <c r="CF27" s="55"/>
      <c r="CG27" s="55"/>
      <c r="CH27" s="55"/>
      <c r="CI27" s="55"/>
      <c r="CJ27" s="55"/>
      <c r="CK27" s="55"/>
      <c r="CL27" s="55"/>
      <c r="CM27" s="55"/>
      <c r="CN27" s="55"/>
      <c r="CO27" s="55"/>
      <c r="CP27" s="55"/>
    </row>
    <row r="28" spans="1:94" ht="22.5" hidden="1" customHeight="1" outlineLevel="1" thickBot="1" x14ac:dyDescent="0.4">
      <c r="A28" s="36">
        <f>FLUID!E71</f>
        <v>0</v>
      </c>
      <c r="B28" s="16">
        <f ca="1">FLUID!F71</f>
        <v>0</v>
      </c>
      <c r="C28" s="16">
        <f ca="1">FLUID!G71</f>
        <v>0</v>
      </c>
      <c r="D28" s="16">
        <f ca="1">FLUID!H71</f>
        <v>0</v>
      </c>
      <c r="E28" s="16">
        <f ca="1">FLUID!I71</f>
        <v>0</v>
      </c>
      <c r="F28" s="14">
        <f ca="1">FLUID!J71</f>
        <v>0</v>
      </c>
      <c r="G28" s="14">
        <f ca="1">FLUID!K71</f>
        <v>0</v>
      </c>
      <c r="H28" s="14">
        <f ca="1">FLUID!L71</f>
        <v>0</v>
      </c>
      <c r="I28" s="14">
        <f ca="1">FLUID!M71</f>
        <v>0</v>
      </c>
      <c r="J28" s="14">
        <f ca="1">FLUID!N71</f>
        <v>0</v>
      </c>
      <c r="K28" s="14">
        <f ca="1">FLUID!O71</f>
        <v>0</v>
      </c>
      <c r="L28" s="14">
        <f ca="1">FLUID!P71</f>
        <v>0</v>
      </c>
      <c r="M28" s="14">
        <f ca="1">FLUID!Q71</f>
        <v>0</v>
      </c>
      <c r="N28" s="14">
        <f ca="1">FLUID!R71</f>
        <v>0</v>
      </c>
      <c r="O28" s="14">
        <f ca="1">FLUID!S71</f>
        <v>0</v>
      </c>
      <c r="P28" s="14">
        <f ca="1">FLUID!T71</f>
        <v>0</v>
      </c>
      <c r="Q28" s="14">
        <f ca="1">FLUID!U71</f>
        <v>0</v>
      </c>
      <c r="R28" s="14">
        <f ca="1">FLUID!V71</f>
        <v>0</v>
      </c>
      <c r="S28" s="14">
        <f ca="1">FLUID!W71</f>
        <v>0</v>
      </c>
      <c r="T28" s="14">
        <f ca="1">FLUID!X71</f>
        <v>0</v>
      </c>
      <c r="U28" s="14">
        <f ca="1">FLUID!Y71</f>
        <v>0</v>
      </c>
      <c r="V28" s="14">
        <f ca="1">FLUID!Z71</f>
        <v>0</v>
      </c>
      <c r="W28" s="14">
        <f ca="1">FLUID!AA71</f>
        <v>0</v>
      </c>
      <c r="X28" s="14">
        <f ca="1">FLUID!AB71</f>
        <v>0</v>
      </c>
      <c r="Y28" s="14">
        <f ca="1">FLUID!AC71</f>
        <v>0</v>
      </c>
      <c r="Z28" s="14">
        <f ca="1">FLUID!AD71</f>
        <v>0</v>
      </c>
      <c r="AA28" s="14">
        <f ca="1">FLUID!AE71</f>
        <v>0</v>
      </c>
      <c r="AB28" s="14">
        <f ca="1">FLUID!AF71</f>
        <v>0</v>
      </c>
      <c r="AC28" s="14">
        <f ca="1">FLUID!AG71</f>
        <v>0</v>
      </c>
      <c r="AD28" s="14">
        <f ca="1">FLUID!AH71</f>
        <v>0</v>
      </c>
      <c r="AE28" s="14">
        <f ca="1">FLUID!AI71</f>
        <v>0</v>
      </c>
      <c r="AF28" s="14">
        <f ca="1">FLUID!AJ71</f>
        <v>0</v>
      </c>
      <c r="AG28" s="14">
        <f ca="1">FLUID!AK71</f>
        <v>0</v>
      </c>
      <c r="AH28" s="14">
        <f ca="1">FLUID!AL71</f>
        <v>0</v>
      </c>
      <c r="AI28" s="55"/>
      <c r="AJ28" s="55"/>
      <c r="AK28" s="55"/>
      <c r="AL28" s="55"/>
      <c r="AM28" s="55"/>
      <c r="AN28" s="55"/>
      <c r="AO28" s="55"/>
      <c r="AP28" s="55"/>
      <c r="AQ28" s="55"/>
      <c r="AR28" s="55"/>
      <c r="AS28" s="55"/>
      <c r="AT28" s="55"/>
      <c r="AU28" s="55"/>
      <c r="AV28" s="55"/>
      <c r="AW28" s="55"/>
      <c r="AX28" s="55"/>
      <c r="AY28" s="55"/>
      <c r="AZ28" s="55"/>
      <c r="BA28" s="55"/>
      <c r="BB28" s="55"/>
      <c r="BC28" s="55"/>
      <c r="BD28" s="55"/>
      <c r="BE28" s="55"/>
      <c r="BF28" s="55"/>
      <c r="BG28" s="55"/>
      <c r="BH28" s="55"/>
      <c r="BI28" s="55"/>
      <c r="BJ28" s="55"/>
      <c r="BK28" s="55"/>
      <c r="BL28" s="55"/>
      <c r="BM28" s="55"/>
      <c r="BN28" s="55"/>
      <c r="BO28" s="55"/>
      <c r="BP28" s="55"/>
      <c r="BQ28" s="55"/>
      <c r="BR28" s="55"/>
      <c r="BS28" s="55"/>
      <c r="BT28" s="55"/>
      <c r="BU28" s="55"/>
      <c r="BV28" s="55"/>
      <c r="BW28" s="55"/>
      <c r="BX28" s="55"/>
      <c r="BY28" s="55"/>
      <c r="BZ28" s="55"/>
      <c r="CA28" s="55"/>
      <c r="CB28" s="55"/>
      <c r="CC28" s="55"/>
      <c r="CD28" s="55"/>
      <c r="CE28" s="55"/>
      <c r="CF28" s="55"/>
      <c r="CG28" s="55"/>
      <c r="CH28" s="55"/>
      <c r="CI28" s="55"/>
      <c r="CJ28" s="55"/>
      <c r="CK28" s="55"/>
      <c r="CL28" s="55"/>
      <c r="CM28" s="55"/>
      <c r="CN28" s="55"/>
      <c r="CO28" s="55"/>
      <c r="CP28" s="55"/>
    </row>
    <row r="29" spans="1:94" ht="22.5" hidden="1" customHeight="1" outlineLevel="1" thickBot="1" x14ac:dyDescent="0.4">
      <c r="A29" s="36">
        <f>FLUID!E72</f>
        <v>0</v>
      </c>
      <c r="B29" s="16">
        <f ca="1">FLUID!F72</f>
        <v>0</v>
      </c>
      <c r="C29" s="16">
        <f>FLUID!G76</f>
        <v>0</v>
      </c>
      <c r="D29" s="16">
        <f>FLUID!H76</f>
        <v>0</v>
      </c>
      <c r="E29" s="16">
        <f>FLUID!I76</f>
        <v>0</v>
      </c>
      <c r="F29" s="14" t="e">
        <f>#REF!</f>
        <v>#REF!</v>
      </c>
      <c r="G29" s="14" t="e">
        <f>#REF!</f>
        <v>#REF!</v>
      </c>
      <c r="H29" s="14" t="e">
        <f>#REF!</f>
        <v>#REF!</v>
      </c>
      <c r="I29" s="14" t="e">
        <f>#REF!</f>
        <v>#REF!</v>
      </c>
      <c r="J29" s="14" t="e">
        <f>#REF!</f>
        <v>#REF!</v>
      </c>
      <c r="K29" s="14" t="e">
        <f>#REF!</f>
        <v>#REF!</v>
      </c>
      <c r="L29" s="14" t="e">
        <f>#REF!</f>
        <v>#REF!</v>
      </c>
      <c r="M29" s="14" t="e">
        <f>#REF!</f>
        <v>#REF!</v>
      </c>
      <c r="N29" s="14" t="e">
        <f>#REF!</f>
        <v>#REF!</v>
      </c>
      <c r="O29" s="14" t="e">
        <f>#REF!</f>
        <v>#REF!</v>
      </c>
      <c r="P29" s="14" t="e">
        <f>#REF!</f>
        <v>#REF!</v>
      </c>
      <c r="Q29" s="14" t="e">
        <f>#REF!</f>
        <v>#REF!</v>
      </c>
      <c r="R29" s="14" t="e">
        <f>#REF!</f>
        <v>#REF!</v>
      </c>
      <c r="S29" s="14" t="e">
        <f>#REF!</f>
        <v>#REF!</v>
      </c>
      <c r="T29" s="14" t="e">
        <f>#REF!</f>
        <v>#REF!</v>
      </c>
      <c r="U29" s="14" t="e">
        <f>#REF!</f>
        <v>#REF!</v>
      </c>
      <c r="V29" s="14" t="e">
        <f>#REF!</f>
        <v>#REF!</v>
      </c>
      <c r="W29" s="14" t="e">
        <f>#REF!</f>
        <v>#REF!</v>
      </c>
      <c r="X29" s="14" t="e">
        <f>#REF!</f>
        <v>#REF!</v>
      </c>
      <c r="Y29" s="14" t="e">
        <f>#REF!</f>
        <v>#REF!</v>
      </c>
      <c r="Z29" s="14" t="e">
        <f>#REF!</f>
        <v>#REF!</v>
      </c>
      <c r="AA29" s="14" t="e">
        <f>#REF!</f>
        <v>#REF!</v>
      </c>
      <c r="AB29" s="14" t="e">
        <f>#REF!</f>
        <v>#REF!</v>
      </c>
      <c r="AC29" s="14" t="e">
        <f>#REF!</f>
        <v>#REF!</v>
      </c>
      <c r="AD29" s="14" t="e">
        <f>#REF!</f>
        <v>#REF!</v>
      </c>
      <c r="AE29" s="14" t="e">
        <f>#REF!</f>
        <v>#REF!</v>
      </c>
      <c r="AF29" s="14" t="e">
        <f>#REF!</f>
        <v>#REF!</v>
      </c>
      <c r="AG29" s="14" t="e">
        <f>#REF!</f>
        <v>#REF!</v>
      </c>
      <c r="AH29" s="14" t="e">
        <f>#REF!</f>
        <v>#REF!</v>
      </c>
      <c r="AI29" s="55"/>
      <c r="AJ29" s="55"/>
      <c r="AK29" s="55"/>
      <c r="AL29" s="55"/>
      <c r="AM29" s="55"/>
      <c r="AN29" s="55"/>
      <c r="AO29" s="55"/>
      <c r="AP29" s="55"/>
      <c r="AQ29" s="55"/>
      <c r="AR29" s="55"/>
      <c r="AS29" s="55"/>
      <c r="AT29" s="55"/>
      <c r="AU29" s="55"/>
      <c r="AV29" s="55"/>
      <c r="AW29" s="55"/>
      <c r="AX29" s="55"/>
      <c r="AY29" s="55"/>
      <c r="AZ29" s="55"/>
      <c r="BA29" s="55"/>
      <c r="BB29" s="55"/>
      <c r="BC29" s="55"/>
      <c r="BD29" s="55"/>
      <c r="BE29" s="55"/>
      <c r="BF29" s="55"/>
      <c r="BG29" s="55"/>
      <c r="BH29" s="55"/>
      <c r="BI29" s="55"/>
      <c r="BJ29" s="55"/>
      <c r="BK29" s="55"/>
      <c r="BL29" s="55"/>
      <c r="BM29" s="55"/>
      <c r="BN29" s="55"/>
      <c r="BO29" s="55"/>
      <c r="BP29" s="55"/>
      <c r="BQ29" s="55"/>
      <c r="BR29" s="55"/>
      <c r="BS29" s="55"/>
      <c r="BT29" s="55"/>
      <c r="BU29" s="55"/>
      <c r="BV29" s="55"/>
      <c r="BW29" s="55"/>
      <c r="BX29" s="55"/>
      <c r="BY29" s="55"/>
      <c r="BZ29" s="55"/>
      <c r="CA29" s="55"/>
      <c r="CB29" s="55"/>
      <c r="CC29" s="55"/>
      <c r="CD29" s="55"/>
      <c r="CE29" s="55"/>
      <c r="CF29" s="55"/>
      <c r="CG29" s="55"/>
      <c r="CH29" s="55"/>
      <c r="CI29" s="55"/>
      <c r="CJ29" s="55"/>
      <c r="CK29" s="55"/>
      <c r="CL29" s="55"/>
      <c r="CM29" s="55"/>
      <c r="CN29" s="55"/>
      <c r="CO29" s="55"/>
      <c r="CP29" s="55"/>
    </row>
    <row r="30" spans="1:94" ht="22.5" hidden="1" customHeight="1" outlineLevel="1" thickBot="1" x14ac:dyDescent="0.4">
      <c r="A30" s="36">
        <f>FLUID!E73</f>
        <v>0</v>
      </c>
      <c r="B30" s="16">
        <f ca="1">FLUID!F73</f>
        <v>0</v>
      </c>
      <c r="C30" s="16">
        <f>FLUID!G77</f>
        <v>0</v>
      </c>
      <c r="D30" s="16">
        <f>FLUID!H77</f>
        <v>0</v>
      </c>
      <c r="E30" s="16">
        <f>FLUID!I77</f>
        <v>0</v>
      </c>
      <c r="F30" s="14" t="e">
        <f>#REF!</f>
        <v>#REF!</v>
      </c>
      <c r="G30" s="14" t="e">
        <f>#REF!</f>
        <v>#REF!</v>
      </c>
      <c r="H30" s="14" t="e">
        <f>#REF!</f>
        <v>#REF!</v>
      </c>
      <c r="I30" s="14" t="e">
        <f>#REF!</f>
        <v>#REF!</v>
      </c>
      <c r="J30" s="14" t="e">
        <f>#REF!</f>
        <v>#REF!</v>
      </c>
      <c r="K30" s="14" t="e">
        <f>#REF!</f>
        <v>#REF!</v>
      </c>
      <c r="L30" s="14" t="e">
        <f>#REF!</f>
        <v>#REF!</v>
      </c>
      <c r="M30" s="14" t="e">
        <f>#REF!</f>
        <v>#REF!</v>
      </c>
      <c r="N30" s="14" t="e">
        <f>#REF!</f>
        <v>#REF!</v>
      </c>
      <c r="O30" s="14" t="e">
        <f>#REF!</f>
        <v>#REF!</v>
      </c>
      <c r="P30" s="14" t="e">
        <f>#REF!</f>
        <v>#REF!</v>
      </c>
      <c r="Q30" s="14" t="e">
        <f>#REF!</f>
        <v>#REF!</v>
      </c>
      <c r="R30" s="14" t="e">
        <f>#REF!</f>
        <v>#REF!</v>
      </c>
      <c r="S30" s="14" t="e">
        <f>#REF!</f>
        <v>#REF!</v>
      </c>
      <c r="T30" s="14" t="e">
        <f>#REF!</f>
        <v>#REF!</v>
      </c>
      <c r="U30" s="14" t="e">
        <f>#REF!</f>
        <v>#REF!</v>
      </c>
      <c r="V30" s="14" t="e">
        <f>#REF!</f>
        <v>#REF!</v>
      </c>
      <c r="W30" s="14" t="e">
        <f>#REF!</f>
        <v>#REF!</v>
      </c>
      <c r="X30" s="14" t="e">
        <f>#REF!</f>
        <v>#REF!</v>
      </c>
      <c r="Y30" s="14" t="e">
        <f>#REF!</f>
        <v>#REF!</v>
      </c>
      <c r="Z30" s="14" t="e">
        <f>#REF!</f>
        <v>#REF!</v>
      </c>
      <c r="AA30" s="14" t="e">
        <f>#REF!</f>
        <v>#REF!</v>
      </c>
      <c r="AB30" s="14" t="e">
        <f>#REF!</f>
        <v>#REF!</v>
      </c>
      <c r="AC30" s="14" t="e">
        <f>#REF!</f>
        <v>#REF!</v>
      </c>
      <c r="AD30" s="14" t="e">
        <f>#REF!</f>
        <v>#REF!</v>
      </c>
      <c r="AE30" s="14" t="e">
        <f>#REF!</f>
        <v>#REF!</v>
      </c>
      <c r="AF30" s="14" t="e">
        <f>#REF!</f>
        <v>#REF!</v>
      </c>
      <c r="AG30" s="14" t="e">
        <f>#REF!</f>
        <v>#REF!</v>
      </c>
      <c r="AH30" s="14" t="e">
        <f>#REF!</f>
        <v>#REF!</v>
      </c>
      <c r="AI30" s="55"/>
      <c r="AJ30" s="55"/>
      <c r="AK30" s="55"/>
      <c r="AL30" s="55"/>
      <c r="AM30" s="55"/>
      <c r="AN30" s="55"/>
      <c r="AO30" s="55"/>
      <c r="AP30" s="55"/>
      <c r="AQ30" s="55"/>
      <c r="AR30" s="55"/>
      <c r="AS30" s="55"/>
      <c r="AT30" s="55"/>
      <c r="AU30" s="55"/>
      <c r="AV30" s="55"/>
      <c r="AW30" s="55"/>
      <c r="AX30" s="55"/>
      <c r="AY30" s="55"/>
      <c r="AZ30" s="55"/>
      <c r="BA30" s="55"/>
      <c r="BB30" s="55"/>
      <c r="BC30" s="55"/>
      <c r="BD30" s="55"/>
      <c r="BE30" s="55"/>
      <c r="BF30" s="55"/>
      <c r="BG30" s="55"/>
      <c r="BH30" s="55"/>
      <c r="BI30" s="55"/>
      <c r="BJ30" s="55"/>
      <c r="BK30" s="55"/>
      <c r="BL30" s="55"/>
      <c r="BM30" s="55"/>
      <c r="BN30" s="55"/>
      <c r="BO30" s="55"/>
      <c r="BP30" s="55"/>
      <c r="BQ30" s="55"/>
      <c r="BR30" s="55"/>
      <c r="BS30" s="55"/>
      <c r="BT30" s="55"/>
      <c r="BU30" s="55"/>
      <c r="BV30" s="55"/>
      <c r="BW30" s="55"/>
      <c r="BX30" s="55"/>
      <c r="BY30" s="55"/>
      <c r="BZ30" s="55"/>
      <c r="CA30" s="55"/>
      <c r="CB30" s="55"/>
      <c r="CC30" s="55"/>
      <c r="CD30" s="55"/>
      <c r="CE30" s="55"/>
      <c r="CF30" s="55"/>
      <c r="CG30" s="55"/>
      <c r="CH30" s="55"/>
      <c r="CI30" s="55"/>
      <c r="CJ30" s="55"/>
      <c r="CK30" s="55"/>
      <c r="CL30" s="55"/>
      <c r="CM30" s="55"/>
      <c r="CN30" s="55"/>
      <c r="CO30" s="55"/>
      <c r="CP30" s="55"/>
    </row>
    <row r="31" spans="1:94" ht="22.5" hidden="1" customHeight="1" outlineLevel="1" thickBot="1" x14ac:dyDescent="0.4">
      <c r="A31" s="36">
        <f>FLUID!E74</f>
        <v>0</v>
      </c>
      <c r="B31" s="16">
        <f ca="1">FLUID!F74</f>
        <v>0</v>
      </c>
      <c r="C31" s="16">
        <f>FLUID!G78</f>
        <v>0</v>
      </c>
      <c r="D31" s="16">
        <f>FLUID!H78</f>
        <v>0</v>
      </c>
      <c r="E31" s="16">
        <f>FLUID!I78</f>
        <v>0</v>
      </c>
      <c r="F31" s="14" t="e">
        <f>#REF!</f>
        <v>#REF!</v>
      </c>
      <c r="G31" s="14" t="e">
        <f>#REF!</f>
        <v>#REF!</v>
      </c>
      <c r="H31" s="14" t="e">
        <f>#REF!</f>
        <v>#REF!</v>
      </c>
      <c r="I31" s="14" t="e">
        <f>#REF!</f>
        <v>#REF!</v>
      </c>
      <c r="J31" s="14" t="e">
        <f>#REF!</f>
        <v>#REF!</v>
      </c>
      <c r="K31" s="14" t="e">
        <f>#REF!</f>
        <v>#REF!</v>
      </c>
      <c r="L31" s="14" t="e">
        <f>#REF!</f>
        <v>#REF!</v>
      </c>
      <c r="M31" s="14" t="e">
        <f>#REF!</f>
        <v>#REF!</v>
      </c>
      <c r="N31" s="14" t="e">
        <f>#REF!</f>
        <v>#REF!</v>
      </c>
      <c r="O31" s="14" t="e">
        <f>#REF!</f>
        <v>#REF!</v>
      </c>
      <c r="P31" s="14" t="e">
        <f>#REF!</f>
        <v>#REF!</v>
      </c>
      <c r="Q31" s="14" t="e">
        <f>#REF!</f>
        <v>#REF!</v>
      </c>
      <c r="R31" s="14" t="e">
        <f>#REF!</f>
        <v>#REF!</v>
      </c>
      <c r="S31" s="14" t="e">
        <f>#REF!</f>
        <v>#REF!</v>
      </c>
      <c r="T31" s="14" t="e">
        <f>#REF!</f>
        <v>#REF!</v>
      </c>
      <c r="U31" s="14" t="e">
        <f>#REF!</f>
        <v>#REF!</v>
      </c>
      <c r="V31" s="14" t="e">
        <f>#REF!</f>
        <v>#REF!</v>
      </c>
      <c r="W31" s="14" t="e">
        <f>#REF!</f>
        <v>#REF!</v>
      </c>
      <c r="X31" s="14" t="e">
        <f>#REF!</f>
        <v>#REF!</v>
      </c>
      <c r="Y31" s="14" t="e">
        <f>#REF!</f>
        <v>#REF!</v>
      </c>
      <c r="Z31" s="14" t="e">
        <f>#REF!</f>
        <v>#REF!</v>
      </c>
      <c r="AA31" s="14" t="e">
        <f>#REF!</f>
        <v>#REF!</v>
      </c>
      <c r="AB31" s="14" t="e">
        <f>#REF!</f>
        <v>#REF!</v>
      </c>
      <c r="AC31" s="14" t="e">
        <f>#REF!</f>
        <v>#REF!</v>
      </c>
      <c r="AD31" s="14" t="e">
        <f>#REF!</f>
        <v>#REF!</v>
      </c>
      <c r="AE31" s="14" t="e">
        <f>#REF!</f>
        <v>#REF!</v>
      </c>
      <c r="AF31" s="14" t="e">
        <f>#REF!</f>
        <v>#REF!</v>
      </c>
      <c r="AG31" s="14" t="e">
        <f>#REF!</f>
        <v>#REF!</v>
      </c>
      <c r="AH31" s="14" t="e">
        <f>#REF!</f>
        <v>#REF!</v>
      </c>
      <c r="AI31" s="55"/>
      <c r="AJ31" s="55"/>
      <c r="AK31" s="55"/>
      <c r="AL31" s="55"/>
      <c r="AM31" s="55"/>
      <c r="AN31" s="55"/>
      <c r="AO31" s="55"/>
      <c r="AP31" s="55"/>
      <c r="AQ31" s="55"/>
      <c r="AR31" s="55"/>
      <c r="AS31" s="55"/>
      <c r="AT31" s="55"/>
      <c r="AU31" s="55"/>
      <c r="AV31" s="55"/>
      <c r="AW31" s="55"/>
      <c r="AX31" s="55"/>
      <c r="AY31" s="55"/>
      <c r="AZ31" s="55"/>
      <c r="BA31" s="55"/>
      <c r="BB31" s="55"/>
      <c r="BC31" s="55"/>
      <c r="BD31" s="55"/>
      <c r="BE31" s="55"/>
      <c r="BF31" s="55"/>
      <c r="BG31" s="55"/>
      <c r="BH31" s="55"/>
      <c r="BI31" s="55"/>
      <c r="BJ31" s="55"/>
      <c r="BK31" s="55"/>
      <c r="BL31" s="55"/>
      <c r="BM31" s="55"/>
      <c r="BN31" s="55"/>
      <c r="BO31" s="55"/>
      <c r="BP31" s="55"/>
      <c r="BQ31" s="55"/>
      <c r="BR31" s="55"/>
      <c r="BS31" s="55"/>
      <c r="BT31" s="55"/>
      <c r="BU31" s="55"/>
      <c r="BV31" s="55"/>
      <c r="BW31" s="55"/>
      <c r="BX31" s="55"/>
      <c r="BY31" s="55"/>
      <c r="BZ31" s="55"/>
      <c r="CA31" s="55"/>
      <c r="CB31" s="55"/>
      <c r="CC31" s="55"/>
      <c r="CD31" s="55"/>
      <c r="CE31" s="55"/>
      <c r="CF31" s="55"/>
      <c r="CG31" s="55"/>
      <c r="CH31" s="55"/>
      <c r="CI31" s="55"/>
      <c r="CJ31" s="55"/>
      <c r="CK31" s="55"/>
      <c r="CL31" s="55"/>
      <c r="CM31" s="55"/>
      <c r="CN31" s="55"/>
      <c r="CO31" s="55"/>
      <c r="CP31" s="55"/>
    </row>
    <row r="32" spans="1:94" ht="22.5" hidden="1" customHeight="1" outlineLevel="1" thickBot="1" x14ac:dyDescent="0.4">
      <c r="A32" s="36">
        <f>FLUID!E75</f>
        <v>1</v>
      </c>
      <c r="B32" s="16">
        <f>FLUID!F75</f>
        <v>0</v>
      </c>
      <c r="C32" s="16">
        <f>FLUID!G75</f>
        <v>0</v>
      </c>
      <c r="D32" s="16">
        <f>FLUID!H75</f>
        <v>0</v>
      </c>
      <c r="E32" s="16">
        <f>FLUID!I75</f>
        <v>0</v>
      </c>
      <c r="F32" s="14">
        <f>FLUID!J75</f>
        <v>0</v>
      </c>
      <c r="G32" s="14">
        <f>FLUID!K75</f>
        <v>0</v>
      </c>
      <c r="H32" s="14">
        <f>FLUID!L75</f>
        <v>0</v>
      </c>
      <c r="I32" s="14">
        <f>FLUID!M75</f>
        <v>0</v>
      </c>
      <c r="J32" s="14">
        <f>FLUID!N75</f>
        <v>0</v>
      </c>
      <c r="K32" s="14">
        <f>FLUID!O75</f>
        <v>0</v>
      </c>
      <c r="L32" s="14">
        <f>FLUID!P75</f>
        <v>0</v>
      </c>
      <c r="M32" s="14">
        <f>FLUID!Q75</f>
        <v>0</v>
      </c>
      <c r="N32" s="14">
        <f>FLUID!R75</f>
        <v>0</v>
      </c>
      <c r="O32" s="14">
        <f>FLUID!S75</f>
        <v>0</v>
      </c>
      <c r="P32" s="14">
        <f>FLUID!T75</f>
        <v>0</v>
      </c>
      <c r="Q32" s="14">
        <f>FLUID!U75</f>
        <v>0</v>
      </c>
      <c r="R32" s="14">
        <f>FLUID!V75</f>
        <v>0</v>
      </c>
      <c r="S32" s="14">
        <f>FLUID!W75</f>
        <v>0</v>
      </c>
      <c r="T32" s="14">
        <f>FLUID!X75</f>
        <v>0</v>
      </c>
      <c r="U32" s="14">
        <f>FLUID!Y75</f>
        <v>0</v>
      </c>
      <c r="V32" s="14">
        <f>FLUID!Z75</f>
        <v>0</v>
      </c>
      <c r="W32" s="14">
        <f>FLUID!AA75</f>
        <v>0</v>
      </c>
      <c r="X32" s="14">
        <f>FLUID!AB75</f>
        <v>0</v>
      </c>
      <c r="Y32" s="14">
        <f>FLUID!AC75</f>
        <v>0</v>
      </c>
      <c r="Z32" s="14">
        <f>FLUID!AD75</f>
        <v>0</v>
      </c>
      <c r="AA32" s="14">
        <f>FLUID!AE75</f>
        <v>0</v>
      </c>
      <c r="AB32" s="14">
        <f>FLUID!AF75</f>
        <v>0</v>
      </c>
      <c r="AC32" s="14">
        <f>FLUID!AG75</f>
        <v>0</v>
      </c>
      <c r="AD32" s="14">
        <f>FLUID!AH75</f>
        <v>0</v>
      </c>
      <c r="AE32" s="14">
        <f>FLUID!AI75</f>
        <v>0</v>
      </c>
      <c r="AF32" s="14">
        <f>FLUID!AJ75</f>
        <v>0</v>
      </c>
      <c r="AG32" s="14">
        <f>FLUID!AK75</f>
        <v>0</v>
      </c>
      <c r="AH32" s="14">
        <f>FLUID!AL75</f>
        <v>0</v>
      </c>
      <c r="AI32" s="55"/>
      <c r="AJ32" s="55"/>
      <c r="AK32" s="55"/>
      <c r="AL32" s="55"/>
      <c r="AM32" s="55"/>
      <c r="AN32" s="55"/>
      <c r="AO32" s="55"/>
      <c r="AP32" s="55"/>
      <c r="AQ32" s="55"/>
      <c r="AR32" s="55"/>
      <c r="AS32" s="55"/>
      <c r="AT32" s="55"/>
      <c r="AU32" s="55"/>
      <c r="AV32" s="55"/>
      <c r="AW32" s="55"/>
      <c r="AX32" s="55"/>
      <c r="AY32" s="55"/>
      <c r="AZ32" s="55"/>
      <c r="BA32" s="55"/>
      <c r="BB32" s="55"/>
      <c r="BC32" s="55"/>
      <c r="BD32" s="55"/>
      <c r="BE32" s="55"/>
      <c r="BF32" s="55"/>
      <c r="BG32" s="55"/>
      <c r="BH32" s="55"/>
      <c r="BI32" s="55"/>
      <c r="BJ32" s="55"/>
      <c r="BK32" s="55"/>
      <c r="BL32" s="55"/>
      <c r="BM32" s="55"/>
      <c r="BN32" s="55"/>
      <c r="BO32" s="55"/>
      <c r="BP32" s="55"/>
      <c r="BQ32" s="55"/>
      <c r="BR32" s="55"/>
      <c r="BS32" s="55"/>
      <c r="BT32" s="55"/>
      <c r="BU32" s="55"/>
      <c r="BV32" s="55"/>
      <c r="BW32" s="55"/>
      <c r="BX32" s="55"/>
      <c r="BY32" s="55"/>
      <c r="BZ32" s="55"/>
      <c r="CA32" s="55"/>
      <c r="CB32" s="55"/>
      <c r="CC32" s="55"/>
      <c r="CD32" s="55"/>
      <c r="CE32" s="55"/>
      <c r="CF32" s="55"/>
      <c r="CG32" s="55"/>
      <c r="CH32" s="55"/>
      <c r="CI32" s="55"/>
      <c r="CJ32" s="55"/>
      <c r="CK32" s="55"/>
      <c r="CL32" s="55"/>
      <c r="CM32" s="55"/>
      <c r="CN32" s="55"/>
      <c r="CO32" s="55"/>
      <c r="CP32" s="55"/>
    </row>
    <row r="33" spans="1:94" ht="22.5" collapsed="1" thickTop="1" thickBot="1" x14ac:dyDescent="0.4">
      <c r="A33" s="38"/>
      <c r="AI33" s="55"/>
      <c r="AJ33" s="55"/>
      <c r="AK33" s="55"/>
      <c r="AL33" s="55"/>
      <c r="AM33" s="55"/>
      <c r="AN33" s="55"/>
      <c r="AO33" s="55"/>
      <c r="AP33" s="55"/>
      <c r="AQ33" s="55"/>
      <c r="AR33" s="55"/>
      <c r="AS33" s="55"/>
      <c r="AT33" s="55"/>
      <c r="AU33" s="55"/>
      <c r="AV33" s="55"/>
      <c r="AW33" s="55"/>
      <c r="AX33" s="55"/>
      <c r="AY33" s="55"/>
      <c r="AZ33" s="55"/>
      <c r="BA33" s="55"/>
      <c r="BB33" s="55"/>
      <c r="BC33" s="55"/>
      <c r="BD33" s="55"/>
      <c r="BE33" s="55"/>
      <c r="BF33" s="55"/>
      <c r="BG33" s="55"/>
      <c r="BH33" s="55"/>
      <c r="BI33" s="55"/>
      <c r="BJ33" s="55"/>
      <c r="BK33" s="55"/>
      <c r="BL33" s="55"/>
      <c r="BM33" s="55"/>
      <c r="BN33" s="55"/>
      <c r="BO33" s="55"/>
      <c r="BP33" s="55"/>
      <c r="BQ33" s="55"/>
      <c r="BR33" s="55"/>
      <c r="BS33" s="55"/>
      <c r="BT33" s="55"/>
      <c r="BU33" s="55"/>
      <c r="BV33" s="55"/>
      <c r="BW33" s="55"/>
      <c r="BX33" s="55"/>
      <c r="BY33" s="55"/>
      <c r="BZ33" s="55"/>
      <c r="CA33" s="55"/>
      <c r="CB33" s="55"/>
      <c r="CC33" s="55"/>
      <c r="CD33" s="55"/>
      <c r="CE33" s="55"/>
      <c r="CF33" s="55"/>
      <c r="CG33" s="55"/>
      <c r="CH33" s="55"/>
      <c r="CI33" s="55"/>
      <c r="CJ33" s="55"/>
      <c r="CK33" s="55"/>
      <c r="CL33" s="55"/>
      <c r="CM33" s="55"/>
      <c r="CN33" s="55"/>
      <c r="CO33" s="55"/>
      <c r="CP33" s="55"/>
    </row>
    <row r="34" spans="1:94" ht="22.5" thickTop="1" thickBot="1" x14ac:dyDescent="0.4">
      <c r="A34" s="4" t="s">
        <v>30</v>
      </c>
      <c r="B34" s="72">
        <f>SOLID!F45</f>
        <v>298.2</v>
      </c>
      <c r="C34" s="72">
        <f>SOLID!G45</f>
        <v>331.5</v>
      </c>
      <c r="D34" s="72">
        <f>SOLID!H45</f>
        <v>364.9</v>
      </c>
      <c r="E34" s="72">
        <f>SOLID!I45</f>
        <v>398.3</v>
      </c>
      <c r="F34" s="72">
        <f>SOLID!J45</f>
        <v>431.7</v>
      </c>
      <c r="G34" s="72">
        <f>SOLID!K45</f>
        <v>465.1</v>
      </c>
      <c r="H34" s="72">
        <f>SOLID!L45</f>
        <v>498.5</v>
      </c>
      <c r="I34" s="72">
        <f>SOLID!M45</f>
        <v>531.79999999999995</v>
      </c>
      <c r="J34" s="72">
        <f>SOLID!N45</f>
        <v>565.20000000000005</v>
      </c>
      <c r="K34" s="72">
        <f>SOLID!O45</f>
        <v>698.8</v>
      </c>
      <c r="L34" s="72">
        <f>SOLID!P45</f>
        <v>832.3</v>
      </c>
      <c r="M34" s="72">
        <f>SOLID!Q45</f>
        <v>965.8</v>
      </c>
      <c r="N34" s="72">
        <f>SOLID!R45</f>
        <v>999.2</v>
      </c>
      <c r="O34" s="72">
        <f>SOLID!S45</f>
        <v>1033</v>
      </c>
      <c r="P34" s="72">
        <f>SOLID!T45</f>
        <v>1066</v>
      </c>
      <c r="Q34" s="72">
        <f>SOLID!U45</f>
        <v>1099</v>
      </c>
      <c r="R34" s="72">
        <f>SOLID!V45</f>
        <v>1233</v>
      </c>
      <c r="S34" s="72">
        <f>SOLID!W45</f>
        <v>1366</v>
      </c>
      <c r="T34" s="72">
        <f>SOLID!X45</f>
        <v>1400</v>
      </c>
      <c r="U34" s="72">
        <f>SOLID!Y45</f>
        <v>1433</v>
      </c>
      <c r="V34" s="72">
        <f>SOLID!Z45</f>
        <v>1467</v>
      </c>
      <c r="W34" s="72">
        <f>SOLID!AA45</f>
        <v>1500</v>
      </c>
      <c r="X34" s="72">
        <f>SOLID!AB45</f>
        <v>0</v>
      </c>
      <c r="Y34" s="72">
        <f>SOLID!AC45</f>
        <v>0</v>
      </c>
      <c r="Z34" s="72">
        <f>SOLID!AD45</f>
        <v>0</v>
      </c>
      <c r="AA34" s="72">
        <f>SOLID!AE45</f>
        <v>0</v>
      </c>
      <c r="AB34" s="72">
        <f>SOLID!AF45</f>
        <v>0</v>
      </c>
      <c r="AC34" s="72">
        <f>SOLID!AG45</f>
        <v>0</v>
      </c>
      <c r="AD34" s="72">
        <f>SOLID!AH45</f>
        <v>0</v>
      </c>
      <c r="AE34" s="72">
        <f>SOLID!AI45</f>
        <v>0</v>
      </c>
      <c r="AF34" s="72">
        <f>SOLID!AJ45</f>
        <v>0</v>
      </c>
      <c r="AG34" s="72">
        <f>SOLID!AK45</f>
        <v>0</v>
      </c>
      <c r="AH34" s="72">
        <f>SOLID!AL45</f>
        <v>0</v>
      </c>
      <c r="AI34" s="55"/>
      <c r="AJ34" s="55"/>
      <c r="AK34" s="55"/>
      <c r="AL34" s="55"/>
      <c r="AM34" s="55"/>
      <c r="AN34" s="55"/>
      <c r="AO34" s="55"/>
      <c r="AP34" s="55"/>
      <c r="AQ34" s="55"/>
      <c r="AR34" s="55"/>
      <c r="AS34" s="55"/>
      <c r="AT34" s="55"/>
      <c r="AU34" s="55"/>
      <c r="AV34" s="55"/>
      <c r="AW34" s="55"/>
      <c r="AX34" s="55"/>
      <c r="AY34" s="55"/>
      <c r="AZ34" s="55"/>
      <c r="BA34" s="55"/>
      <c r="BB34" s="55"/>
      <c r="BC34" s="55"/>
      <c r="BD34" s="55"/>
      <c r="BE34" s="55"/>
      <c r="BF34" s="55"/>
      <c r="BG34" s="55"/>
      <c r="BH34" s="55"/>
      <c r="BI34" s="55"/>
      <c r="BJ34" s="55"/>
      <c r="BK34" s="55"/>
      <c r="BL34" s="55"/>
      <c r="BM34" s="55"/>
      <c r="BN34" s="55"/>
      <c r="BO34" s="55"/>
      <c r="BP34" s="55"/>
      <c r="BQ34" s="55"/>
      <c r="BR34" s="55"/>
      <c r="BS34" s="55"/>
      <c r="BT34" s="55"/>
      <c r="BU34" s="55"/>
      <c r="BV34" s="55"/>
      <c r="BW34" s="55"/>
      <c r="BX34" s="55"/>
      <c r="BY34" s="55"/>
      <c r="BZ34" s="55"/>
      <c r="CA34" s="55"/>
      <c r="CB34" s="55"/>
      <c r="CC34" s="55"/>
      <c r="CD34" s="55"/>
      <c r="CE34" s="55"/>
      <c r="CF34" s="55"/>
      <c r="CG34" s="55"/>
      <c r="CH34" s="55"/>
      <c r="CI34" s="55"/>
      <c r="CJ34" s="55"/>
      <c r="CK34" s="55"/>
      <c r="CL34" s="55"/>
      <c r="CM34" s="55"/>
      <c r="CN34" s="55"/>
      <c r="CO34" s="55"/>
      <c r="CP34" s="55"/>
    </row>
    <row r="35" spans="1:94" ht="22.5" hidden="1" outlineLevel="1" thickTop="1" thickBot="1" x14ac:dyDescent="0.4">
      <c r="A35" s="35" t="str">
        <f>SOLID!E46</f>
        <v>*Ge[l]</v>
      </c>
      <c r="B35" s="16">
        <f ca="1">SOLID!F46</f>
        <v>-15.35</v>
      </c>
      <c r="C35" s="16">
        <f ca="1">SOLID!G46</f>
        <v>-14.36</v>
      </c>
      <c r="D35" s="16">
        <f ca="1">SOLID!H46</f>
        <v>-12.3</v>
      </c>
      <c r="E35" s="16">
        <f ca="1">SOLID!I46</f>
        <v>-10.01</v>
      </c>
      <c r="F35" s="14">
        <f ca="1">SOLID!J46</f>
        <v>-8.0210000000000008</v>
      </c>
      <c r="G35" s="14">
        <f ca="1">SOLID!K46</f>
        <v>-6.28</v>
      </c>
      <c r="H35" s="14">
        <f ca="1">SOLID!L46</f>
        <v>-4.7359999999999998</v>
      </c>
      <c r="I35" s="14">
        <f ca="1">SOLID!M46</f>
        <v>-4.141</v>
      </c>
      <c r="J35" s="14">
        <f ca="1">SOLID!N46</f>
        <v>-4.2229999999999999</v>
      </c>
      <c r="K35" s="14">
        <f ca="1">SOLID!O46</f>
        <v>-4.5529999999999999</v>
      </c>
      <c r="L35" s="14">
        <f ca="1">SOLID!P46</f>
        <v>-4.8730000000000002</v>
      </c>
      <c r="M35" s="14">
        <f ca="1">SOLID!Q46</f>
        <v>-5.1749999999999998</v>
      </c>
      <c r="N35" s="14">
        <f ca="1">SOLID!R46</f>
        <v>-5.2469999999999999</v>
      </c>
      <c r="O35" s="14">
        <f ca="1">SOLID!S46</f>
        <v>-5.3179999999999996</v>
      </c>
      <c r="P35" s="14">
        <f ca="1">SOLID!T46</f>
        <v>-5.3890000000000002</v>
      </c>
      <c r="Q35" s="14">
        <f ca="1">SOLID!U46</f>
        <v>-5.4580000000000002</v>
      </c>
      <c r="R35" s="14">
        <f ca="1">SOLID!V46</f>
        <v>-5.7869999999999999</v>
      </c>
      <c r="S35" s="14">
        <f ca="1">SOLID!W46</f>
        <v>-6.3879999999999999</v>
      </c>
      <c r="T35" s="14">
        <f ca="1">SOLID!X46</f>
        <v>-6.5250000000000004</v>
      </c>
      <c r="U35" s="14">
        <f ca="1">SOLID!Y46</f>
        <v>-6.6580000000000004</v>
      </c>
      <c r="V35" s="14">
        <f ca="1">SOLID!Z46</f>
        <v>-6.7869999999999999</v>
      </c>
      <c r="W35" s="14">
        <f ca="1">SOLID!AA46</f>
        <v>-6.9109999999999996</v>
      </c>
      <c r="X35" s="14">
        <f ca="1">SOLID!AB46</f>
        <v>0</v>
      </c>
      <c r="Y35" s="14">
        <f ca="1">SOLID!AC46</f>
        <v>0</v>
      </c>
      <c r="Z35" s="14">
        <f ca="1">SOLID!AD46</f>
        <v>0</v>
      </c>
      <c r="AA35" s="14">
        <f ca="1">SOLID!AE46</f>
        <v>0</v>
      </c>
      <c r="AB35" s="14">
        <f ca="1">SOLID!AF46</f>
        <v>0</v>
      </c>
      <c r="AC35" s="14">
        <f ca="1">SOLID!AG46</f>
        <v>0</v>
      </c>
      <c r="AD35" s="14">
        <f ca="1">SOLID!AH46</f>
        <v>0</v>
      </c>
      <c r="AE35" s="14">
        <f ca="1">SOLID!AI46</f>
        <v>0</v>
      </c>
      <c r="AF35" s="14">
        <f ca="1">SOLID!AJ46</f>
        <v>0</v>
      </c>
      <c r="AG35" s="14">
        <f ca="1">SOLID!AK46</f>
        <v>0</v>
      </c>
      <c r="AH35" s="14">
        <f ca="1">SOLID!AL46</f>
        <v>0</v>
      </c>
      <c r="AI35" s="55"/>
      <c r="AJ35" s="55"/>
      <c r="AK35" s="55"/>
      <c r="AL35" s="55"/>
      <c r="AM35" s="55"/>
      <c r="AN35" s="55"/>
      <c r="AO35" s="55"/>
      <c r="AP35" s="55"/>
      <c r="AQ35" s="55"/>
      <c r="AR35" s="55"/>
      <c r="AS35" s="55"/>
      <c r="AT35" s="55"/>
      <c r="AU35" s="55"/>
      <c r="AV35" s="55"/>
      <c r="AW35" s="55"/>
      <c r="AX35" s="55"/>
      <c r="AY35" s="55"/>
      <c r="AZ35" s="55"/>
      <c r="BA35" s="55"/>
      <c r="BB35" s="55"/>
      <c r="BC35" s="55"/>
      <c r="BD35" s="55"/>
      <c r="BE35" s="55"/>
      <c r="BF35" s="55"/>
      <c r="BG35" s="55"/>
      <c r="BH35" s="55"/>
      <c r="BI35" s="55"/>
      <c r="BJ35" s="55"/>
      <c r="BK35" s="55"/>
      <c r="BL35" s="55"/>
      <c r="BM35" s="55"/>
      <c r="BN35" s="55"/>
      <c r="BO35" s="55"/>
      <c r="BP35" s="55"/>
      <c r="BQ35" s="55"/>
      <c r="BR35" s="55"/>
      <c r="BS35" s="55"/>
      <c r="BT35" s="55"/>
      <c r="BU35" s="55"/>
      <c r="BV35" s="55"/>
      <c r="BW35" s="55"/>
      <c r="BX35" s="55"/>
      <c r="BY35" s="55"/>
      <c r="BZ35" s="55"/>
      <c r="CA35" s="55"/>
      <c r="CB35" s="55"/>
      <c r="CC35" s="55"/>
      <c r="CD35" s="55"/>
      <c r="CE35" s="55"/>
      <c r="CF35" s="55"/>
      <c r="CG35" s="55"/>
      <c r="CH35" s="55"/>
      <c r="CI35" s="55"/>
      <c r="CJ35" s="55"/>
      <c r="CK35" s="55"/>
      <c r="CL35" s="55"/>
      <c r="CM35" s="55"/>
      <c r="CN35" s="55"/>
      <c r="CO35" s="55"/>
      <c r="CP35" s="55"/>
    </row>
    <row r="36" spans="1:94" ht="21.75" hidden="1" outlineLevel="1" thickBot="1" x14ac:dyDescent="0.4">
      <c r="A36" s="35" t="str">
        <f>SOLID!E47</f>
        <v>*Ge</v>
      </c>
      <c r="B36" s="16">
        <f ca="1">SOLID!F47</f>
        <v>-15.35</v>
      </c>
      <c r="C36" s="16">
        <f ca="1">SOLID!G47</f>
        <v>-14.36</v>
      </c>
      <c r="D36" s="16">
        <f ca="1">SOLID!H47</f>
        <v>-12.3</v>
      </c>
      <c r="E36" s="16">
        <f ca="1">SOLID!I47</f>
        <v>-10.01</v>
      </c>
      <c r="F36" s="14">
        <f ca="1">SOLID!J47</f>
        <v>-8.0210000000000008</v>
      </c>
      <c r="G36" s="14">
        <f ca="1">SOLID!K47</f>
        <v>-6.28</v>
      </c>
      <c r="H36" s="14">
        <f ca="1">SOLID!L47</f>
        <v>-4.7359999999999998</v>
      </c>
      <c r="I36" s="14">
        <f ca="1">SOLID!M47</f>
        <v>-4.141</v>
      </c>
      <c r="J36" s="14">
        <f ca="1">SOLID!N47</f>
        <v>-4.2229999999999999</v>
      </c>
      <c r="K36" s="14">
        <f ca="1">SOLID!O47</f>
        <v>-4.5529999999999999</v>
      </c>
      <c r="L36" s="14">
        <f ca="1">SOLID!P47</f>
        <v>-4.8730000000000002</v>
      </c>
      <c r="M36" s="14">
        <f ca="1">SOLID!Q47</f>
        <v>-5.1749999999999998</v>
      </c>
      <c r="N36" s="14">
        <f ca="1">SOLID!R47</f>
        <v>-5.2469999999999999</v>
      </c>
      <c r="O36" s="14">
        <f ca="1">SOLID!S47</f>
        <v>-5.3179999999999996</v>
      </c>
      <c r="P36" s="14">
        <f ca="1">SOLID!T47</f>
        <v>-5.3890000000000002</v>
      </c>
      <c r="Q36" s="14">
        <f ca="1">SOLID!U47</f>
        <v>-5.4580000000000002</v>
      </c>
      <c r="R36" s="14">
        <f ca="1">SOLID!V47</f>
        <v>-5.7869999999999999</v>
      </c>
      <c r="S36" s="14">
        <f ca="1">SOLID!W47</f>
        <v>-6.3879999999999999</v>
      </c>
      <c r="T36" s="14">
        <f ca="1">SOLID!X47</f>
        <v>-6.5250000000000004</v>
      </c>
      <c r="U36" s="14">
        <f ca="1">SOLID!Y47</f>
        <v>-6.6580000000000004</v>
      </c>
      <c r="V36" s="14">
        <f ca="1">SOLID!Z47</f>
        <v>-6.7869999999999999</v>
      </c>
      <c r="W36" s="14">
        <f ca="1">SOLID!AA47</f>
        <v>-6.9109999999999996</v>
      </c>
      <c r="X36" s="14">
        <f ca="1">SOLID!AB47</f>
        <v>0</v>
      </c>
      <c r="Y36" s="14">
        <f ca="1">SOLID!AC47</f>
        <v>0</v>
      </c>
      <c r="Z36" s="14">
        <f ca="1">SOLID!AD47</f>
        <v>0</v>
      </c>
      <c r="AA36" s="14">
        <f ca="1">SOLID!AE47</f>
        <v>0</v>
      </c>
      <c r="AB36" s="14">
        <f ca="1">SOLID!AF47</f>
        <v>0</v>
      </c>
      <c r="AC36" s="14">
        <f ca="1">SOLID!AG47</f>
        <v>0</v>
      </c>
      <c r="AD36" s="14">
        <f ca="1">SOLID!AH47</f>
        <v>0</v>
      </c>
      <c r="AE36" s="14">
        <f ca="1">SOLID!AI47</f>
        <v>0</v>
      </c>
      <c r="AF36" s="14">
        <f ca="1">SOLID!AJ47</f>
        <v>0</v>
      </c>
      <c r="AG36" s="14">
        <f ca="1">SOLID!AK47</f>
        <v>0</v>
      </c>
      <c r="AH36" s="14">
        <f ca="1">SOLID!AL47</f>
        <v>0</v>
      </c>
      <c r="AI36" s="55"/>
      <c r="AJ36" s="55"/>
      <c r="AK36" s="55"/>
      <c r="AL36" s="55"/>
      <c r="AM36" s="55"/>
      <c r="AN36" s="55"/>
      <c r="AO36" s="55"/>
      <c r="AP36" s="55"/>
      <c r="AQ36" s="55"/>
      <c r="AR36" s="55"/>
      <c r="AS36" s="55"/>
      <c r="AT36" s="55"/>
      <c r="AU36" s="55"/>
      <c r="AV36" s="55"/>
      <c r="AW36" s="55"/>
      <c r="AX36" s="55"/>
      <c r="AY36" s="55"/>
      <c r="AZ36" s="55"/>
      <c r="BA36" s="55"/>
      <c r="BB36" s="55"/>
      <c r="BC36" s="55"/>
      <c r="BD36" s="55"/>
      <c r="BE36" s="55"/>
      <c r="BF36" s="55"/>
      <c r="BG36" s="55"/>
      <c r="BH36" s="55"/>
      <c r="BI36" s="55"/>
      <c r="BJ36" s="55"/>
      <c r="BK36" s="55"/>
      <c r="BL36" s="55"/>
      <c r="BM36" s="55"/>
      <c r="BN36" s="55"/>
      <c r="BO36" s="55"/>
      <c r="BP36" s="55"/>
      <c r="BQ36" s="55"/>
      <c r="BR36" s="55"/>
      <c r="BS36" s="55"/>
      <c r="BT36" s="55"/>
      <c r="BU36" s="55"/>
      <c r="BV36" s="55"/>
      <c r="BW36" s="55"/>
      <c r="BX36" s="55"/>
      <c r="BY36" s="55"/>
      <c r="BZ36" s="55"/>
      <c r="CA36" s="55"/>
      <c r="CB36" s="55"/>
      <c r="CC36" s="55"/>
      <c r="CD36" s="55"/>
      <c r="CE36" s="55"/>
      <c r="CF36" s="55"/>
      <c r="CG36" s="55"/>
      <c r="CH36" s="55"/>
      <c r="CI36" s="55"/>
      <c r="CJ36" s="55"/>
      <c r="CK36" s="55"/>
      <c r="CL36" s="55"/>
      <c r="CM36" s="55"/>
      <c r="CN36" s="55"/>
      <c r="CO36" s="55"/>
      <c r="CP36" s="55"/>
    </row>
    <row r="37" spans="1:94" ht="21.75" hidden="1" outlineLevel="1" thickBot="1" x14ac:dyDescent="0.4">
      <c r="A37" s="35" t="str">
        <f>SOLID!E48</f>
        <v>*GeSe</v>
      </c>
      <c r="B37" s="16">
        <f ca="1">SOLID!F48</f>
        <v>-37.24</v>
      </c>
      <c r="C37" s="16">
        <f ca="1">SOLID!G48</f>
        <v>-34.47</v>
      </c>
      <c r="D37" s="16">
        <f ca="1">SOLID!H48</f>
        <v>-32.269999999999996</v>
      </c>
      <c r="E37" s="16">
        <f ca="1">SOLID!I48</f>
        <v>-30.479999999999997</v>
      </c>
      <c r="F37" s="14">
        <f ca="1">SOLID!J48</f>
        <v>-29.001000000000001</v>
      </c>
      <c r="G37" s="14">
        <f ca="1">SOLID!K48</f>
        <v>-27.77</v>
      </c>
      <c r="H37" s="14">
        <f ca="1">SOLID!L48</f>
        <v>-26.746000000000002</v>
      </c>
      <c r="I37" s="14">
        <f ca="1">SOLID!M48</f>
        <v>-26.651000000000003</v>
      </c>
      <c r="J37" s="14">
        <f ca="1">SOLID!N48</f>
        <v>-27.242999999999999</v>
      </c>
      <c r="K37" s="14">
        <f ca="1">SOLID!O48</f>
        <v>-29.513000000000002</v>
      </c>
      <c r="L37" s="14">
        <f ca="1">SOLID!P48</f>
        <v>-31.643000000000001</v>
      </c>
      <c r="M37" s="14">
        <f ca="1">SOLID!Q48</f>
        <v>-33.664999999999999</v>
      </c>
      <c r="N37" s="14">
        <f ca="1">SOLID!R48</f>
        <v>-34.146999999999998</v>
      </c>
      <c r="O37" s="14">
        <f ca="1">SOLID!S48</f>
        <v>-34.628</v>
      </c>
      <c r="P37" s="14">
        <f ca="1">SOLID!T48</f>
        <v>-35.109000000000002</v>
      </c>
      <c r="Q37" s="14">
        <f ca="1">SOLID!U48</f>
        <v>-35.578000000000003</v>
      </c>
      <c r="R37" s="14">
        <f ca="1">SOLID!V48</f>
        <v>-37.477000000000004</v>
      </c>
      <c r="S37" s="14">
        <f ca="1">SOLID!W48</f>
        <v>-39.607999999999997</v>
      </c>
      <c r="T37" s="14">
        <f ca="1">SOLID!X48</f>
        <v>-40.115000000000002</v>
      </c>
      <c r="U37" s="14">
        <f ca="1">SOLID!Y48</f>
        <v>-40.628</v>
      </c>
      <c r="V37" s="14">
        <f ca="1">SOLID!Z48</f>
        <v>-41.127000000000002</v>
      </c>
      <c r="W37" s="14">
        <f ca="1">SOLID!AA48</f>
        <v>-41.621000000000002</v>
      </c>
      <c r="X37" s="14">
        <f ca="1">SOLID!AB48</f>
        <v>0</v>
      </c>
      <c r="Y37" s="14">
        <f ca="1">SOLID!AC48</f>
        <v>0</v>
      </c>
      <c r="Z37" s="14">
        <f ca="1">SOLID!AD48</f>
        <v>0</v>
      </c>
      <c r="AA37" s="14">
        <f ca="1">SOLID!AE48</f>
        <v>0</v>
      </c>
      <c r="AB37" s="14">
        <f ca="1">SOLID!AF48</f>
        <v>0</v>
      </c>
      <c r="AC37" s="14">
        <f ca="1">SOLID!AG48</f>
        <v>0</v>
      </c>
      <c r="AD37" s="14">
        <f ca="1">SOLID!AH48</f>
        <v>0</v>
      </c>
      <c r="AE37" s="14">
        <f ca="1">SOLID!AI48</f>
        <v>0</v>
      </c>
      <c r="AF37" s="14">
        <f ca="1">SOLID!AJ48</f>
        <v>0</v>
      </c>
      <c r="AG37" s="14">
        <f ca="1">SOLID!AK48</f>
        <v>0</v>
      </c>
      <c r="AH37" s="14">
        <f ca="1">SOLID!AL48</f>
        <v>0</v>
      </c>
      <c r="AI37" s="55"/>
      <c r="AJ37" s="55"/>
      <c r="AK37" s="55"/>
      <c r="AL37" s="55"/>
      <c r="AM37" s="55"/>
      <c r="AN37" s="55"/>
      <c r="AO37" s="55"/>
      <c r="AP37" s="55"/>
      <c r="AQ37" s="55"/>
      <c r="AR37" s="55"/>
      <c r="AS37" s="55"/>
      <c r="AT37" s="55"/>
      <c r="AU37" s="55"/>
      <c r="AV37" s="55"/>
      <c r="AW37" s="55"/>
      <c r="AX37" s="55"/>
      <c r="AY37" s="55"/>
      <c r="AZ37" s="55"/>
      <c r="BA37" s="55"/>
      <c r="BB37" s="55"/>
      <c r="BC37" s="55"/>
      <c r="BD37" s="55"/>
      <c r="BE37" s="55"/>
      <c r="BF37" s="55"/>
      <c r="BG37" s="55"/>
      <c r="BH37" s="55"/>
      <c r="BI37" s="55"/>
      <c r="BJ37" s="55"/>
      <c r="BK37" s="55"/>
      <c r="BL37" s="55"/>
      <c r="BM37" s="55"/>
      <c r="BN37" s="55"/>
      <c r="BO37" s="55"/>
      <c r="BP37" s="55"/>
      <c r="BQ37" s="55"/>
      <c r="BR37" s="55"/>
      <c r="BS37" s="55"/>
      <c r="BT37" s="55"/>
      <c r="BU37" s="55"/>
      <c r="BV37" s="55"/>
      <c r="BW37" s="55"/>
      <c r="BX37" s="55"/>
      <c r="BY37" s="55"/>
      <c r="BZ37" s="55"/>
      <c r="CA37" s="55"/>
      <c r="CB37" s="55"/>
      <c r="CC37" s="55"/>
      <c r="CD37" s="55"/>
      <c r="CE37" s="55"/>
      <c r="CF37" s="55"/>
      <c r="CG37" s="55"/>
      <c r="CH37" s="55"/>
      <c r="CI37" s="55"/>
      <c r="CJ37" s="55"/>
      <c r="CK37" s="55"/>
      <c r="CL37" s="55"/>
      <c r="CM37" s="55"/>
      <c r="CN37" s="55"/>
      <c r="CO37" s="55"/>
      <c r="CP37" s="55"/>
    </row>
    <row r="38" spans="1:94" ht="21.75" hidden="1" outlineLevel="1" thickBot="1" x14ac:dyDescent="0.4">
      <c r="A38" s="35" t="str">
        <f>SOLID!E49</f>
        <v>*Ga</v>
      </c>
      <c r="B38" s="16">
        <f ca="1">SOLID!F49</f>
        <v>-60.99</v>
      </c>
      <c r="C38" s="16">
        <f ca="1">SOLID!G49</f>
        <v>-55.39</v>
      </c>
      <c r="D38" s="16">
        <f ca="1">SOLID!H49</f>
        <v>-48.92</v>
      </c>
      <c r="E38" s="16">
        <f ca="1">SOLID!I49</f>
        <v>-42.66</v>
      </c>
      <c r="F38" s="14">
        <f ca="1">SOLID!J49</f>
        <v>-37.28</v>
      </c>
      <c r="G38" s="14">
        <f ca="1">SOLID!K49</f>
        <v>-32.6</v>
      </c>
      <c r="H38" s="14">
        <f ca="1">SOLID!L49</f>
        <v>-28.48</v>
      </c>
      <c r="I38" s="14">
        <f ca="1">SOLID!M49</f>
        <v>-25.41</v>
      </c>
      <c r="J38" s="14">
        <f ca="1">SOLID!N49</f>
        <v>-26.73</v>
      </c>
      <c r="K38" s="14">
        <f ca="1">SOLID!O49</f>
        <v>-31.78</v>
      </c>
      <c r="L38" s="14">
        <f ca="1">SOLID!P49</f>
        <v>-36.28</v>
      </c>
      <c r="M38" s="14">
        <f ca="1">SOLID!Q49</f>
        <v>-40.049999999999997</v>
      </c>
      <c r="N38" s="14">
        <f ca="1">SOLID!R49</f>
        <v>-40.86</v>
      </c>
      <c r="O38" s="14">
        <f ca="1">SOLID!S49</f>
        <v>-41.61</v>
      </c>
      <c r="P38" s="14">
        <f ca="1">SOLID!T49</f>
        <v>-42.31</v>
      </c>
      <c r="Q38" s="14">
        <f ca="1">SOLID!U49</f>
        <v>-42.94</v>
      </c>
      <c r="R38" s="14">
        <f ca="1">SOLID!V49</f>
        <v>-44.86</v>
      </c>
      <c r="S38" s="14">
        <f ca="1">SOLID!W49</f>
        <v>-45.72</v>
      </c>
      <c r="T38" s="14">
        <f ca="1">SOLID!X49</f>
        <v>-45.76</v>
      </c>
      <c r="U38" s="14">
        <f ca="1">SOLID!Y49</f>
        <v>-45.74</v>
      </c>
      <c r="V38" s="14">
        <f ca="1">SOLID!Z49</f>
        <v>-45.64</v>
      </c>
      <c r="W38" s="14">
        <f ca="1">SOLID!AA49</f>
        <v>-45.47</v>
      </c>
      <c r="X38" s="14">
        <f ca="1">SOLID!AB49</f>
        <v>0</v>
      </c>
      <c r="Y38" s="14">
        <f ca="1">SOLID!AC49</f>
        <v>0</v>
      </c>
      <c r="Z38" s="14">
        <f ca="1">SOLID!AD49</f>
        <v>0</v>
      </c>
      <c r="AA38" s="14">
        <f ca="1">SOLID!AE49</f>
        <v>0</v>
      </c>
      <c r="AB38" s="14">
        <f ca="1">SOLID!AF49</f>
        <v>0</v>
      </c>
      <c r="AC38" s="14">
        <f ca="1">SOLID!AG49</f>
        <v>0</v>
      </c>
      <c r="AD38" s="14">
        <f ca="1">SOLID!AH49</f>
        <v>0</v>
      </c>
      <c r="AE38" s="14">
        <f ca="1">SOLID!AI49</f>
        <v>0</v>
      </c>
      <c r="AF38" s="14">
        <f ca="1">SOLID!AJ49</f>
        <v>0</v>
      </c>
      <c r="AG38" s="14">
        <f ca="1">SOLID!AK49</f>
        <v>0</v>
      </c>
      <c r="AH38" s="14">
        <f ca="1">SOLID!AL49</f>
        <v>0</v>
      </c>
      <c r="AI38" s="55"/>
      <c r="AJ38" s="55"/>
      <c r="AK38" s="55"/>
      <c r="AL38" s="55"/>
      <c r="AM38" s="55"/>
      <c r="AN38" s="55"/>
      <c r="AO38" s="55"/>
      <c r="AP38" s="55"/>
      <c r="AQ38" s="55"/>
      <c r="AR38" s="55"/>
      <c r="AS38" s="55"/>
      <c r="AT38" s="55"/>
      <c r="AU38" s="55"/>
      <c r="AV38" s="55"/>
      <c r="AW38" s="55"/>
      <c r="AX38" s="55"/>
      <c r="AY38" s="55"/>
      <c r="AZ38" s="55"/>
      <c r="BA38" s="55"/>
      <c r="BB38" s="55"/>
      <c r="BC38" s="55"/>
      <c r="BD38" s="55"/>
      <c r="BE38" s="55"/>
      <c r="BF38" s="55"/>
      <c r="BG38" s="55"/>
      <c r="BH38" s="55"/>
      <c r="BI38" s="55"/>
      <c r="BJ38" s="55"/>
      <c r="BK38" s="55"/>
      <c r="BL38" s="55"/>
      <c r="BM38" s="55"/>
      <c r="BN38" s="55"/>
      <c r="BO38" s="55"/>
      <c r="BP38" s="55"/>
      <c r="BQ38" s="55"/>
      <c r="BR38" s="55"/>
      <c r="BS38" s="55"/>
      <c r="BT38" s="55"/>
      <c r="BU38" s="55"/>
      <c r="BV38" s="55"/>
      <c r="BW38" s="55"/>
      <c r="BX38" s="55"/>
      <c r="BY38" s="55"/>
      <c r="BZ38" s="55"/>
      <c r="CA38" s="55"/>
      <c r="CB38" s="55"/>
      <c r="CC38" s="55"/>
      <c r="CD38" s="55"/>
      <c r="CE38" s="55"/>
      <c r="CF38" s="55"/>
      <c r="CG38" s="55"/>
      <c r="CH38" s="55"/>
      <c r="CI38" s="55"/>
      <c r="CJ38" s="55"/>
      <c r="CK38" s="55"/>
      <c r="CL38" s="55"/>
      <c r="CM38" s="55"/>
      <c r="CN38" s="55"/>
      <c r="CO38" s="55"/>
      <c r="CP38" s="55"/>
    </row>
    <row r="39" spans="1:94" ht="21.75" hidden="1" outlineLevel="1" thickBot="1" x14ac:dyDescent="0.4">
      <c r="A39" s="35" t="str">
        <f>SOLID!E50</f>
        <v>*Ge[c]</v>
      </c>
      <c r="B39" s="16">
        <f ca="1">SOLID!F50</f>
        <v>-15.35</v>
      </c>
      <c r="C39" s="16">
        <f ca="1">SOLID!G50</f>
        <v>-14.36</v>
      </c>
      <c r="D39" s="16">
        <f ca="1">SOLID!H50</f>
        <v>-12.3</v>
      </c>
      <c r="E39" s="16">
        <f ca="1">SOLID!I50</f>
        <v>-10.01</v>
      </c>
      <c r="F39" s="14">
        <f ca="1">SOLID!J50</f>
        <v>-8.0210000000000008</v>
      </c>
      <c r="G39" s="14">
        <f ca="1">SOLID!K50</f>
        <v>-6.28</v>
      </c>
      <c r="H39" s="14">
        <f ca="1">SOLID!L50</f>
        <v>-4.7359999999999998</v>
      </c>
      <c r="I39" s="14">
        <f ca="1">SOLID!M50</f>
        <v>-4.141</v>
      </c>
      <c r="J39" s="14">
        <f ca="1">SOLID!N50</f>
        <v>-4.2229999999999999</v>
      </c>
      <c r="K39" s="14">
        <f ca="1">SOLID!O50</f>
        <v>-4.5529999999999999</v>
      </c>
      <c r="L39" s="14">
        <f ca="1">SOLID!P50</f>
        <v>-4.8730000000000002</v>
      </c>
      <c r="M39" s="14">
        <f ca="1">SOLID!Q50</f>
        <v>-5.1749999999999998</v>
      </c>
      <c r="N39" s="14">
        <f ca="1">SOLID!R50</f>
        <v>-5.2469999999999999</v>
      </c>
      <c r="O39" s="14">
        <f ca="1">SOLID!S50</f>
        <v>-5.3179999999999996</v>
      </c>
      <c r="P39" s="14">
        <f ca="1">SOLID!T50</f>
        <v>-5.3890000000000002</v>
      </c>
      <c r="Q39" s="14">
        <f ca="1">SOLID!U50</f>
        <v>-5.4580000000000002</v>
      </c>
      <c r="R39" s="14">
        <f ca="1">SOLID!V50</f>
        <v>-5.7869999999999999</v>
      </c>
      <c r="S39" s="14">
        <f ca="1">SOLID!W50</f>
        <v>-6.3879999999999999</v>
      </c>
      <c r="T39" s="14">
        <f ca="1">SOLID!X50</f>
        <v>-6.5250000000000004</v>
      </c>
      <c r="U39" s="14">
        <f ca="1">SOLID!Y50</f>
        <v>-6.6580000000000004</v>
      </c>
      <c r="V39" s="14">
        <f ca="1">SOLID!Z50</f>
        <v>-6.7869999999999999</v>
      </c>
      <c r="W39" s="14">
        <f ca="1">SOLID!AA50</f>
        <v>-6.9109999999999996</v>
      </c>
      <c r="X39" s="14">
        <f ca="1">SOLID!AB50</f>
        <v>0</v>
      </c>
      <c r="Y39" s="14">
        <f ca="1">SOLID!AC50</f>
        <v>0</v>
      </c>
      <c r="Z39" s="14">
        <f ca="1">SOLID!AD50</f>
        <v>0</v>
      </c>
      <c r="AA39" s="14">
        <f ca="1">SOLID!AE50</f>
        <v>0</v>
      </c>
      <c r="AB39" s="14">
        <f ca="1">SOLID!AF50</f>
        <v>0</v>
      </c>
      <c r="AC39" s="14">
        <f ca="1">SOLID!AG50</f>
        <v>0</v>
      </c>
      <c r="AD39" s="14">
        <f ca="1">SOLID!AH50</f>
        <v>0</v>
      </c>
      <c r="AE39" s="14">
        <f ca="1">SOLID!AI50</f>
        <v>0</v>
      </c>
      <c r="AF39" s="14">
        <f ca="1">SOLID!AJ50</f>
        <v>0</v>
      </c>
      <c r="AG39" s="14">
        <f ca="1">SOLID!AK50</f>
        <v>0</v>
      </c>
      <c r="AH39" s="14">
        <f ca="1">SOLID!AL50</f>
        <v>0</v>
      </c>
      <c r="AI39" s="55"/>
      <c r="AJ39" s="55"/>
      <c r="AK39" s="55"/>
      <c r="AL39" s="55"/>
      <c r="AM39" s="55"/>
      <c r="AN39" s="55"/>
      <c r="AO39" s="55"/>
      <c r="AP39" s="55"/>
      <c r="AQ39" s="55"/>
      <c r="AR39" s="55"/>
      <c r="AS39" s="55"/>
      <c r="AT39" s="55"/>
      <c r="AU39" s="55"/>
      <c r="AV39" s="55"/>
      <c r="AW39" s="55"/>
      <c r="AX39" s="55"/>
      <c r="AY39" s="55"/>
      <c r="AZ39" s="55"/>
      <c r="BA39" s="55"/>
      <c r="BB39" s="55"/>
      <c r="BC39" s="55"/>
      <c r="BD39" s="55"/>
      <c r="BE39" s="55"/>
      <c r="BF39" s="55"/>
      <c r="BG39" s="55"/>
      <c r="BH39" s="55"/>
      <c r="BI39" s="55"/>
      <c r="BJ39" s="55"/>
      <c r="BK39" s="55"/>
      <c r="BL39" s="55"/>
      <c r="BM39" s="55"/>
      <c r="BN39" s="55"/>
      <c r="BO39" s="55"/>
      <c r="BP39" s="55"/>
      <c r="BQ39" s="55"/>
      <c r="BR39" s="55"/>
      <c r="BS39" s="55"/>
      <c r="BT39" s="55"/>
      <c r="BU39" s="55"/>
      <c r="BV39" s="55"/>
      <c r="BW39" s="55"/>
      <c r="BX39" s="55"/>
      <c r="BY39" s="55"/>
      <c r="BZ39" s="55"/>
      <c r="CA39" s="55"/>
      <c r="CB39" s="55"/>
      <c r="CC39" s="55"/>
      <c r="CD39" s="55"/>
      <c r="CE39" s="55"/>
      <c r="CF39" s="55"/>
      <c r="CG39" s="55"/>
      <c r="CH39" s="55"/>
      <c r="CI39" s="55"/>
      <c r="CJ39" s="55"/>
      <c r="CK39" s="55"/>
      <c r="CL39" s="55"/>
      <c r="CM39" s="55"/>
      <c r="CN39" s="55"/>
      <c r="CO39" s="55"/>
      <c r="CP39" s="55"/>
    </row>
    <row r="40" spans="1:94" ht="21.75" hidden="1" outlineLevel="1" thickBot="1" x14ac:dyDescent="0.4">
      <c r="A40" s="35" t="str">
        <f>SOLID!E51</f>
        <v>*Se[m]</v>
      </c>
      <c r="B40" s="16">
        <f ca="1">SOLID!F51</f>
        <v>-21.89</v>
      </c>
      <c r="C40" s="16">
        <f ca="1">SOLID!G51</f>
        <v>-20.11</v>
      </c>
      <c r="D40" s="16">
        <f ca="1">SOLID!H51</f>
        <v>-19.97</v>
      </c>
      <c r="E40" s="16">
        <f ca="1">SOLID!I51</f>
        <v>-20.47</v>
      </c>
      <c r="F40" s="14">
        <f ca="1">SOLID!J51</f>
        <v>-20.98</v>
      </c>
      <c r="G40" s="14">
        <f ca="1">SOLID!K51</f>
        <v>-21.49</v>
      </c>
      <c r="H40" s="14">
        <f ca="1">SOLID!L51</f>
        <v>-22.01</v>
      </c>
      <c r="I40" s="14">
        <f ca="1">SOLID!M51</f>
        <v>-22.51</v>
      </c>
      <c r="J40" s="14">
        <f ca="1">SOLID!N51</f>
        <v>-23.02</v>
      </c>
      <c r="K40" s="14">
        <f ca="1">SOLID!O51</f>
        <v>-24.96</v>
      </c>
      <c r="L40" s="14">
        <f ca="1">SOLID!P51</f>
        <v>-26.77</v>
      </c>
      <c r="M40" s="14">
        <f ca="1">SOLID!Q51</f>
        <v>-28.49</v>
      </c>
      <c r="N40" s="14">
        <f ca="1">SOLID!R51</f>
        <v>-28.9</v>
      </c>
      <c r="O40" s="14">
        <f ca="1">SOLID!S51</f>
        <v>-29.31</v>
      </c>
      <c r="P40" s="14">
        <f ca="1">SOLID!T51</f>
        <v>-29.72</v>
      </c>
      <c r="Q40" s="14">
        <f ca="1">SOLID!U51</f>
        <v>-30.12</v>
      </c>
      <c r="R40" s="14">
        <f ca="1">SOLID!V51</f>
        <v>-31.69</v>
      </c>
      <c r="S40" s="14">
        <f ca="1">SOLID!W51</f>
        <v>-33.22</v>
      </c>
      <c r="T40" s="14">
        <f ca="1">SOLID!X51</f>
        <v>-33.590000000000003</v>
      </c>
      <c r="U40" s="14">
        <f ca="1">SOLID!Y51</f>
        <v>-33.97</v>
      </c>
      <c r="V40" s="14">
        <f ca="1">SOLID!Z51</f>
        <v>-34.340000000000003</v>
      </c>
      <c r="W40" s="14">
        <f ca="1">SOLID!AA51</f>
        <v>-34.71</v>
      </c>
      <c r="X40" s="14">
        <f ca="1">SOLID!AB51</f>
        <v>0</v>
      </c>
      <c r="Y40" s="14">
        <f ca="1">SOLID!AC51</f>
        <v>0</v>
      </c>
      <c r="Z40" s="14">
        <f ca="1">SOLID!AD51</f>
        <v>0</v>
      </c>
      <c r="AA40" s="14">
        <f ca="1">SOLID!AE51</f>
        <v>0</v>
      </c>
      <c r="AB40" s="14">
        <f ca="1">SOLID!AF51</f>
        <v>0</v>
      </c>
      <c r="AC40" s="14">
        <f ca="1">SOLID!AG51</f>
        <v>0</v>
      </c>
      <c r="AD40" s="14">
        <f ca="1">SOLID!AH51</f>
        <v>0</v>
      </c>
      <c r="AE40" s="14">
        <f ca="1">SOLID!AI51</f>
        <v>0</v>
      </c>
      <c r="AF40" s="14">
        <f ca="1">SOLID!AJ51</f>
        <v>0</v>
      </c>
      <c r="AG40" s="14">
        <f ca="1">SOLID!AK51</f>
        <v>0</v>
      </c>
      <c r="AH40" s="14">
        <f ca="1">SOLID!AL51</f>
        <v>0</v>
      </c>
      <c r="AI40" s="55"/>
      <c r="AJ40" s="55"/>
      <c r="AK40" s="55"/>
      <c r="AL40" s="55"/>
      <c r="AM40" s="55"/>
      <c r="AN40" s="55"/>
      <c r="AO40" s="55"/>
      <c r="AP40" s="55"/>
      <c r="AQ40" s="55"/>
      <c r="AR40" s="55"/>
      <c r="AS40" s="55"/>
      <c r="AT40" s="55"/>
      <c r="AU40" s="55"/>
      <c r="AV40" s="55"/>
      <c r="AW40" s="55"/>
      <c r="AX40" s="55"/>
      <c r="AY40" s="55"/>
      <c r="AZ40" s="55"/>
      <c r="BA40" s="55"/>
      <c r="BB40" s="55"/>
      <c r="BC40" s="55"/>
      <c r="BD40" s="55"/>
      <c r="BE40" s="55"/>
      <c r="BF40" s="55"/>
      <c r="BG40" s="55"/>
      <c r="BH40" s="55"/>
      <c r="BI40" s="55"/>
      <c r="BJ40" s="55"/>
      <c r="BK40" s="55"/>
      <c r="BL40" s="55"/>
      <c r="BM40" s="55"/>
      <c r="BN40" s="55"/>
      <c r="BO40" s="55"/>
      <c r="BP40" s="55"/>
      <c r="BQ40" s="55"/>
      <c r="BR40" s="55"/>
      <c r="BS40" s="55"/>
      <c r="BT40" s="55"/>
      <c r="BU40" s="55"/>
      <c r="BV40" s="55"/>
      <c r="BW40" s="55"/>
      <c r="BX40" s="55"/>
      <c r="BY40" s="55"/>
      <c r="BZ40" s="55"/>
      <c r="CA40" s="55"/>
      <c r="CB40" s="55"/>
      <c r="CC40" s="55"/>
      <c r="CD40" s="55"/>
      <c r="CE40" s="55"/>
      <c r="CF40" s="55"/>
      <c r="CG40" s="55"/>
      <c r="CH40" s="55"/>
      <c r="CI40" s="55"/>
      <c r="CJ40" s="55"/>
      <c r="CK40" s="55"/>
      <c r="CL40" s="55"/>
      <c r="CM40" s="55"/>
      <c r="CN40" s="55"/>
      <c r="CO40" s="55"/>
      <c r="CP40" s="55"/>
    </row>
    <row r="41" spans="1:94" ht="21.75" hidden="1" outlineLevel="1" thickBot="1" x14ac:dyDescent="0.4">
      <c r="A41" s="35" t="str">
        <f>SOLID!E52</f>
        <v>*GeSe2</v>
      </c>
      <c r="B41" s="16">
        <f ca="1">SOLID!F52</f>
        <v>-59.13</v>
      </c>
      <c r="C41" s="16">
        <f ca="1">SOLID!G52</f>
        <v>-54.58</v>
      </c>
      <c r="D41" s="16">
        <f ca="1">SOLID!H52</f>
        <v>-52.239999999999995</v>
      </c>
      <c r="E41" s="16">
        <f ca="1">SOLID!I52</f>
        <v>-50.949999999999996</v>
      </c>
      <c r="F41" s="14">
        <f ca="1">SOLID!J52</f>
        <v>-49.981000000000002</v>
      </c>
      <c r="G41" s="14">
        <f ca="1">SOLID!K52</f>
        <v>-49.26</v>
      </c>
      <c r="H41" s="14">
        <f ca="1">SOLID!L52</f>
        <v>-48.756</v>
      </c>
      <c r="I41" s="14">
        <f ca="1">SOLID!M52</f>
        <v>-49.161000000000001</v>
      </c>
      <c r="J41" s="14">
        <f ca="1">SOLID!N52</f>
        <v>-50.262999999999998</v>
      </c>
      <c r="K41" s="14">
        <f ca="1">SOLID!O52</f>
        <v>-54.472999999999999</v>
      </c>
      <c r="L41" s="14">
        <f ca="1">SOLID!P52</f>
        <v>-58.412999999999997</v>
      </c>
      <c r="M41" s="14">
        <f ca="1">SOLID!Q52</f>
        <v>-62.154999999999994</v>
      </c>
      <c r="N41" s="14">
        <f ca="1">SOLID!R52</f>
        <v>-63.046999999999997</v>
      </c>
      <c r="O41" s="14">
        <f ca="1">SOLID!S52</f>
        <v>-63.937999999999995</v>
      </c>
      <c r="P41" s="14">
        <f ca="1">SOLID!T52</f>
        <v>-64.828999999999994</v>
      </c>
      <c r="Q41" s="14">
        <f ca="1">SOLID!U52</f>
        <v>-65.698000000000008</v>
      </c>
      <c r="R41" s="14">
        <f ca="1">SOLID!V52</f>
        <v>-69.167000000000002</v>
      </c>
      <c r="S41" s="14">
        <f ca="1">SOLID!W52</f>
        <v>-72.828000000000003</v>
      </c>
      <c r="T41" s="14">
        <f ca="1">SOLID!X52</f>
        <v>-73.705000000000013</v>
      </c>
      <c r="U41" s="14">
        <f ca="1">SOLID!Y52</f>
        <v>-74.597999999999999</v>
      </c>
      <c r="V41" s="14">
        <f ca="1">SOLID!Z52</f>
        <v>-75.467000000000013</v>
      </c>
      <c r="W41" s="14">
        <f ca="1">SOLID!AA52</f>
        <v>-76.331000000000003</v>
      </c>
      <c r="X41" s="14">
        <f ca="1">SOLID!AB52</f>
        <v>0</v>
      </c>
      <c r="Y41" s="14">
        <f ca="1">SOLID!AC52</f>
        <v>0</v>
      </c>
      <c r="Z41" s="14">
        <f ca="1">SOLID!AD52</f>
        <v>0</v>
      </c>
      <c r="AA41" s="14">
        <f ca="1">SOLID!AE52</f>
        <v>0</v>
      </c>
      <c r="AB41" s="14">
        <f ca="1">SOLID!AF52</f>
        <v>0</v>
      </c>
      <c r="AC41" s="14">
        <f ca="1">SOLID!AG52</f>
        <v>0</v>
      </c>
      <c r="AD41" s="14">
        <f ca="1">SOLID!AH52</f>
        <v>0</v>
      </c>
      <c r="AE41" s="14">
        <f ca="1">SOLID!AI52</f>
        <v>0</v>
      </c>
      <c r="AF41" s="14">
        <f ca="1">SOLID!AJ52</f>
        <v>0</v>
      </c>
      <c r="AG41" s="14">
        <f ca="1">SOLID!AK52</f>
        <v>0</v>
      </c>
      <c r="AH41" s="14">
        <f ca="1">SOLID!AL52</f>
        <v>0</v>
      </c>
      <c r="AI41" s="55"/>
      <c r="AJ41" s="55"/>
      <c r="AK41" s="55"/>
      <c r="AL41" s="55"/>
      <c r="AM41" s="55"/>
      <c r="AN41" s="55"/>
      <c r="AO41" s="55"/>
      <c r="AP41" s="55"/>
      <c r="AQ41" s="55"/>
      <c r="AR41" s="55"/>
      <c r="AS41" s="55"/>
      <c r="AT41" s="55"/>
      <c r="AU41" s="55"/>
      <c r="AV41" s="55"/>
      <c r="AW41" s="55"/>
      <c r="AX41" s="55"/>
      <c r="AY41" s="55"/>
      <c r="AZ41" s="55"/>
      <c r="BA41" s="55"/>
      <c r="BB41" s="55"/>
      <c r="BC41" s="55"/>
      <c r="BD41" s="55"/>
      <c r="BE41" s="55"/>
      <c r="BF41" s="55"/>
      <c r="BG41" s="55"/>
      <c r="BH41" s="55"/>
      <c r="BI41" s="55"/>
      <c r="BJ41" s="55"/>
      <c r="BK41" s="55"/>
      <c r="BL41" s="55"/>
      <c r="BM41" s="55"/>
      <c r="BN41" s="55"/>
      <c r="BO41" s="55"/>
      <c r="BP41" s="55"/>
      <c r="BQ41" s="55"/>
      <c r="BR41" s="55"/>
      <c r="BS41" s="55"/>
      <c r="BT41" s="55"/>
      <c r="BU41" s="55"/>
      <c r="BV41" s="55"/>
      <c r="BW41" s="55"/>
      <c r="BX41" s="55"/>
      <c r="BY41" s="55"/>
      <c r="BZ41" s="55"/>
      <c r="CA41" s="55"/>
      <c r="CB41" s="55"/>
      <c r="CC41" s="55"/>
      <c r="CD41" s="55"/>
      <c r="CE41" s="55"/>
      <c r="CF41" s="55"/>
      <c r="CG41" s="55"/>
      <c r="CH41" s="55"/>
      <c r="CI41" s="55"/>
      <c r="CJ41" s="55"/>
      <c r="CK41" s="55"/>
      <c r="CL41" s="55"/>
      <c r="CM41" s="55"/>
      <c r="CN41" s="55"/>
      <c r="CO41" s="55"/>
      <c r="CP41" s="55"/>
    </row>
    <row r="42" spans="1:94" ht="21.75" hidden="1" outlineLevel="1" thickBot="1" x14ac:dyDescent="0.4">
      <c r="A42" s="35" t="str">
        <f>SOLID!E53</f>
        <v>Ga2Se3</v>
      </c>
      <c r="B42" s="16">
        <f ca="1">SOLID!F53</f>
        <v>-187.65</v>
      </c>
      <c r="C42" s="16">
        <f ca="1">SOLID!G53</f>
        <v>-171.11</v>
      </c>
      <c r="D42" s="16">
        <f ca="1">SOLID!H53</f>
        <v>-157.75</v>
      </c>
      <c r="E42" s="16">
        <f ca="1">SOLID!I53</f>
        <v>-146.72999999999999</v>
      </c>
      <c r="F42" s="14">
        <f ca="1">SOLID!J53</f>
        <v>-137.5</v>
      </c>
      <c r="G42" s="14">
        <f ca="1">SOLID!K53</f>
        <v>-129.67000000000002</v>
      </c>
      <c r="H42" s="14">
        <f ca="1">SOLID!L53</f>
        <v>-122.99000000000001</v>
      </c>
      <c r="I42" s="14">
        <f ca="1">SOLID!M53</f>
        <v>-118.35</v>
      </c>
      <c r="J42" s="14">
        <f ca="1">SOLID!N53</f>
        <v>-122.52000000000001</v>
      </c>
      <c r="K42" s="14">
        <f ca="1">SOLID!O53</f>
        <v>-138.44</v>
      </c>
      <c r="L42" s="14">
        <f ca="1">SOLID!P53</f>
        <v>-152.87</v>
      </c>
      <c r="M42" s="14">
        <f ca="1">SOLID!Q53</f>
        <v>-165.57</v>
      </c>
      <c r="N42" s="14">
        <f ca="1">SOLID!R53</f>
        <v>-168.42</v>
      </c>
      <c r="O42" s="14">
        <f ca="1">SOLID!S53</f>
        <v>-171.14999999999998</v>
      </c>
      <c r="P42" s="14">
        <f ca="1">SOLID!T53</f>
        <v>-173.78</v>
      </c>
      <c r="Q42" s="14">
        <f ca="1">SOLID!U53</f>
        <v>-176.24</v>
      </c>
      <c r="R42" s="14">
        <f ca="1">SOLID!V53</f>
        <v>-184.79000000000002</v>
      </c>
      <c r="S42" s="14">
        <f ca="1">SOLID!W53</f>
        <v>-191.1</v>
      </c>
      <c r="T42" s="14">
        <f ca="1">SOLID!X53</f>
        <v>-192.29000000000002</v>
      </c>
      <c r="U42" s="14">
        <f ca="1">SOLID!Y53</f>
        <v>-193.39</v>
      </c>
      <c r="V42" s="14">
        <f ca="1">SOLID!Z53</f>
        <v>-194.3</v>
      </c>
      <c r="W42" s="14">
        <f ca="1">SOLID!AA53</f>
        <v>-195.07</v>
      </c>
      <c r="X42" s="14">
        <f ca="1">SOLID!AB53</f>
        <v>0</v>
      </c>
      <c r="Y42" s="14">
        <f ca="1">SOLID!AC53</f>
        <v>0</v>
      </c>
      <c r="Z42" s="14">
        <f ca="1">SOLID!AD53</f>
        <v>0</v>
      </c>
      <c r="AA42" s="14">
        <f ca="1">SOLID!AE53</f>
        <v>0</v>
      </c>
      <c r="AB42" s="14">
        <f ca="1">SOLID!AF53</f>
        <v>0</v>
      </c>
      <c r="AC42" s="14">
        <f ca="1">SOLID!AG53</f>
        <v>0</v>
      </c>
      <c r="AD42" s="14">
        <f ca="1">SOLID!AH53</f>
        <v>0</v>
      </c>
      <c r="AE42" s="14">
        <f ca="1">SOLID!AI53</f>
        <v>0</v>
      </c>
      <c r="AF42" s="14">
        <f ca="1">SOLID!AJ53</f>
        <v>0</v>
      </c>
      <c r="AG42" s="14">
        <f ca="1">SOLID!AK53</f>
        <v>0</v>
      </c>
      <c r="AH42" s="14">
        <f ca="1">SOLID!AL53</f>
        <v>0</v>
      </c>
      <c r="AI42" s="55"/>
      <c r="AJ42" s="55"/>
      <c r="AK42" s="55"/>
      <c r="AL42" s="55"/>
      <c r="AM42" s="55"/>
      <c r="AN42" s="55"/>
      <c r="AO42" s="55"/>
      <c r="AP42" s="55"/>
      <c r="AQ42" s="55"/>
      <c r="AR42" s="55"/>
      <c r="AS42" s="55"/>
      <c r="AT42" s="55"/>
      <c r="AU42" s="55"/>
      <c r="AV42" s="55"/>
      <c r="AW42" s="55"/>
      <c r="AX42" s="55"/>
      <c r="AY42" s="55"/>
      <c r="AZ42" s="55"/>
      <c r="BA42" s="55"/>
      <c r="BB42" s="55"/>
      <c r="BC42" s="55"/>
      <c r="BD42" s="55"/>
      <c r="BE42" s="55"/>
      <c r="BF42" s="55"/>
      <c r="BG42" s="55"/>
      <c r="BH42" s="55"/>
      <c r="BI42" s="55"/>
      <c r="BJ42" s="55"/>
      <c r="BK42" s="55"/>
      <c r="BL42" s="55"/>
      <c r="BM42" s="55"/>
      <c r="BN42" s="55"/>
      <c r="BO42" s="55"/>
      <c r="BP42" s="55"/>
      <c r="BQ42" s="55"/>
      <c r="BR42" s="55"/>
      <c r="BS42" s="55"/>
      <c r="BT42" s="55"/>
      <c r="BU42" s="55"/>
      <c r="BV42" s="55"/>
      <c r="BW42" s="55"/>
      <c r="BX42" s="55"/>
      <c r="BY42" s="55"/>
      <c r="BZ42" s="55"/>
      <c r="CA42" s="55"/>
      <c r="CB42" s="55"/>
      <c r="CC42" s="55"/>
      <c r="CD42" s="55"/>
      <c r="CE42" s="55"/>
      <c r="CF42" s="55"/>
      <c r="CG42" s="55"/>
      <c r="CH42" s="55"/>
      <c r="CI42" s="55"/>
      <c r="CJ42" s="55"/>
      <c r="CK42" s="55"/>
      <c r="CL42" s="55"/>
      <c r="CM42" s="55"/>
      <c r="CN42" s="55"/>
      <c r="CO42" s="55"/>
      <c r="CP42" s="55"/>
    </row>
    <row r="43" spans="1:94" ht="21.75" hidden="1" outlineLevel="1" thickBot="1" x14ac:dyDescent="0.4">
      <c r="A43" s="35" t="str">
        <f>SOLID!E54</f>
        <v>Ge2</v>
      </c>
      <c r="B43" s="16">
        <f ca="1">SOLID!F54</f>
        <v>-30.7</v>
      </c>
      <c r="C43" s="16">
        <f ca="1">SOLID!G54</f>
        <v>-28.72</v>
      </c>
      <c r="D43" s="16">
        <f ca="1">SOLID!H54</f>
        <v>-24.6</v>
      </c>
      <c r="E43" s="16">
        <f ca="1">SOLID!I54</f>
        <v>-20.02</v>
      </c>
      <c r="F43" s="14">
        <f ca="1">SOLID!J54</f>
        <v>-16.042000000000002</v>
      </c>
      <c r="G43" s="14">
        <f ca="1">SOLID!K54</f>
        <v>-12.56</v>
      </c>
      <c r="H43" s="14">
        <f ca="1">SOLID!L54</f>
        <v>-9.4719999999999995</v>
      </c>
      <c r="I43" s="14">
        <f ca="1">SOLID!M54</f>
        <v>-8.282</v>
      </c>
      <c r="J43" s="14">
        <f ca="1">SOLID!N54</f>
        <v>-8.4459999999999997</v>
      </c>
      <c r="K43" s="14">
        <f ca="1">SOLID!O54</f>
        <v>-9.1059999999999999</v>
      </c>
      <c r="L43" s="14">
        <f ca="1">SOLID!P54</f>
        <v>-9.7460000000000004</v>
      </c>
      <c r="M43" s="14">
        <f ca="1">SOLID!Q54</f>
        <v>-10.35</v>
      </c>
      <c r="N43" s="14">
        <f ca="1">SOLID!R54</f>
        <v>-10.494</v>
      </c>
      <c r="O43" s="14">
        <f ca="1">SOLID!S54</f>
        <v>-10.635999999999999</v>
      </c>
      <c r="P43" s="14">
        <f ca="1">SOLID!T54</f>
        <v>-10.778</v>
      </c>
      <c r="Q43" s="14">
        <f ca="1">SOLID!U54</f>
        <v>-10.916</v>
      </c>
      <c r="R43" s="14">
        <f ca="1">SOLID!V54</f>
        <v>-11.574</v>
      </c>
      <c r="S43" s="14">
        <f ca="1">SOLID!W54</f>
        <v>-12.776</v>
      </c>
      <c r="T43" s="14">
        <f ca="1">SOLID!X54</f>
        <v>-13.05</v>
      </c>
      <c r="U43" s="14">
        <f ca="1">SOLID!Y54</f>
        <v>-13.316000000000001</v>
      </c>
      <c r="V43" s="14">
        <f ca="1">SOLID!Z54</f>
        <v>-13.574</v>
      </c>
      <c r="W43" s="14">
        <f ca="1">SOLID!AA54</f>
        <v>-13.821999999999999</v>
      </c>
      <c r="X43" s="14">
        <f ca="1">SOLID!AB54</f>
        <v>0</v>
      </c>
      <c r="Y43" s="14">
        <f ca="1">SOLID!AC54</f>
        <v>0</v>
      </c>
      <c r="Z43" s="14">
        <f ca="1">SOLID!AD54</f>
        <v>0</v>
      </c>
      <c r="AA43" s="14">
        <f ca="1">SOLID!AE54</f>
        <v>0</v>
      </c>
      <c r="AB43" s="14">
        <f ca="1">SOLID!AF54</f>
        <v>0</v>
      </c>
      <c r="AC43" s="14">
        <f ca="1">SOLID!AG54</f>
        <v>0</v>
      </c>
      <c r="AD43" s="14">
        <f ca="1">SOLID!AH54</f>
        <v>0</v>
      </c>
      <c r="AE43" s="14">
        <f ca="1">SOLID!AI54</f>
        <v>0</v>
      </c>
      <c r="AF43" s="14">
        <f ca="1">SOLID!AJ54</f>
        <v>0</v>
      </c>
      <c r="AG43" s="14">
        <f ca="1">SOLID!AK54</f>
        <v>0</v>
      </c>
      <c r="AH43" s="14">
        <f ca="1">SOLID!AL54</f>
        <v>0</v>
      </c>
      <c r="AI43" s="55"/>
      <c r="AJ43" s="55"/>
      <c r="AK43" s="55"/>
      <c r="AL43" s="55"/>
      <c r="AM43" s="55"/>
      <c r="AN43" s="55"/>
      <c r="AO43" s="55"/>
      <c r="AP43" s="55"/>
      <c r="AQ43" s="55"/>
      <c r="AR43" s="55"/>
      <c r="AS43" s="55"/>
      <c r="AT43" s="55"/>
      <c r="AU43" s="55"/>
      <c r="AV43" s="55"/>
      <c r="AW43" s="55"/>
      <c r="AX43" s="55"/>
      <c r="AY43" s="55"/>
      <c r="AZ43" s="55"/>
      <c r="BA43" s="55"/>
      <c r="BB43" s="55"/>
      <c r="BC43" s="55"/>
      <c r="BD43" s="55"/>
      <c r="BE43" s="55"/>
      <c r="BF43" s="55"/>
      <c r="BG43" s="55"/>
      <c r="BH43" s="55"/>
      <c r="BI43" s="55"/>
      <c r="BJ43" s="55"/>
      <c r="BK43" s="55"/>
      <c r="BL43" s="55"/>
      <c r="BM43" s="55"/>
      <c r="BN43" s="55"/>
      <c r="BO43" s="55"/>
      <c r="BP43" s="55"/>
      <c r="BQ43" s="55"/>
      <c r="BR43" s="55"/>
      <c r="BS43" s="55"/>
      <c r="BT43" s="55"/>
      <c r="BU43" s="55"/>
      <c r="BV43" s="55"/>
      <c r="BW43" s="55"/>
      <c r="BX43" s="55"/>
      <c r="BY43" s="55"/>
      <c r="BZ43" s="55"/>
      <c r="CA43" s="55"/>
      <c r="CB43" s="55"/>
      <c r="CC43" s="55"/>
      <c r="CD43" s="55"/>
      <c r="CE43" s="55"/>
      <c r="CF43" s="55"/>
      <c r="CG43" s="55"/>
      <c r="CH43" s="55"/>
      <c r="CI43" s="55"/>
      <c r="CJ43" s="55"/>
      <c r="CK43" s="55"/>
      <c r="CL43" s="55"/>
      <c r="CM43" s="55"/>
      <c r="CN43" s="55"/>
      <c r="CO43" s="55"/>
      <c r="CP43" s="55"/>
    </row>
    <row r="44" spans="1:94" ht="21.75" hidden="1" outlineLevel="1" thickBot="1" x14ac:dyDescent="0.4">
      <c r="A44" s="35" t="str">
        <f>SOLID!E55</f>
        <v>Ge</v>
      </c>
      <c r="B44" s="16">
        <f ca="1">SOLID!F55</f>
        <v>-15.35</v>
      </c>
      <c r="C44" s="16">
        <f ca="1">SOLID!G55</f>
        <v>-14.36</v>
      </c>
      <c r="D44" s="16">
        <f ca="1">SOLID!H55</f>
        <v>-12.3</v>
      </c>
      <c r="E44" s="16">
        <f ca="1">SOLID!I55</f>
        <v>-10.01</v>
      </c>
      <c r="F44" s="14">
        <f ca="1">SOLID!J55</f>
        <v>-8.0210000000000008</v>
      </c>
      <c r="G44" s="14">
        <f ca="1">SOLID!K55</f>
        <v>-6.28</v>
      </c>
      <c r="H44" s="14">
        <f ca="1">SOLID!L55</f>
        <v>-4.7359999999999998</v>
      </c>
      <c r="I44" s="14">
        <f ca="1">SOLID!M55</f>
        <v>-4.141</v>
      </c>
      <c r="J44" s="14">
        <f ca="1">SOLID!N55</f>
        <v>-4.2229999999999999</v>
      </c>
      <c r="K44" s="14">
        <f ca="1">SOLID!O55</f>
        <v>-4.5529999999999999</v>
      </c>
      <c r="L44" s="14">
        <f ca="1">SOLID!P55</f>
        <v>-4.8730000000000002</v>
      </c>
      <c r="M44" s="14">
        <f ca="1">SOLID!Q55</f>
        <v>-5.1749999999999998</v>
      </c>
      <c r="N44" s="14">
        <f ca="1">SOLID!R55</f>
        <v>-5.2469999999999999</v>
      </c>
      <c r="O44" s="14">
        <f ca="1">SOLID!S55</f>
        <v>-5.3179999999999996</v>
      </c>
      <c r="P44" s="14">
        <f ca="1">SOLID!T55</f>
        <v>-5.3890000000000002</v>
      </c>
      <c r="Q44" s="14">
        <f ca="1">SOLID!U55</f>
        <v>-5.4580000000000002</v>
      </c>
      <c r="R44" s="14">
        <f ca="1">SOLID!V55</f>
        <v>-5.7869999999999999</v>
      </c>
      <c r="S44" s="14">
        <f ca="1">SOLID!W55</f>
        <v>-6.3879999999999999</v>
      </c>
      <c r="T44" s="14">
        <f ca="1">SOLID!X55</f>
        <v>-6.5250000000000004</v>
      </c>
      <c r="U44" s="14">
        <f ca="1">SOLID!Y55</f>
        <v>-6.6580000000000004</v>
      </c>
      <c r="V44" s="14">
        <f ca="1">SOLID!Z55</f>
        <v>-6.7869999999999999</v>
      </c>
      <c r="W44" s="14">
        <f ca="1">SOLID!AA55</f>
        <v>-6.9109999999999996</v>
      </c>
      <c r="X44" s="14">
        <f ca="1">SOLID!AB55</f>
        <v>0</v>
      </c>
      <c r="Y44" s="14">
        <f ca="1">SOLID!AC55</f>
        <v>0</v>
      </c>
      <c r="Z44" s="14">
        <f ca="1">SOLID!AD55</f>
        <v>0</v>
      </c>
      <c r="AA44" s="14">
        <f ca="1">SOLID!AE55</f>
        <v>0</v>
      </c>
      <c r="AB44" s="14">
        <f ca="1">SOLID!AF55</f>
        <v>0</v>
      </c>
      <c r="AC44" s="14">
        <f ca="1">SOLID!AG55</f>
        <v>0</v>
      </c>
      <c r="AD44" s="14">
        <f ca="1">SOLID!AH55</f>
        <v>0</v>
      </c>
      <c r="AE44" s="14">
        <f ca="1">SOLID!AI55</f>
        <v>0</v>
      </c>
      <c r="AF44" s="14">
        <f ca="1">SOLID!AJ55</f>
        <v>0</v>
      </c>
      <c r="AG44" s="14">
        <f ca="1">SOLID!AK55</f>
        <v>0</v>
      </c>
      <c r="AH44" s="14">
        <f ca="1">SOLID!AL55</f>
        <v>0</v>
      </c>
      <c r="AI44" s="55"/>
      <c r="AJ44" s="55"/>
      <c r="AK44" s="55"/>
      <c r="AL44" s="55"/>
      <c r="AM44" s="55"/>
      <c r="AN44" s="55"/>
      <c r="AO44" s="55"/>
      <c r="AP44" s="55"/>
      <c r="AQ44" s="55"/>
      <c r="AR44" s="55"/>
      <c r="AS44" s="55"/>
      <c r="AT44" s="55"/>
      <c r="AU44" s="55"/>
      <c r="AV44" s="55"/>
      <c r="AW44" s="55"/>
      <c r="AX44" s="55"/>
      <c r="AY44" s="55"/>
      <c r="AZ44" s="55"/>
      <c r="BA44" s="55"/>
      <c r="BB44" s="55"/>
      <c r="BC44" s="55"/>
      <c r="BD44" s="55"/>
      <c r="BE44" s="55"/>
      <c r="BF44" s="55"/>
      <c r="BG44" s="55"/>
      <c r="BH44" s="55"/>
      <c r="BI44" s="55"/>
      <c r="BJ44" s="55"/>
      <c r="BK44" s="55"/>
      <c r="BL44" s="55"/>
      <c r="BM44" s="55"/>
      <c r="BN44" s="55"/>
      <c r="BO44" s="55"/>
      <c r="BP44" s="55"/>
      <c r="BQ44" s="55"/>
      <c r="BR44" s="55"/>
      <c r="BS44" s="55"/>
      <c r="BT44" s="55"/>
      <c r="BU44" s="55"/>
      <c r="BV44" s="55"/>
      <c r="BW44" s="55"/>
      <c r="BX44" s="55"/>
      <c r="BY44" s="55"/>
      <c r="BZ44" s="55"/>
      <c r="CA44" s="55"/>
      <c r="CB44" s="55"/>
      <c r="CC44" s="55"/>
      <c r="CD44" s="55"/>
      <c r="CE44" s="55"/>
      <c r="CF44" s="55"/>
      <c r="CG44" s="55"/>
      <c r="CH44" s="55"/>
      <c r="CI44" s="55"/>
      <c r="CJ44" s="55"/>
      <c r="CK44" s="55"/>
      <c r="CL44" s="55"/>
      <c r="CM44" s="55"/>
      <c r="CN44" s="55"/>
      <c r="CO44" s="55"/>
      <c r="CP44" s="55"/>
    </row>
    <row r="45" spans="1:94" ht="21.75" hidden="1" outlineLevel="1" thickBot="1" x14ac:dyDescent="0.4">
      <c r="A45" s="35" t="str">
        <f>SOLID!E56</f>
        <v>Ar</v>
      </c>
      <c r="B45" s="16">
        <f ca="1">SOLID!F56</f>
        <v>-19.02</v>
      </c>
      <c r="C45" s="16">
        <f ca="1">SOLID!G56</f>
        <v>-19.03</v>
      </c>
      <c r="D45" s="16">
        <f ca="1">SOLID!H56</f>
        <v>-19.059999999999999</v>
      </c>
      <c r="E45" s="16">
        <f ca="1">SOLID!I56</f>
        <v>-19.11</v>
      </c>
      <c r="F45" s="14">
        <f ca="1">SOLID!J56</f>
        <v>-19.170000000000002</v>
      </c>
      <c r="G45" s="14">
        <f ca="1">SOLID!K56</f>
        <v>-19.23</v>
      </c>
      <c r="H45" s="14">
        <f ca="1">SOLID!L56</f>
        <v>-19.3</v>
      </c>
      <c r="I45" s="14">
        <f ca="1">SOLID!M56</f>
        <v>-19.07</v>
      </c>
      <c r="J45" s="14">
        <f ca="1">SOLID!N56</f>
        <v>-19.03</v>
      </c>
      <c r="K45" s="14">
        <f ca="1">SOLID!O56</f>
        <v>-19.309999999999999</v>
      </c>
      <c r="L45" s="14">
        <f ca="1">SOLID!P56</f>
        <v>-19.57</v>
      </c>
      <c r="M45" s="14">
        <f ca="1">SOLID!Q56</f>
        <v>-19.82</v>
      </c>
      <c r="N45" s="14">
        <f ca="1">SOLID!R56</f>
        <v>-19.88</v>
      </c>
      <c r="O45" s="14">
        <f ca="1">SOLID!S56</f>
        <v>-19.940000000000001</v>
      </c>
      <c r="P45" s="14">
        <f ca="1">SOLID!T56</f>
        <v>-20</v>
      </c>
      <c r="Q45" s="14">
        <f ca="1">SOLID!U56</f>
        <v>-20.05</v>
      </c>
      <c r="R45" s="14">
        <f ca="1">SOLID!V56</f>
        <v>-20.260000000000002</v>
      </c>
      <c r="S45" s="14">
        <f ca="1">SOLID!W56</f>
        <v>-20.46</v>
      </c>
      <c r="T45" s="14">
        <f ca="1">SOLID!X56</f>
        <v>-20.51</v>
      </c>
      <c r="U45" s="14">
        <f ca="1">SOLID!Y56</f>
        <v>-20.56</v>
      </c>
      <c r="V45" s="14">
        <f ca="1">SOLID!Z56</f>
        <v>-20.6</v>
      </c>
      <c r="W45" s="14">
        <f ca="1">SOLID!AA56</f>
        <v>-20.65</v>
      </c>
      <c r="X45" s="14">
        <f ca="1">SOLID!AB56</f>
        <v>0</v>
      </c>
      <c r="Y45" s="14">
        <f ca="1">SOLID!AC56</f>
        <v>0</v>
      </c>
      <c r="Z45" s="14">
        <f ca="1">SOLID!AD56</f>
        <v>0</v>
      </c>
      <c r="AA45" s="14">
        <f ca="1">SOLID!AE56</f>
        <v>0</v>
      </c>
      <c r="AB45" s="14">
        <f ca="1">SOLID!AF56</f>
        <v>0</v>
      </c>
      <c r="AC45" s="14">
        <f ca="1">SOLID!AG56</f>
        <v>0</v>
      </c>
      <c r="AD45" s="14">
        <f ca="1">SOLID!AH56</f>
        <v>0</v>
      </c>
      <c r="AE45" s="14">
        <f ca="1">SOLID!AI56</f>
        <v>0</v>
      </c>
      <c r="AF45" s="14">
        <f ca="1">SOLID!AJ56</f>
        <v>0</v>
      </c>
      <c r="AG45" s="14">
        <f ca="1">SOLID!AK56</f>
        <v>0</v>
      </c>
      <c r="AH45" s="14">
        <f ca="1">SOLID!AL56</f>
        <v>0</v>
      </c>
      <c r="AI45" s="55"/>
      <c r="AJ45" s="55"/>
      <c r="AK45" s="55"/>
      <c r="AL45" s="55"/>
      <c r="AM45" s="55"/>
      <c r="AN45" s="55"/>
      <c r="AO45" s="55"/>
      <c r="AP45" s="55"/>
      <c r="AQ45" s="55"/>
      <c r="AR45" s="55"/>
      <c r="AS45" s="55"/>
      <c r="AT45" s="55"/>
      <c r="AU45" s="55"/>
      <c r="AV45" s="55"/>
      <c r="AW45" s="55"/>
      <c r="AX45" s="55"/>
      <c r="AY45" s="55"/>
      <c r="AZ45" s="55"/>
      <c r="BA45" s="55"/>
      <c r="BB45" s="55"/>
      <c r="BC45" s="55"/>
      <c r="BD45" s="55"/>
      <c r="BE45" s="55"/>
      <c r="BF45" s="55"/>
      <c r="BG45" s="55"/>
      <c r="BH45" s="55"/>
      <c r="BI45" s="55"/>
      <c r="BJ45" s="55"/>
      <c r="BK45" s="55"/>
      <c r="BL45" s="55"/>
      <c r="BM45" s="55"/>
      <c r="BN45" s="55"/>
      <c r="BO45" s="55"/>
      <c r="BP45" s="55"/>
      <c r="BQ45" s="55"/>
      <c r="BR45" s="55"/>
      <c r="BS45" s="55"/>
      <c r="BT45" s="55"/>
      <c r="BU45" s="55"/>
      <c r="BV45" s="55"/>
      <c r="BW45" s="55"/>
      <c r="BX45" s="55"/>
      <c r="BY45" s="55"/>
      <c r="BZ45" s="55"/>
      <c r="CA45" s="55"/>
      <c r="CB45" s="55"/>
      <c r="CC45" s="55"/>
      <c r="CD45" s="55"/>
      <c r="CE45" s="55"/>
      <c r="CF45" s="55"/>
      <c r="CG45" s="55"/>
      <c r="CH45" s="55"/>
      <c r="CI45" s="55"/>
      <c r="CJ45" s="55"/>
      <c r="CK45" s="55"/>
      <c r="CL45" s="55"/>
      <c r="CM45" s="55"/>
      <c r="CN45" s="55"/>
      <c r="CO45" s="55"/>
      <c r="CP45" s="55"/>
    </row>
    <row r="46" spans="1:94" ht="21.75" hidden="1" outlineLevel="1" thickBot="1" x14ac:dyDescent="0.4">
      <c r="A46" s="35" t="str">
        <f>SOLID!E57</f>
        <v>(l)Ge[l]</v>
      </c>
      <c r="B46" s="16">
        <f ca="1">SOLID!F57</f>
        <v>-15.35</v>
      </c>
      <c r="C46" s="16">
        <f ca="1">SOLID!G57</f>
        <v>-14.36</v>
      </c>
      <c r="D46" s="16">
        <f ca="1">SOLID!H57</f>
        <v>-12.3</v>
      </c>
      <c r="E46" s="16">
        <f ca="1">SOLID!I57</f>
        <v>-10.01</v>
      </c>
      <c r="F46" s="14">
        <f ca="1">SOLID!J57</f>
        <v>-8.0210000000000008</v>
      </c>
      <c r="G46" s="14">
        <f ca="1">SOLID!K57</f>
        <v>-6.28</v>
      </c>
      <c r="H46" s="14">
        <f ca="1">SOLID!L57</f>
        <v>-4.7359999999999998</v>
      </c>
      <c r="I46" s="14">
        <f ca="1">SOLID!M57</f>
        <v>-4.141</v>
      </c>
      <c r="J46" s="14">
        <f ca="1">SOLID!N57</f>
        <v>-4.2229999999999999</v>
      </c>
      <c r="K46" s="14">
        <f ca="1">SOLID!O57</f>
        <v>-4.5529999999999999</v>
      </c>
      <c r="L46" s="14">
        <f ca="1">SOLID!P57</f>
        <v>-4.8730000000000002</v>
      </c>
      <c r="M46" s="14">
        <f ca="1">SOLID!Q57</f>
        <v>-5.1749999999999998</v>
      </c>
      <c r="N46" s="14">
        <f ca="1">SOLID!R57</f>
        <v>-5.2469999999999999</v>
      </c>
      <c r="O46" s="14">
        <f ca="1">SOLID!S57</f>
        <v>-5.3179999999999996</v>
      </c>
      <c r="P46" s="14">
        <f ca="1">SOLID!T57</f>
        <v>-5.3890000000000002</v>
      </c>
      <c r="Q46" s="14">
        <f ca="1">SOLID!U57</f>
        <v>-5.4580000000000002</v>
      </c>
      <c r="R46" s="14">
        <f ca="1">SOLID!V57</f>
        <v>-5.7869999999999999</v>
      </c>
      <c r="S46" s="14">
        <f ca="1">SOLID!W57</f>
        <v>-6.3879999999999999</v>
      </c>
      <c r="T46" s="14">
        <f ca="1">SOLID!X57</f>
        <v>-6.5250000000000004</v>
      </c>
      <c r="U46" s="14">
        <f ca="1">SOLID!Y57</f>
        <v>-6.6580000000000004</v>
      </c>
      <c r="V46" s="14">
        <f ca="1">SOLID!Z57</f>
        <v>-6.7869999999999999</v>
      </c>
      <c r="W46" s="14">
        <f ca="1">SOLID!AA57</f>
        <v>-6.9109999999999996</v>
      </c>
      <c r="X46" s="14">
        <f ca="1">SOLID!AB57</f>
        <v>0</v>
      </c>
      <c r="Y46" s="14">
        <f ca="1">SOLID!AC57</f>
        <v>0</v>
      </c>
      <c r="Z46" s="14">
        <f ca="1">SOLID!AD57</f>
        <v>0</v>
      </c>
      <c r="AA46" s="14">
        <f ca="1">SOLID!AE57</f>
        <v>0</v>
      </c>
      <c r="AB46" s="14">
        <f ca="1">SOLID!AF57</f>
        <v>0</v>
      </c>
      <c r="AC46" s="14">
        <f ca="1">SOLID!AG57</f>
        <v>0</v>
      </c>
      <c r="AD46" s="14">
        <f ca="1">SOLID!AH57</f>
        <v>0</v>
      </c>
      <c r="AE46" s="14">
        <f ca="1">SOLID!AI57</f>
        <v>0</v>
      </c>
      <c r="AF46" s="14">
        <f ca="1">SOLID!AJ57</f>
        <v>0</v>
      </c>
      <c r="AG46" s="14">
        <f ca="1">SOLID!AK57</f>
        <v>0</v>
      </c>
      <c r="AH46" s="14">
        <f ca="1">SOLID!AL57</f>
        <v>0</v>
      </c>
      <c r="AI46" s="55"/>
      <c r="AJ46" s="55"/>
      <c r="AK46" s="55"/>
      <c r="AL46" s="55"/>
      <c r="AM46" s="55"/>
      <c r="AN46" s="55"/>
      <c r="AO46" s="55"/>
      <c r="AP46" s="55"/>
      <c r="AQ46" s="55"/>
      <c r="AR46" s="55"/>
      <c r="AS46" s="55"/>
      <c r="AT46" s="55"/>
      <c r="AU46" s="55"/>
      <c r="AV46" s="55"/>
      <c r="AW46" s="55"/>
      <c r="AX46" s="55"/>
      <c r="AY46" s="55"/>
      <c r="AZ46" s="55"/>
      <c r="BA46" s="55"/>
      <c r="BB46" s="55"/>
      <c r="BC46" s="55"/>
      <c r="BD46" s="55"/>
      <c r="BE46" s="55"/>
      <c r="BF46" s="55"/>
      <c r="BG46" s="55"/>
      <c r="BH46" s="55"/>
      <c r="BI46" s="55"/>
      <c r="BJ46" s="55"/>
      <c r="BK46" s="55"/>
      <c r="BL46" s="55"/>
      <c r="BM46" s="55"/>
      <c r="BN46" s="55"/>
      <c r="BO46" s="55"/>
      <c r="BP46" s="55"/>
      <c r="BQ46" s="55"/>
      <c r="BR46" s="55"/>
      <c r="BS46" s="55"/>
      <c r="BT46" s="55"/>
      <c r="BU46" s="55"/>
      <c r="BV46" s="55"/>
      <c r="BW46" s="55"/>
      <c r="BX46" s="55"/>
      <c r="BY46" s="55"/>
      <c r="BZ46" s="55"/>
      <c r="CA46" s="55"/>
      <c r="CB46" s="55"/>
      <c r="CC46" s="55"/>
      <c r="CD46" s="55"/>
      <c r="CE46" s="55"/>
      <c r="CF46" s="55"/>
      <c r="CG46" s="55"/>
      <c r="CH46" s="55"/>
      <c r="CI46" s="55"/>
      <c r="CJ46" s="55"/>
      <c r="CK46" s="55"/>
      <c r="CL46" s="55"/>
      <c r="CM46" s="55"/>
      <c r="CN46" s="55"/>
      <c r="CO46" s="55"/>
      <c r="CP46" s="55"/>
    </row>
    <row r="47" spans="1:94" ht="21.75" hidden="1" outlineLevel="1" thickBot="1" x14ac:dyDescent="0.4">
      <c r="A47" s="35" t="str">
        <f>SOLID!E58</f>
        <v>H (Ar)</v>
      </c>
      <c r="B47" s="16">
        <f ca="1">SOLID!F58</f>
        <v>-19.02</v>
      </c>
      <c r="C47" s="16">
        <f ca="1">SOLID!G58</f>
        <v>-19.03</v>
      </c>
      <c r="D47" s="16">
        <f ca="1">SOLID!H58</f>
        <v>-19.059999999999999</v>
      </c>
      <c r="E47" s="16">
        <f ca="1">SOLID!I58</f>
        <v>-19.11</v>
      </c>
      <c r="F47" s="14">
        <f ca="1">SOLID!J58</f>
        <v>-19.170000000000002</v>
      </c>
      <c r="G47" s="14">
        <f ca="1">SOLID!K58</f>
        <v>-19.23</v>
      </c>
      <c r="H47" s="14">
        <f ca="1">SOLID!L58</f>
        <v>-19.3</v>
      </c>
      <c r="I47" s="14">
        <f ca="1">SOLID!M58</f>
        <v>-19.07</v>
      </c>
      <c r="J47" s="14">
        <f ca="1">SOLID!N58</f>
        <v>-19.03</v>
      </c>
      <c r="K47" s="14">
        <f ca="1">SOLID!O58</f>
        <v>-19.309999999999999</v>
      </c>
      <c r="L47" s="14">
        <f ca="1">SOLID!P58</f>
        <v>-19.57</v>
      </c>
      <c r="M47" s="14">
        <f ca="1">SOLID!Q58</f>
        <v>-19.82</v>
      </c>
      <c r="N47" s="14">
        <f ca="1">SOLID!R58</f>
        <v>-19.88</v>
      </c>
      <c r="O47" s="14">
        <f ca="1">SOLID!S58</f>
        <v>-19.940000000000001</v>
      </c>
      <c r="P47" s="14">
        <f ca="1">SOLID!T58</f>
        <v>-20</v>
      </c>
      <c r="Q47" s="14">
        <f ca="1">SOLID!U58</f>
        <v>-20.05</v>
      </c>
      <c r="R47" s="14">
        <f ca="1">SOLID!V58</f>
        <v>-20.260000000000002</v>
      </c>
      <c r="S47" s="14">
        <f ca="1">SOLID!W58</f>
        <v>-20.46</v>
      </c>
      <c r="T47" s="14">
        <f ca="1">SOLID!X58</f>
        <v>-20.51</v>
      </c>
      <c r="U47" s="14">
        <f ca="1">SOLID!Y58</f>
        <v>-20.56</v>
      </c>
      <c r="V47" s="14">
        <f ca="1">SOLID!Z58</f>
        <v>-20.6</v>
      </c>
      <c r="W47" s="14">
        <f ca="1">SOLID!AA58</f>
        <v>-20.65</v>
      </c>
      <c r="X47" s="14">
        <f ca="1">SOLID!AB58</f>
        <v>0</v>
      </c>
      <c r="Y47" s="14">
        <f ca="1">SOLID!AC58</f>
        <v>0</v>
      </c>
      <c r="Z47" s="14">
        <f ca="1">SOLID!AD58</f>
        <v>0</v>
      </c>
      <c r="AA47" s="14">
        <f ca="1">SOLID!AE58</f>
        <v>0</v>
      </c>
      <c r="AB47" s="14">
        <f ca="1">SOLID!AF58</f>
        <v>0</v>
      </c>
      <c r="AC47" s="14">
        <f ca="1">SOLID!AG58</f>
        <v>0</v>
      </c>
      <c r="AD47" s="14">
        <f ca="1">SOLID!AH58</f>
        <v>0</v>
      </c>
      <c r="AE47" s="14">
        <f ca="1">SOLID!AI58</f>
        <v>0</v>
      </c>
      <c r="AF47" s="14">
        <f ca="1">SOLID!AJ58</f>
        <v>0</v>
      </c>
      <c r="AG47" s="14">
        <f ca="1">SOLID!AK58</f>
        <v>0</v>
      </c>
      <c r="AH47" s="14">
        <f ca="1">SOLID!AL58</f>
        <v>0</v>
      </c>
      <c r="AI47" s="55"/>
      <c r="AJ47" s="55"/>
      <c r="AK47" s="55"/>
      <c r="AL47" s="55"/>
      <c r="AM47" s="55"/>
      <c r="AN47" s="55"/>
      <c r="AO47" s="55"/>
      <c r="AP47" s="55"/>
      <c r="AQ47" s="55"/>
      <c r="AR47" s="55"/>
      <c r="AS47" s="55"/>
      <c r="AT47" s="55"/>
      <c r="AU47" s="55"/>
      <c r="AV47" s="55"/>
      <c r="AW47" s="55"/>
      <c r="AX47" s="55"/>
      <c r="AY47" s="55"/>
      <c r="AZ47" s="55"/>
      <c r="BA47" s="55"/>
      <c r="BB47" s="55"/>
      <c r="BC47" s="55"/>
      <c r="BD47" s="55"/>
      <c r="BE47" s="55"/>
      <c r="BF47" s="55"/>
      <c r="BG47" s="55"/>
      <c r="BH47" s="55"/>
      <c r="BI47" s="55"/>
      <c r="BJ47" s="55"/>
      <c r="BK47" s="55"/>
      <c r="BL47" s="55"/>
      <c r="BM47" s="55"/>
      <c r="BN47" s="55"/>
      <c r="BO47" s="55"/>
      <c r="BP47" s="55"/>
      <c r="BQ47" s="55"/>
      <c r="BR47" s="55"/>
      <c r="BS47" s="55"/>
      <c r="BT47" s="55"/>
      <c r="BU47" s="55"/>
      <c r="BV47" s="55"/>
      <c r="BW47" s="55"/>
      <c r="BX47" s="55"/>
      <c r="BY47" s="55"/>
      <c r="BZ47" s="55"/>
      <c r="CA47" s="55"/>
      <c r="CB47" s="55"/>
      <c r="CC47" s="55"/>
      <c r="CD47" s="55"/>
      <c r="CE47" s="55"/>
      <c r="CF47" s="55"/>
      <c r="CG47" s="55"/>
      <c r="CH47" s="55"/>
      <c r="CI47" s="55"/>
      <c r="CJ47" s="55"/>
      <c r="CK47" s="55"/>
      <c r="CL47" s="55"/>
      <c r="CM47" s="55"/>
      <c r="CN47" s="55"/>
      <c r="CO47" s="55"/>
      <c r="CP47" s="55"/>
    </row>
    <row r="48" spans="1:94" ht="21.75" hidden="1" outlineLevel="1" thickBot="1" x14ac:dyDescent="0.4">
      <c r="A48" s="35" t="str">
        <f>SOLID!E59</f>
        <v>H (Ga)</v>
      </c>
      <c r="B48" s="16">
        <f ca="1">SOLID!F59</f>
        <v>-60.99</v>
      </c>
      <c r="C48" s="16">
        <f ca="1">SOLID!G59</f>
        <v>-55.39</v>
      </c>
      <c r="D48" s="16">
        <f ca="1">SOLID!H59</f>
        <v>-48.92</v>
      </c>
      <c r="E48" s="16">
        <f ca="1">SOLID!I59</f>
        <v>-42.66</v>
      </c>
      <c r="F48" s="14">
        <f ca="1">SOLID!J59</f>
        <v>-37.28</v>
      </c>
      <c r="G48" s="14">
        <f ca="1">SOLID!K59</f>
        <v>-32.6</v>
      </c>
      <c r="H48" s="14">
        <f ca="1">SOLID!L59</f>
        <v>-28.48</v>
      </c>
      <c r="I48" s="14">
        <f ca="1">SOLID!M59</f>
        <v>-25.41</v>
      </c>
      <c r="J48" s="14">
        <f ca="1">SOLID!N59</f>
        <v>-26.73</v>
      </c>
      <c r="K48" s="14">
        <f ca="1">SOLID!O59</f>
        <v>-31.78</v>
      </c>
      <c r="L48" s="14">
        <f ca="1">SOLID!P59</f>
        <v>-36.28</v>
      </c>
      <c r="M48" s="14">
        <f ca="1">SOLID!Q59</f>
        <v>-40.049999999999997</v>
      </c>
      <c r="N48" s="14">
        <f ca="1">SOLID!R59</f>
        <v>-40.86</v>
      </c>
      <c r="O48" s="14">
        <f ca="1">SOLID!S59</f>
        <v>-41.61</v>
      </c>
      <c r="P48" s="14">
        <f ca="1">SOLID!T59</f>
        <v>-42.31</v>
      </c>
      <c r="Q48" s="14">
        <f ca="1">SOLID!U59</f>
        <v>-42.94</v>
      </c>
      <c r="R48" s="14">
        <f ca="1">SOLID!V59</f>
        <v>-44.86</v>
      </c>
      <c r="S48" s="14">
        <f ca="1">SOLID!W59</f>
        <v>-45.72</v>
      </c>
      <c r="T48" s="14">
        <f ca="1">SOLID!X59</f>
        <v>-45.76</v>
      </c>
      <c r="U48" s="14">
        <f ca="1">SOLID!Y59</f>
        <v>-45.74</v>
      </c>
      <c r="V48" s="14">
        <f ca="1">SOLID!Z59</f>
        <v>-45.64</v>
      </c>
      <c r="W48" s="14">
        <f ca="1">SOLID!AA59</f>
        <v>-45.47</v>
      </c>
      <c r="X48" s="14">
        <f ca="1">SOLID!AB59</f>
        <v>0</v>
      </c>
      <c r="Y48" s="14">
        <f ca="1">SOLID!AC59</f>
        <v>0</v>
      </c>
      <c r="Z48" s="14">
        <f ca="1">SOLID!AD59</f>
        <v>0</v>
      </c>
      <c r="AA48" s="14">
        <f ca="1">SOLID!AE59</f>
        <v>0</v>
      </c>
      <c r="AB48" s="14">
        <f ca="1">SOLID!AF59</f>
        <v>0</v>
      </c>
      <c r="AC48" s="14">
        <f ca="1">SOLID!AG59</f>
        <v>0</v>
      </c>
      <c r="AD48" s="14">
        <f ca="1">SOLID!AH59</f>
        <v>0</v>
      </c>
      <c r="AE48" s="14">
        <f ca="1">SOLID!AI59</f>
        <v>0</v>
      </c>
      <c r="AF48" s="14">
        <f ca="1">SOLID!AJ59</f>
        <v>0</v>
      </c>
      <c r="AG48" s="14">
        <f ca="1">SOLID!AK59</f>
        <v>0</v>
      </c>
      <c r="AH48" s="14">
        <f ca="1">SOLID!AL59</f>
        <v>0</v>
      </c>
      <c r="AI48" s="55"/>
      <c r="AJ48" s="55"/>
      <c r="AK48" s="55"/>
      <c r="AL48" s="55"/>
      <c r="AM48" s="55"/>
      <c r="AN48" s="55"/>
      <c r="AO48" s="55"/>
      <c r="AP48" s="55"/>
      <c r="AQ48" s="55"/>
      <c r="AR48" s="55"/>
      <c r="AS48" s="55"/>
      <c r="AT48" s="55"/>
      <c r="AU48" s="55"/>
      <c r="AV48" s="55"/>
      <c r="AW48" s="55"/>
      <c r="AX48" s="55"/>
      <c r="AY48" s="55"/>
      <c r="AZ48" s="55"/>
      <c r="BA48" s="55"/>
      <c r="BB48" s="55"/>
      <c r="BC48" s="55"/>
      <c r="BD48" s="55"/>
      <c r="BE48" s="55"/>
      <c r="BF48" s="55"/>
      <c r="BG48" s="55"/>
      <c r="BH48" s="55"/>
      <c r="BI48" s="55"/>
      <c r="BJ48" s="55"/>
      <c r="BK48" s="55"/>
      <c r="BL48" s="55"/>
      <c r="BM48" s="55"/>
      <c r="BN48" s="55"/>
      <c r="BO48" s="55"/>
      <c r="BP48" s="55"/>
      <c r="BQ48" s="55"/>
      <c r="BR48" s="55"/>
      <c r="BS48" s="55"/>
      <c r="BT48" s="55"/>
      <c r="BU48" s="55"/>
      <c r="BV48" s="55"/>
      <c r="BW48" s="55"/>
      <c r="BX48" s="55"/>
      <c r="BY48" s="55"/>
      <c r="BZ48" s="55"/>
      <c r="CA48" s="55"/>
      <c r="CB48" s="55"/>
      <c r="CC48" s="55"/>
      <c r="CD48" s="55"/>
      <c r="CE48" s="55"/>
      <c r="CF48" s="55"/>
      <c r="CG48" s="55"/>
      <c r="CH48" s="55"/>
      <c r="CI48" s="55"/>
      <c r="CJ48" s="55"/>
      <c r="CK48" s="55"/>
      <c r="CL48" s="55"/>
      <c r="CM48" s="55"/>
      <c r="CN48" s="55"/>
      <c r="CO48" s="55"/>
      <c r="CP48" s="55"/>
    </row>
    <row r="49" spans="1:94" ht="21.75" hidden="1" outlineLevel="1" thickBot="1" x14ac:dyDescent="0.4">
      <c r="A49" s="35" t="str">
        <f>SOLID!E60</f>
        <v>H (Ge)</v>
      </c>
      <c r="B49" s="16">
        <f ca="1">SOLID!F60</f>
        <v>-15.35</v>
      </c>
      <c r="C49" s="16">
        <f ca="1">SOLID!G60</f>
        <v>-14.36</v>
      </c>
      <c r="D49" s="16">
        <f ca="1">SOLID!H60</f>
        <v>-12.3</v>
      </c>
      <c r="E49" s="16">
        <f ca="1">SOLID!I60</f>
        <v>-10.01</v>
      </c>
      <c r="F49" s="14">
        <f ca="1">SOLID!J60</f>
        <v>-8.0210000000000008</v>
      </c>
      <c r="G49" s="14">
        <f ca="1">SOLID!K60</f>
        <v>-6.28</v>
      </c>
      <c r="H49" s="14">
        <f ca="1">SOLID!L60</f>
        <v>-4.7359999999999998</v>
      </c>
      <c r="I49" s="14">
        <f ca="1">SOLID!M60</f>
        <v>-4.141</v>
      </c>
      <c r="J49" s="14">
        <f ca="1">SOLID!N60</f>
        <v>-4.2229999999999999</v>
      </c>
      <c r="K49" s="14">
        <f ca="1">SOLID!O60</f>
        <v>-4.5529999999999999</v>
      </c>
      <c r="L49" s="14">
        <f ca="1">SOLID!P60</f>
        <v>-4.8730000000000002</v>
      </c>
      <c r="M49" s="14">
        <f ca="1">SOLID!Q60</f>
        <v>-5.1749999999999998</v>
      </c>
      <c r="N49" s="14">
        <f ca="1">SOLID!R60</f>
        <v>-5.2469999999999999</v>
      </c>
      <c r="O49" s="14">
        <f ca="1">SOLID!S60</f>
        <v>-5.3179999999999996</v>
      </c>
      <c r="P49" s="14">
        <f ca="1">SOLID!T60</f>
        <v>-5.3890000000000002</v>
      </c>
      <c r="Q49" s="14">
        <f ca="1">SOLID!U60</f>
        <v>-5.4580000000000002</v>
      </c>
      <c r="R49" s="14">
        <f ca="1">SOLID!V60</f>
        <v>-5.7869999999999999</v>
      </c>
      <c r="S49" s="14">
        <f ca="1">SOLID!W60</f>
        <v>-6.3879999999999999</v>
      </c>
      <c r="T49" s="14">
        <f ca="1">SOLID!X60</f>
        <v>-6.5250000000000004</v>
      </c>
      <c r="U49" s="14">
        <f ca="1">SOLID!Y60</f>
        <v>-6.6580000000000004</v>
      </c>
      <c r="V49" s="14">
        <f ca="1">SOLID!Z60</f>
        <v>-6.7869999999999999</v>
      </c>
      <c r="W49" s="14">
        <f ca="1">SOLID!AA60</f>
        <v>-6.9109999999999996</v>
      </c>
      <c r="X49" s="14">
        <f ca="1">SOLID!AB60</f>
        <v>0</v>
      </c>
      <c r="Y49" s="14">
        <f ca="1">SOLID!AC60</f>
        <v>0</v>
      </c>
      <c r="Z49" s="14">
        <f ca="1">SOLID!AD60</f>
        <v>0</v>
      </c>
      <c r="AA49" s="14">
        <f ca="1">SOLID!AE60</f>
        <v>0</v>
      </c>
      <c r="AB49" s="14">
        <f ca="1">SOLID!AF60</f>
        <v>0</v>
      </c>
      <c r="AC49" s="14">
        <f ca="1">SOLID!AG60</f>
        <v>0</v>
      </c>
      <c r="AD49" s="14">
        <f ca="1">SOLID!AH60</f>
        <v>0</v>
      </c>
      <c r="AE49" s="14">
        <f ca="1">SOLID!AI60</f>
        <v>0</v>
      </c>
      <c r="AF49" s="14">
        <f ca="1">SOLID!AJ60</f>
        <v>0</v>
      </c>
      <c r="AG49" s="14">
        <f ca="1">SOLID!AK60</f>
        <v>0</v>
      </c>
      <c r="AH49" s="14">
        <f ca="1">SOLID!AL60</f>
        <v>0</v>
      </c>
      <c r="AI49" s="55"/>
      <c r="AJ49" s="55"/>
      <c r="AK49" s="55"/>
      <c r="AL49" s="55"/>
      <c r="AM49" s="55"/>
      <c r="AN49" s="55"/>
      <c r="AO49" s="55"/>
      <c r="AP49" s="55"/>
      <c r="AQ49" s="55"/>
      <c r="AR49" s="55"/>
      <c r="AS49" s="55"/>
      <c r="AT49" s="55"/>
      <c r="AU49" s="55"/>
      <c r="AV49" s="55"/>
      <c r="AW49" s="55"/>
      <c r="AX49" s="55"/>
      <c r="AY49" s="55"/>
      <c r="AZ49" s="55"/>
      <c r="BA49" s="55"/>
      <c r="BB49" s="55"/>
      <c r="BC49" s="55"/>
      <c r="BD49" s="55"/>
      <c r="BE49" s="55"/>
      <c r="BF49" s="55"/>
      <c r="BG49" s="55"/>
      <c r="BH49" s="55"/>
      <c r="BI49" s="55"/>
      <c r="BJ49" s="55"/>
      <c r="BK49" s="55"/>
      <c r="BL49" s="55"/>
      <c r="BM49" s="55"/>
      <c r="BN49" s="55"/>
      <c r="BO49" s="55"/>
      <c r="BP49" s="55"/>
      <c r="BQ49" s="55"/>
      <c r="BR49" s="55"/>
      <c r="BS49" s="55"/>
      <c r="BT49" s="55"/>
      <c r="BU49" s="55"/>
      <c r="BV49" s="55"/>
      <c r="BW49" s="55"/>
      <c r="BX49" s="55"/>
      <c r="BY49" s="55"/>
      <c r="BZ49" s="55"/>
      <c r="CA49" s="55"/>
      <c r="CB49" s="55"/>
      <c r="CC49" s="55"/>
      <c r="CD49" s="55"/>
      <c r="CE49" s="55"/>
      <c r="CF49" s="55"/>
      <c r="CG49" s="55"/>
      <c r="CH49" s="55"/>
      <c r="CI49" s="55"/>
      <c r="CJ49" s="55"/>
      <c r="CK49" s="55"/>
      <c r="CL49" s="55"/>
      <c r="CM49" s="55"/>
      <c r="CN49" s="55"/>
      <c r="CO49" s="55"/>
      <c r="CP49" s="55"/>
    </row>
    <row r="50" spans="1:94" ht="21.75" hidden="1" outlineLevel="1" thickBot="1" x14ac:dyDescent="0.4">
      <c r="A50" s="35" t="str">
        <f>SOLID!E61</f>
        <v>H (Se)</v>
      </c>
      <c r="B50" s="16">
        <f ca="1">SOLID!F61</f>
        <v>-21.89</v>
      </c>
      <c r="C50" s="16">
        <f ca="1">SOLID!G61</f>
        <v>-20.11</v>
      </c>
      <c r="D50" s="16">
        <f ca="1">SOLID!H61</f>
        <v>-19.97</v>
      </c>
      <c r="E50" s="16">
        <f ca="1">SOLID!I61</f>
        <v>-20.47</v>
      </c>
      <c r="F50" s="14">
        <f ca="1">SOLID!J61</f>
        <v>-20.98</v>
      </c>
      <c r="G50" s="14">
        <f ca="1">SOLID!K61</f>
        <v>-21.49</v>
      </c>
      <c r="H50" s="14">
        <f ca="1">SOLID!L61</f>
        <v>-22.01</v>
      </c>
      <c r="I50" s="14">
        <f ca="1">SOLID!M61</f>
        <v>-22.51</v>
      </c>
      <c r="J50" s="14">
        <f ca="1">SOLID!N61</f>
        <v>-23.02</v>
      </c>
      <c r="K50" s="14">
        <f ca="1">SOLID!O61</f>
        <v>-24.96</v>
      </c>
      <c r="L50" s="14">
        <f ca="1">SOLID!P61</f>
        <v>-26.77</v>
      </c>
      <c r="M50" s="14">
        <f ca="1">SOLID!Q61</f>
        <v>-28.49</v>
      </c>
      <c r="N50" s="14">
        <f ca="1">SOLID!R61</f>
        <v>-28.9</v>
      </c>
      <c r="O50" s="14">
        <f ca="1">SOLID!S61</f>
        <v>-29.31</v>
      </c>
      <c r="P50" s="14">
        <f ca="1">SOLID!T61</f>
        <v>-29.72</v>
      </c>
      <c r="Q50" s="14">
        <f ca="1">SOLID!U61</f>
        <v>-30.12</v>
      </c>
      <c r="R50" s="14">
        <f ca="1">SOLID!V61</f>
        <v>-31.69</v>
      </c>
      <c r="S50" s="14">
        <f ca="1">SOLID!W61</f>
        <v>-33.22</v>
      </c>
      <c r="T50" s="14">
        <f ca="1">SOLID!X61</f>
        <v>-33.590000000000003</v>
      </c>
      <c r="U50" s="14">
        <f ca="1">SOLID!Y61</f>
        <v>-33.97</v>
      </c>
      <c r="V50" s="14">
        <f ca="1">SOLID!Z61</f>
        <v>-34.340000000000003</v>
      </c>
      <c r="W50" s="14">
        <f ca="1">SOLID!AA61</f>
        <v>-34.71</v>
      </c>
      <c r="X50" s="14">
        <f ca="1">SOLID!AB61</f>
        <v>0</v>
      </c>
      <c r="Y50" s="14">
        <f ca="1">SOLID!AC61</f>
        <v>0</v>
      </c>
      <c r="Z50" s="14">
        <f ca="1">SOLID!AD61</f>
        <v>0</v>
      </c>
      <c r="AA50" s="14">
        <f ca="1">SOLID!AE61</f>
        <v>0</v>
      </c>
      <c r="AB50" s="14">
        <f ca="1">SOLID!AF61</f>
        <v>0</v>
      </c>
      <c r="AC50" s="14">
        <f ca="1">SOLID!AG61</f>
        <v>0</v>
      </c>
      <c r="AD50" s="14">
        <f ca="1">SOLID!AH61</f>
        <v>0</v>
      </c>
      <c r="AE50" s="14">
        <f ca="1">SOLID!AI61</f>
        <v>0</v>
      </c>
      <c r="AF50" s="14">
        <f ca="1">SOLID!AJ61</f>
        <v>0</v>
      </c>
      <c r="AG50" s="14">
        <f ca="1">SOLID!AK61</f>
        <v>0</v>
      </c>
      <c r="AH50" s="14">
        <f ca="1">SOLID!AL61</f>
        <v>0</v>
      </c>
      <c r="AI50" s="55"/>
      <c r="AJ50" s="55"/>
      <c r="AK50" s="55"/>
      <c r="AL50" s="55"/>
      <c r="AM50" s="55"/>
      <c r="AN50" s="55"/>
      <c r="AO50" s="55"/>
      <c r="AP50" s="55"/>
      <c r="AQ50" s="55"/>
      <c r="AR50" s="55"/>
      <c r="AS50" s="55"/>
      <c r="AT50" s="55"/>
      <c r="AU50" s="55"/>
      <c r="AV50" s="55"/>
      <c r="AW50" s="55"/>
      <c r="AX50" s="55"/>
      <c r="AY50" s="55"/>
      <c r="AZ50" s="55"/>
      <c r="BA50" s="55"/>
      <c r="BB50" s="55"/>
      <c r="BC50" s="55"/>
      <c r="BD50" s="55"/>
      <c r="BE50" s="55"/>
      <c r="BF50" s="55"/>
      <c r="BG50" s="55"/>
      <c r="BH50" s="55"/>
      <c r="BI50" s="55"/>
      <c r="BJ50" s="55"/>
      <c r="BK50" s="55"/>
      <c r="BL50" s="55"/>
      <c r="BM50" s="55"/>
      <c r="BN50" s="55"/>
      <c r="BO50" s="55"/>
      <c r="BP50" s="55"/>
      <c r="BQ50" s="55"/>
      <c r="BR50" s="55"/>
      <c r="BS50" s="55"/>
      <c r="BT50" s="55"/>
      <c r="BU50" s="55"/>
      <c r="BV50" s="55"/>
      <c r="BW50" s="55"/>
      <c r="BX50" s="55"/>
      <c r="BY50" s="55"/>
      <c r="BZ50" s="55"/>
      <c r="CA50" s="55"/>
      <c r="CB50" s="55"/>
      <c r="CC50" s="55"/>
      <c r="CD50" s="55"/>
      <c r="CE50" s="55"/>
      <c r="CF50" s="55"/>
      <c r="CG50" s="55"/>
      <c r="CH50" s="55"/>
      <c r="CI50" s="55"/>
      <c r="CJ50" s="55"/>
      <c r="CK50" s="55"/>
      <c r="CL50" s="55"/>
      <c r="CM50" s="55"/>
      <c r="CN50" s="55"/>
      <c r="CO50" s="55"/>
      <c r="CP50" s="55"/>
    </row>
    <row r="51" spans="1:94" ht="21.75" hidden="1" outlineLevel="1" thickBot="1" x14ac:dyDescent="0.4">
      <c r="A51" s="35">
        <f>SOLID!E62</f>
        <v>0</v>
      </c>
      <c r="B51" s="16">
        <f ca="1">SOLID!F62</f>
        <v>0</v>
      </c>
      <c r="C51" s="16">
        <f ca="1">SOLID!G62</f>
        <v>0</v>
      </c>
      <c r="D51" s="16">
        <f ca="1">SOLID!H62</f>
        <v>0</v>
      </c>
      <c r="E51" s="16">
        <f ca="1">SOLID!I62</f>
        <v>0</v>
      </c>
      <c r="F51" s="14">
        <f ca="1">SOLID!J62</f>
        <v>0</v>
      </c>
      <c r="G51" s="14">
        <f ca="1">SOLID!K62</f>
        <v>0</v>
      </c>
      <c r="H51" s="14">
        <f ca="1">SOLID!L62</f>
        <v>0</v>
      </c>
      <c r="I51" s="14">
        <f ca="1">SOLID!M62</f>
        <v>0</v>
      </c>
      <c r="J51" s="14">
        <f ca="1">SOLID!N62</f>
        <v>0</v>
      </c>
      <c r="K51" s="14">
        <f ca="1">SOLID!O62</f>
        <v>0</v>
      </c>
      <c r="L51" s="14">
        <f ca="1">SOLID!P62</f>
        <v>0</v>
      </c>
      <c r="M51" s="14">
        <f ca="1">SOLID!Q62</f>
        <v>0</v>
      </c>
      <c r="N51" s="14">
        <f ca="1">SOLID!R62</f>
        <v>0</v>
      </c>
      <c r="O51" s="14">
        <f ca="1">SOLID!S62</f>
        <v>0</v>
      </c>
      <c r="P51" s="14">
        <f ca="1">SOLID!T62</f>
        <v>0</v>
      </c>
      <c r="Q51" s="14">
        <f ca="1">SOLID!U62</f>
        <v>0</v>
      </c>
      <c r="R51" s="14">
        <f ca="1">SOLID!V62</f>
        <v>0</v>
      </c>
      <c r="S51" s="14">
        <f ca="1">SOLID!W62</f>
        <v>0</v>
      </c>
      <c r="T51" s="14">
        <f ca="1">SOLID!X62</f>
        <v>0</v>
      </c>
      <c r="U51" s="14">
        <f ca="1">SOLID!Y62</f>
        <v>0</v>
      </c>
      <c r="V51" s="14">
        <f ca="1">SOLID!Z62</f>
        <v>0</v>
      </c>
      <c r="W51" s="14">
        <f ca="1">SOLID!AA62</f>
        <v>0</v>
      </c>
      <c r="X51" s="14">
        <f ca="1">SOLID!AB62</f>
        <v>0</v>
      </c>
      <c r="Y51" s="14">
        <f ca="1">SOLID!AC62</f>
        <v>0</v>
      </c>
      <c r="Z51" s="14">
        <f ca="1">SOLID!AD62</f>
        <v>0</v>
      </c>
      <c r="AA51" s="14">
        <f ca="1">SOLID!AE62</f>
        <v>0</v>
      </c>
      <c r="AB51" s="14">
        <f ca="1">SOLID!AF62</f>
        <v>0</v>
      </c>
      <c r="AC51" s="14">
        <f ca="1">SOLID!AG62</f>
        <v>0</v>
      </c>
      <c r="AD51" s="14">
        <f ca="1">SOLID!AH62</f>
        <v>0</v>
      </c>
      <c r="AE51" s="14">
        <f ca="1">SOLID!AI62</f>
        <v>0</v>
      </c>
      <c r="AF51" s="14">
        <f ca="1">SOLID!AJ62</f>
        <v>0</v>
      </c>
      <c r="AG51" s="14">
        <f ca="1">SOLID!AK62</f>
        <v>0</v>
      </c>
      <c r="AH51" s="14">
        <f ca="1">SOLID!AL62</f>
        <v>0</v>
      </c>
      <c r="AI51" s="55"/>
      <c r="AJ51" s="55"/>
      <c r="AK51" s="55"/>
      <c r="AL51" s="55"/>
      <c r="AM51" s="55"/>
      <c r="AN51" s="55"/>
      <c r="AO51" s="55"/>
      <c r="AP51" s="55"/>
      <c r="AQ51" s="55"/>
      <c r="AR51" s="55"/>
      <c r="AS51" s="55"/>
      <c r="AT51" s="55"/>
      <c r="AU51" s="55"/>
      <c r="AV51" s="55"/>
      <c r="AW51" s="55"/>
      <c r="AX51" s="55"/>
      <c r="AY51" s="55"/>
      <c r="AZ51" s="55"/>
      <c r="BA51" s="55"/>
      <c r="BB51" s="55"/>
      <c r="BC51" s="55"/>
      <c r="BD51" s="55"/>
      <c r="BE51" s="55"/>
      <c r="BF51" s="55"/>
      <c r="BG51" s="55"/>
      <c r="BH51" s="55"/>
      <c r="BI51" s="55"/>
      <c r="BJ51" s="55"/>
      <c r="BK51" s="55"/>
      <c r="BL51" s="55"/>
      <c r="BM51" s="55"/>
      <c r="BN51" s="55"/>
      <c r="BO51" s="55"/>
      <c r="BP51" s="55"/>
      <c r="BQ51" s="55"/>
      <c r="BR51" s="55"/>
      <c r="BS51" s="55"/>
      <c r="BT51" s="55"/>
      <c r="BU51" s="55"/>
      <c r="BV51" s="55"/>
      <c r="BW51" s="55"/>
      <c r="BX51" s="55"/>
      <c r="BY51" s="55"/>
      <c r="BZ51" s="55"/>
      <c r="CA51" s="55"/>
      <c r="CB51" s="55"/>
      <c r="CC51" s="55"/>
      <c r="CD51" s="55"/>
      <c r="CE51" s="55"/>
      <c r="CF51" s="55"/>
      <c r="CG51" s="55"/>
      <c r="CH51" s="55"/>
      <c r="CI51" s="55"/>
      <c r="CJ51" s="55"/>
      <c r="CK51" s="55"/>
      <c r="CL51" s="55"/>
      <c r="CM51" s="55"/>
      <c r="CN51" s="55"/>
      <c r="CO51" s="55"/>
      <c r="CP51" s="55"/>
    </row>
    <row r="52" spans="1:94" ht="21.75" hidden="1" outlineLevel="1" thickBot="1" x14ac:dyDescent="0.4">
      <c r="A52" s="35">
        <f>SOLID!E63</f>
        <v>0</v>
      </c>
      <c r="B52" s="16">
        <f ca="1">SOLID!F63</f>
        <v>0</v>
      </c>
      <c r="C52" s="16">
        <f ca="1">SOLID!G63</f>
        <v>0</v>
      </c>
      <c r="D52" s="16">
        <f ca="1">SOLID!H63</f>
        <v>0</v>
      </c>
      <c r="E52" s="16">
        <f ca="1">SOLID!I63</f>
        <v>0</v>
      </c>
      <c r="F52" s="14">
        <f ca="1">SOLID!J63</f>
        <v>0</v>
      </c>
      <c r="G52" s="14">
        <f ca="1">SOLID!K63</f>
        <v>0</v>
      </c>
      <c r="H52" s="14">
        <f ca="1">SOLID!L63</f>
        <v>0</v>
      </c>
      <c r="I52" s="14">
        <f ca="1">SOLID!M63</f>
        <v>0</v>
      </c>
      <c r="J52" s="14">
        <f ca="1">SOLID!N63</f>
        <v>0</v>
      </c>
      <c r="K52" s="14">
        <f ca="1">SOLID!O63</f>
        <v>0</v>
      </c>
      <c r="L52" s="14">
        <f ca="1">SOLID!P63</f>
        <v>0</v>
      </c>
      <c r="M52" s="14">
        <f ca="1">SOLID!Q63</f>
        <v>0</v>
      </c>
      <c r="N52" s="14">
        <f ca="1">SOLID!R63</f>
        <v>0</v>
      </c>
      <c r="O52" s="14">
        <f ca="1">SOLID!S63</f>
        <v>0</v>
      </c>
      <c r="P52" s="14">
        <f ca="1">SOLID!T63</f>
        <v>0</v>
      </c>
      <c r="Q52" s="14">
        <f ca="1">SOLID!U63</f>
        <v>0</v>
      </c>
      <c r="R52" s="14">
        <f ca="1">SOLID!V63</f>
        <v>0</v>
      </c>
      <c r="S52" s="14">
        <f ca="1">SOLID!W63</f>
        <v>0</v>
      </c>
      <c r="T52" s="14">
        <f ca="1">SOLID!X63</f>
        <v>0</v>
      </c>
      <c r="U52" s="14">
        <f ca="1">SOLID!Y63</f>
        <v>0</v>
      </c>
      <c r="V52" s="14">
        <f ca="1">SOLID!Z63</f>
        <v>0</v>
      </c>
      <c r="W52" s="14">
        <f ca="1">SOLID!AA63</f>
        <v>0</v>
      </c>
      <c r="X52" s="14">
        <f ca="1">SOLID!AB63</f>
        <v>0</v>
      </c>
      <c r="Y52" s="14">
        <f ca="1">SOLID!AC63</f>
        <v>0</v>
      </c>
      <c r="Z52" s="14">
        <f ca="1">SOLID!AD63</f>
        <v>0</v>
      </c>
      <c r="AA52" s="14">
        <f ca="1">SOLID!AE63</f>
        <v>0</v>
      </c>
      <c r="AB52" s="14">
        <f ca="1">SOLID!AF63</f>
        <v>0</v>
      </c>
      <c r="AC52" s="14">
        <f ca="1">SOLID!AG63</f>
        <v>0</v>
      </c>
      <c r="AD52" s="14">
        <f ca="1">SOLID!AH63</f>
        <v>0</v>
      </c>
      <c r="AE52" s="14">
        <f ca="1">SOLID!AI63</f>
        <v>0</v>
      </c>
      <c r="AF52" s="14">
        <f ca="1">SOLID!AJ63</f>
        <v>0</v>
      </c>
      <c r="AG52" s="14">
        <f ca="1">SOLID!AK63</f>
        <v>0</v>
      </c>
      <c r="AH52" s="14">
        <f ca="1">SOLID!AL63</f>
        <v>0</v>
      </c>
      <c r="AI52" s="55"/>
      <c r="AJ52" s="55"/>
      <c r="AK52" s="55"/>
      <c r="AL52" s="55"/>
      <c r="AM52" s="55"/>
      <c r="AN52" s="55"/>
      <c r="AO52" s="55"/>
      <c r="AP52" s="55"/>
      <c r="AQ52" s="55"/>
      <c r="AR52" s="55"/>
      <c r="AS52" s="55"/>
      <c r="AT52" s="55"/>
      <c r="AU52" s="55"/>
      <c r="AV52" s="55"/>
      <c r="AW52" s="55"/>
      <c r="AX52" s="55"/>
      <c r="AY52" s="55"/>
      <c r="AZ52" s="55"/>
      <c r="BA52" s="55"/>
      <c r="BB52" s="55"/>
      <c r="BC52" s="55"/>
      <c r="BD52" s="55"/>
      <c r="BE52" s="55"/>
      <c r="BF52" s="55"/>
      <c r="BG52" s="55"/>
      <c r="BH52" s="55"/>
      <c r="BI52" s="55"/>
      <c r="BJ52" s="55"/>
      <c r="BK52" s="55"/>
      <c r="BL52" s="55"/>
      <c r="BM52" s="55"/>
      <c r="BN52" s="55"/>
      <c r="BO52" s="55"/>
      <c r="BP52" s="55"/>
      <c r="BQ52" s="55"/>
      <c r="BR52" s="55"/>
      <c r="BS52" s="55"/>
      <c r="BT52" s="55"/>
      <c r="BU52" s="55"/>
      <c r="BV52" s="55"/>
      <c r="BW52" s="55"/>
      <c r="BX52" s="55"/>
      <c r="BY52" s="55"/>
      <c r="BZ52" s="55"/>
      <c r="CA52" s="55"/>
      <c r="CB52" s="55"/>
      <c r="CC52" s="55"/>
      <c r="CD52" s="55"/>
      <c r="CE52" s="55"/>
      <c r="CF52" s="55"/>
      <c r="CG52" s="55"/>
      <c r="CH52" s="55"/>
      <c r="CI52" s="55"/>
      <c r="CJ52" s="55"/>
      <c r="CK52" s="55"/>
      <c r="CL52" s="55"/>
      <c r="CM52" s="55"/>
      <c r="CN52" s="55"/>
      <c r="CO52" s="55"/>
      <c r="CP52" s="55"/>
    </row>
    <row r="53" spans="1:94" ht="21.75" hidden="1" outlineLevel="1" thickBot="1" x14ac:dyDescent="0.4">
      <c r="A53" s="35">
        <f>SOLID!E64</f>
        <v>0</v>
      </c>
      <c r="B53" s="16">
        <f ca="1">SOLID!F64</f>
        <v>0</v>
      </c>
      <c r="C53" s="16">
        <f ca="1">SOLID!G64</f>
        <v>0</v>
      </c>
      <c r="D53" s="16">
        <f ca="1">SOLID!H64</f>
        <v>0</v>
      </c>
      <c r="E53" s="16">
        <f ca="1">SOLID!I64</f>
        <v>0</v>
      </c>
      <c r="F53" s="14">
        <f ca="1">SOLID!J64</f>
        <v>0</v>
      </c>
      <c r="G53" s="14">
        <f ca="1">SOLID!K64</f>
        <v>0</v>
      </c>
      <c r="H53" s="14">
        <f ca="1">SOLID!L64</f>
        <v>0</v>
      </c>
      <c r="I53" s="14">
        <f ca="1">SOLID!M64</f>
        <v>0</v>
      </c>
      <c r="J53" s="14">
        <f ca="1">SOLID!N64</f>
        <v>0</v>
      </c>
      <c r="K53" s="14">
        <f ca="1">SOLID!O64</f>
        <v>0</v>
      </c>
      <c r="L53" s="14">
        <f ca="1">SOLID!P64</f>
        <v>0</v>
      </c>
      <c r="M53" s="14">
        <f ca="1">SOLID!Q64</f>
        <v>0</v>
      </c>
      <c r="N53" s="14">
        <f ca="1">SOLID!R64</f>
        <v>0</v>
      </c>
      <c r="O53" s="14">
        <f ca="1">SOLID!S64</f>
        <v>0</v>
      </c>
      <c r="P53" s="14">
        <f ca="1">SOLID!T64</f>
        <v>0</v>
      </c>
      <c r="Q53" s="14">
        <f ca="1">SOLID!U64</f>
        <v>0</v>
      </c>
      <c r="R53" s="14">
        <f ca="1">SOLID!V64</f>
        <v>0</v>
      </c>
      <c r="S53" s="14">
        <f ca="1">SOLID!W64</f>
        <v>0</v>
      </c>
      <c r="T53" s="14">
        <f ca="1">SOLID!X64</f>
        <v>0</v>
      </c>
      <c r="U53" s="14">
        <f ca="1">SOLID!Y64</f>
        <v>0</v>
      </c>
      <c r="V53" s="14">
        <f ca="1">SOLID!Z64</f>
        <v>0</v>
      </c>
      <c r="W53" s="14">
        <f ca="1">SOLID!AA64</f>
        <v>0</v>
      </c>
      <c r="X53" s="14">
        <f ca="1">SOLID!AB64</f>
        <v>0</v>
      </c>
      <c r="Y53" s="14">
        <f ca="1">SOLID!AC64</f>
        <v>0</v>
      </c>
      <c r="Z53" s="14">
        <f ca="1">SOLID!AD64</f>
        <v>0</v>
      </c>
      <c r="AA53" s="14">
        <f ca="1">SOLID!AE64</f>
        <v>0</v>
      </c>
      <c r="AB53" s="14">
        <f ca="1">SOLID!AF64</f>
        <v>0</v>
      </c>
      <c r="AC53" s="14">
        <f ca="1">SOLID!AG64</f>
        <v>0</v>
      </c>
      <c r="AD53" s="14">
        <f ca="1">SOLID!AH64</f>
        <v>0</v>
      </c>
      <c r="AE53" s="14">
        <f ca="1">SOLID!AI64</f>
        <v>0</v>
      </c>
      <c r="AF53" s="14">
        <f ca="1">SOLID!AJ64</f>
        <v>0</v>
      </c>
      <c r="AG53" s="14">
        <f ca="1">SOLID!AK64</f>
        <v>0</v>
      </c>
      <c r="AH53" s="14">
        <f ca="1">SOLID!AL64</f>
        <v>0</v>
      </c>
      <c r="AI53" s="55"/>
      <c r="AJ53" s="55"/>
      <c r="AK53" s="55"/>
      <c r="AL53" s="55"/>
      <c r="AM53" s="55"/>
      <c r="AN53" s="55"/>
      <c r="AO53" s="55"/>
      <c r="AP53" s="55"/>
      <c r="AQ53" s="55"/>
      <c r="AR53" s="55"/>
      <c r="AS53" s="55"/>
      <c r="AT53" s="55"/>
      <c r="AU53" s="55"/>
      <c r="AV53" s="55"/>
      <c r="AW53" s="55"/>
      <c r="AX53" s="55"/>
      <c r="AY53" s="55"/>
      <c r="AZ53" s="55"/>
      <c r="BA53" s="55"/>
      <c r="BB53" s="55"/>
      <c r="BC53" s="55"/>
      <c r="BD53" s="55"/>
      <c r="BE53" s="55"/>
      <c r="BF53" s="55"/>
      <c r="BG53" s="55"/>
      <c r="BH53" s="55"/>
      <c r="BI53" s="55"/>
      <c r="BJ53" s="55"/>
      <c r="BK53" s="55"/>
      <c r="BL53" s="55"/>
      <c r="BM53" s="55"/>
      <c r="BN53" s="55"/>
      <c r="BO53" s="55"/>
      <c r="BP53" s="55"/>
      <c r="BQ53" s="55"/>
      <c r="BR53" s="55"/>
      <c r="BS53" s="55"/>
      <c r="BT53" s="55"/>
      <c r="BU53" s="55"/>
      <c r="BV53" s="55"/>
      <c r="BW53" s="55"/>
      <c r="BX53" s="55"/>
      <c r="BY53" s="55"/>
      <c r="BZ53" s="55"/>
      <c r="CA53" s="55"/>
      <c r="CB53" s="55"/>
      <c r="CC53" s="55"/>
      <c r="CD53" s="55"/>
      <c r="CE53" s="55"/>
      <c r="CF53" s="55"/>
      <c r="CG53" s="55"/>
      <c r="CH53" s="55"/>
      <c r="CI53" s="55"/>
      <c r="CJ53" s="55"/>
      <c r="CK53" s="55"/>
      <c r="CL53" s="55"/>
      <c r="CM53" s="55"/>
      <c r="CN53" s="55"/>
      <c r="CO53" s="55"/>
      <c r="CP53" s="55"/>
    </row>
    <row r="54" spans="1:94" ht="21.75" hidden="1" outlineLevel="1" thickBot="1" x14ac:dyDescent="0.4">
      <c r="A54" s="35">
        <f>SOLID!E65</f>
        <v>0</v>
      </c>
      <c r="B54" s="16">
        <f ca="1">SOLID!F65</f>
        <v>0</v>
      </c>
      <c r="C54" s="16">
        <f ca="1">SOLID!G65</f>
        <v>0</v>
      </c>
      <c r="D54" s="16">
        <f ca="1">SOLID!H65</f>
        <v>0</v>
      </c>
      <c r="E54" s="16">
        <f ca="1">SOLID!I65</f>
        <v>0</v>
      </c>
      <c r="F54" s="14">
        <f ca="1">SOLID!J65</f>
        <v>0</v>
      </c>
      <c r="G54" s="14">
        <f ca="1">SOLID!K65</f>
        <v>0</v>
      </c>
      <c r="H54" s="14">
        <f ca="1">SOLID!L65</f>
        <v>0</v>
      </c>
      <c r="I54" s="14">
        <f ca="1">SOLID!M65</f>
        <v>0</v>
      </c>
      <c r="J54" s="14">
        <f ca="1">SOLID!N65</f>
        <v>0</v>
      </c>
      <c r="K54" s="14">
        <f ca="1">SOLID!O65</f>
        <v>0</v>
      </c>
      <c r="L54" s="14">
        <f ca="1">SOLID!P65</f>
        <v>0</v>
      </c>
      <c r="M54" s="14">
        <f ca="1">SOLID!Q65</f>
        <v>0</v>
      </c>
      <c r="N54" s="14">
        <f ca="1">SOLID!R65</f>
        <v>0</v>
      </c>
      <c r="O54" s="14">
        <f ca="1">SOLID!S65</f>
        <v>0</v>
      </c>
      <c r="P54" s="14">
        <f ca="1">SOLID!T65</f>
        <v>0</v>
      </c>
      <c r="Q54" s="14">
        <f ca="1">SOLID!U65</f>
        <v>0</v>
      </c>
      <c r="R54" s="14">
        <f ca="1">SOLID!V65</f>
        <v>0</v>
      </c>
      <c r="S54" s="14">
        <f ca="1">SOLID!W65</f>
        <v>0</v>
      </c>
      <c r="T54" s="14">
        <f ca="1">SOLID!X65</f>
        <v>0</v>
      </c>
      <c r="U54" s="14">
        <f ca="1">SOLID!Y65</f>
        <v>0</v>
      </c>
      <c r="V54" s="14">
        <f ca="1">SOLID!Z65</f>
        <v>0</v>
      </c>
      <c r="W54" s="14">
        <f ca="1">SOLID!AA65</f>
        <v>0</v>
      </c>
      <c r="X54" s="14">
        <f ca="1">SOLID!AB65</f>
        <v>0</v>
      </c>
      <c r="Y54" s="14">
        <f ca="1">SOLID!AC65</f>
        <v>0</v>
      </c>
      <c r="Z54" s="14">
        <f ca="1">SOLID!AD65</f>
        <v>0</v>
      </c>
      <c r="AA54" s="14">
        <f ca="1">SOLID!AE65</f>
        <v>0</v>
      </c>
      <c r="AB54" s="14">
        <f ca="1">SOLID!AF65</f>
        <v>0</v>
      </c>
      <c r="AC54" s="14">
        <f ca="1">SOLID!AG65</f>
        <v>0</v>
      </c>
      <c r="AD54" s="14">
        <f ca="1">SOLID!AH65</f>
        <v>0</v>
      </c>
      <c r="AE54" s="14">
        <f ca="1">SOLID!AI65</f>
        <v>0</v>
      </c>
      <c r="AF54" s="14">
        <f ca="1">SOLID!AJ65</f>
        <v>0</v>
      </c>
      <c r="AG54" s="14">
        <f ca="1">SOLID!AK65</f>
        <v>0</v>
      </c>
      <c r="AH54" s="14">
        <f ca="1">SOLID!AL65</f>
        <v>0</v>
      </c>
      <c r="AI54" s="55"/>
      <c r="AJ54" s="55"/>
      <c r="AK54" s="55"/>
      <c r="AL54" s="55"/>
      <c r="AM54" s="55"/>
      <c r="AN54" s="55"/>
      <c r="AO54" s="55"/>
      <c r="AP54" s="55"/>
      <c r="AQ54" s="55"/>
      <c r="AR54" s="55"/>
      <c r="AS54" s="55"/>
      <c r="AT54" s="55"/>
      <c r="AU54" s="55"/>
      <c r="AV54" s="55"/>
      <c r="AW54" s="55"/>
      <c r="AX54" s="55"/>
      <c r="AY54" s="55"/>
      <c r="AZ54" s="55"/>
      <c r="BA54" s="55"/>
      <c r="BB54" s="55"/>
      <c r="BC54" s="55"/>
      <c r="BD54" s="55"/>
      <c r="BE54" s="55"/>
      <c r="BF54" s="55"/>
      <c r="BG54" s="55"/>
      <c r="BH54" s="55"/>
      <c r="BI54" s="55"/>
      <c r="BJ54" s="55"/>
      <c r="BK54" s="55"/>
      <c r="BL54" s="55"/>
      <c r="BM54" s="55"/>
      <c r="BN54" s="55"/>
      <c r="BO54" s="55"/>
      <c r="BP54" s="55"/>
      <c r="BQ54" s="55"/>
      <c r="BR54" s="55"/>
      <c r="BS54" s="55"/>
      <c r="BT54" s="55"/>
      <c r="BU54" s="55"/>
      <c r="BV54" s="55"/>
      <c r="BW54" s="55"/>
      <c r="BX54" s="55"/>
      <c r="BY54" s="55"/>
      <c r="BZ54" s="55"/>
      <c r="CA54" s="55"/>
      <c r="CB54" s="55"/>
      <c r="CC54" s="55"/>
      <c r="CD54" s="55"/>
      <c r="CE54" s="55"/>
      <c r="CF54" s="55"/>
      <c r="CG54" s="55"/>
      <c r="CH54" s="55"/>
      <c r="CI54" s="55"/>
      <c r="CJ54" s="55"/>
      <c r="CK54" s="55"/>
      <c r="CL54" s="55"/>
      <c r="CM54" s="55"/>
      <c r="CN54" s="55"/>
      <c r="CO54" s="55"/>
      <c r="CP54" s="55"/>
    </row>
    <row r="55" spans="1:94" ht="21.75" hidden="1" outlineLevel="1" thickBot="1" x14ac:dyDescent="0.4">
      <c r="A55" s="35">
        <f>SOLID!E66</f>
        <v>0</v>
      </c>
      <c r="B55" s="16">
        <f ca="1">SOLID!F66</f>
        <v>0</v>
      </c>
      <c r="C55" s="16">
        <f ca="1">SOLID!G66</f>
        <v>0</v>
      </c>
      <c r="D55" s="16">
        <f ca="1">SOLID!H66</f>
        <v>0</v>
      </c>
      <c r="E55" s="16">
        <f ca="1">SOLID!I66</f>
        <v>0</v>
      </c>
      <c r="F55" s="14">
        <f ca="1">SOLID!J66</f>
        <v>0</v>
      </c>
      <c r="G55" s="14">
        <f ca="1">SOLID!K66</f>
        <v>0</v>
      </c>
      <c r="H55" s="14">
        <f ca="1">SOLID!L66</f>
        <v>0</v>
      </c>
      <c r="I55" s="14">
        <f ca="1">SOLID!M66</f>
        <v>0</v>
      </c>
      <c r="J55" s="14">
        <f ca="1">SOLID!N66</f>
        <v>0</v>
      </c>
      <c r="K55" s="14">
        <f ca="1">SOLID!O66</f>
        <v>0</v>
      </c>
      <c r="L55" s="14">
        <f ca="1">SOLID!P66</f>
        <v>0</v>
      </c>
      <c r="M55" s="14">
        <f ca="1">SOLID!Q66</f>
        <v>0</v>
      </c>
      <c r="N55" s="14">
        <f ca="1">SOLID!R66</f>
        <v>0</v>
      </c>
      <c r="O55" s="14">
        <f ca="1">SOLID!S66</f>
        <v>0</v>
      </c>
      <c r="P55" s="14">
        <f ca="1">SOLID!T66</f>
        <v>0</v>
      </c>
      <c r="Q55" s="14">
        <f ca="1">SOLID!U66</f>
        <v>0</v>
      </c>
      <c r="R55" s="14">
        <f ca="1">SOLID!V66</f>
        <v>0</v>
      </c>
      <c r="S55" s="14">
        <f ca="1">SOLID!W66</f>
        <v>0</v>
      </c>
      <c r="T55" s="14">
        <f ca="1">SOLID!X66</f>
        <v>0</v>
      </c>
      <c r="U55" s="14">
        <f ca="1">SOLID!Y66</f>
        <v>0</v>
      </c>
      <c r="V55" s="14">
        <f ca="1">SOLID!Z66</f>
        <v>0</v>
      </c>
      <c r="W55" s="14">
        <f ca="1">SOLID!AA66</f>
        <v>0</v>
      </c>
      <c r="X55" s="14">
        <f ca="1">SOLID!AB66</f>
        <v>0</v>
      </c>
      <c r="Y55" s="14">
        <f ca="1">SOLID!AC66</f>
        <v>0</v>
      </c>
      <c r="Z55" s="14">
        <f ca="1">SOLID!AD66</f>
        <v>0</v>
      </c>
      <c r="AA55" s="14">
        <f ca="1">SOLID!AE66</f>
        <v>0</v>
      </c>
      <c r="AB55" s="14">
        <f ca="1">SOLID!AF66</f>
        <v>0</v>
      </c>
      <c r="AC55" s="14">
        <f ca="1">SOLID!AG66</f>
        <v>0</v>
      </c>
      <c r="AD55" s="14">
        <f ca="1">SOLID!AH66</f>
        <v>0</v>
      </c>
      <c r="AE55" s="14">
        <f ca="1">SOLID!AI66</f>
        <v>0</v>
      </c>
      <c r="AF55" s="14">
        <f ca="1">SOLID!AJ66</f>
        <v>0</v>
      </c>
      <c r="AG55" s="14">
        <f ca="1">SOLID!AK66</f>
        <v>0</v>
      </c>
      <c r="AH55" s="14">
        <f ca="1">SOLID!AL66</f>
        <v>0</v>
      </c>
      <c r="AI55" s="55"/>
      <c r="AJ55" s="55"/>
      <c r="AK55" s="55"/>
      <c r="AL55" s="55"/>
      <c r="AM55" s="55"/>
      <c r="AN55" s="55"/>
      <c r="AO55" s="55"/>
      <c r="AP55" s="55"/>
      <c r="AQ55" s="55"/>
      <c r="AR55" s="55"/>
      <c r="AS55" s="55"/>
      <c r="AT55" s="55"/>
      <c r="AU55" s="55"/>
      <c r="AV55" s="55"/>
      <c r="AW55" s="55"/>
      <c r="AX55" s="55"/>
      <c r="AY55" s="55"/>
      <c r="AZ55" s="55"/>
      <c r="BA55" s="55"/>
      <c r="BB55" s="55"/>
      <c r="BC55" s="55"/>
      <c r="BD55" s="55"/>
      <c r="BE55" s="55"/>
      <c r="BF55" s="55"/>
      <c r="BG55" s="55"/>
      <c r="BH55" s="55"/>
      <c r="BI55" s="55"/>
      <c r="BJ55" s="55"/>
      <c r="BK55" s="55"/>
      <c r="BL55" s="55"/>
      <c r="BM55" s="55"/>
      <c r="BN55" s="55"/>
      <c r="BO55" s="55"/>
      <c r="BP55" s="55"/>
      <c r="BQ55" s="55"/>
      <c r="BR55" s="55"/>
      <c r="BS55" s="55"/>
      <c r="BT55" s="55"/>
      <c r="BU55" s="55"/>
      <c r="BV55" s="55"/>
      <c r="BW55" s="55"/>
      <c r="BX55" s="55"/>
      <c r="BY55" s="55"/>
      <c r="BZ55" s="55"/>
      <c r="CA55" s="55"/>
      <c r="CB55" s="55"/>
      <c r="CC55" s="55"/>
      <c r="CD55" s="55"/>
      <c r="CE55" s="55"/>
      <c r="CF55" s="55"/>
      <c r="CG55" s="55"/>
      <c r="CH55" s="55"/>
      <c r="CI55" s="55"/>
      <c r="CJ55" s="55"/>
      <c r="CK55" s="55"/>
      <c r="CL55" s="55"/>
      <c r="CM55" s="55"/>
      <c r="CN55" s="55"/>
      <c r="CO55" s="55"/>
      <c r="CP55" s="55"/>
    </row>
    <row r="56" spans="1:94" ht="21.75" hidden="1" outlineLevel="1" thickBot="1" x14ac:dyDescent="0.4">
      <c r="A56" s="35">
        <f>SOLID!E67</f>
        <v>0</v>
      </c>
      <c r="B56" s="16">
        <f ca="1">SOLID!F67</f>
        <v>0</v>
      </c>
      <c r="C56" s="16">
        <f ca="1">SOLID!G67</f>
        <v>0</v>
      </c>
      <c r="D56" s="16">
        <f ca="1">SOLID!H67</f>
        <v>0</v>
      </c>
      <c r="E56" s="16">
        <f ca="1">SOLID!I67</f>
        <v>0</v>
      </c>
      <c r="F56" s="14">
        <f ca="1">SOLID!J67</f>
        <v>0</v>
      </c>
      <c r="G56" s="14">
        <f ca="1">SOLID!K67</f>
        <v>0</v>
      </c>
      <c r="H56" s="14">
        <f ca="1">SOLID!L67</f>
        <v>0</v>
      </c>
      <c r="I56" s="14">
        <f ca="1">SOLID!M67</f>
        <v>0</v>
      </c>
      <c r="J56" s="14">
        <f ca="1">SOLID!N67</f>
        <v>0</v>
      </c>
      <c r="K56" s="14">
        <f ca="1">SOLID!O67</f>
        <v>0</v>
      </c>
      <c r="L56" s="14">
        <f ca="1">SOLID!P67</f>
        <v>0</v>
      </c>
      <c r="M56" s="14">
        <f ca="1">SOLID!Q67</f>
        <v>0</v>
      </c>
      <c r="N56" s="14">
        <f ca="1">SOLID!R67</f>
        <v>0</v>
      </c>
      <c r="O56" s="14">
        <f ca="1">SOLID!S67</f>
        <v>0</v>
      </c>
      <c r="P56" s="14">
        <f ca="1">SOLID!T67</f>
        <v>0</v>
      </c>
      <c r="Q56" s="14">
        <f ca="1">SOLID!U67</f>
        <v>0</v>
      </c>
      <c r="R56" s="14">
        <f ca="1">SOLID!V67</f>
        <v>0</v>
      </c>
      <c r="S56" s="14">
        <f ca="1">SOLID!W67</f>
        <v>0</v>
      </c>
      <c r="T56" s="14">
        <f ca="1">SOLID!X67</f>
        <v>0</v>
      </c>
      <c r="U56" s="14">
        <f ca="1">SOLID!Y67</f>
        <v>0</v>
      </c>
      <c r="V56" s="14">
        <f ca="1">SOLID!Z67</f>
        <v>0</v>
      </c>
      <c r="W56" s="14">
        <f ca="1">SOLID!AA67</f>
        <v>0</v>
      </c>
      <c r="X56" s="14">
        <f ca="1">SOLID!AB67</f>
        <v>0</v>
      </c>
      <c r="Y56" s="14">
        <f ca="1">SOLID!AC67</f>
        <v>0</v>
      </c>
      <c r="Z56" s="14">
        <f ca="1">SOLID!AD67</f>
        <v>0</v>
      </c>
      <c r="AA56" s="14">
        <f ca="1">SOLID!AE67</f>
        <v>0</v>
      </c>
      <c r="AB56" s="14">
        <f ca="1">SOLID!AF67</f>
        <v>0</v>
      </c>
      <c r="AC56" s="14">
        <f ca="1">SOLID!AG67</f>
        <v>0</v>
      </c>
      <c r="AD56" s="14">
        <f ca="1">SOLID!AH67</f>
        <v>0</v>
      </c>
      <c r="AE56" s="14">
        <f ca="1">SOLID!AI67</f>
        <v>0</v>
      </c>
      <c r="AF56" s="14">
        <f ca="1">SOLID!AJ67</f>
        <v>0</v>
      </c>
      <c r="AG56" s="14">
        <f ca="1">SOLID!AK67</f>
        <v>0</v>
      </c>
      <c r="AH56" s="14">
        <f ca="1">SOLID!AL67</f>
        <v>0</v>
      </c>
      <c r="AI56" s="55"/>
      <c r="AJ56" s="55"/>
      <c r="AK56" s="55"/>
      <c r="AL56" s="55"/>
      <c r="AM56" s="55"/>
      <c r="AN56" s="55"/>
      <c r="AO56" s="55"/>
      <c r="AP56" s="55"/>
      <c r="AQ56" s="55"/>
      <c r="AR56" s="55"/>
      <c r="AS56" s="55"/>
      <c r="AT56" s="55"/>
      <c r="AU56" s="55"/>
      <c r="AV56" s="55"/>
      <c r="AW56" s="55"/>
      <c r="AX56" s="55"/>
      <c r="AY56" s="55"/>
      <c r="AZ56" s="55"/>
      <c r="BA56" s="55"/>
      <c r="BB56" s="55"/>
      <c r="BC56" s="55"/>
      <c r="BD56" s="55"/>
      <c r="BE56" s="55"/>
      <c r="BF56" s="55"/>
      <c r="BG56" s="55"/>
      <c r="BH56" s="55"/>
      <c r="BI56" s="55"/>
      <c r="BJ56" s="55"/>
      <c r="BK56" s="55"/>
      <c r="BL56" s="55"/>
      <c r="BM56" s="55"/>
      <c r="BN56" s="55"/>
      <c r="BO56" s="55"/>
      <c r="BP56" s="55"/>
      <c r="BQ56" s="55"/>
      <c r="BR56" s="55"/>
      <c r="BS56" s="55"/>
      <c r="BT56" s="55"/>
      <c r="BU56" s="55"/>
      <c r="BV56" s="55"/>
      <c r="BW56" s="55"/>
      <c r="BX56" s="55"/>
      <c r="BY56" s="55"/>
      <c r="BZ56" s="55"/>
      <c r="CA56" s="55"/>
      <c r="CB56" s="55"/>
      <c r="CC56" s="55"/>
      <c r="CD56" s="55"/>
      <c r="CE56" s="55"/>
      <c r="CF56" s="55"/>
      <c r="CG56" s="55"/>
      <c r="CH56" s="55"/>
      <c r="CI56" s="55"/>
      <c r="CJ56" s="55"/>
      <c r="CK56" s="55"/>
      <c r="CL56" s="55"/>
      <c r="CM56" s="55"/>
      <c r="CN56" s="55"/>
      <c r="CO56" s="55"/>
      <c r="CP56" s="55"/>
    </row>
    <row r="57" spans="1:94" ht="21.75" hidden="1" outlineLevel="1" thickBot="1" x14ac:dyDescent="0.4">
      <c r="A57" s="35">
        <f>SOLID!E68</f>
        <v>0</v>
      </c>
      <c r="B57" s="16">
        <f ca="1">SOLID!F68</f>
        <v>0</v>
      </c>
      <c r="C57" s="16">
        <f ca="1">SOLID!G68</f>
        <v>0</v>
      </c>
      <c r="D57" s="16">
        <f ca="1">SOLID!H68</f>
        <v>0</v>
      </c>
      <c r="E57" s="16">
        <f ca="1">SOLID!I68</f>
        <v>0</v>
      </c>
      <c r="F57" s="14">
        <f ca="1">SOLID!J68</f>
        <v>0</v>
      </c>
      <c r="G57" s="14">
        <f ca="1">SOLID!K68</f>
        <v>0</v>
      </c>
      <c r="H57" s="14">
        <f ca="1">SOLID!L68</f>
        <v>0</v>
      </c>
      <c r="I57" s="14">
        <f ca="1">SOLID!M68</f>
        <v>0</v>
      </c>
      <c r="J57" s="14">
        <f ca="1">SOLID!N68</f>
        <v>0</v>
      </c>
      <c r="K57" s="14">
        <f ca="1">SOLID!O68</f>
        <v>0</v>
      </c>
      <c r="L57" s="14">
        <f ca="1">SOLID!P68</f>
        <v>0</v>
      </c>
      <c r="M57" s="14">
        <f ca="1">SOLID!Q68</f>
        <v>0</v>
      </c>
      <c r="N57" s="14">
        <f ca="1">SOLID!R68</f>
        <v>0</v>
      </c>
      <c r="O57" s="14">
        <f ca="1">SOLID!S68</f>
        <v>0</v>
      </c>
      <c r="P57" s="14">
        <f ca="1">SOLID!T68</f>
        <v>0</v>
      </c>
      <c r="Q57" s="14">
        <f ca="1">SOLID!U68</f>
        <v>0</v>
      </c>
      <c r="R57" s="14">
        <f ca="1">SOLID!V68</f>
        <v>0</v>
      </c>
      <c r="S57" s="14">
        <f ca="1">SOLID!W68</f>
        <v>0</v>
      </c>
      <c r="T57" s="14">
        <f ca="1">SOLID!X68</f>
        <v>0</v>
      </c>
      <c r="U57" s="14">
        <f ca="1">SOLID!Y68</f>
        <v>0</v>
      </c>
      <c r="V57" s="14">
        <f ca="1">SOLID!Z68</f>
        <v>0</v>
      </c>
      <c r="W57" s="14">
        <f ca="1">SOLID!AA68</f>
        <v>0</v>
      </c>
      <c r="X57" s="14">
        <f ca="1">SOLID!AB68</f>
        <v>0</v>
      </c>
      <c r="Y57" s="14">
        <f ca="1">SOLID!AC68</f>
        <v>0</v>
      </c>
      <c r="Z57" s="14">
        <f ca="1">SOLID!AD68</f>
        <v>0</v>
      </c>
      <c r="AA57" s="14">
        <f ca="1">SOLID!AE68</f>
        <v>0</v>
      </c>
      <c r="AB57" s="14">
        <f ca="1">SOLID!AF68</f>
        <v>0</v>
      </c>
      <c r="AC57" s="14">
        <f ca="1">SOLID!AG68</f>
        <v>0</v>
      </c>
      <c r="AD57" s="14">
        <f ca="1">SOLID!AH68</f>
        <v>0</v>
      </c>
      <c r="AE57" s="14">
        <f ca="1">SOLID!AI68</f>
        <v>0</v>
      </c>
      <c r="AF57" s="14">
        <f ca="1">SOLID!AJ68</f>
        <v>0</v>
      </c>
      <c r="AG57" s="14">
        <f ca="1">SOLID!AK68</f>
        <v>0</v>
      </c>
      <c r="AH57" s="14">
        <f ca="1">SOLID!AL68</f>
        <v>0</v>
      </c>
      <c r="AI57" s="55"/>
      <c r="AJ57" s="55"/>
      <c r="AK57" s="55"/>
      <c r="AL57" s="55"/>
      <c r="AM57" s="55"/>
      <c r="AN57" s="55"/>
      <c r="AO57" s="55"/>
      <c r="AP57" s="55"/>
      <c r="AQ57" s="55"/>
      <c r="AR57" s="55"/>
      <c r="AS57" s="55"/>
      <c r="AT57" s="55"/>
      <c r="AU57" s="55"/>
      <c r="AV57" s="55"/>
      <c r="AW57" s="55"/>
      <c r="AX57" s="55"/>
      <c r="AY57" s="55"/>
      <c r="AZ57" s="55"/>
      <c r="BA57" s="55"/>
      <c r="BB57" s="55"/>
      <c r="BC57" s="55"/>
      <c r="BD57" s="55"/>
      <c r="BE57" s="55"/>
      <c r="BF57" s="55"/>
      <c r="BG57" s="55"/>
      <c r="BH57" s="55"/>
      <c r="BI57" s="55"/>
      <c r="BJ57" s="55"/>
      <c r="BK57" s="55"/>
      <c r="BL57" s="55"/>
      <c r="BM57" s="55"/>
      <c r="BN57" s="55"/>
      <c r="BO57" s="55"/>
      <c r="BP57" s="55"/>
      <c r="BQ57" s="55"/>
      <c r="BR57" s="55"/>
      <c r="BS57" s="55"/>
      <c r="BT57" s="55"/>
      <c r="BU57" s="55"/>
      <c r="BV57" s="55"/>
      <c r="BW57" s="55"/>
      <c r="BX57" s="55"/>
      <c r="BY57" s="55"/>
      <c r="BZ57" s="55"/>
      <c r="CA57" s="55"/>
      <c r="CB57" s="55"/>
      <c r="CC57" s="55"/>
      <c r="CD57" s="55"/>
      <c r="CE57" s="55"/>
      <c r="CF57" s="55"/>
      <c r="CG57" s="55"/>
      <c r="CH57" s="55"/>
      <c r="CI57" s="55"/>
      <c r="CJ57" s="55"/>
      <c r="CK57" s="55"/>
      <c r="CL57" s="55"/>
      <c r="CM57" s="55"/>
      <c r="CN57" s="55"/>
      <c r="CO57" s="55"/>
      <c r="CP57" s="55"/>
    </row>
    <row r="58" spans="1:94" ht="21.75" hidden="1" outlineLevel="1" thickBot="1" x14ac:dyDescent="0.4">
      <c r="A58" s="35">
        <f>SOLID!E69</f>
        <v>0</v>
      </c>
      <c r="B58" s="16">
        <f ca="1">SOLID!F69</f>
        <v>0</v>
      </c>
      <c r="C58" s="16">
        <f ca="1">SOLID!G69</f>
        <v>0</v>
      </c>
      <c r="D58" s="16">
        <f ca="1">SOLID!H69</f>
        <v>0</v>
      </c>
      <c r="E58" s="16">
        <f ca="1">SOLID!I69</f>
        <v>0</v>
      </c>
      <c r="F58" s="14">
        <f ca="1">SOLID!J69</f>
        <v>0</v>
      </c>
      <c r="G58" s="14">
        <f ca="1">SOLID!K69</f>
        <v>0</v>
      </c>
      <c r="H58" s="14">
        <f ca="1">SOLID!L69</f>
        <v>0</v>
      </c>
      <c r="I58" s="14">
        <f ca="1">SOLID!M69</f>
        <v>0</v>
      </c>
      <c r="J58" s="14">
        <f ca="1">SOLID!N69</f>
        <v>0</v>
      </c>
      <c r="K58" s="14">
        <f ca="1">SOLID!O69</f>
        <v>0</v>
      </c>
      <c r="L58" s="14">
        <f ca="1">SOLID!P69</f>
        <v>0</v>
      </c>
      <c r="M58" s="14">
        <f ca="1">SOLID!Q69</f>
        <v>0</v>
      </c>
      <c r="N58" s="14">
        <f ca="1">SOLID!R69</f>
        <v>0</v>
      </c>
      <c r="O58" s="14">
        <f ca="1">SOLID!S69</f>
        <v>0</v>
      </c>
      <c r="P58" s="14">
        <f ca="1">SOLID!T69</f>
        <v>0</v>
      </c>
      <c r="Q58" s="14">
        <f ca="1">SOLID!U69</f>
        <v>0</v>
      </c>
      <c r="R58" s="14">
        <f ca="1">SOLID!V69</f>
        <v>0</v>
      </c>
      <c r="S58" s="14">
        <f ca="1">SOLID!W69</f>
        <v>0</v>
      </c>
      <c r="T58" s="14">
        <f ca="1">SOLID!X69</f>
        <v>0</v>
      </c>
      <c r="U58" s="14">
        <f ca="1">SOLID!Y69</f>
        <v>0</v>
      </c>
      <c r="V58" s="14">
        <f ca="1">SOLID!Z69</f>
        <v>0</v>
      </c>
      <c r="W58" s="14">
        <f ca="1">SOLID!AA69</f>
        <v>0</v>
      </c>
      <c r="X58" s="14">
        <f ca="1">SOLID!AB69</f>
        <v>0</v>
      </c>
      <c r="Y58" s="14">
        <f ca="1">SOLID!AC69</f>
        <v>0</v>
      </c>
      <c r="Z58" s="14">
        <f ca="1">SOLID!AD69</f>
        <v>0</v>
      </c>
      <c r="AA58" s="14">
        <f ca="1">SOLID!AE69</f>
        <v>0</v>
      </c>
      <c r="AB58" s="14">
        <f ca="1">SOLID!AF69</f>
        <v>0</v>
      </c>
      <c r="AC58" s="14">
        <f ca="1">SOLID!AG69</f>
        <v>0</v>
      </c>
      <c r="AD58" s="14">
        <f ca="1">SOLID!AH69</f>
        <v>0</v>
      </c>
      <c r="AE58" s="14">
        <f ca="1">SOLID!AI69</f>
        <v>0</v>
      </c>
      <c r="AF58" s="14">
        <f ca="1">SOLID!AJ69</f>
        <v>0</v>
      </c>
      <c r="AG58" s="14">
        <f ca="1">SOLID!AK69</f>
        <v>0</v>
      </c>
      <c r="AH58" s="14">
        <f ca="1">SOLID!AL69</f>
        <v>0</v>
      </c>
      <c r="AI58" s="55"/>
      <c r="AJ58" s="55"/>
      <c r="AK58" s="55"/>
      <c r="AL58" s="55"/>
      <c r="AM58" s="55"/>
      <c r="AN58" s="55"/>
      <c r="AO58" s="55"/>
      <c r="AP58" s="55"/>
      <c r="AQ58" s="55"/>
      <c r="AR58" s="55"/>
      <c r="AS58" s="55"/>
      <c r="AT58" s="55"/>
      <c r="AU58" s="55"/>
      <c r="AV58" s="55"/>
      <c r="AW58" s="55"/>
      <c r="AX58" s="55"/>
      <c r="AY58" s="55"/>
      <c r="AZ58" s="55"/>
      <c r="BA58" s="55"/>
      <c r="BB58" s="55"/>
      <c r="BC58" s="55"/>
      <c r="BD58" s="55"/>
      <c r="BE58" s="55"/>
      <c r="BF58" s="55"/>
      <c r="BG58" s="55"/>
      <c r="BH58" s="55"/>
      <c r="BI58" s="55"/>
      <c r="BJ58" s="55"/>
      <c r="BK58" s="55"/>
      <c r="BL58" s="55"/>
      <c r="BM58" s="55"/>
      <c r="BN58" s="55"/>
      <c r="BO58" s="55"/>
      <c r="BP58" s="55"/>
      <c r="BQ58" s="55"/>
      <c r="BR58" s="55"/>
      <c r="BS58" s="55"/>
      <c r="BT58" s="55"/>
      <c r="BU58" s="55"/>
      <c r="BV58" s="55"/>
      <c r="BW58" s="55"/>
      <c r="BX58" s="55"/>
      <c r="BY58" s="55"/>
      <c r="BZ58" s="55"/>
      <c r="CA58" s="55"/>
      <c r="CB58" s="55"/>
      <c r="CC58" s="55"/>
      <c r="CD58" s="55"/>
      <c r="CE58" s="55"/>
      <c r="CF58" s="55"/>
      <c r="CG58" s="55"/>
      <c r="CH58" s="55"/>
      <c r="CI58" s="55"/>
      <c r="CJ58" s="55"/>
      <c r="CK58" s="55"/>
      <c r="CL58" s="55"/>
      <c r="CM58" s="55"/>
      <c r="CN58" s="55"/>
      <c r="CO58" s="55"/>
      <c r="CP58" s="55"/>
    </row>
    <row r="59" spans="1:94" ht="21.75" hidden="1" outlineLevel="1" thickBot="1" x14ac:dyDescent="0.4">
      <c r="A59" s="35">
        <f>SOLID!E70</f>
        <v>0</v>
      </c>
      <c r="B59" s="16">
        <f ca="1">SOLID!F70</f>
        <v>0</v>
      </c>
      <c r="C59" s="16">
        <f ca="1">SOLID!G70</f>
        <v>0</v>
      </c>
      <c r="D59" s="16">
        <f ca="1">SOLID!H70</f>
        <v>0</v>
      </c>
      <c r="E59" s="16">
        <f ca="1">SOLID!I70</f>
        <v>0</v>
      </c>
      <c r="F59" s="14">
        <f ca="1">SOLID!J70</f>
        <v>0</v>
      </c>
      <c r="G59" s="14">
        <f ca="1">SOLID!K70</f>
        <v>0</v>
      </c>
      <c r="H59" s="14">
        <f ca="1">SOLID!L70</f>
        <v>0</v>
      </c>
      <c r="I59" s="14">
        <f ca="1">SOLID!M70</f>
        <v>0</v>
      </c>
      <c r="J59" s="14">
        <f ca="1">SOLID!N70</f>
        <v>0</v>
      </c>
      <c r="K59" s="14">
        <f ca="1">SOLID!O70</f>
        <v>0</v>
      </c>
      <c r="L59" s="14">
        <f ca="1">SOLID!P70</f>
        <v>0</v>
      </c>
      <c r="M59" s="14">
        <f ca="1">SOLID!Q70</f>
        <v>0</v>
      </c>
      <c r="N59" s="14">
        <f ca="1">SOLID!R70</f>
        <v>0</v>
      </c>
      <c r="O59" s="14">
        <f ca="1">SOLID!S70</f>
        <v>0</v>
      </c>
      <c r="P59" s="14">
        <f ca="1">SOLID!T70</f>
        <v>0</v>
      </c>
      <c r="Q59" s="14">
        <f ca="1">SOLID!U70</f>
        <v>0</v>
      </c>
      <c r="R59" s="14">
        <f ca="1">SOLID!V70</f>
        <v>0</v>
      </c>
      <c r="S59" s="14">
        <f ca="1">SOLID!W70</f>
        <v>0</v>
      </c>
      <c r="T59" s="14">
        <f ca="1">SOLID!X70</f>
        <v>0</v>
      </c>
      <c r="U59" s="14">
        <f ca="1">SOLID!Y70</f>
        <v>0</v>
      </c>
      <c r="V59" s="14">
        <f ca="1">SOLID!Z70</f>
        <v>0</v>
      </c>
      <c r="W59" s="14">
        <f ca="1">SOLID!AA70</f>
        <v>0</v>
      </c>
      <c r="X59" s="14">
        <f ca="1">SOLID!AB70</f>
        <v>0</v>
      </c>
      <c r="Y59" s="14">
        <f ca="1">SOLID!AC70</f>
        <v>0</v>
      </c>
      <c r="Z59" s="14">
        <f ca="1">SOLID!AD70</f>
        <v>0</v>
      </c>
      <c r="AA59" s="14">
        <f ca="1">SOLID!AE70</f>
        <v>0</v>
      </c>
      <c r="AB59" s="14">
        <f ca="1">SOLID!AF70</f>
        <v>0</v>
      </c>
      <c r="AC59" s="14">
        <f ca="1">SOLID!AG70</f>
        <v>0</v>
      </c>
      <c r="AD59" s="14">
        <f ca="1">SOLID!AH70</f>
        <v>0</v>
      </c>
      <c r="AE59" s="14">
        <f ca="1">SOLID!AI70</f>
        <v>0</v>
      </c>
      <c r="AF59" s="14">
        <f ca="1">SOLID!AJ70</f>
        <v>0</v>
      </c>
      <c r="AG59" s="14">
        <f ca="1">SOLID!AK70</f>
        <v>0</v>
      </c>
      <c r="AH59" s="14">
        <f ca="1">SOLID!AL70</f>
        <v>0</v>
      </c>
      <c r="AI59" s="55"/>
      <c r="AJ59" s="55"/>
      <c r="AK59" s="55"/>
      <c r="AL59" s="55"/>
      <c r="AM59" s="55"/>
      <c r="AN59" s="55"/>
      <c r="AO59" s="55"/>
      <c r="AP59" s="55"/>
      <c r="AQ59" s="55"/>
      <c r="AR59" s="55"/>
      <c r="AS59" s="55"/>
      <c r="AT59" s="55"/>
      <c r="AU59" s="55"/>
      <c r="AV59" s="55"/>
      <c r="AW59" s="55"/>
      <c r="AX59" s="55"/>
      <c r="AY59" s="55"/>
      <c r="AZ59" s="55"/>
      <c r="BA59" s="55"/>
      <c r="BB59" s="55"/>
      <c r="BC59" s="55"/>
      <c r="BD59" s="55"/>
      <c r="BE59" s="55"/>
      <c r="BF59" s="55"/>
      <c r="BG59" s="55"/>
      <c r="BH59" s="55"/>
      <c r="BI59" s="55"/>
      <c r="BJ59" s="55"/>
      <c r="BK59" s="55"/>
      <c r="BL59" s="55"/>
      <c r="BM59" s="55"/>
      <c r="BN59" s="55"/>
      <c r="BO59" s="55"/>
      <c r="BP59" s="55"/>
      <c r="BQ59" s="55"/>
      <c r="BR59" s="55"/>
      <c r="BS59" s="55"/>
      <c r="BT59" s="55"/>
      <c r="BU59" s="55"/>
      <c r="BV59" s="55"/>
      <c r="BW59" s="55"/>
      <c r="BX59" s="55"/>
      <c r="BY59" s="55"/>
      <c r="BZ59" s="55"/>
      <c r="CA59" s="55"/>
      <c r="CB59" s="55"/>
      <c r="CC59" s="55"/>
      <c r="CD59" s="55"/>
      <c r="CE59" s="55"/>
      <c r="CF59" s="55"/>
      <c r="CG59" s="55"/>
      <c r="CH59" s="55"/>
      <c r="CI59" s="55"/>
      <c r="CJ59" s="55"/>
      <c r="CK59" s="55"/>
      <c r="CL59" s="55"/>
      <c r="CM59" s="55"/>
      <c r="CN59" s="55"/>
      <c r="CO59" s="55"/>
      <c r="CP59" s="55"/>
    </row>
    <row r="60" spans="1:94" ht="21.75" hidden="1" outlineLevel="1" thickBot="1" x14ac:dyDescent="0.4">
      <c r="A60" s="35">
        <f>SOLID!E71</f>
        <v>0</v>
      </c>
      <c r="B60" s="16">
        <f ca="1">SOLID!F71</f>
        <v>0</v>
      </c>
      <c r="C60" s="16">
        <f ca="1">SOLID!G71</f>
        <v>0</v>
      </c>
      <c r="D60" s="16">
        <f ca="1">SOLID!H71</f>
        <v>0</v>
      </c>
      <c r="E60" s="16">
        <f ca="1">SOLID!I71</f>
        <v>0</v>
      </c>
      <c r="F60" s="14">
        <f ca="1">SOLID!J71</f>
        <v>0</v>
      </c>
      <c r="G60" s="14">
        <f ca="1">SOLID!K71</f>
        <v>0</v>
      </c>
      <c r="H60" s="14">
        <f ca="1">SOLID!L71</f>
        <v>0</v>
      </c>
      <c r="I60" s="14">
        <f ca="1">SOLID!M71</f>
        <v>0</v>
      </c>
      <c r="J60" s="14">
        <f ca="1">SOLID!N71</f>
        <v>0</v>
      </c>
      <c r="K60" s="14">
        <f ca="1">SOLID!O71</f>
        <v>0</v>
      </c>
      <c r="L60" s="14">
        <f ca="1">SOLID!P71</f>
        <v>0</v>
      </c>
      <c r="M60" s="14">
        <f ca="1">SOLID!Q71</f>
        <v>0</v>
      </c>
      <c r="N60" s="14">
        <f ca="1">SOLID!R71</f>
        <v>0</v>
      </c>
      <c r="O60" s="14">
        <f ca="1">SOLID!S71</f>
        <v>0</v>
      </c>
      <c r="P60" s="14">
        <f ca="1">SOLID!T71</f>
        <v>0</v>
      </c>
      <c r="Q60" s="14">
        <f ca="1">SOLID!U71</f>
        <v>0</v>
      </c>
      <c r="R60" s="14">
        <f ca="1">SOLID!V71</f>
        <v>0</v>
      </c>
      <c r="S60" s="14">
        <f ca="1">SOLID!W71</f>
        <v>0</v>
      </c>
      <c r="T60" s="14">
        <f ca="1">SOLID!X71</f>
        <v>0</v>
      </c>
      <c r="U60" s="14">
        <f ca="1">SOLID!Y71</f>
        <v>0</v>
      </c>
      <c r="V60" s="14">
        <f ca="1">SOLID!Z71</f>
        <v>0</v>
      </c>
      <c r="W60" s="14">
        <f ca="1">SOLID!AA71</f>
        <v>0</v>
      </c>
      <c r="X60" s="14">
        <f ca="1">SOLID!AB71</f>
        <v>0</v>
      </c>
      <c r="Y60" s="14">
        <f ca="1">SOLID!AC71</f>
        <v>0</v>
      </c>
      <c r="Z60" s="14">
        <f ca="1">SOLID!AD71</f>
        <v>0</v>
      </c>
      <c r="AA60" s="14">
        <f ca="1">SOLID!AE71</f>
        <v>0</v>
      </c>
      <c r="AB60" s="14">
        <f ca="1">SOLID!AF71</f>
        <v>0</v>
      </c>
      <c r="AC60" s="14">
        <f ca="1">SOLID!AG71</f>
        <v>0</v>
      </c>
      <c r="AD60" s="14">
        <f ca="1">SOLID!AH71</f>
        <v>0</v>
      </c>
      <c r="AE60" s="14">
        <f ca="1">SOLID!AI71</f>
        <v>0</v>
      </c>
      <c r="AF60" s="14">
        <f ca="1">SOLID!AJ71</f>
        <v>0</v>
      </c>
      <c r="AG60" s="14">
        <f ca="1">SOLID!AK71</f>
        <v>0</v>
      </c>
      <c r="AH60" s="14">
        <f ca="1">SOLID!AL71</f>
        <v>0</v>
      </c>
      <c r="AI60" s="55"/>
      <c r="AJ60" s="55"/>
      <c r="AK60" s="55"/>
      <c r="AL60" s="55"/>
      <c r="AM60" s="55"/>
      <c r="AN60" s="55"/>
      <c r="AO60" s="55"/>
      <c r="AP60" s="55"/>
      <c r="AQ60" s="55"/>
      <c r="AR60" s="55"/>
      <c r="AS60" s="55"/>
      <c r="AT60" s="55"/>
      <c r="AU60" s="55"/>
      <c r="AV60" s="55"/>
      <c r="AW60" s="55"/>
      <c r="AX60" s="55"/>
      <c r="AY60" s="55"/>
      <c r="AZ60" s="55"/>
      <c r="BA60" s="55"/>
      <c r="BB60" s="55"/>
      <c r="BC60" s="55"/>
      <c r="BD60" s="55"/>
      <c r="BE60" s="55"/>
      <c r="BF60" s="55"/>
      <c r="BG60" s="55"/>
      <c r="BH60" s="55"/>
      <c r="BI60" s="55"/>
      <c r="BJ60" s="55"/>
      <c r="BK60" s="55"/>
      <c r="BL60" s="55"/>
      <c r="BM60" s="55"/>
      <c r="BN60" s="55"/>
      <c r="BO60" s="55"/>
      <c r="BP60" s="55"/>
      <c r="BQ60" s="55"/>
      <c r="BR60" s="55"/>
      <c r="BS60" s="55"/>
      <c r="BT60" s="55"/>
      <c r="BU60" s="55"/>
      <c r="BV60" s="55"/>
      <c r="BW60" s="55"/>
      <c r="BX60" s="55"/>
      <c r="BY60" s="55"/>
      <c r="BZ60" s="55"/>
      <c r="CA60" s="55"/>
      <c r="CB60" s="55"/>
      <c r="CC60" s="55"/>
      <c r="CD60" s="55"/>
      <c r="CE60" s="55"/>
      <c r="CF60" s="55"/>
      <c r="CG60" s="55"/>
      <c r="CH60" s="55"/>
      <c r="CI60" s="55"/>
      <c r="CJ60" s="55"/>
      <c r="CK60" s="55"/>
      <c r="CL60" s="55"/>
      <c r="CM60" s="55"/>
      <c r="CN60" s="55"/>
      <c r="CO60" s="55"/>
      <c r="CP60" s="55"/>
    </row>
    <row r="61" spans="1:94" ht="21.75" hidden="1" outlineLevel="1" thickBot="1" x14ac:dyDescent="0.4">
      <c r="A61" s="35">
        <f>SOLID!E72</f>
        <v>0</v>
      </c>
      <c r="B61" s="16">
        <f ca="1">SOLID!F72</f>
        <v>0</v>
      </c>
      <c r="C61" s="16">
        <f ca="1">SOLID!G72</f>
        <v>0</v>
      </c>
      <c r="D61" s="16">
        <f ca="1">SOLID!H72</f>
        <v>0</v>
      </c>
      <c r="E61" s="16">
        <f ca="1">SOLID!I72</f>
        <v>0</v>
      </c>
      <c r="F61" s="14">
        <f ca="1">SOLID!J72</f>
        <v>0</v>
      </c>
      <c r="G61" s="14">
        <f ca="1">SOLID!K72</f>
        <v>0</v>
      </c>
      <c r="H61" s="14">
        <f ca="1">SOLID!L72</f>
        <v>0</v>
      </c>
      <c r="I61" s="14">
        <f ca="1">SOLID!M72</f>
        <v>0</v>
      </c>
      <c r="J61" s="14">
        <f ca="1">SOLID!N72</f>
        <v>0</v>
      </c>
      <c r="K61" s="14">
        <f ca="1">SOLID!O72</f>
        <v>0</v>
      </c>
      <c r="L61" s="14">
        <f ca="1">SOLID!P72</f>
        <v>0</v>
      </c>
      <c r="M61" s="14">
        <f ca="1">SOLID!Q72</f>
        <v>0</v>
      </c>
      <c r="N61" s="14">
        <f ca="1">SOLID!R72</f>
        <v>0</v>
      </c>
      <c r="O61" s="14">
        <f ca="1">SOLID!S72</f>
        <v>0</v>
      </c>
      <c r="P61" s="14">
        <f ca="1">SOLID!T72</f>
        <v>0</v>
      </c>
      <c r="Q61" s="14">
        <f ca="1">SOLID!U72</f>
        <v>0</v>
      </c>
      <c r="R61" s="14">
        <f ca="1">SOLID!V72</f>
        <v>0</v>
      </c>
      <c r="S61" s="14">
        <f ca="1">SOLID!W72</f>
        <v>0</v>
      </c>
      <c r="T61" s="14">
        <f ca="1">SOLID!X72</f>
        <v>0</v>
      </c>
      <c r="U61" s="14">
        <f ca="1">SOLID!Y72</f>
        <v>0</v>
      </c>
      <c r="V61" s="14">
        <f ca="1">SOLID!Z72</f>
        <v>0</v>
      </c>
      <c r="W61" s="14">
        <f ca="1">SOLID!AA72</f>
        <v>0</v>
      </c>
      <c r="X61" s="14">
        <f ca="1">SOLID!AB72</f>
        <v>0</v>
      </c>
      <c r="Y61" s="14">
        <f ca="1">SOLID!AC72</f>
        <v>0</v>
      </c>
      <c r="Z61" s="14">
        <f ca="1">SOLID!AD72</f>
        <v>0</v>
      </c>
      <c r="AA61" s="14">
        <f ca="1">SOLID!AE72</f>
        <v>0</v>
      </c>
      <c r="AB61" s="14">
        <f ca="1">SOLID!AF72</f>
        <v>0</v>
      </c>
      <c r="AC61" s="14">
        <f ca="1">SOLID!AG72</f>
        <v>0</v>
      </c>
      <c r="AD61" s="14">
        <f ca="1">SOLID!AH72</f>
        <v>0</v>
      </c>
      <c r="AE61" s="14">
        <f ca="1">SOLID!AI72</f>
        <v>0</v>
      </c>
      <c r="AF61" s="14">
        <f ca="1">SOLID!AJ72</f>
        <v>0</v>
      </c>
      <c r="AG61" s="14">
        <f ca="1">SOLID!AK72</f>
        <v>0</v>
      </c>
      <c r="AH61" s="14">
        <f ca="1">SOLID!AL72</f>
        <v>0</v>
      </c>
      <c r="AI61" s="55"/>
      <c r="AJ61" s="55"/>
      <c r="AK61" s="55"/>
      <c r="AL61" s="55"/>
      <c r="AM61" s="55"/>
      <c r="AN61" s="55"/>
      <c r="AO61" s="55"/>
      <c r="AP61" s="55"/>
      <c r="AQ61" s="55"/>
      <c r="AR61" s="55"/>
      <c r="AS61" s="55"/>
      <c r="AT61" s="55"/>
      <c r="AU61" s="55"/>
      <c r="AV61" s="55"/>
      <c r="AW61" s="55"/>
      <c r="AX61" s="55"/>
      <c r="AY61" s="55"/>
      <c r="AZ61" s="55"/>
      <c r="BA61" s="55"/>
      <c r="BB61" s="55"/>
      <c r="BC61" s="55"/>
      <c r="BD61" s="55"/>
      <c r="BE61" s="55"/>
      <c r="BF61" s="55"/>
      <c r="BG61" s="55"/>
      <c r="BH61" s="55"/>
      <c r="BI61" s="55"/>
      <c r="BJ61" s="55"/>
      <c r="BK61" s="55"/>
      <c r="BL61" s="55"/>
      <c r="BM61" s="55"/>
      <c r="BN61" s="55"/>
      <c r="BO61" s="55"/>
      <c r="BP61" s="55"/>
      <c r="BQ61" s="55"/>
      <c r="BR61" s="55"/>
      <c r="BS61" s="55"/>
      <c r="BT61" s="55"/>
      <c r="BU61" s="55"/>
      <c r="BV61" s="55"/>
      <c r="BW61" s="55"/>
      <c r="BX61" s="55"/>
      <c r="BY61" s="55"/>
      <c r="BZ61" s="55"/>
      <c r="CA61" s="55"/>
      <c r="CB61" s="55"/>
      <c r="CC61" s="55"/>
      <c r="CD61" s="55"/>
      <c r="CE61" s="55"/>
      <c r="CF61" s="55"/>
      <c r="CG61" s="55"/>
      <c r="CH61" s="55"/>
      <c r="CI61" s="55"/>
      <c r="CJ61" s="55"/>
      <c r="CK61" s="55"/>
      <c r="CL61" s="55"/>
      <c r="CM61" s="55"/>
      <c r="CN61" s="55"/>
      <c r="CO61" s="55"/>
      <c r="CP61" s="55"/>
    </row>
    <row r="62" spans="1:94" ht="21.75" hidden="1" outlineLevel="1" thickBot="1" x14ac:dyDescent="0.4">
      <c r="A62" s="35">
        <f>SOLID!E73</f>
        <v>0</v>
      </c>
      <c r="B62" s="16">
        <f ca="1">SOLID!F73</f>
        <v>0</v>
      </c>
      <c r="C62" s="16">
        <f ca="1">SOLID!G73</f>
        <v>0</v>
      </c>
      <c r="D62" s="16">
        <f ca="1">SOLID!H73</f>
        <v>0</v>
      </c>
      <c r="E62" s="16">
        <f ca="1">SOLID!I73</f>
        <v>0</v>
      </c>
      <c r="F62" s="14">
        <f ca="1">SOLID!J73</f>
        <v>0</v>
      </c>
      <c r="G62" s="14">
        <f ca="1">SOLID!K73</f>
        <v>0</v>
      </c>
      <c r="H62" s="14">
        <f ca="1">SOLID!L73</f>
        <v>0</v>
      </c>
      <c r="I62" s="14">
        <f ca="1">SOLID!M73</f>
        <v>0</v>
      </c>
      <c r="J62" s="14">
        <f ca="1">SOLID!N73</f>
        <v>0</v>
      </c>
      <c r="K62" s="14">
        <f ca="1">SOLID!O73</f>
        <v>0</v>
      </c>
      <c r="L62" s="14">
        <f ca="1">SOLID!P73</f>
        <v>0</v>
      </c>
      <c r="M62" s="14">
        <f ca="1">SOLID!Q73</f>
        <v>0</v>
      </c>
      <c r="N62" s="14">
        <f ca="1">SOLID!R73</f>
        <v>0</v>
      </c>
      <c r="O62" s="14">
        <f ca="1">SOLID!S73</f>
        <v>0</v>
      </c>
      <c r="P62" s="14">
        <f ca="1">SOLID!T73</f>
        <v>0</v>
      </c>
      <c r="Q62" s="14">
        <f ca="1">SOLID!U73</f>
        <v>0</v>
      </c>
      <c r="R62" s="14">
        <f ca="1">SOLID!V73</f>
        <v>0</v>
      </c>
      <c r="S62" s="14">
        <f ca="1">SOLID!W73</f>
        <v>0</v>
      </c>
      <c r="T62" s="14">
        <f ca="1">SOLID!X73</f>
        <v>0</v>
      </c>
      <c r="U62" s="14">
        <f ca="1">SOLID!Y73</f>
        <v>0</v>
      </c>
      <c r="V62" s="14">
        <f ca="1">SOLID!Z73</f>
        <v>0</v>
      </c>
      <c r="W62" s="14">
        <f ca="1">SOLID!AA73</f>
        <v>0</v>
      </c>
      <c r="X62" s="14">
        <f ca="1">SOLID!AB73</f>
        <v>0</v>
      </c>
      <c r="Y62" s="14">
        <f ca="1">SOLID!AC73</f>
        <v>0</v>
      </c>
      <c r="Z62" s="14">
        <f ca="1">SOLID!AD73</f>
        <v>0</v>
      </c>
      <c r="AA62" s="14">
        <f ca="1">SOLID!AE73</f>
        <v>0</v>
      </c>
      <c r="AB62" s="14">
        <f ca="1">SOLID!AF73</f>
        <v>0</v>
      </c>
      <c r="AC62" s="14">
        <f ca="1">SOLID!AG73</f>
        <v>0</v>
      </c>
      <c r="AD62" s="14">
        <f ca="1">SOLID!AH73</f>
        <v>0</v>
      </c>
      <c r="AE62" s="14">
        <f ca="1">SOLID!AI73</f>
        <v>0</v>
      </c>
      <c r="AF62" s="14">
        <f ca="1">SOLID!AJ73</f>
        <v>0</v>
      </c>
      <c r="AG62" s="14">
        <f ca="1">SOLID!AK73</f>
        <v>0</v>
      </c>
      <c r="AH62" s="14">
        <f ca="1">SOLID!AL73</f>
        <v>0</v>
      </c>
      <c r="AI62" s="55"/>
      <c r="AJ62" s="55"/>
      <c r="AK62" s="55"/>
      <c r="AL62" s="55"/>
      <c r="AM62" s="55"/>
      <c r="AN62" s="55"/>
      <c r="AO62" s="55"/>
      <c r="AP62" s="55"/>
      <c r="AQ62" s="55"/>
      <c r="AR62" s="55"/>
      <c r="AS62" s="55"/>
      <c r="AT62" s="55"/>
      <c r="AU62" s="55"/>
      <c r="AV62" s="55"/>
      <c r="AW62" s="55"/>
      <c r="AX62" s="55"/>
      <c r="AY62" s="55"/>
      <c r="AZ62" s="55"/>
      <c r="BA62" s="55"/>
      <c r="BB62" s="55"/>
      <c r="BC62" s="55"/>
      <c r="BD62" s="55"/>
      <c r="BE62" s="55"/>
      <c r="BF62" s="55"/>
      <c r="BG62" s="55"/>
      <c r="BH62" s="55"/>
      <c r="BI62" s="55"/>
      <c r="BJ62" s="55"/>
      <c r="BK62" s="55"/>
      <c r="BL62" s="55"/>
      <c r="BM62" s="55"/>
      <c r="BN62" s="55"/>
      <c r="BO62" s="55"/>
      <c r="BP62" s="55"/>
      <c r="BQ62" s="55"/>
      <c r="BR62" s="55"/>
      <c r="BS62" s="55"/>
      <c r="BT62" s="55"/>
      <c r="BU62" s="55"/>
      <c r="BV62" s="55"/>
      <c r="BW62" s="55"/>
      <c r="BX62" s="55"/>
      <c r="BY62" s="55"/>
      <c r="BZ62" s="55"/>
      <c r="CA62" s="55"/>
      <c r="CB62" s="55"/>
      <c r="CC62" s="55"/>
      <c r="CD62" s="55"/>
      <c r="CE62" s="55"/>
      <c r="CF62" s="55"/>
      <c r="CG62" s="55"/>
      <c r="CH62" s="55"/>
      <c r="CI62" s="55"/>
      <c r="CJ62" s="55"/>
      <c r="CK62" s="55"/>
      <c r="CL62" s="55"/>
      <c r="CM62" s="55"/>
      <c r="CN62" s="55"/>
      <c r="CO62" s="55"/>
      <c r="CP62" s="55"/>
    </row>
    <row r="63" spans="1:94" ht="21.75" hidden="1" outlineLevel="1" thickBot="1" x14ac:dyDescent="0.4">
      <c r="A63" s="35">
        <f>SOLID!E74</f>
        <v>0</v>
      </c>
      <c r="B63" s="16">
        <f ca="1">SOLID!F74</f>
        <v>0</v>
      </c>
      <c r="C63" s="16">
        <f ca="1">SOLID!G74</f>
        <v>0</v>
      </c>
      <c r="D63" s="16">
        <f ca="1">SOLID!H74</f>
        <v>0</v>
      </c>
      <c r="E63" s="16">
        <f ca="1">SOLID!I74</f>
        <v>0</v>
      </c>
      <c r="F63" s="14">
        <f ca="1">SOLID!J74</f>
        <v>0</v>
      </c>
      <c r="G63" s="14">
        <f ca="1">SOLID!K74</f>
        <v>0</v>
      </c>
      <c r="H63" s="14">
        <f ca="1">SOLID!L74</f>
        <v>0</v>
      </c>
      <c r="I63" s="14">
        <f ca="1">SOLID!M74</f>
        <v>0</v>
      </c>
      <c r="J63" s="14">
        <f ca="1">SOLID!N74</f>
        <v>0</v>
      </c>
      <c r="K63" s="14">
        <f ca="1">SOLID!O74</f>
        <v>0</v>
      </c>
      <c r="L63" s="14">
        <f ca="1">SOLID!P74</f>
        <v>0</v>
      </c>
      <c r="M63" s="14">
        <f ca="1">SOLID!Q74</f>
        <v>0</v>
      </c>
      <c r="N63" s="14">
        <f ca="1">SOLID!R74</f>
        <v>0</v>
      </c>
      <c r="O63" s="14">
        <f ca="1">SOLID!S74</f>
        <v>0</v>
      </c>
      <c r="P63" s="14">
        <f ca="1">SOLID!T74</f>
        <v>0</v>
      </c>
      <c r="Q63" s="14">
        <f ca="1">SOLID!U74</f>
        <v>0</v>
      </c>
      <c r="R63" s="14">
        <f ca="1">SOLID!V74</f>
        <v>0</v>
      </c>
      <c r="S63" s="14">
        <f ca="1">SOLID!W74</f>
        <v>0</v>
      </c>
      <c r="T63" s="14">
        <f ca="1">SOLID!X74</f>
        <v>0</v>
      </c>
      <c r="U63" s="14">
        <f ca="1">SOLID!Y74</f>
        <v>0</v>
      </c>
      <c r="V63" s="14">
        <f ca="1">SOLID!Z74</f>
        <v>0</v>
      </c>
      <c r="W63" s="14">
        <f ca="1">SOLID!AA74</f>
        <v>0</v>
      </c>
      <c r="X63" s="14">
        <f ca="1">SOLID!AB74</f>
        <v>0</v>
      </c>
      <c r="Y63" s="14">
        <f ca="1">SOLID!AC74</f>
        <v>0</v>
      </c>
      <c r="Z63" s="14">
        <f ca="1">SOLID!AD74</f>
        <v>0</v>
      </c>
      <c r="AA63" s="14">
        <f ca="1">SOLID!AE74</f>
        <v>0</v>
      </c>
      <c r="AB63" s="14">
        <f ca="1">SOLID!AF74</f>
        <v>0</v>
      </c>
      <c r="AC63" s="14">
        <f ca="1">SOLID!AG74</f>
        <v>0</v>
      </c>
      <c r="AD63" s="14">
        <f ca="1">SOLID!AH74</f>
        <v>0</v>
      </c>
      <c r="AE63" s="14">
        <f ca="1">SOLID!AI74</f>
        <v>0</v>
      </c>
      <c r="AF63" s="14">
        <f ca="1">SOLID!AJ74</f>
        <v>0</v>
      </c>
      <c r="AG63" s="14">
        <f ca="1">SOLID!AK74</f>
        <v>0</v>
      </c>
      <c r="AH63" s="14">
        <f ca="1">SOLID!AL74</f>
        <v>0</v>
      </c>
      <c r="AI63" s="55"/>
      <c r="AJ63" s="55"/>
      <c r="AK63" s="55"/>
      <c r="AL63" s="55"/>
      <c r="AM63" s="55"/>
      <c r="AN63" s="55"/>
      <c r="AO63" s="55"/>
      <c r="AP63" s="55"/>
      <c r="AQ63" s="55"/>
      <c r="AR63" s="55"/>
      <c r="AS63" s="55"/>
      <c r="AT63" s="55"/>
      <c r="AU63" s="55"/>
      <c r="AV63" s="55"/>
      <c r="AW63" s="55"/>
      <c r="AX63" s="55"/>
      <c r="AY63" s="55"/>
      <c r="AZ63" s="55"/>
      <c r="BA63" s="55"/>
      <c r="BB63" s="55"/>
      <c r="BC63" s="55"/>
      <c r="BD63" s="55"/>
      <c r="BE63" s="55"/>
      <c r="BF63" s="55"/>
      <c r="BG63" s="55"/>
      <c r="BH63" s="55"/>
      <c r="BI63" s="55"/>
      <c r="BJ63" s="55"/>
      <c r="BK63" s="55"/>
      <c r="BL63" s="55"/>
      <c r="BM63" s="55"/>
      <c r="BN63" s="55"/>
      <c r="BO63" s="55"/>
      <c r="BP63" s="55"/>
      <c r="BQ63" s="55"/>
      <c r="BR63" s="55"/>
      <c r="BS63" s="55"/>
      <c r="BT63" s="55"/>
      <c r="BU63" s="55"/>
      <c r="BV63" s="55"/>
      <c r="BW63" s="55"/>
      <c r="BX63" s="55"/>
      <c r="BY63" s="55"/>
      <c r="BZ63" s="55"/>
      <c r="CA63" s="55"/>
      <c r="CB63" s="55"/>
      <c r="CC63" s="55"/>
      <c r="CD63" s="55"/>
      <c r="CE63" s="55"/>
      <c r="CF63" s="55"/>
      <c r="CG63" s="55"/>
      <c r="CH63" s="55"/>
      <c r="CI63" s="55"/>
      <c r="CJ63" s="55"/>
      <c r="CK63" s="55"/>
      <c r="CL63" s="55"/>
      <c r="CM63" s="55"/>
      <c r="CN63" s="55"/>
      <c r="CO63" s="55"/>
      <c r="CP63" s="55"/>
    </row>
    <row r="64" spans="1:94" ht="21.75" hidden="1" outlineLevel="1" thickBot="1" x14ac:dyDescent="0.4">
      <c r="A64" s="35">
        <f>SOLID!E75</f>
        <v>1</v>
      </c>
      <c r="B64" s="16">
        <f>SOLID!F75</f>
        <v>0</v>
      </c>
      <c r="C64" s="16">
        <f>SOLID!G75</f>
        <v>0</v>
      </c>
      <c r="D64" s="16">
        <f>SOLID!H75</f>
        <v>0</v>
      </c>
      <c r="E64" s="16">
        <f>SOLID!I75</f>
        <v>0</v>
      </c>
      <c r="F64" s="14">
        <f>SOLID!J75</f>
        <v>0</v>
      </c>
      <c r="G64" s="14">
        <f>SOLID!K75</f>
        <v>0</v>
      </c>
      <c r="H64" s="14">
        <f>SOLID!L75</f>
        <v>0</v>
      </c>
      <c r="I64" s="14">
        <f>SOLID!M75</f>
        <v>0</v>
      </c>
      <c r="J64" s="14">
        <f>SOLID!N75</f>
        <v>0</v>
      </c>
      <c r="K64" s="14">
        <f>SOLID!O75</f>
        <v>0</v>
      </c>
      <c r="L64" s="14">
        <f>SOLID!P75</f>
        <v>0</v>
      </c>
      <c r="M64" s="14">
        <f>SOLID!Q75</f>
        <v>0</v>
      </c>
      <c r="N64" s="14">
        <f>SOLID!R75</f>
        <v>0</v>
      </c>
      <c r="O64" s="14">
        <f>SOLID!S75</f>
        <v>0</v>
      </c>
      <c r="P64" s="14">
        <f>SOLID!T75</f>
        <v>0</v>
      </c>
      <c r="Q64" s="14">
        <f>SOLID!U75</f>
        <v>0</v>
      </c>
      <c r="R64" s="14">
        <f>SOLID!V75</f>
        <v>0</v>
      </c>
      <c r="S64" s="14">
        <f>SOLID!W75</f>
        <v>0</v>
      </c>
      <c r="T64" s="14">
        <f>SOLID!X75</f>
        <v>0</v>
      </c>
      <c r="U64" s="14">
        <f>SOLID!Y75</f>
        <v>0</v>
      </c>
      <c r="V64" s="14">
        <f>SOLID!Z75</f>
        <v>0</v>
      </c>
      <c r="W64" s="14">
        <f>SOLID!AA75</f>
        <v>0</v>
      </c>
      <c r="X64" s="14">
        <f>SOLID!AB75</f>
        <v>0</v>
      </c>
      <c r="Y64" s="14">
        <f>SOLID!AC75</f>
        <v>0</v>
      </c>
      <c r="Z64" s="14">
        <f>SOLID!AD75</f>
        <v>0</v>
      </c>
      <c r="AA64" s="14">
        <f>SOLID!AE75</f>
        <v>0</v>
      </c>
      <c r="AB64" s="14">
        <f>SOLID!AF75</f>
        <v>0</v>
      </c>
      <c r="AC64" s="14">
        <f>SOLID!AG75</f>
        <v>0</v>
      </c>
      <c r="AD64" s="14">
        <f>SOLID!AH75</f>
        <v>0</v>
      </c>
      <c r="AE64" s="14">
        <f>SOLID!AI75</f>
        <v>0</v>
      </c>
      <c r="AF64" s="14">
        <f>SOLID!AJ75</f>
        <v>0</v>
      </c>
      <c r="AG64" s="14">
        <f>SOLID!AK75</f>
        <v>0</v>
      </c>
      <c r="AH64" s="14">
        <f>SOLID!AL75</f>
        <v>0</v>
      </c>
      <c r="AI64" s="55"/>
      <c r="AJ64" s="55"/>
      <c r="AK64" s="55"/>
      <c r="AL64" s="55"/>
      <c r="AM64" s="55"/>
      <c r="AN64" s="55"/>
      <c r="AO64" s="55"/>
      <c r="AP64" s="55"/>
      <c r="AQ64" s="55"/>
      <c r="AR64" s="55"/>
      <c r="AS64" s="55"/>
      <c r="AT64" s="55"/>
      <c r="AU64" s="55"/>
      <c r="AV64" s="55"/>
      <c r="AW64" s="55"/>
      <c r="AX64" s="55"/>
      <c r="AY64" s="55"/>
      <c r="AZ64" s="55"/>
      <c r="BA64" s="55"/>
      <c r="BB64" s="55"/>
      <c r="BC64" s="55"/>
      <c r="BD64" s="55"/>
      <c r="BE64" s="55"/>
      <c r="BF64" s="55"/>
      <c r="BG64" s="55"/>
      <c r="BH64" s="55"/>
      <c r="BI64" s="55"/>
      <c r="BJ64" s="55"/>
      <c r="BK64" s="55"/>
      <c r="BL64" s="55"/>
      <c r="BM64" s="55"/>
      <c r="BN64" s="55"/>
      <c r="BO64" s="55"/>
      <c r="BP64" s="55"/>
      <c r="BQ64" s="55"/>
      <c r="BR64" s="55"/>
      <c r="BS64" s="55"/>
      <c r="BT64" s="55"/>
      <c r="BU64" s="55"/>
      <c r="BV64" s="55"/>
      <c r="BW64" s="55"/>
      <c r="BX64" s="55"/>
      <c r="BY64" s="55"/>
      <c r="BZ64" s="55"/>
      <c r="CA64" s="55"/>
      <c r="CB64" s="55"/>
      <c r="CC64" s="55"/>
      <c r="CD64" s="55"/>
      <c r="CE64" s="55"/>
      <c r="CF64" s="55"/>
      <c r="CG64" s="55"/>
      <c r="CH64" s="55"/>
      <c r="CI64" s="55"/>
      <c r="CJ64" s="55"/>
      <c r="CK64" s="55"/>
      <c r="CL64" s="55"/>
      <c r="CM64" s="55"/>
      <c r="CN64" s="55"/>
      <c r="CO64" s="55"/>
      <c r="CP64" s="55"/>
    </row>
    <row r="65" spans="1:94" ht="22.5" collapsed="1" thickTop="1" thickBot="1" x14ac:dyDescent="0.4">
      <c r="A65" s="38"/>
      <c r="AI65" s="55"/>
      <c r="AJ65" s="55"/>
      <c r="AK65" s="55"/>
      <c r="AL65" s="55"/>
      <c r="AM65" s="55"/>
      <c r="AN65" s="55"/>
      <c r="AO65" s="55"/>
      <c r="AP65" s="55"/>
      <c r="AQ65" s="55"/>
      <c r="AR65" s="55"/>
      <c r="AS65" s="55"/>
      <c r="AT65" s="55"/>
      <c r="AU65" s="55"/>
      <c r="AV65" s="55"/>
      <c r="AW65" s="55"/>
      <c r="AX65" s="55"/>
      <c r="AY65" s="55"/>
      <c r="AZ65" s="55"/>
      <c r="BA65" s="55"/>
      <c r="BB65" s="55"/>
      <c r="BC65" s="55"/>
      <c r="BD65" s="55"/>
      <c r="BE65" s="55"/>
      <c r="BF65" s="55"/>
      <c r="BG65" s="55"/>
      <c r="BH65" s="55"/>
      <c r="BI65" s="55"/>
      <c r="BJ65" s="55"/>
      <c r="BK65" s="55"/>
      <c r="BL65" s="55"/>
      <c r="BM65" s="55"/>
      <c r="BN65" s="55"/>
      <c r="BO65" s="55"/>
      <c r="BP65" s="55"/>
      <c r="BQ65" s="55"/>
      <c r="BR65" s="55"/>
      <c r="BS65" s="55"/>
      <c r="BT65" s="55"/>
      <c r="BU65" s="55"/>
      <c r="BV65" s="55"/>
      <c r="BW65" s="55"/>
      <c r="BX65" s="55"/>
      <c r="BY65" s="55"/>
      <c r="BZ65" s="55"/>
      <c r="CA65" s="55"/>
      <c r="CB65" s="55"/>
      <c r="CC65" s="55"/>
      <c r="CD65" s="55"/>
      <c r="CE65" s="55"/>
      <c r="CF65" s="55"/>
      <c r="CG65" s="55"/>
      <c r="CH65" s="55"/>
      <c r="CI65" s="55"/>
      <c r="CJ65" s="55"/>
      <c r="CK65" s="55"/>
      <c r="CL65" s="55"/>
      <c r="CM65" s="55"/>
      <c r="CN65" s="55"/>
      <c r="CO65" s="55"/>
      <c r="CP65" s="55"/>
    </row>
    <row r="66" spans="1:94" ht="22.5" thickTop="1" thickBot="1" x14ac:dyDescent="0.4">
      <c r="A66" s="4" t="s">
        <v>31</v>
      </c>
      <c r="B66" s="72">
        <f>ALL!F45</f>
        <v>298.2</v>
      </c>
      <c r="C66" s="72">
        <f>ALL!G45</f>
        <v>331.5</v>
      </c>
      <c r="D66" s="72">
        <f>ALL!H45</f>
        <v>364.9</v>
      </c>
      <c r="E66" s="72">
        <f>ALL!I45</f>
        <v>398.3</v>
      </c>
      <c r="F66" s="4">
        <f>ALL!J45</f>
        <v>431.7</v>
      </c>
      <c r="G66" s="4">
        <f>ALL!K45</f>
        <v>465.1</v>
      </c>
      <c r="H66" s="4">
        <f>ALL!L45</f>
        <v>498.5</v>
      </c>
      <c r="I66" s="4">
        <f>ALL!M45</f>
        <v>531.79999999999995</v>
      </c>
      <c r="J66" s="4">
        <f>ALL!N45</f>
        <v>565.20000000000005</v>
      </c>
      <c r="K66" s="4">
        <f>ALL!O45</f>
        <v>598.6</v>
      </c>
      <c r="L66" s="4">
        <f>ALL!P45</f>
        <v>632</v>
      </c>
      <c r="M66" s="4">
        <f>ALL!Q45</f>
        <v>665.4</v>
      </c>
      <c r="N66" s="4">
        <f>ALL!R45</f>
        <v>698.8</v>
      </c>
      <c r="O66" s="4">
        <f>ALL!S45</f>
        <v>832.3</v>
      </c>
      <c r="P66" s="4">
        <f>ALL!T45</f>
        <v>965.8</v>
      </c>
      <c r="Q66" s="4">
        <f>ALL!U45</f>
        <v>1099</v>
      </c>
      <c r="R66" s="4">
        <f>ALL!V45</f>
        <v>1133</v>
      </c>
      <c r="S66" s="4">
        <f>ALL!W45</f>
        <v>1166</v>
      </c>
      <c r="T66" s="4">
        <f>ALL!X45</f>
        <v>1200</v>
      </c>
      <c r="U66" s="4">
        <f>ALL!Y45</f>
        <v>1233</v>
      </c>
      <c r="V66" s="4">
        <f>ALL!Z45</f>
        <v>1366</v>
      </c>
      <c r="W66" s="4">
        <f>ALL!AA45</f>
        <v>1500</v>
      </c>
      <c r="X66" s="4">
        <f>ALL!AB45</f>
        <v>0</v>
      </c>
      <c r="Y66" s="4">
        <f>ALL!AC45</f>
        <v>0</v>
      </c>
      <c r="Z66" s="4">
        <f>ALL!AD45</f>
        <v>0</v>
      </c>
      <c r="AA66" s="4">
        <f>ALL!AE45</f>
        <v>0</v>
      </c>
      <c r="AB66" s="4">
        <f>ALL!AF45</f>
        <v>0</v>
      </c>
      <c r="AC66" s="4">
        <f>ALL!AG45</f>
        <v>0</v>
      </c>
      <c r="AD66" s="4">
        <f>ALL!AH45</f>
        <v>0</v>
      </c>
      <c r="AE66" s="4">
        <f>ALL!AI45</f>
        <v>0</v>
      </c>
      <c r="AF66" s="4">
        <f>ALL!AJ45</f>
        <v>0</v>
      </c>
      <c r="AG66" s="4">
        <f>ALL!AK45</f>
        <v>0</v>
      </c>
      <c r="AH66" s="4">
        <f>ALL!AL45</f>
        <v>0</v>
      </c>
      <c r="AI66" s="55"/>
      <c r="AJ66" s="55"/>
      <c r="AK66" s="55"/>
      <c r="AL66" s="55"/>
      <c r="AM66" s="55"/>
      <c r="AN66" s="55"/>
      <c r="AO66" s="55"/>
      <c r="AP66" s="55"/>
      <c r="AQ66" s="55"/>
      <c r="AR66" s="55"/>
      <c r="AS66" s="55"/>
      <c r="AT66" s="55"/>
      <c r="AU66" s="55"/>
      <c r="AV66" s="55"/>
      <c r="AW66" s="55"/>
      <c r="AX66" s="55"/>
      <c r="AY66" s="55"/>
      <c r="AZ66" s="55"/>
      <c r="BA66" s="55"/>
      <c r="BB66" s="55"/>
      <c r="BC66" s="55"/>
      <c r="BD66" s="55"/>
      <c r="BE66" s="55"/>
      <c r="BF66" s="55"/>
      <c r="BG66" s="55"/>
      <c r="BH66" s="55"/>
      <c r="BI66" s="55"/>
      <c r="BJ66" s="55"/>
      <c r="BK66" s="55"/>
      <c r="BL66" s="55"/>
      <c r="BM66" s="55"/>
      <c r="BN66" s="55"/>
      <c r="BO66" s="55"/>
      <c r="BP66" s="55"/>
      <c r="BQ66" s="55"/>
      <c r="BR66" s="55"/>
      <c r="BS66" s="55"/>
      <c r="BT66" s="55"/>
      <c r="BU66" s="55"/>
      <c r="BV66" s="55"/>
      <c r="BW66" s="55"/>
      <c r="BX66" s="55"/>
      <c r="BY66" s="55"/>
      <c r="BZ66" s="55"/>
      <c r="CA66" s="55"/>
      <c r="CB66" s="55"/>
      <c r="CC66" s="55"/>
      <c r="CD66" s="55"/>
      <c r="CE66" s="55"/>
      <c r="CF66" s="55"/>
      <c r="CG66" s="55"/>
      <c r="CH66" s="55"/>
      <c r="CI66" s="55"/>
      <c r="CJ66" s="55"/>
      <c r="CK66" s="55"/>
      <c r="CL66" s="55"/>
      <c r="CM66" s="55"/>
      <c r="CN66" s="55"/>
      <c r="CO66" s="55"/>
      <c r="CP66" s="55"/>
    </row>
    <row r="67" spans="1:94" ht="22.5" hidden="1" outlineLevel="1" thickTop="1" thickBot="1" x14ac:dyDescent="0.4">
      <c r="A67" s="36" t="str">
        <f>ALL!E46</f>
        <v>*GeSe</v>
      </c>
      <c r="B67" s="16">
        <f ca="1">ALL!F46</f>
        <v>-38.14</v>
      </c>
      <c r="C67" s="16">
        <f ca="1">ALL!G46</f>
        <v>-35.22</v>
      </c>
      <c r="D67" s="16">
        <f ca="1">ALL!H46</f>
        <v>-32.93</v>
      </c>
      <c r="E67" s="16">
        <f ca="1">ALL!I46</f>
        <v>-31.146000000000001</v>
      </c>
      <c r="F67" s="14">
        <f ca="1">ALL!J46</f>
        <v>-29.802</v>
      </c>
      <c r="G67" s="14">
        <f ca="1">ALL!K46</f>
        <v>-29.033000000000001</v>
      </c>
      <c r="H67" s="14">
        <f ca="1">ALL!L46</f>
        <v>-28.966000000000001</v>
      </c>
      <c r="I67" s="14">
        <f ca="1">ALL!M46</f>
        <v>-29.872999999999998</v>
      </c>
      <c r="J67" s="14">
        <f ca="1">ALL!N46</f>
        <v>-30.373000000000001</v>
      </c>
      <c r="K67" s="14">
        <f ca="1">ALL!O46</f>
        <v>-30.934000000000001</v>
      </c>
      <c r="L67" s="14">
        <f ca="1">ALL!P46</f>
        <v>-31.491</v>
      </c>
      <c r="M67" s="14">
        <f ca="1">ALL!Q46</f>
        <v>-32.052</v>
      </c>
      <c r="N67" s="14">
        <f ca="1">ALL!R46</f>
        <v>-32.613</v>
      </c>
      <c r="O67" s="14">
        <f ca="1">ALL!S46</f>
        <v>-34.743000000000002</v>
      </c>
      <c r="P67" s="14">
        <f ca="1">ALL!T46</f>
        <v>-36.765000000000001</v>
      </c>
      <c r="Q67" s="14">
        <f ca="1">ALL!U46</f>
        <v>-38.677999999999997</v>
      </c>
      <c r="R67" s="14">
        <f ca="1">ALL!V46</f>
        <v>-39.146000000000001</v>
      </c>
      <c r="S67" s="14">
        <f ca="1">ALL!W46</f>
        <v>-39.602000000000004</v>
      </c>
      <c r="T67" s="14">
        <f ca="1">ALL!X46</f>
        <v>-40.058</v>
      </c>
      <c r="U67" s="14">
        <f ca="1">ALL!Y46</f>
        <v>-40.513000000000005</v>
      </c>
      <c r="V67" s="14">
        <f ca="1">ALL!Z46</f>
        <v>-42.290999999999997</v>
      </c>
      <c r="W67" s="14">
        <f ca="1">ALL!AA46</f>
        <v>-44.015000000000001</v>
      </c>
      <c r="X67" s="14">
        <f ca="1">ALL!AB46</f>
        <v>0</v>
      </c>
      <c r="Y67" s="14">
        <f ca="1">ALL!AC46</f>
        <v>0</v>
      </c>
      <c r="Z67" s="14">
        <f ca="1">ALL!AD46</f>
        <v>0</v>
      </c>
      <c r="AA67" s="14">
        <f ca="1">ALL!AE46</f>
        <v>0</v>
      </c>
      <c r="AB67" s="14">
        <f ca="1">ALL!AF46</f>
        <v>0</v>
      </c>
      <c r="AC67" s="14">
        <f ca="1">ALL!AG46</f>
        <v>0</v>
      </c>
      <c r="AD67" s="14">
        <f ca="1">ALL!AH46</f>
        <v>0</v>
      </c>
      <c r="AE67" s="14">
        <f ca="1">ALL!AI46</f>
        <v>0</v>
      </c>
      <c r="AF67" s="14">
        <f ca="1">ALL!AJ46</f>
        <v>0</v>
      </c>
      <c r="AG67" s="14">
        <f ca="1">ALL!AK46</f>
        <v>0</v>
      </c>
      <c r="AH67" s="14">
        <f ca="1">ALL!AL46</f>
        <v>0</v>
      </c>
      <c r="AI67" s="14">
        <f>ALL!AM46</f>
        <v>0</v>
      </c>
    </row>
    <row r="68" spans="1:94" ht="21.75" hidden="1" outlineLevel="1" thickBot="1" x14ac:dyDescent="0.4">
      <c r="A68" s="36" t="str">
        <f>ALL!E47</f>
        <v>*Se[m]</v>
      </c>
      <c r="B68" s="16">
        <f ca="1">ALL!F47</f>
        <v>-22.14</v>
      </c>
      <c r="C68" s="16">
        <f ca="1">ALL!G47</f>
        <v>-21.3</v>
      </c>
      <c r="D68" s="16">
        <f ca="1">ALL!H47</f>
        <v>-21.39</v>
      </c>
      <c r="E68" s="16">
        <f ca="1">ALL!I47</f>
        <v>-21.8</v>
      </c>
      <c r="F68" s="14">
        <f ca="1">ALL!J47</f>
        <v>-22.19</v>
      </c>
      <c r="G68" s="14">
        <f ca="1">ALL!K47</f>
        <v>-22.48</v>
      </c>
      <c r="H68" s="14">
        <f ca="1">ALL!L47</f>
        <v>-22.79</v>
      </c>
      <c r="I68" s="14">
        <f ca="1">ALL!M47</f>
        <v>-23.04</v>
      </c>
      <c r="J68" s="14">
        <f ca="1">ALL!N47</f>
        <v>-23.53</v>
      </c>
      <c r="K68" s="14">
        <f ca="1">ALL!O47</f>
        <v>-24.03</v>
      </c>
      <c r="L68" s="14">
        <f ca="1">ALL!P47</f>
        <v>-24.51</v>
      </c>
      <c r="M68" s="14">
        <f ca="1">ALL!Q47</f>
        <v>-24.99</v>
      </c>
      <c r="N68" s="14">
        <f ca="1">ALL!R47</f>
        <v>-25.47</v>
      </c>
      <c r="O68" s="14">
        <f ca="1">ALL!S47</f>
        <v>-27.28</v>
      </c>
      <c r="P68" s="14">
        <f ca="1">ALL!T47</f>
        <v>-29</v>
      </c>
      <c r="Q68" s="14">
        <f ca="1">ALL!U47</f>
        <v>-30.63</v>
      </c>
      <c r="R68" s="14">
        <f ca="1">ALL!V47</f>
        <v>-31.03</v>
      </c>
      <c r="S68" s="14">
        <f ca="1">ALL!W47</f>
        <v>-31.42</v>
      </c>
      <c r="T68" s="14">
        <f ca="1">ALL!X47</f>
        <v>-31.81</v>
      </c>
      <c r="U68" s="14">
        <f ca="1">ALL!Y47</f>
        <v>-32.200000000000003</v>
      </c>
      <c r="V68" s="14">
        <f ca="1">ALL!Z47</f>
        <v>-33.729999999999997</v>
      </c>
      <c r="W68" s="14">
        <f ca="1">ALL!AA47</f>
        <v>-35.22</v>
      </c>
      <c r="X68" s="14">
        <f ca="1">ALL!AB47</f>
        <v>0</v>
      </c>
      <c r="Y68" s="14">
        <f ca="1">ALL!AC47</f>
        <v>0</v>
      </c>
      <c r="Z68" s="14">
        <f ca="1">ALL!AD47</f>
        <v>0</v>
      </c>
      <c r="AA68" s="14">
        <f ca="1">ALL!AE47</f>
        <v>0</v>
      </c>
      <c r="AB68" s="14">
        <f ca="1">ALL!AF47</f>
        <v>0</v>
      </c>
      <c r="AC68" s="14">
        <f ca="1">ALL!AG47</f>
        <v>0</v>
      </c>
      <c r="AD68" s="14">
        <f ca="1">ALL!AH47</f>
        <v>0</v>
      </c>
      <c r="AE68" s="14">
        <f ca="1">ALL!AI47</f>
        <v>0</v>
      </c>
      <c r="AF68" s="14">
        <f ca="1">ALL!AJ47</f>
        <v>0</v>
      </c>
      <c r="AG68" s="14">
        <f ca="1">ALL!AK47</f>
        <v>0</v>
      </c>
      <c r="AH68" s="14">
        <f ca="1">ALL!AL47</f>
        <v>0</v>
      </c>
      <c r="AI68" s="14">
        <f>ALL!AM47</f>
        <v>0</v>
      </c>
    </row>
    <row r="69" spans="1:94" ht="21.75" hidden="1" outlineLevel="1" thickBot="1" x14ac:dyDescent="0.4">
      <c r="A69" s="36" t="str">
        <f>ALL!E48</f>
        <v>Ga2Se3</v>
      </c>
      <c r="B69" s="16">
        <f ca="1">ALL!F48</f>
        <v>-188</v>
      </c>
      <c r="C69" s="16">
        <f ca="1">ALL!G48</f>
        <v>-171.54000000000002</v>
      </c>
      <c r="D69" s="16">
        <f ca="1">ALL!H48</f>
        <v>-158.19</v>
      </c>
      <c r="E69" s="16">
        <f ca="1">ALL!I48</f>
        <v>-147.19999999999999</v>
      </c>
      <c r="F69" s="14">
        <f ca="1">ALL!J48</f>
        <v>-137.99</v>
      </c>
      <c r="G69" s="14">
        <f ca="1">ALL!K48</f>
        <v>-130.22</v>
      </c>
      <c r="H69" s="14">
        <f ca="1">ALL!L48</f>
        <v>-123.69</v>
      </c>
      <c r="I69" s="14">
        <f ca="1">ALL!M48</f>
        <v>-122.7</v>
      </c>
      <c r="J69" s="14">
        <f ca="1">ALL!N48</f>
        <v>-126.81</v>
      </c>
      <c r="K69" s="14">
        <f ca="1">ALL!O48</f>
        <v>-130.91</v>
      </c>
      <c r="L69" s="14">
        <f ca="1">ALL!P48</f>
        <v>-134.91</v>
      </c>
      <c r="M69" s="14">
        <f ca="1">ALL!Q48</f>
        <v>-138.85</v>
      </c>
      <c r="N69" s="14">
        <f ca="1">ALL!R48</f>
        <v>-142.72999999999999</v>
      </c>
      <c r="O69" s="14">
        <f ca="1">ALL!S48</f>
        <v>-157.18</v>
      </c>
      <c r="P69" s="14">
        <f ca="1">ALL!T48</f>
        <v>-169.86</v>
      </c>
      <c r="Q69" s="14">
        <f ca="1">ALL!U48</f>
        <v>-180.55</v>
      </c>
      <c r="R69" s="14">
        <f ca="1">ALL!V48</f>
        <v>-182.89</v>
      </c>
      <c r="S69" s="14">
        <f ca="1">ALL!W48</f>
        <v>-185.10000000000002</v>
      </c>
      <c r="T69" s="14">
        <f ca="1">ALL!X48</f>
        <v>-187.14999999999998</v>
      </c>
      <c r="U69" s="14">
        <f ca="1">ALL!Y48</f>
        <v>-189.10000000000002</v>
      </c>
      <c r="V69" s="14">
        <f ca="1">ALL!Z48</f>
        <v>-195.41</v>
      </c>
      <c r="W69" s="14">
        <f ca="1">ALL!AA48</f>
        <v>-199.36</v>
      </c>
      <c r="X69" s="14">
        <f ca="1">ALL!AB48</f>
        <v>0</v>
      </c>
      <c r="Y69" s="14">
        <f ca="1">ALL!AC48</f>
        <v>0</v>
      </c>
      <c r="Z69" s="14">
        <f ca="1">ALL!AD48</f>
        <v>0</v>
      </c>
      <c r="AA69" s="14">
        <f ca="1">ALL!AE48</f>
        <v>0</v>
      </c>
      <c r="AB69" s="14">
        <f ca="1">ALL!AF48</f>
        <v>0</v>
      </c>
      <c r="AC69" s="14">
        <f ca="1">ALL!AG48</f>
        <v>0</v>
      </c>
      <c r="AD69" s="14">
        <f ca="1">ALL!AH48</f>
        <v>0</v>
      </c>
      <c r="AE69" s="14">
        <f ca="1">ALL!AI48</f>
        <v>0</v>
      </c>
      <c r="AF69" s="14">
        <f ca="1">ALL!AJ48</f>
        <v>0</v>
      </c>
      <c r="AG69" s="14">
        <f ca="1">ALL!AK48</f>
        <v>0</v>
      </c>
      <c r="AH69" s="14">
        <f ca="1">ALL!AL48</f>
        <v>0</v>
      </c>
      <c r="AI69" s="14">
        <f>ALL!AM48</f>
        <v>0</v>
      </c>
    </row>
    <row r="70" spans="1:94" ht="21.75" hidden="1" outlineLevel="1" thickBot="1" x14ac:dyDescent="0.4">
      <c r="A70" s="36" t="str">
        <f>ALL!E49</f>
        <v>Ge</v>
      </c>
      <c r="B70" s="16">
        <f ca="1">ALL!F49</f>
        <v>-16</v>
      </c>
      <c r="C70" s="16">
        <f ca="1">ALL!G49</f>
        <v>-13.92</v>
      </c>
      <c r="D70" s="16">
        <f ca="1">ALL!H49</f>
        <v>-11.54</v>
      </c>
      <c r="E70" s="16">
        <f ca="1">ALL!I49</f>
        <v>-9.3460000000000001</v>
      </c>
      <c r="F70" s="14">
        <f ca="1">ALL!J49</f>
        <v>-7.6120000000000001</v>
      </c>
      <c r="G70" s="14">
        <f ca="1">ALL!K49</f>
        <v>-6.5529999999999999</v>
      </c>
      <c r="H70" s="14">
        <f ca="1">ALL!L49</f>
        <v>-6.1760000000000002</v>
      </c>
      <c r="I70" s="14">
        <f ca="1">ALL!M49</f>
        <v>-6.8330000000000002</v>
      </c>
      <c r="J70" s="14">
        <f ca="1">ALL!N49</f>
        <v>-6.843</v>
      </c>
      <c r="K70" s="14">
        <f ca="1">ALL!O49</f>
        <v>-6.9039999999999999</v>
      </c>
      <c r="L70" s="14">
        <f ca="1">ALL!P49</f>
        <v>-6.9809999999999999</v>
      </c>
      <c r="M70" s="14">
        <f ca="1">ALL!Q49</f>
        <v>-7.0620000000000003</v>
      </c>
      <c r="N70" s="14">
        <f ca="1">ALL!R49</f>
        <v>-7.1429999999999998</v>
      </c>
      <c r="O70" s="14">
        <f ca="1">ALL!S49</f>
        <v>-7.4630000000000001</v>
      </c>
      <c r="P70" s="14">
        <f ca="1">ALL!T49</f>
        <v>-7.7649999999999997</v>
      </c>
      <c r="Q70" s="14">
        <f ca="1">ALL!U49</f>
        <v>-8.048</v>
      </c>
      <c r="R70" s="14">
        <f ca="1">ALL!V49</f>
        <v>-8.1159999999999997</v>
      </c>
      <c r="S70" s="14">
        <f ca="1">ALL!W49</f>
        <v>-8.1820000000000004</v>
      </c>
      <c r="T70" s="14">
        <f ca="1">ALL!X49</f>
        <v>-8.2479999999999993</v>
      </c>
      <c r="U70" s="14">
        <f ca="1">ALL!Y49</f>
        <v>-8.3130000000000006</v>
      </c>
      <c r="V70" s="14">
        <f ca="1">ALL!Z49</f>
        <v>-8.5609999999999999</v>
      </c>
      <c r="W70" s="14">
        <f ca="1">ALL!AA49</f>
        <v>-8.7949999999999999</v>
      </c>
      <c r="X70" s="14">
        <f ca="1">ALL!AB49</f>
        <v>0</v>
      </c>
      <c r="Y70" s="14">
        <f ca="1">ALL!AC49</f>
        <v>0</v>
      </c>
      <c r="Z70" s="14">
        <f ca="1">ALL!AD49</f>
        <v>0</v>
      </c>
      <c r="AA70" s="14">
        <f ca="1">ALL!AE49</f>
        <v>0</v>
      </c>
      <c r="AB70" s="14">
        <f ca="1">ALL!AF49</f>
        <v>0</v>
      </c>
      <c r="AC70" s="14">
        <f ca="1">ALL!AG49</f>
        <v>0</v>
      </c>
      <c r="AD70" s="14">
        <f ca="1">ALL!AH49</f>
        <v>0</v>
      </c>
      <c r="AE70" s="14">
        <f ca="1">ALL!AI49</f>
        <v>0</v>
      </c>
      <c r="AF70" s="14">
        <f ca="1">ALL!AJ49</f>
        <v>0</v>
      </c>
      <c r="AG70" s="14">
        <f ca="1">ALL!AK49</f>
        <v>0</v>
      </c>
      <c r="AH70" s="14">
        <f ca="1">ALL!AL49</f>
        <v>0</v>
      </c>
      <c r="AI70" s="14">
        <f>ALL!AM49</f>
        <v>0</v>
      </c>
    </row>
    <row r="71" spans="1:94" ht="21.75" hidden="1" outlineLevel="1" thickBot="1" x14ac:dyDescent="0.4">
      <c r="A71" s="36" t="str">
        <f>ALL!E50</f>
        <v>Ar</v>
      </c>
      <c r="B71" s="16">
        <f ca="1">ALL!F50</f>
        <v>-18.88</v>
      </c>
      <c r="C71" s="16">
        <f ca="1">ALL!G50</f>
        <v>-18.87</v>
      </c>
      <c r="D71" s="16">
        <f ca="1">ALL!H50</f>
        <v>-18.899999999999999</v>
      </c>
      <c r="E71" s="16">
        <f ca="1">ALL!I50</f>
        <v>-18.940000000000001</v>
      </c>
      <c r="F71" s="14">
        <f ca="1">ALL!J50</f>
        <v>-18.989999999999998</v>
      </c>
      <c r="G71" s="14">
        <f ca="1">ALL!K50</f>
        <v>-19.04</v>
      </c>
      <c r="H71" s="14">
        <f ca="1">ALL!L50</f>
        <v>-19.07</v>
      </c>
      <c r="I71" s="14">
        <f ca="1">ALL!M50</f>
        <v>-18.96</v>
      </c>
      <c r="J71" s="14">
        <f ca="1">ALL!N50</f>
        <v>-19.03</v>
      </c>
      <c r="K71" s="14">
        <f ca="1">ALL!O50</f>
        <v>-19.100000000000001</v>
      </c>
      <c r="L71" s="14">
        <f ca="1">ALL!P50</f>
        <v>-19.170000000000002</v>
      </c>
      <c r="M71" s="14">
        <f ca="1">ALL!Q50</f>
        <v>-19.239999999999998</v>
      </c>
      <c r="N71" s="14">
        <f ca="1">ALL!R50</f>
        <v>-19.309999999999999</v>
      </c>
      <c r="O71" s="14">
        <f ca="1">ALL!S50</f>
        <v>-19.57</v>
      </c>
      <c r="P71" s="14">
        <f ca="1">ALL!T50</f>
        <v>-19.82</v>
      </c>
      <c r="Q71" s="14">
        <f ca="1">ALL!U50</f>
        <v>-20.05</v>
      </c>
      <c r="R71" s="14">
        <f ca="1">ALL!V50</f>
        <v>-20.11</v>
      </c>
      <c r="S71" s="14">
        <f ca="1">ALL!W50</f>
        <v>-20.16</v>
      </c>
      <c r="T71" s="14">
        <f ca="1">ALL!X50</f>
        <v>-20.21</v>
      </c>
      <c r="U71" s="14">
        <f ca="1">ALL!Y50</f>
        <v>-20.260000000000002</v>
      </c>
      <c r="V71" s="14">
        <f ca="1">ALL!Z50</f>
        <v>-20.46</v>
      </c>
      <c r="W71" s="14">
        <f ca="1">ALL!AA50</f>
        <v>-20.65</v>
      </c>
      <c r="X71" s="14">
        <f ca="1">ALL!AB50</f>
        <v>0</v>
      </c>
      <c r="Y71" s="14">
        <f ca="1">ALL!AC50</f>
        <v>0</v>
      </c>
      <c r="Z71" s="14">
        <f ca="1">ALL!AD50</f>
        <v>0</v>
      </c>
      <c r="AA71" s="14">
        <f ca="1">ALL!AE50</f>
        <v>0</v>
      </c>
      <c r="AB71" s="14">
        <f ca="1">ALL!AF50</f>
        <v>0</v>
      </c>
      <c r="AC71" s="14">
        <f ca="1">ALL!AG50</f>
        <v>0</v>
      </c>
      <c r="AD71" s="14">
        <f ca="1">ALL!AH50</f>
        <v>0</v>
      </c>
      <c r="AE71" s="14">
        <f ca="1">ALL!AI50</f>
        <v>0</v>
      </c>
      <c r="AF71" s="14">
        <f ca="1">ALL!AJ50</f>
        <v>0</v>
      </c>
      <c r="AG71" s="14">
        <f ca="1">ALL!AK50</f>
        <v>0</v>
      </c>
      <c r="AH71" s="14">
        <f ca="1">ALL!AL50</f>
        <v>0</v>
      </c>
      <c r="AI71" s="14">
        <f>ALL!AM50</f>
        <v>0</v>
      </c>
    </row>
    <row r="72" spans="1:94" ht="21.75" hidden="1" outlineLevel="1" thickBot="1" x14ac:dyDescent="0.4">
      <c r="A72" s="36" t="str">
        <f>ALL!E51</f>
        <v>(l)GeSe2</v>
      </c>
      <c r="B72" s="16">
        <f ca="1">ALL!F51</f>
        <v>-60.28</v>
      </c>
      <c r="C72" s="16">
        <f ca="1">ALL!G51</f>
        <v>-56.52</v>
      </c>
      <c r="D72" s="16">
        <f ca="1">ALL!H51</f>
        <v>-54.32</v>
      </c>
      <c r="E72" s="16">
        <f ca="1">ALL!I51</f>
        <v>-52.945999999999998</v>
      </c>
      <c r="F72" s="14">
        <f ca="1">ALL!J51</f>
        <v>-51.992000000000004</v>
      </c>
      <c r="G72" s="14">
        <f ca="1">ALL!K51</f>
        <v>-51.512999999999998</v>
      </c>
      <c r="H72" s="14">
        <f ca="1">ALL!L51</f>
        <v>-51.756</v>
      </c>
      <c r="I72" s="14">
        <f ca="1">ALL!M51</f>
        <v>-52.912999999999997</v>
      </c>
      <c r="J72" s="14">
        <f ca="1">ALL!N51</f>
        <v>-53.903000000000006</v>
      </c>
      <c r="K72" s="14">
        <f ca="1">ALL!O51</f>
        <v>-54.963999999999999</v>
      </c>
      <c r="L72" s="14">
        <f ca="1">ALL!P51</f>
        <v>-56.001000000000005</v>
      </c>
      <c r="M72" s="14">
        <f ca="1">ALL!Q51</f>
        <v>-57.041999999999994</v>
      </c>
      <c r="N72" s="14">
        <f ca="1">ALL!R51</f>
        <v>-58.082999999999998</v>
      </c>
      <c r="O72" s="14">
        <f ca="1">ALL!S51</f>
        <v>-62.023000000000003</v>
      </c>
      <c r="P72" s="14">
        <f ca="1">ALL!T51</f>
        <v>-65.765000000000001</v>
      </c>
      <c r="Q72" s="14">
        <f ca="1">ALL!U51</f>
        <v>-69.307999999999993</v>
      </c>
      <c r="R72" s="14">
        <f ca="1">ALL!V51</f>
        <v>-70.176000000000002</v>
      </c>
      <c r="S72" s="14">
        <f ca="1">ALL!W51</f>
        <v>-71.022000000000006</v>
      </c>
      <c r="T72" s="14">
        <f ca="1">ALL!X51</f>
        <v>-71.867999999999995</v>
      </c>
      <c r="U72" s="14">
        <f ca="1">ALL!Y51</f>
        <v>-72.713000000000008</v>
      </c>
      <c r="V72" s="14">
        <f ca="1">ALL!Z51</f>
        <v>-76.020999999999987</v>
      </c>
      <c r="W72" s="14">
        <f ca="1">ALL!AA51</f>
        <v>-79.234999999999999</v>
      </c>
      <c r="X72" s="14">
        <f ca="1">ALL!AB51</f>
        <v>0</v>
      </c>
      <c r="Y72" s="14">
        <f ca="1">ALL!AC51</f>
        <v>0</v>
      </c>
      <c r="Z72" s="14">
        <f ca="1">ALL!AD51</f>
        <v>0</v>
      </c>
      <c r="AA72" s="14">
        <f ca="1">ALL!AE51</f>
        <v>0</v>
      </c>
      <c r="AB72" s="14">
        <f ca="1">ALL!AF51</f>
        <v>0</v>
      </c>
      <c r="AC72" s="14">
        <f ca="1">ALL!AG51</f>
        <v>0</v>
      </c>
      <c r="AD72" s="14">
        <f ca="1">ALL!AH51</f>
        <v>0</v>
      </c>
      <c r="AE72" s="14">
        <f ca="1">ALL!AI51</f>
        <v>0</v>
      </c>
      <c r="AF72" s="14">
        <f ca="1">ALL!AJ51</f>
        <v>0</v>
      </c>
      <c r="AG72" s="14">
        <f ca="1">ALL!AK51</f>
        <v>0</v>
      </c>
      <c r="AH72" s="14">
        <f ca="1">ALL!AL51</f>
        <v>0</v>
      </c>
      <c r="AI72" s="14">
        <f>ALL!AM51</f>
        <v>0</v>
      </c>
    </row>
    <row r="73" spans="1:94" ht="21.75" hidden="1" outlineLevel="1" thickBot="1" x14ac:dyDescent="0.4">
      <c r="A73" s="36" t="str">
        <f>ALL!E52</f>
        <v>(l)GeSe</v>
      </c>
      <c r="B73" s="16">
        <f ca="1">ALL!F52</f>
        <v>-38.14</v>
      </c>
      <c r="C73" s="16">
        <f ca="1">ALL!G52</f>
        <v>-35.22</v>
      </c>
      <c r="D73" s="16">
        <f ca="1">ALL!H52</f>
        <v>-32.93</v>
      </c>
      <c r="E73" s="16">
        <f ca="1">ALL!I52</f>
        <v>-31.146000000000001</v>
      </c>
      <c r="F73" s="14">
        <f ca="1">ALL!J52</f>
        <v>-29.802</v>
      </c>
      <c r="G73" s="14">
        <f ca="1">ALL!K52</f>
        <v>-29.033000000000001</v>
      </c>
      <c r="H73" s="14">
        <f ca="1">ALL!L52</f>
        <v>-28.966000000000001</v>
      </c>
      <c r="I73" s="14">
        <f ca="1">ALL!M52</f>
        <v>-29.872999999999998</v>
      </c>
      <c r="J73" s="14">
        <f ca="1">ALL!N52</f>
        <v>-30.373000000000001</v>
      </c>
      <c r="K73" s="14">
        <f ca="1">ALL!O52</f>
        <v>-30.934000000000001</v>
      </c>
      <c r="L73" s="14">
        <f ca="1">ALL!P52</f>
        <v>-31.491</v>
      </c>
      <c r="M73" s="14">
        <f ca="1">ALL!Q52</f>
        <v>-32.052</v>
      </c>
      <c r="N73" s="14">
        <f ca="1">ALL!R52</f>
        <v>-32.613</v>
      </c>
      <c r="O73" s="14">
        <f ca="1">ALL!S52</f>
        <v>-34.743000000000002</v>
      </c>
      <c r="P73" s="14">
        <f ca="1">ALL!T52</f>
        <v>-36.765000000000001</v>
      </c>
      <c r="Q73" s="14">
        <f ca="1">ALL!U52</f>
        <v>-38.677999999999997</v>
      </c>
      <c r="R73" s="14">
        <f ca="1">ALL!V52</f>
        <v>-39.146000000000001</v>
      </c>
      <c r="S73" s="14">
        <f ca="1">ALL!W52</f>
        <v>-39.602000000000004</v>
      </c>
      <c r="T73" s="14">
        <f ca="1">ALL!X52</f>
        <v>-40.058</v>
      </c>
      <c r="U73" s="14">
        <f ca="1">ALL!Y52</f>
        <v>-40.513000000000005</v>
      </c>
      <c r="V73" s="14">
        <f ca="1">ALL!Z52</f>
        <v>-42.290999999999997</v>
      </c>
      <c r="W73" s="14">
        <f ca="1">ALL!AA52</f>
        <v>-44.015000000000001</v>
      </c>
      <c r="X73" s="14">
        <f ca="1">ALL!AB52</f>
        <v>0</v>
      </c>
      <c r="Y73" s="14">
        <f ca="1">ALL!AC52</f>
        <v>0</v>
      </c>
      <c r="Z73" s="14">
        <f ca="1">ALL!AD52</f>
        <v>0</v>
      </c>
      <c r="AA73" s="14">
        <f ca="1">ALL!AE52</f>
        <v>0</v>
      </c>
      <c r="AB73" s="14">
        <f ca="1">ALL!AF52</f>
        <v>0</v>
      </c>
      <c r="AC73" s="14">
        <f ca="1">ALL!AG52</f>
        <v>0</v>
      </c>
      <c r="AD73" s="14">
        <f ca="1">ALL!AH52</f>
        <v>0</v>
      </c>
      <c r="AE73" s="14">
        <f ca="1">ALL!AI52</f>
        <v>0</v>
      </c>
      <c r="AF73" s="14">
        <f ca="1">ALL!AJ52</f>
        <v>0</v>
      </c>
      <c r="AG73" s="14">
        <f ca="1">ALL!AK52</f>
        <v>0</v>
      </c>
      <c r="AH73" s="14">
        <f ca="1">ALL!AL52</f>
        <v>0</v>
      </c>
      <c r="AI73" s="14">
        <f>ALL!AM52</f>
        <v>0</v>
      </c>
    </row>
    <row r="74" spans="1:94" ht="21.75" hidden="1" outlineLevel="1" thickBot="1" x14ac:dyDescent="0.4">
      <c r="A74" s="36" t="str">
        <f>ALL!E53</f>
        <v>(l)Ga2Se3</v>
      </c>
      <c r="B74" s="16">
        <f ca="1">ALL!F53</f>
        <v>-188</v>
      </c>
      <c r="C74" s="16">
        <f ca="1">ALL!G53</f>
        <v>-171.54000000000002</v>
      </c>
      <c r="D74" s="16">
        <f ca="1">ALL!H53</f>
        <v>-158.19</v>
      </c>
      <c r="E74" s="16">
        <f ca="1">ALL!I53</f>
        <v>-147.19999999999999</v>
      </c>
      <c r="F74" s="14">
        <f ca="1">ALL!J53</f>
        <v>-137.99</v>
      </c>
      <c r="G74" s="14">
        <f ca="1">ALL!K53</f>
        <v>-130.22</v>
      </c>
      <c r="H74" s="14">
        <f ca="1">ALL!L53</f>
        <v>-123.69</v>
      </c>
      <c r="I74" s="14">
        <f ca="1">ALL!M53</f>
        <v>-122.7</v>
      </c>
      <c r="J74" s="14">
        <f ca="1">ALL!N53</f>
        <v>-126.81</v>
      </c>
      <c r="K74" s="14">
        <f ca="1">ALL!O53</f>
        <v>-130.91</v>
      </c>
      <c r="L74" s="14">
        <f ca="1">ALL!P53</f>
        <v>-134.91</v>
      </c>
      <c r="M74" s="14">
        <f ca="1">ALL!Q53</f>
        <v>-138.85</v>
      </c>
      <c r="N74" s="14">
        <f ca="1">ALL!R53</f>
        <v>-142.72999999999999</v>
      </c>
      <c r="O74" s="14">
        <f ca="1">ALL!S53</f>
        <v>-157.18</v>
      </c>
      <c r="P74" s="14">
        <f ca="1">ALL!T53</f>
        <v>-169.86</v>
      </c>
      <c r="Q74" s="14">
        <f ca="1">ALL!U53</f>
        <v>-180.55</v>
      </c>
      <c r="R74" s="14">
        <f ca="1">ALL!V53</f>
        <v>-182.89</v>
      </c>
      <c r="S74" s="14">
        <f ca="1">ALL!W53</f>
        <v>-185.10000000000002</v>
      </c>
      <c r="T74" s="14">
        <f ca="1">ALL!X53</f>
        <v>-187.14999999999998</v>
      </c>
      <c r="U74" s="14">
        <f ca="1">ALL!Y53</f>
        <v>-189.10000000000002</v>
      </c>
      <c r="V74" s="14">
        <f ca="1">ALL!Z53</f>
        <v>-195.41</v>
      </c>
      <c r="W74" s="14">
        <f ca="1">ALL!AA53</f>
        <v>-199.36</v>
      </c>
      <c r="X74" s="14">
        <f ca="1">ALL!AB53</f>
        <v>0</v>
      </c>
      <c r="Y74" s="14">
        <f ca="1">ALL!AC53</f>
        <v>0</v>
      </c>
      <c r="Z74" s="14">
        <f ca="1">ALL!AD53</f>
        <v>0</v>
      </c>
      <c r="AA74" s="14">
        <f ca="1">ALL!AE53</f>
        <v>0</v>
      </c>
      <c r="AB74" s="14">
        <f ca="1">ALL!AF53</f>
        <v>0</v>
      </c>
      <c r="AC74" s="14">
        <f ca="1">ALL!AG53</f>
        <v>0</v>
      </c>
      <c r="AD74" s="14">
        <f ca="1">ALL!AH53</f>
        <v>0</v>
      </c>
      <c r="AE74" s="14">
        <f ca="1">ALL!AI53</f>
        <v>0</v>
      </c>
      <c r="AF74" s="14">
        <f ca="1">ALL!AJ53</f>
        <v>0</v>
      </c>
      <c r="AG74" s="14">
        <f ca="1">ALL!AK53</f>
        <v>0</v>
      </c>
      <c r="AH74" s="14">
        <f ca="1">ALL!AL53</f>
        <v>0</v>
      </c>
      <c r="AI74" s="14">
        <f>ALL!AM53</f>
        <v>0</v>
      </c>
    </row>
    <row r="75" spans="1:94" ht="21.75" hidden="1" outlineLevel="1" thickBot="1" x14ac:dyDescent="0.4">
      <c r="A75" s="36" t="str">
        <f>ALL!E54</f>
        <v>(l)Ge</v>
      </c>
      <c r="B75" s="16">
        <f ca="1">ALL!F54</f>
        <v>-16</v>
      </c>
      <c r="C75" s="16">
        <f ca="1">ALL!G54</f>
        <v>-13.92</v>
      </c>
      <c r="D75" s="16">
        <f ca="1">ALL!H54</f>
        <v>-11.54</v>
      </c>
      <c r="E75" s="16">
        <f ca="1">ALL!I54</f>
        <v>-9.3460000000000001</v>
      </c>
      <c r="F75" s="14">
        <f ca="1">ALL!J54</f>
        <v>-7.6120000000000001</v>
      </c>
      <c r="G75" s="14">
        <f ca="1">ALL!K54</f>
        <v>-6.5529999999999999</v>
      </c>
      <c r="H75" s="14">
        <f ca="1">ALL!L54</f>
        <v>-6.1760000000000002</v>
      </c>
      <c r="I75" s="14">
        <f ca="1">ALL!M54</f>
        <v>-6.8330000000000002</v>
      </c>
      <c r="J75" s="14">
        <f ca="1">ALL!N54</f>
        <v>-6.843</v>
      </c>
      <c r="K75" s="14">
        <f ca="1">ALL!O54</f>
        <v>-6.9039999999999999</v>
      </c>
      <c r="L75" s="14">
        <f ca="1">ALL!P54</f>
        <v>-6.9809999999999999</v>
      </c>
      <c r="M75" s="14">
        <f ca="1">ALL!Q54</f>
        <v>-7.0620000000000003</v>
      </c>
      <c r="N75" s="14">
        <f ca="1">ALL!R54</f>
        <v>-7.1429999999999998</v>
      </c>
      <c r="O75" s="14">
        <f ca="1">ALL!S54</f>
        <v>-7.4630000000000001</v>
      </c>
      <c r="P75" s="14">
        <f ca="1">ALL!T54</f>
        <v>-7.7649999999999997</v>
      </c>
      <c r="Q75" s="14">
        <f ca="1">ALL!U54</f>
        <v>-8.048</v>
      </c>
      <c r="R75" s="14">
        <f ca="1">ALL!V54</f>
        <v>-8.1159999999999997</v>
      </c>
      <c r="S75" s="14">
        <f ca="1">ALL!W54</f>
        <v>-8.1820000000000004</v>
      </c>
      <c r="T75" s="14">
        <f ca="1">ALL!X54</f>
        <v>-8.2479999999999993</v>
      </c>
      <c r="U75" s="14">
        <f ca="1">ALL!Y54</f>
        <v>-8.3130000000000006</v>
      </c>
      <c r="V75" s="14">
        <f ca="1">ALL!Z54</f>
        <v>-8.5609999999999999</v>
      </c>
      <c r="W75" s="14">
        <f ca="1">ALL!AA54</f>
        <v>-8.7949999999999999</v>
      </c>
      <c r="X75" s="14">
        <f ca="1">ALL!AB54</f>
        <v>0</v>
      </c>
      <c r="Y75" s="14">
        <f ca="1">ALL!AC54</f>
        <v>0</v>
      </c>
      <c r="Z75" s="14">
        <f ca="1">ALL!AD54</f>
        <v>0</v>
      </c>
      <c r="AA75" s="14">
        <f ca="1">ALL!AE54</f>
        <v>0</v>
      </c>
      <c r="AB75" s="14">
        <f ca="1">ALL!AF54</f>
        <v>0</v>
      </c>
      <c r="AC75" s="14">
        <f ca="1">ALL!AG54</f>
        <v>0</v>
      </c>
      <c r="AD75" s="14">
        <f ca="1">ALL!AH54</f>
        <v>0</v>
      </c>
      <c r="AE75" s="14">
        <f ca="1">ALL!AI54</f>
        <v>0</v>
      </c>
      <c r="AF75" s="14">
        <f ca="1">ALL!AJ54</f>
        <v>0</v>
      </c>
      <c r="AG75" s="14">
        <f ca="1">ALL!AK54</f>
        <v>0</v>
      </c>
      <c r="AH75" s="14">
        <f ca="1">ALL!AL54</f>
        <v>0</v>
      </c>
      <c r="AI75" s="14">
        <f>ALL!AM54</f>
        <v>0</v>
      </c>
    </row>
    <row r="76" spans="1:94" ht="21.75" hidden="1" outlineLevel="1" thickBot="1" x14ac:dyDescent="0.4">
      <c r="A76" s="36" t="str">
        <f>ALL!E55</f>
        <v>(l)Ga</v>
      </c>
      <c r="B76" s="16">
        <f ca="1">ALL!F55</f>
        <v>-60.79</v>
      </c>
      <c r="C76" s="16">
        <f ca="1">ALL!G55</f>
        <v>-53.82</v>
      </c>
      <c r="D76" s="16">
        <f ca="1">ALL!H55</f>
        <v>-47.01</v>
      </c>
      <c r="E76" s="16">
        <f ca="1">ALL!I55</f>
        <v>-40.9</v>
      </c>
      <c r="F76" s="14">
        <f ca="1">ALL!J55</f>
        <v>-35.71</v>
      </c>
      <c r="G76" s="14">
        <f ca="1">ALL!K55</f>
        <v>-31.39</v>
      </c>
      <c r="H76" s="14">
        <f ca="1">ALL!L55</f>
        <v>-27.66</v>
      </c>
      <c r="I76" s="14">
        <f ca="1">ALL!M55</f>
        <v>-26.79</v>
      </c>
      <c r="J76" s="14">
        <f ca="1">ALL!N55</f>
        <v>-28.11</v>
      </c>
      <c r="K76" s="14">
        <f ca="1">ALL!O55</f>
        <v>-29.41</v>
      </c>
      <c r="L76" s="14">
        <f ca="1">ALL!P55</f>
        <v>-30.69</v>
      </c>
      <c r="M76" s="14">
        <f ca="1">ALL!Q55</f>
        <v>-31.94</v>
      </c>
      <c r="N76" s="14">
        <f ca="1">ALL!R55</f>
        <v>-33.159999999999997</v>
      </c>
      <c r="O76" s="14">
        <f ca="1">ALL!S55</f>
        <v>-37.67</v>
      </c>
      <c r="P76" s="14">
        <f ca="1">ALL!T55</f>
        <v>-41.43</v>
      </c>
      <c r="Q76" s="14">
        <f ca="1">ALL!U55</f>
        <v>-44.33</v>
      </c>
      <c r="R76" s="14">
        <f ca="1">ALL!V55</f>
        <v>-44.9</v>
      </c>
      <c r="S76" s="14">
        <f ca="1">ALL!W55</f>
        <v>-45.42</v>
      </c>
      <c r="T76" s="14">
        <f ca="1">ALL!X55</f>
        <v>-45.86</v>
      </c>
      <c r="U76" s="14">
        <f ca="1">ALL!Y55</f>
        <v>-46.25</v>
      </c>
      <c r="V76" s="14">
        <f ca="1">ALL!Z55</f>
        <v>-47.11</v>
      </c>
      <c r="W76" s="14">
        <f ca="1">ALL!AA55</f>
        <v>-46.85</v>
      </c>
      <c r="X76" s="14">
        <f ca="1">ALL!AB55</f>
        <v>0</v>
      </c>
      <c r="Y76" s="14">
        <f ca="1">ALL!AC55</f>
        <v>0</v>
      </c>
      <c r="Z76" s="14">
        <f ca="1">ALL!AD55</f>
        <v>0</v>
      </c>
      <c r="AA76" s="14">
        <f ca="1">ALL!AE55</f>
        <v>0</v>
      </c>
      <c r="AB76" s="14">
        <f ca="1">ALL!AF55</f>
        <v>0</v>
      </c>
      <c r="AC76" s="14">
        <f ca="1">ALL!AG55</f>
        <v>0</v>
      </c>
      <c r="AD76" s="14">
        <f ca="1">ALL!AH55</f>
        <v>0</v>
      </c>
      <c r="AE76" s="14">
        <f ca="1">ALL!AI55</f>
        <v>0</v>
      </c>
      <c r="AF76" s="14">
        <f ca="1">ALL!AJ55</f>
        <v>0</v>
      </c>
      <c r="AG76" s="14">
        <f ca="1">ALL!AK55</f>
        <v>0</v>
      </c>
      <c r="AH76" s="14">
        <f ca="1">ALL!AL55</f>
        <v>0</v>
      </c>
      <c r="AI76" s="14">
        <f>ALL!AM55</f>
        <v>0</v>
      </c>
    </row>
    <row r="77" spans="1:94" ht="21.75" hidden="1" outlineLevel="1" thickBot="1" x14ac:dyDescent="0.4">
      <c r="A77" s="36" t="str">
        <f>ALL!E56</f>
        <v>(l)Se</v>
      </c>
      <c r="B77" s="16">
        <f ca="1">ALL!F56</f>
        <v>-22.14</v>
      </c>
      <c r="C77" s="16">
        <f ca="1">ALL!G56</f>
        <v>-21.3</v>
      </c>
      <c r="D77" s="16">
        <f ca="1">ALL!H56</f>
        <v>-21.39</v>
      </c>
      <c r="E77" s="16">
        <f ca="1">ALL!I56</f>
        <v>-21.8</v>
      </c>
      <c r="F77" s="14">
        <f ca="1">ALL!J56</f>
        <v>-22.19</v>
      </c>
      <c r="G77" s="14">
        <f ca="1">ALL!K56</f>
        <v>-22.48</v>
      </c>
      <c r="H77" s="14">
        <f ca="1">ALL!L56</f>
        <v>-22.79</v>
      </c>
      <c r="I77" s="14">
        <f ca="1">ALL!M56</f>
        <v>-23.04</v>
      </c>
      <c r="J77" s="14">
        <f ca="1">ALL!N56</f>
        <v>-23.53</v>
      </c>
      <c r="K77" s="14">
        <f ca="1">ALL!O56</f>
        <v>-24.03</v>
      </c>
      <c r="L77" s="14">
        <f ca="1">ALL!P56</f>
        <v>-24.51</v>
      </c>
      <c r="M77" s="14">
        <f ca="1">ALL!Q56</f>
        <v>-24.99</v>
      </c>
      <c r="N77" s="14">
        <f ca="1">ALL!R56</f>
        <v>-25.47</v>
      </c>
      <c r="O77" s="14">
        <f ca="1">ALL!S56</f>
        <v>-27.28</v>
      </c>
      <c r="P77" s="14">
        <f ca="1">ALL!T56</f>
        <v>-29</v>
      </c>
      <c r="Q77" s="14">
        <f ca="1">ALL!U56</f>
        <v>-30.63</v>
      </c>
      <c r="R77" s="14">
        <f ca="1">ALL!V56</f>
        <v>-31.03</v>
      </c>
      <c r="S77" s="14">
        <f ca="1">ALL!W56</f>
        <v>-31.42</v>
      </c>
      <c r="T77" s="14">
        <f ca="1">ALL!X56</f>
        <v>-31.81</v>
      </c>
      <c r="U77" s="14">
        <f ca="1">ALL!Y56</f>
        <v>-32.200000000000003</v>
      </c>
      <c r="V77" s="14">
        <f ca="1">ALL!Z56</f>
        <v>-33.729999999999997</v>
      </c>
      <c r="W77" s="14">
        <f ca="1">ALL!AA56</f>
        <v>-35.22</v>
      </c>
      <c r="X77" s="14">
        <f ca="1">ALL!AB56</f>
        <v>0</v>
      </c>
      <c r="Y77" s="14">
        <f ca="1">ALL!AC56</f>
        <v>0</v>
      </c>
      <c r="Z77" s="14">
        <f ca="1">ALL!AD56</f>
        <v>0</v>
      </c>
      <c r="AA77" s="14">
        <f ca="1">ALL!AE56</f>
        <v>0</v>
      </c>
      <c r="AB77" s="14">
        <f ca="1">ALL!AF56</f>
        <v>0</v>
      </c>
      <c r="AC77" s="14">
        <f ca="1">ALL!AG56</f>
        <v>0</v>
      </c>
      <c r="AD77" s="14">
        <f ca="1">ALL!AH56</f>
        <v>0</v>
      </c>
      <c r="AE77" s="14">
        <f ca="1">ALL!AI56</f>
        <v>0</v>
      </c>
      <c r="AF77" s="14">
        <f ca="1">ALL!AJ56</f>
        <v>0</v>
      </c>
      <c r="AG77" s="14">
        <f ca="1">ALL!AK56</f>
        <v>0</v>
      </c>
      <c r="AH77" s="14">
        <f ca="1">ALL!AL56</f>
        <v>0</v>
      </c>
      <c r="AI77" s="14">
        <f>ALL!AM56</f>
        <v>0</v>
      </c>
    </row>
    <row r="78" spans="1:94" ht="21.75" hidden="1" outlineLevel="1" thickBot="1" x14ac:dyDescent="0.4">
      <c r="A78" s="36" t="str">
        <f>ALL!E57</f>
        <v>(l)Se[a]</v>
      </c>
      <c r="B78" s="16">
        <f ca="1">ALL!F57</f>
        <v>-22.14</v>
      </c>
      <c r="C78" s="16">
        <f ca="1">ALL!G57</f>
        <v>-21.3</v>
      </c>
      <c r="D78" s="16">
        <f ca="1">ALL!H57</f>
        <v>-21.39</v>
      </c>
      <c r="E78" s="16">
        <f ca="1">ALL!I57</f>
        <v>-21.8</v>
      </c>
      <c r="F78" s="14">
        <f ca="1">ALL!J57</f>
        <v>-22.19</v>
      </c>
      <c r="G78" s="14">
        <f ca="1">ALL!K57</f>
        <v>-22.48</v>
      </c>
      <c r="H78" s="14">
        <f ca="1">ALL!L57</f>
        <v>-22.79</v>
      </c>
      <c r="I78" s="14">
        <f ca="1">ALL!M57</f>
        <v>-23.04</v>
      </c>
      <c r="J78" s="14">
        <f ca="1">ALL!N57</f>
        <v>-23.53</v>
      </c>
      <c r="K78" s="14">
        <f ca="1">ALL!O57</f>
        <v>-24.03</v>
      </c>
      <c r="L78" s="14">
        <f ca="1">ALL!P57</f>
        <v>-24.51</v>
      </c>
      <c r="M78" s="14">
        <f ca="1">ALL!Q57</f>
        <v>-24.99</v>
      </c>
      <c r="N78" s="14">
        <f ca="1">ALL!R57</f>
        <v>-25.47</v>
      </c>
      <c r="O78" s="14">
        <f ca="1">ALL!S57</f>
        <v>-27.28</v>
      </c>
      <c r="P78" s="14">
        <f ca="1">ALL!T57</f>
        <v>-29</v>
      </c>
      <c r="Q78" s="14">
        <f ca="1">ALL!U57</f>
        <v>-30.63</v>
      </c>
      <c r="R78" s="14">
        <f ca="1">ALL!V57</f>
        <v>-31.03</v>
      </c>
      <c r="S78" s="14">
        <f ca="1">ALL!W57</f>
        <v>-31.42</v>
      </c>
      <c r="T78" s="14">
        <f ca="1">ALL!X57</f>
        <v>-31.81</v>
      </c>
      <c r="U78" s="14">
        <f ca="1">ALL!Y57</f>
        <v>-32.200000000000003</v>
      </c>
      <c r="V78" s="14">
        <f ca="1">ALL!Z57</f>
        <v>-33.729999999999997</v>
      </c>
      <c r="W78" s="14">
        <f ca="1">ALL!AA57</f>
        <v>-35.22</v>
      </c>
      <c r="X78" s="14">
        <f ca="1">ALL!AB57</f>
        <v>0</v>
      </c>
      <c r="Y78" s="14">
        <f ca="1">ALL!AC57</f>
        <v>0</v>
      </c>
      <c r="Z78" s="14">
        <f ca="1">ALL!AD57</f>
        <v>0</v>
      </c>
      <c r="AA78" s="14">
        <f ca="1">ALL!AE57</f>
        <v>0</v>
      </c>
      <c r="AB78" s="14">
        <f ca="1">ALL!AF57</f>
        <v>0</v>
      </c>
      <c r="AC78" s="14">
        <f ca="1">ALL!AG57</f>
        <v>0</v>
      </c>
      <c r="AD78" s="14">
        <f ca="1">ALL!AH57</f>
        <v>0</v>
      </c>
      <c r="AE78" s="14">
        <f ca="1">ALL!AI57</f>
        <v>0</v>
      </c>
      <c r="AF78" s="14">
        <f ca="1">ALL!AJ57</f>
        <v>0</v>
      </c>
      <c r="AG78" s="14">
        <f ca="1">ALL!AK57</f>
        <v>0</v>
      </c>
      <c r="AH78" s="14">
        <f ca="1">ALL!AL57</f>
        <v>0</v>
      </c>
      <c r="AI78" s="14">
        <f>ALL!AM57</f>
        <v>0</v>
      </c>
    </row>
    <row r="79" spans="1:94" ht="21.75" hidden="1" outlineLevel="1" thickBot="1" x14ac:dyDescent="0.4">
      <c r="A79" s="36" t="str">
        <f>ALL!E58</f>
        <v>(l)Se[m]</v>
      </c>
      <c r="B79" s="16">
        <f ca="1">ALL!F58</f>
        <v>-22.14</v>
      </c>
      <c r="C79" s="16">
        <f ca="1">ALL!G58</f>
        <v>-21.3</v>
      </c>
      <c r="D79" s="16">
        <f ca="1">ALL!H58</f>
        <v>-21.39</v>
      </c>
      <c r="E79" s="16">
        <f ca="1">ALL!I58</f>
        <v>-21.8</v>
      </c>
      <c r="F79" s="14">
        <f ca="1">ALL!J58</f>
        <v>-22.19</v>
      </c>
      <c r="G79" s="14">
        <f ca="1">ALL!K58</f>
        <v>-22.48</v>
      </c>
      <c r="H79" s="14">
        <f ca="1">ALL!L58</f>
        <v>-22.79</v>
      </c>
      <c r="I79" s="14">
        <f ca="1">ALL!M58</f>
        <v>-23.04</v>
      </c>
      <c r="J79" s="14">
        <f ca="1">ALL!N58</f>
        <v>-23.53</v>
      </c>
      <c r="K79" s="14">
        <f ca="1">ALL!O58</f>
        <v>-24.03</v>
      </c>
      <c r="L79" s="14">
        <f ca="1">ALL!P58</f>
        <v>-24.51</v>
      </c>
      <c r="M79" s="14">
        <f ca="1">ALL!Q58</f>
        <v>-24.99</v>
      </c>
      <c r="N79" s="14">
        <f ca="1">ALL!R58</f>
        <v>-25.47</v>
      </c>
      <c r="O79" s="14">
        <f ca="1">ALL!S58</f>
        <v>-27.28</v>
      </c>
      <c r="P79" s="14">
        <f ca="1">ALL!T58</f>
        <v>-29</v>
      </c>
      <c r="Q79" s="14">
        <f ca="1">ALL!U58</f>
        <v>-30.63</v>
      </c>
      <c r="R79" s="14">
        <f ca="1">ALL!V58</f>
        <v>-31.03</v>
      </c>
      <c r="S79" s="14">
        <f ca="1">ALL!W58</f>
        <v>-31.42</v>
      </c>
      <c r="T79" s="14">
        <f ca="1">ALL!X58</f>
        <v>-31.81</v>
      </c>
      <c r="U79" s="14">
        <f ca="1">ALL!Y58</f>
        <v>-32.200000000000003</v>
      </c>
      <c r="V79" s="14">
        <f ca="1">ALL!Z58</f>
        <v>-33.729999999999997</v>
      </c>
      <c r="W79" s="14">
        <f ca="1">ALL!AA58</f>
        <v>-35.22</v>
      </c>
      <c r="X79" s="14">
        <f ca="1">ALL!AB58</f>
        <v>0</v>
      </c>
      <c r="Y79" s="14">
        <f ca="1">ALL!AC58</f>
        <v>0</v>
      </c>
      <c r="Z79" s="14">
        <f ca="1">ALL!AD58</f>
        <v>0</v>
      </c>
      <c r="AA79" s="14">
        <f ca="1">ALL!AE58</f>
        <v>0</v>
      </c>
      <c r="AB79" s="14">
        <f ca="1">ALL!AF58</f>
        <v>0</v>
      </c>
      <c r="AC79" s="14">
        <f ca="1">ALL!AG58</f>
        <v>0</v>
      </c>
      <c r="AD79" s="14">
        <f ca="1">ALL!AH58</f>
        <v>0</v>
      </c>
      <c r="AE79" s="14">
        <f ca="1">ALL!AI58</f>
        <v>0</v>
      </c>
      <c r="AF79" s="14">
        <f ca="1">ALL!AJ58</f>
        <v>0</v>
      </c>
      <c r="AG79" s="14">
        <f ca="1">ALL!AK58</f>
        <v>0</v>
      </c>
      <c r="AH79" s="14">
        <f ca="1">ALL!AL58</f>
        <v>0</v>
      </c>
      <c r="AI79" s="14">
        <f>ALL!AM58</f>
        <v>0</v>
      </c>
    </row>
    <row r="80" spans="1:94" ht="21.75" hidden="1" outlineLevel="1" thickBot="1" x14ac:dyDescent="0.4">
      <c r="A80" s="36" t="str">
        <f>ALL!E59</f>
        <v>(l)Se[r]</v>
      </c>
      <c r="B80" s="16">
        <f ca="1">ALL!F59</f>
        <v>-22.14</v>
      </c>
      <c r="C80" s="16">
        <f ca="1">ALL!G59</f>
        <v>-21.3</v>
      </c>
      <c r="D80" s="16">
        <f ca="1">ALL!H59</f>
        <v>-21.39</v>
      </c>
      <c r="E80" s="16">
        <f ca="1">ALL!I59</f>
        <v>-21.8</v>
      </c>
      <c r="F80" s="14">
        <f ca="1">ALL!J59</f>
        <v>-22.19</v>
      </c>
      <c r="G80" s="14">
        <f ca="1">ALL!K59</f>
        <v>-22.48</v>
      </c>
      <c r="H80" s="14">
        <f ca="1">ALL!L59</f>
        <v>-22.79</v>
      </c>
      <c r="I80" s="14">
        <f ca="1">ALL!M59</f>
        <v>-23.04</v>
      </c>
      <c r="J80" s="14">
        <f ca="1">ALL!N59</f>
        <v>-23.53</v>
      </c>
      <c r="K80" s="14">
        <f ca="1">ALL!O59</f>
        <v>-24.03</v>
      </c>
      <c r="L80" s="14">
        <f ca="1">ALL!P59</f>
        <v>-24.51</v>
      </c>
      <c r="M80" s="14">
        <f ca="1">ALL!Q59</f>
        <v>-24.99</v>
      </c>
      <c r="N80" s="14">
        <f ca="1">ALL!R59</f>
        <v>-25.47</v>
      </c>
      <c r="O80" s="14">
        <f ca="1">ALL!S59</f>
        <v>-27.28</v>
      </c>
      <c r="P80" s="14">
        <f ca="1">ALL!T59</f>
        <v>-29</v>
      </c>
      <c r="Q80" s="14">
        <f ca="1">ALL!U59</f>
        <v>-30.63</v>
      </c>
      <c r="R80" s="14">
        <f ca="1">ALL!V59</f>
        <v>-31.03</v>
      </c>
      <c r="S80" s="14">
        <f ca="1">ALL!W59</f>
        <v>-31.42</v>
      </c>
      <c r="T80" s="14">
        <f ca="1">ALL!X59</f>
        <v>-31.81</v>
      </c>
      <c r="U80" s="14">
        <f ca="1">ALL!Y59</f>
        <v>-32.200000000000003</v>
      </c>
      <c r="V80" s="14">
        <f ca="1">ALL!Z59</f>
        <v>-33.729999999999997</v>
      </c>
      <c r="W80" s="14">
        <f ca="1">ALL!AA59</f>
        <v>-35.22</v>
      </c>
      <c r="X80" s="14">
        <f ca="1">ALL!AB59</f>
        <v>0</v>
      </c>
      <c r="Y80" s="14">
        <f ca="1">ALL!AC59</f>
        <v>0</v>
      </c>
      <c r="Z80" s="14">
        <f ca="1">ALL!AD59</f>
        <v>0</v>
      </c>
      <c r="AA80" s="14">
        <f ca="1">ALL!AE59</f>
        <v>0</v>
      </c>
      <c r="AB80" s="14">
        <f ca="1">ALL!AF59</f>
        <v>0</v>
      </c>
      <c r="AC80" s="14">
        <f ca="1">ALL!AG59</f>
        <v>0</v>
      </c>
      <c r="AD80" s="14">
        <f ca="1">ALL!AH59</f>
        <v>0</v>
      </c>
      <c r="AE80" s="14">
        <f ca="1">ALL!AI59</f>
        <v>0</v>
      </c>
      <c r="AF80" s="14">
        <f ca="1">ALL!AJ59</f>
        <v>0</v>
      </c>
      <c r="AG80" s="14">
        <f ca="1">ALL!AK59</f>
        <v>0</v>
      </c>
      <c r="AH80" s="14">
        <f ca="1">ALL!AL59</f>
        <v>0</v>
      </c>
      <c r="AI80" s="14">
        <f>ALL!AM59</f>
        <v>0</v>
      </c>
    </row>
    <row r="81" spans="1:35" ht="21.75" hidden="1" outlineLevel="1" thickBot="1" x14ac:dyDescent="0.4">
      <c r="A81" s="36" t="str">
        <f>ALL!E60</f>
        <v>(l)Ge[c]</v>
      </c>
      <c r="B81" s="16">
        <f ca="1">ALL!F60</f>
        <v>-16</v>
      </c>
      <c r="C81" s="16">
        <f ca="1">ALL!G60</f>
        <v>-13.92</v>
      </c>
      <c r="D81" s="16">
        <f ca="1">ALL!H60</f>
        <v>-11.54</v>
      </c>
      <c r="E81" s="16">
        <f ca="1">ALL!I60</f>
        <v>-9.3460000000000001</v>
      </c>
      <c r="F81" s="14">
        <f ca="1">ALL!J60</f>
        <v>-7.6120000000000001</v>
      </c>
      <c r="G81" s="14">
        <f ca="1">ALL!K60</f>
        <v>-6.5529999999999999</v>
      </c>
      <c r="H81" s="14">
        <f ca="1">ALL!L60</f>
        <v>-6.1760000000000002</v>
      </c>
      <c r="I81" s="14">
        <f ca="1">ALL!M60</f>
        <v>-6.8330000000000002</v>
      </c>
      <c r="J81" s="14">
        <f ca="1">ALL!N60</f>
        <v>-6.843</v>
      </c>
      <c r="K81" s="14">
        <f ca="1">ALL!O60</f>
        <v>-6.9039999999999999</v>
      </c>
      <c r="L81" s="14">
        <f ca="1">ALL!P60</f>
        <v>-6.9809999999999999</v>
      </c>
      <c r="M81" s="14">
        <f ca="1">ALL!Q60</f>
        <v>-7.0620000000000003</v>
      </c>
      <c r="N81" s="14">
        <f ca="1">ALL!R60</f>
        <v>-7.1429999999999998</v>
      </c>
      <c r="O81" s="14">
        <f ca="1">ALL!S60</f>
        <v>-7.4630000000000001</v>
      </c>
      <c r="P81" s="14">
        <f ca="1">ALL!T60</f>
        <v>-7.7649999999999997</v>
      </c>
      <c r="Q81" s="14">
        <f ca="1">ALL!U60</f>
        <v>-8.048</v>
      </c>
      <c r="R81" s="14">
        <f ca="1">ALL!V60</f>
        <v>-8.1159999999999997</v>
      </c>
      <c r="S81" s="14">
        <f ca="1">ALL!W60</f>
        <v>-8.1820000000000004</v>
      </c>
      <c r="T81" s="14">
        <f ca="1">ALL!X60</f>
        <v>-8.2479999999999993</v>
      </c>
      <c r="U81" s="14">
        <f ca="1">ALL!Y60</f>
        <v>-8.3130000000000006</v>
      </c>
      <c r="V81" s="14">
        <f ca="1">ALL!Z60</f>
        <v>-8.5609999999999999</v>
      </c>
      <c r="W81" s="14">
        <f ca="1">ALL!AA60</f>
        <v>-8.7949999999999999</v>
      </c>
      <c r="X81" s="14">
        <f ca="1">ALL!AB60</f>
        <v>0</v>
      </c>
      <c r="Y81" s="14">
        <f ca="1">ALL!AC60</f>
        <v>0</v>
      </c>
      <c r="Z81" s="14">
        <f ca="1">ALL!AD60</f>
        <v>0</v>
      </c>
      <c r="AA81" s="14">
        <f ca="1">ALL!AE60</f>
        <v>0</v>
      </c>
      <c r="AB81" s="14">
        <f ca="1">ALL!AF60</f>
        <v>0</v>
      </c>
      <c r="AC81" s="14">
        <f ca="1">ALL!AG60</f>
        <v>0</v>
      </c>
      <c r="AD81" s="14">
        <f ca="1">ALL!AH60</f>
        <v>0</v>
      </c>
      <c r="AE81" s="14">
        <f ca="1">ALL!AI60</f>
        <v>0</v>
      </c>
      <c r="AF81" s="14">
        <f ca="1">ALL!AJ60</f>
        <v>0</v>
      </c>
      <c r="AG81" s="14">
        <f ca="1">ALL!AK60</f>
        <v>0</v>
      </c>
      <c r="AH81" s="14">
        <f ca="1">ALL!AL60</f>
        <v>0</v>
      </c>
      <c r="AI81" s="14">
        <f>ALL!AM60</f>
        <v>0</v>
      </c>
    </row>
    <row r="82" spans="1:35" ht="21.75" hidden="1" outlineLevel="1" thickBot="1" x14ac:dyDescent="0.4">
      <c r="A82" s="36" t="str">
        <f>ALL!E61</f>
        <v>H (Ar)</v>
      </c>
      <c r="B82" s="16">
        <f ca="1">ALL!F61</f>
        <v>-18.88</v>
      </c>
      <c r="C82" s="16">
        <f ca="1">ALL!G61</f>
        <v>-18.87</v>
      </c>
      <c r="D82" s="16">
        <f ca="1">ALL!H61</f>
        <v>-18.899999999999999</v>
      </c>
      <c r="E82" s="16">
        <f ca="1">ALL!I61</f>
        <v>-18.940000000000001</v>
      </c>
      <c r="F82" s="14">
        <f ca="1">ALL!J61</f>
        <v>-18.989999999999998</v>
      </c>
      <c r="G82" s="14">
        <f ca="1">ALL!K61</f>
        <v>-19.04</v>
      </c>
      <c r="H82" s="14">
        <f ca="1">ALL!L61</f>
        <v>-19.07</v>
      </c>
      <c r="I82" s="14">
        <f ca="1">ALL!M61</f>
        <v>-18.96</v>
      </c>
      <c r="J82" s="14">
        <f ca="1">ALL!N61</f>
        <v>-19.03</v>
      </c>
      <c r="K82" s="14">
        <f ca="1">ALL!O61</f>
        <v>-19.100000000000001</v>
      </c>
      <c r="L82" s="14">
        <f ca="1">ALL!P61</f>
        <v>-19.170000000000002</v>
      </c>
      <c r="M82" s="14">
        <f ca="1">ALL!Q61</f>
        <v>-19.239999999999998</v>
      </c>
      <c r="N82" s="14">
        <f ca="1">ALL!R61</f>
        <v>-19.309999999999999</v>
      </c>
      <c r="O82" s="14">
        <f ca="1">ALL!S61</f>
        <v>-19.57</v>
      </c>
      <c r="P82" s="14">
        <f ca="1">ALL!T61</f>
        <v>-19.82</v>
      </c>
      <c r="Q82" s="14">
        <f ca="1">ALL!U61</f>
        <v>-20.05</v>
      </c>
      <c r="R82" s="14">
        <f ca="1">ALL!V61</f>
        <v>-20.11</v>
      </c>
      <c r="S82" s="14">
        <f ca="1">ALL!W61</f>
        <v>-20.16</v>
      </c>
      <c r="T82" s="14">
        <f ca="1">ALL!X61</f>
        <v>-20.21</v>
      </c>
      <c r="U82" s="14">
        <f ca="1">ALL!Y61</f>
        <v>-20.260000000000002</v>
      </c>
      <c r="V82" s="14">
        <f ca="1">ALL!Z61</f>
        <v>-20.46</v>
      </c>
      <c r="W82" s="14">
        <f ca="1">ALL!AA61</f>
        <v>-20.65</v>
      </c>
      <c r="X82" s="14">
        <f ca="1">ALL!AB61</f>
        <v>0</v>
      </c>
      <c r="Y82" s="14">
        <f ca="1">ALL!AC61</f>
        <v>0</v>
      </c>
      <c r="Z82" s="14">
        <f ca="1">ALL!AD61</f>
        <v>0</v>
      </c>
      <c r="AA82" s="14">
        <f ca="1">ALL!AE61</f>
        <v>0</v>
      </c>
      <c r="AB82" s="14">
        <f ca="1">ALL!AF61</f>
        <v>0</v>
      </c>
      <c r="AC82" s="14">
        <f ca="1">ALL!AG61</f>
        <v>0</v>
      </c>
      <c r="AD82" s="14">
        <f ca="1">ALL!AH61</f>
        <v>0</v>
      </c>
      <c r="AE82" s="14">
        <f ca="1">ALL!AI61</f>
        <v>0</v>
      </c>
      <c r="AF82" s="14">
        <f ca="1">ALL!AJ61</f>
        <v>0</v>
      </c>
      <c r="AG82" s="14">
        <f ca="1">ALL!AK61</f>
        <v>0</v>
      </c>
      <c r="AH82" s="14">
        <f ca="1">ALL!AL61</f>
        <v>0</v>
      </c>
      <c r="AI82" s="14">
        <f>ALL!AM61</f>
        <v>0</v>
      </c>
    </row>
    <row r="83" spans="1:35" ht="21.75" hidden="1" outlineLevel="1" thickBot="1" x14ac:dyDescent="0.4">
      <c r="A83" s="36" t="str">
        <f>ALL!E62</f>
        <v>H (Ga)</v>
      </c>
      <c r="B83" s="16">
        <f ca="1">ALL!F62</f>
        <v>-60.79</v>
      </c>
      <c r="C83" s="16">
        <f ca="1">ALL!G62</f>
        <v>-53.82</v>
      </c>
      <c r="D83" s="16">
        <f ca="1">ALL!H62</f>
        <v>-47.01</v>
      </c>
      <c r="E83" s="16">
        <f ca="1">ALL!I62</f>
        <v>-40.9</v>
      </c>
      <c r="F83" s="14">
        <f ca="1">ALL!J62</f>
        <v>-35.71</v>
      </c>
      <c r="G83" s="14">
        <f ca="1">ALL!K62</f>
        <v>-31.39</v>
      </c>
      <c r="H83" s="14">
        <f ca="1">ALL!L62</f>
        <v>-27.66</v>
      </c>
      <c r="I83" s="14">
        <f ca="1">ALL!M62</f>
        <v>-26.79</v>
      </c>
      <c r="J83" s="14">
        <f ca="1">ALL!N62</f>
        <v>-28.11</v>
      </c>
      <c r="K83" s="14">
        <f ca="1">ALL!O62</f>
        <v>-29.41</v>
      </c>
      <c r="L83" s="14">
        <f ca="1">ALL!P62</f>
        <v>-30.69</v>
      </c>
      <c r="M83" s="14">
        <f ca="1">ALL!Q62</f>
        <v>-31.94</v>
      </c>
      <c r="N83" s="14">
        <f ca="1">ALL!R62</f>
        <v>-33.159999999999997</v>
      </c>
      <c r="O83" s="14">
        <f ca="1">ALL!S62</f>
        <v>-37.67</v>
      </c>
      <c r="P83" s="14">
        <f ca="1">ALL!T62</f>
        <v>-41.43</v>
      </c>
      <c r="Q83" s="14">
        <f ca="1">ALL!U62</f>
        <v>-44.33</v>
      </c>
      <c r="R83" s="14">
        <f ca="1">ALL!V62</f>
        <v>-44.9</v>
      </c>
      <c r="S83" s="14">
        <f ca="1">ALL!W62</f>
        <v>-45.42</v>
      </c>
      <c r="T83" s="14">
        <f ca="1">ALL!X62</f>
        <v>-45.86</v>
      </c>
      <c r="U83" s="14">
        <f ca="1">ALL!Y62</f>
        <v>-46.25</v>
      </c>
      <c r="V83" s="14">
        <f ca="1">ALL!Z62</f>
        <v>-47.11</v>
      </c>
      <c r="W83" s="14">
        <f ca="1">ALL!AA62</f>
        <v>-46.85</v>
      </c>
      <c r="X83" s="14">
        <f ca="1">ALL!AB62</f>
        <v>0</v>
      </c>
      <c r="Y83" s="14">
        <f ca="1">ALL!AC62</f>
        <v>0</v>
      </c>
      <c r="Z83" s="14">
        <f ca="1">ALL!AD62</f>
        <v>0</v>
      </c>
      <c r="AA83" s="14">
        <f ca="1">ALL!AE62</f>
        <v>0</v>
      </c>
      <c r="AB83" s="14">
        <f ca="1">ALL!AF62</f>
        <v>0</v>
      </c>
      <c r="AC83" s="14">
        <f ca="1">ALL!AG62</f>
        <v>0</v>
      </c>
      <c r="AD83" s="14">
        <f ca="1">ALL!AH62</f>
        <v>0</v>
      </c>
      <c r="AE83" s="14">
        <f ca="1">ALL!AI62</f>
        <v>0</v>
      </c>
      <c r="AF83" s="14">
        <f ca="1">ALL!AJ62</f>
        <v>0</v>
      </c>
      <c r="AG83" s="14">
        <f ca="1">ALL!AK62</f>
        <v>0</v>
      </c>
      <c r="AH83" s="14">
        <f ca="1">ALL!AL62</f>
        <v>0</v>
      </c>
      <c r="AI83" s="14">
        <f>ALL!AM62</f>
        <v>0</v>
      </c>
    </row>
    <row r="84" spans="1:35" ht="21.75" hidden="1" outlineLevel="1" thickBot="1" x14ac:dyDescent="0.4">
      <c r="A84" s="36" t="str">
        <f>ALL!E63</f>
        <v>H (Ge)</v>
      </c>
      <c r="B84" s="16">
        <f ca="1">ALL!F63</f>
        <v>-16</v>
      </c>
      <c r="C84" s="16">
        <f ca="1">ALL!G63</f>
        <v>-13.92</v>
      </c>
      <c r="D84" s="16">
        <f ca="1">ALL!H63</f>
        <v>-11.54</v>
      </c>
      <c r="E84" s="16">
        <f ca="1">ALL!I63</f>
        <v>-9.3460000000000001</v>
      </c>
      <c r="F84" s="14">
        <f ca="1">ALL!J63</f>
        <v>-7.6120000000000001</v>
      </c>
      <c r="G84" s="14">
        <f ca="1">ALL!K63</f>
        <v>-6.5529999999999999</v>
      </c>
      <c r="H84" s="14">
        <f ca="1">ALL!L63</f>
        <v>-6.1760000000000002</v>
      </c>
      <c r="I84" s="14">
        <f ca="1">ALL!M63</f>
        <v>-6.8330000000000002</v>
      </c>
      <c r="J84" s="14">
        <f ca="1">ALL!N63</f>
        <v>-6.843</v>
      </c>
      <c r="K84" s="14">
        <f ca="1">ALL!O63</f>
        <v>-6.9039999999999999</v>
      </c>
      <c r="L84" s="14">
        <f ca="1">ALL!P63</f>
        <v>-6.9809999999999999</v>
      </c>
      <c r="M84" s="14">
        <f ca="1">ALL!Q63</f>
        <v>-7.0620000000000003</v>
      </c>
      <c r="N84" s="14">
        <f ca="1">ALL!R63</f>
        <v>-7.1429999999999998</v>
      </c>
      <c r="O84" s="14">
        <f ca="1">ALL!S63</f>
        <v>-7.4630000000000001</v>
      </c>
      <c r="P84" s="14">
        <f ca="1">ALL!T63</f>
        <v>-7.7649999999999997</v>
      </c>
      <c r="Q84" s="14">
        <f ca="1">ALL!U63</f>
        <v>-8.048</v>
      </c>
      <c r="R84" s="14">
        <f ca="1">ALL!V63</f>
        <v>-8.1159999999999997</v>
      </c>
      <c r="S84" s="14">
        <f ca="1">ALL!W63</f>
        <v>-8.1820000000000004</v>
      </c>
      <c r="T84" s="14">
        <f ca="1">ALL!X63</f>
        <v>-8.2479999999999993</v>
      </c>
      <c r="U84" s="14">
        <f ca="1">ALL!Y63</f>
        <v>-8.3130000000000006</v>
      </c>
      <c r="V84" s="14">
        <f ca="1">ALL!Z63</f>
        <v>-8.5609999999999999</v>
      </c>
      <c r="W84" s="14">
        <f ca="1">ALL!AA63</f>
        <v>-8.7949999999999999</v>
      </c>
      <c r="X84" s="14">
        <f ca="1">ALL!AB63</f>
        <v>0</v>
      </c>
      <c r="Y84" s="14">
        <f ca="1">ALL!AC63</f>
        <v>0</v>
      </c>
      <c r="Z84" s="14">
        <f ca="1">ALL!AD63</f>
        <v>0</v>
      </c>
      <c r="AA84" s="14">
        <f ca="1">ALL!AE63</f>
        <v>0</v>
      </c>
      <c r="AB84" s="14">
        <f ca="1">ALL!AF63</f>
        <v>0</v>
      </c>
      <c r="AC84" s="14">
        <f ca="1">ALL!AG63</f>
        <v>0</v>
      </c>
      <c r="AD84" s="14">
        <f ca="1">ALL!AH63</f>
        <v>0</v>
      </c>
      <c r="AE84" s="14">
        <f ca="1">ALL!AI63</f>
        <v>0</v>
      </c>
      <c r="AF84" s="14">
        <f ca="1">ALL!AJ63</f>
        <v>0</v>
      </c>
      <c r="AG84" s="14">
        <f ca="1">ALL!AK63</f>
        <v>0</v>
      </c>
      <c r="AH84" s="14">
        <f ca="1">ALL!AL63</f>
        <v>0</v>
      </c>
      <c r="AI84" s="14">
        <f>ALL!AM63</f>
        <v>0</v>
      </c>
    </row>
    <row r="85" spans="1:35" ht="21.75" hidden="1" outlineLevel="1" thickBot="1" x14ac:dyDescent="0.4">
      <c r="A85" s="36" t="str">
        <f>ALL!E64</f>
        <v>H (Se)</v>
      </c>
      <c r="B85" s="16">
        <f ca="1">ALL!F64</f>
        <v>-22.14</v>
      </c>
      <c r="C85" s="16">
        <f ca="1">ALL!G64</f>
        <v>-21.3</v>
      </c>
      <c r="D85" s="16">
        <f ca="1">ALL!H64</f>
        <v>-21.39</v>
      </c>
      <c r="E85" s="16">
        <f ca="1">ALL!I64</f>
        <v>-21.8</v>
      </c>
      <c r="F85" s="14">
        <f ca="1">ALL!J64</f>
        <v>-22.19</v>
      </c>
      <c r="G85" s="14">
        <f ca="1">ALL!K64</f>
        <v>-22.48</v>
      </c>
      <c r="H85" s="14">
        <f ca="1">ALL!L64</f>
        <v>-22.79</v>
      </c>
      <c r="I85" s="14">
        <f ca="1">ALL!M64</f>
        <v>-23.04</v>
      </c>
      <c r="J85" s="14">
        <f ca="1">ALL!N64</f>
        <v>-23.53</v>
      </c>
      <c r="K85" s="14">
        <f ca="1">ALL!O64</f>
        <v>-24.03</v>
      </c>
      <c r="L85" s="14">
        <f ca="1">ALL!P64</f>
        <v>-24.51</v>
      </c>
      <c r="M85" s="14">
        <f ca="1">ALL!Q64</f>
        <v>-24.99</v>
      </c>
      <c r="N85" s="14">
        <f ca="1">ALL!R64</f>
        <v>-25.47</v>
      </c>
      <c r="O85" s="14">
        <f ca="1">ALL!S64</f>
        <v>-27.28</v>
      </c>
      <c r="P85" s="14">
        <f ca="1">ALL!T64</f>
        <v>-29</v>
      </c>
      <c r="Q85" s="14">
        <f ca="1">ALL!U64</f>
        <v>-30.63</v>
      </c>
      <c r="R85" s="14">
        <f ca="1">ALL!V64</f>
        <v>-31.03</v>
      </c>
      <c r="S85" s="14">
        <f ca="1">ALL!W64</f>
        <v>-31.42</v>
      </c>
      <c r="T85" s="14">
        <f ca="1">ALL!X64</f>
        <v>-31.81</v>
      </c>
      <c r="U85" s="14">
        <f ca="1">ALL!Y64</f>
        <v>-32.200000000000003</v>
      </c>
      <c r="V85" s="14">
        <f ca="1">ALL!Z64</f>
        <v>-33.729999999999997</v>
      </c>
      <c r="W85" s="14">
        <f ca="1">ALL!AA64</f>
        <v>-35.22</v>
      </c>
      <c r="X85" s="14">
        <f ca="1">ALL!AB64</f>
        <v>0</v>
      </c>
      <c r="Y85" s="14">
        <f ca="1">ALL!AC64</f>
        <v>0</v>
      </c>
      <c r="Z85" s="14">
        <f ca="1">ALL!AD64</f>
        <v>0</v>
      </c>
      <c r="AA85" s="14">
        <f ca="1">ALL!AE64</f>
        <v>0</v>
      </c>
      <c r="AB85" s="14">
        <f ca="1">ALL!AF64</f>
        <v>0</v>
      </c>
      <c r="AC85" s="14">
        <f ca="1">ALL!AG64</f>
        <v>0</v>
      </c>
      <c r="AD85" s="14">
        <f ca="1">ALL!AH64</f>
        <v>0</v>
      </c>
      <c r="AE85" s="14">
        <f ca="1">ALL!AI64</f>
        <v>0</v>
      </c>
      <c r="AF85" s="14">
        <f ca="1">ALL!AJ64</f>
        <v>0</v>
      </c>
      <c r="AG85" s="14">
        <f ca="1">ALL!AK64</f>
        <v>0</v>
      </c>
      <c r="AH85" s="14">
        <f ca="1">ALL!AL64</f>
        <v>0</v>
      </c>
      <c r="AI85" s="14">
        <f>ALL!AM64</f>
        <v>0</v>
      </c>
    </row>
    <row r="86" spans="1:35" ht="21.75" hidden="1" outlineLevel="1" thickBot="1" x14ac:dyDescent="0.4">
      <c r="A86" s="36">
        <f>ALL!E65</f>
        <v>0</v>
      </c>
      <c r="B86" s="16">
        <f ca="1">ALL!F65</f>
        <v>0</v>
      </c>
      <c r="C86" s="16">
        <f ca="1">ALL!G65</f>
        <v>0</v>
      </c>
      <c r="D86" s="16">
        <f ca="1">ALL!H65</f>
        <v>0</v>
      </c>
      <c r="E86" s="16">
        <f ca="1">ALL!I65</f>
        <v>0</v>
      </c>
      <c r="F86" s="14">
        <f ca="1">ALL!J65</f>
        <v>0</v>
      </c>
      <c r="G86" s="14">
        <f ca="1">ALL!K65</f>
        <v>0</v>
      </c>
      <c r="H86" s="14">
        <f ca="1">ALL!L65</f>
        <v>0</v>
      </c>
      <c r="I86" s="14">
        <f ca="1">ALL!M65</f>
        <v>0</v>
      </c>
      <c r="J86" s="14">
        <f ca="1">ALL!N65</f>
        <v>0</v>
      </c>
      <c r="K86" s="14">
        <f ca="1">ALL!O65</f>
        <v>0</v>
      </c>
      <c r="L86" s="14">
        <f ca="1">ALL!P65</f>
        <v>0</v>
      </c>
      <c r="M86" s="14">
        <f ca="1">ALL!Q65</f>
        <v>0</v>
      </c>
      <c r="N86" s="14">
        <f ca="1">ALL!R65</f>
        <v>0</v>
      </c>
      <c r="O86" s="14">
        <f ca="1">ALL!S65</f>
        <v>0</v>
      </c>
      <c r="P86" s="14">
        <f ca="1">ALL!T65</f>
        <v>0</v>
      </c>
      <c r="Q86" s="14">
        <f ca="1">ALL!U65</f>
        <v>0</v>
      </c>
      <c r="R86" s="14">
        <f ca="1">ALL!V65</f>
        <v>0</v>
      </c>
      <c r="S86" s="14">
        <f ca="1">ALL!W65</f>
        <v>0</v>
      </c>
      <c r="T86" s="14">
        <f ca="1">ALL!X65</f>
        <v>0</v>
      </c>
      <c r="U86" s="14">
        <f ca="1">ALL!Y65</f>
        <v>0</v>
      </c>
      <c r="V86" s="14">
        <f ca="1">ALL!Z65</f>
        <v>0</v>
      </c>
      <c r="W86" s="14">
        <f ca="1">ALL!AA65</f>
        <v>0</v>
      </c>
      <c r="X86" s="14">
        <f ca="1">ALL!AB65</f>
        <v>0</v>
      </c>
      <c r="Y86" s="14">
        <f ca="1">ALL!AC65</f>
        <v>0</v>
      </c>
      <c r="Z86" s="14">
        <f ca="1">ALL!AD65</f>
        <v>0</v>
      </c>
      <c r="AA86" s="14">
        <f ca="1">ALL!AE65</f>
        <v>0</v>
      </c>
      <c r="AB86" s="14">
        <f ca="1">ALL!AF65</f>
        <v>0</v>
      </c>
      <c r="AC86" s="14">
        <f ca="1">ALL!AG65</f>
        <v>0</v>
      </c>
      <c r="AD86" s="14">
        <f ca="1">ALL!AH65</f>
        <v>0</v>
      </c>
      <c r="AE86" s="14">
        <f ca="1">ALL!AI65</f>
        <v>0</v>
      </c>
      <c r="AF86" s="14">
        <f ca="1">ALL!AJ65</f>
        <v>0</v>
      </c>
      <c r="AG86" s="14">
        <f ca="1">ALL!AK65</f>
        <v>0</v>
      </c>
      <c r="AH86" s="14">
        <f ca="1">ALL!AL65</f>
        <v>0</v>
      </c>
      <c r="AI86" s="14">
        <f>ALL!AM65</f>
        <v>0</v>
      </c>
    </row>
    <row r="87" spans="1:35" ht="21.75" hidden="1" outlineLevel="1" thickBot="1" x14ac:dyDescent="0.4">
      <c r="A87" s="36">
        <f>ALL!E66</f>
        <v>0</v>
      </c>
      <c r="B87" s="16">
        <f ca="1">ALL!F66</f>
        <v>0</v>
      </c>
      <c r="C87" s="16">
        <f ca="1">ALL!G66</f>
        <v>0</v>
      </c>
      <c r="D87" s="16">
        <f ca="1">ALL!H66</f>
        <v>0</v>
      </c>
      <c r="E87" s="16">
        <f ca="1">ALL!I66</f>
        <v>0</v>
      </c>
      <c r="F87" s="14">
        <f ca="1">ALL!J66</f>
        <v>0</v>
      </c>
      <c r="G87" s="14">
        <f ca="1">ALL!K66</f>
        <v>0</v>
      </c>
      <c r="H87" s="14">
        <f ca="1">ALL!L66</f>
        <v>0</v>
      </c>
      <c r="I87" s="14">
        <f ca="1">ALL!M66</f>
        <v>0</v>
      </c>
      <c r="J87" s="14">
        <f ca="1">ALL!N66</f>
        <v>0</v>
      </c>
      <c r="K87" s="14">
        <f ca="1">ALL!O66</f>
        <v>0</v>
      </c>
      <c r="L87" s="14">
        <f ca="1">ALL!P66</f>
        <v>0</v>
      </c>
      <c r="M87" s="14">
        <f ca="1">ALL!Q66</f>
        <v>0</v>
      </c>
      <c r="N87" s="14">
        <f ca="1">ALL!R66</f>
        <v>0</v>
      </c>
      <c r="O87" s="14">
        <f ca="1">ALL!S66</f>
        <v>0</v>
      </c>
      <c r="P87" s="14">
        <f ca="1">ALL!T66</f>
        <v>0</v>
      </c>
      <c r="Q87" s="14">
        <f ca="1">ALL!U66</f>
        <v>0</v>
      </c>
      <c r="R87" s="14">
        <f ca="1">ALL!V66</f>
        <v>0</v>
      </c>
      <c r="S87" s="14">
        <f ca="1">ALL!W66</f>
        <v>0</v>
      </c>
      <c r="T87" s="14">
        <f ca="1">ALL!X66</f>
        <v>0</v>
      </c>
      <c r="U87" s="14">
        <f ca="1">ALL!Y66</f>
        <v>0</v>
      </c>
      <c r="V87" s="14">
        <f ca="1">ALL!Z66</f>
        <v>0</v>
      </c>
      <c r="W87" s="14">
        <f ca="1">ALL!AA66</f>
        <v>0</v>
      </c>
      <c r="X87" s="14">
        <f ca="1">ALL!AB66</f>
        <v>0</v>
      </c>
      <c r="Y87" s="14">
        <f ca="1">ALL!AC66</f>
        <v>0</v>
      </c>
      <c r="Z87" s="14">
        <f ca="1">ALL!AD66</f>
        <v>0</v>
      </c>
      <c r="AA87" s="14">
        <f ca="1">ALL!AE66</f>
        <v>0</v>
      </c>
      <c r="AB87" s="14">
        <f ca="1">ALL!AF66</f>
        <v>0</v>
      </c>
      <c r="AC87" s="14">
        <f ca="1">ALL!AG66</f>
        <v>0</v>
      </c>
      <c r="AD87" s="14">
        <f ca="1">ALL!AH66</f>
        <v>0</v>
      </c>
      <c r="AE87" s="14">
        <f ca="1">ALL!AI66</f>
        <v>0</v>
      </c>
      <c r="AF87" s="14">
        <f ca="1">ALL!AJ66</f>
        <v>0</v>
      </c>
      <c r="AG87" s="14">
        <f ca="1">ALL!AK66</f>
        <v>0</v>
      </c>
      <c r="AH87" s="14">
        <f ca="1">ALL!AL66</f>
        <v>0</v>
      </c>
      <c r="AI87" s="14">
        <f>ALL!AM66</f>
        <v>0</v>
      </c>
    </row>
    <row r="88" spans="1:35" ht="21.75" hidden="1" outlineLevel="1" thickBot="1" x14ac:dyDescent="0.4">
      <c r="A88" s="36">
        <f>ALL!E67</f>
        <v>0</v>
      </c>
      <c r="B88" s="16">
        <f ca="1">ALL!F67</f>
        <v>0</v>
      </c>
      <c r="C88" s="16">
        <f ca="1">ALL!G67</f>
        <v>0</v>
      </c>
      <c r="D88" s="16">
        <f ca="1">ALL!H67</f>
        <v>0</v>
      </c>
      <c r="E88" s="16">
        <f ca="1">ALL!I67</f>
        <v>0</v>
      </c>
      <c r="F88" s="14">
        <f ca="1">ALL!J67</f>
        <v>0</v>
      </c>
      <c r="G88" s="14">
        <f ca="1">ALL!K67</f>
        <v>0</v>
      </c>
      <c r="H88" s="14">
        <f ca="1">ALL!L67</f>
        <v>0</v>
      </c>
      <c r="I88" s="14">
        <f ca="1">ALL!M67</f>
        <v>0</v>
      </c>
      <c r="J88" s="14">
        <f ca="1">ALL!N67</f>
        <v>0</v>
      </c>
      <c r="K88" s="14">
        <f ca="1">ALL!O67</f>
        <v>0</v>
      </c>
      <c r="L88" s="14">
        <f ca="1">ALL!P67</f>
        <v>0</v>
      </c>
      <c r="M88" s="14">
        <f ca="1">ALL!Q67</f>
        <v>0</v>
      </c>
      <c r="N88" s="14">
        <f ca="1">ALL!R67</f>
        <v>0</v>
      </c>
      <c r="O88" s="14">
        <f ca="1">ALL!S67</f>
        <v>0</v>
      </c>
      <c r="P88" s="14">
        <f ca="1">ALL!T67</f>
        <v>0</v>
      </c>
      <c r="Q88" s="14">
        <f ca="1">ALL!U67</f>
        <v>0</v>
      </c>
      <c r="R88" s="14">
        <f ca="1">ALL!V67</f>
        <v>0</v>
      </c>
      <c r="S88" s="14">
        <f ca="1">ALL!W67</f>
        <v>0</v>
      </c>
      <c r="T88" s="14">
        <f ca="1">ALL!X67</f>
        <v>0</v>
      </c>
      <c r="U88" s="14">
        <f ca="1">ALL!Y67</f>
        <v>0</v>
      </c>
      <c r="V88" s="14">
        <f ca="1">ALL!Z67</f>
        <v>0</v>
      </c>
      <c r="W88" s="14">
        <f ca="1">ALL!AA67</f>
        <v>0</v>
      </c>
      <c r="X88" s="14">
        <f ca="1">ALL!AB67</f>
        <v>0</v>
      </c>
      <c r="Y88" s="14">
        <f ca="1">ALL!AC67</f>
        <v>0</v>
      </c>
      <c r="Z88" s="14">
        <f ca="1">ALL!AD67</f>
        <v>0</v>
      </c>
      <c r="AA88" s="14">
        <f ca="1">ALL!AE67</f>
        <v>0</v>
      </c>
      <c r="AB88" s="14">
        <f ca="1">ALL!AF67</f>
        <v>0</v>
      </c>
      <c r="AC88" s="14">
        <f ca="1">ALL!AG67</f>
        <v>0</v>
      </c>
      <c r="AD88" s="14">
        <f ca="1">ALL!AH67</f>
        <v>0</v>
      </c>
      <c r="AE88" s="14">
        <f ca="1">ALL!AI67</f>
        <v>0</v>
      </c>
      <c r="AF88" s="14">
        <f ca="1">ALL!AJ67</f>
        <v>0</v>
      </c>
      <c r="AG88" s="14">
        <f ca="1">ALL!AK67</f>
        <v>0</v>
      </c>
      <c r="AH88" s="14">
        <f ca="1">ALL!AL67</f>
        <v>0</v>
      </c>
      <c r="AI88" s="14">
        <f>ALL!AM67</f>
        <v>0</v>
      </c>
    </row>
    <row r="89" spans="1:35" ht="21.75" hidden="1" outlineLevel="1" thickBot="1" x14ac:dyDescent="0.4">
      <c r="A89" s="36">
        <f>ALL!E68</f>
        <v>0</v>
      </c>
      <c r="B89" s="16">
        <f ca="1">ALL!F68</f>
        <v>0</v>
      </c>
      <c r="C89" s="16">
        <f ca="1">ALL!G68</f>
        <v>0</v>
      </c>
      <c r="D89" s="16">
        <f ca="1">ALL!H68</f>
        <v>0</v>
      </c>
      <c r="E89" s="16">
        <f ca="1">ALL!I68</f>
        <v>0</v>
      </c>
      <c r="F89" s="14">
        <f ca="1">ALL!J68</f>
        <v>0</v>
      </c>
      <c r="G89" s="14">
        <f ca="1">ALL!K68</f>
        <v>0</v>
      </c>
      <c r="H89" s="14">
        <f ca="1">ALL!L68</f>
        <v>0</v>
      </c>
      <c r="I89" s="14">
        <f ca="1">ALL!M68</f>
        <v>0</v>
      </c>
      <c r="J89" s="14">
        <f ca="1">ALL!N68</f>
        <v>0</v>
      </c>
      <c r="K89" s="14">
        <f ca="1">ALL!O68</f>
        <v>0</v>
      </c>
      <c r="L89" s="14">
        <f ca="1">ALL!P68</f>
        <v>0</v>
      </c>
      <c r="M89" s="14">
        <f ca="1">ALL!Q68</f>
        <v>0</v>
      </c>
      <c r="N89" s="14">
        <f ca="1">ALL!R68</f>
        <v>0</v>
      </c>
      <c r="O89" s="14">
        <f ca="1">ALL!S68</f>
        <v>0</v>
      </c>
      <c r="P89" s="14">
        <f ca="1">ALL!T68</f>
        <v>0</v>
      </c>
      <c r="Q89" s="14">
        <f ca="1">ALL!U68</f>
        <v>0</v>
      </c>
      <c r="R89" s="14">
        <f ca="1">ALL!V68</f>
        <v>0</v>
      </c>
      <c r="S89" s="14">
        <f ca="1">ALL!W68</f>
        <v>0</v>
      </c>
      <c r="T89" s="14">
        <f ca="1">ALL!X68</f>
        <v>0</v>
      </c>
      <c r="U89" s="14">
        <f ca="1">ALL!Y68</f>
        <v>0</v>
      </c>
      <c r="V89" s="14">
        <f ca="1">ALL!Z68</f>
        <v>0</v>
      </c>
      <c r="W89" s="14">
        <f ca="1">ALL!AA68</f>
        <v>0</v>
      </c>
      <c r="X89" s="14">
        <f ca="1">ALL!AB68</f>
        <v>0</v>
      </c>
      <c r="Y89" s="14">
        <f ca="1">ALL!AC68</f>
        <v>0</v>
      </c>
      <c r="Z89" s="14">
        <f ca="1">ALL!AD68</f>
        <v>0</v>
      </c>
      <c r="AA89" s="14">
        <f ca="1">ALL!AE68</f>
        <v>0</v>
      </c>
      <c r="AB89" s="14">
        <f ca="1">ALL!AF68</f>
        <v>0</v>
      </c>
      <c r="AC89" s="14">
        <f ca="1">ALL!AG68</f>
        <v>0</v>
      </c>
      <c r="AD89" s="14">
        <f ca="1">ALL!AH68</f>
        <v>0</v>
      </c>
      <c r="AE89" s="14">
        <f ca="1">ALL!AI68</f>
        <v>0</v>
      </c>
      <c r="AF89" s="14">
        <f ca="1">ALL!AJ68</f>
        <v>0</v>
      </c>
      <c r="AG89" s="14">
        <f ca="1">ALL!AK68</f>
        <v>0</v>
      </c>
      <c r="AH89" s="14">
        <f ca="1">ALL!AL68</f>
        <v>0</v>
      </c>
      <c r="AI89" s="14">
        <f>ALL!AM68</f>
        <v>0</v>
      </c>
    </row>
    <row r="90" spans="1:35" ht="21.75" hidden="1" outlineLevel="1" thickBot="1" x14ac:dyDescent="0.4">
      <c r="A90" s="36">
        <f>ALL!E69</f>
        <v>0</v>
      </c>
      <c r="B90" s="16">
        <f ca="1">ALL!F69</f>
        <v>0</v>
      </c>
      <c r="C90" s="16">
        <f ca="1">ALL!G69</f>
        <v>0</v>
      </c>
      <c r="D90" s="16">
        <f ca="1">ALL!H69</f>
        <v>0</v>
      </c>
      <c r="E90" s="16">
        <f ca="1">ALL!I69</f>
        <v>0</v>
      </c>
      <c r="F90" s="14">
        <f ca="1">ALL!J69</f>
        <v>0</v>
      </c>
      <c r="G90" s="14">
        <f ca="1">ALL!K69</f>
        <v>0</v>
      </c>
      <c r="H90" s="14">
        <f ca="1">ALL!L69</f>
        <v>0</v>
      </c>
      <c r="I90" s="14">
        <f ca="1">ALL!M69</f>
        <v>0</v>
      </c>
      <c r="J90" s="14">
        <f ca="1">ALL!N69</f>
        <v>0</v>
      </c>
      <c r="K90" s="14">
        <f ca="1">ALL!O69</f>
        <v>0</v>
      </c>
      <c r="L90" s="14">
        <f ca="1">ALL!P69</f>
        <v>0</v>
      </c>
      <c r="M90" s="14">
        <f ca="1">ALL!Q69</f>
        <v>0</v>
      </c>
      <c r="N90" s="14">
        <f ca="1">ALL!R69</f>
        <v>0</v>
      </c>
      <c r="O90" s="14">
        <f ca="1">ALL!S69</f>
        <v>0</v>
      </c>
      <c r="P90" s="14">
        <f ca="1">ALL!T69</f>
        <v>0</v>
      </c>
      <c r="Q90" s="14">
        <f ca="1">ALL!U69</f>
        <v>0</v>
      </c>
      <c r="R90" s="14">
        <f ca="1">ALL!V69</f>
        <v>0</v>
      </c>
      <c r="S90" s="14">
        <f ca="1">ALL!W69</f>
        <v>0</v>
      </c>
      <c r="T90" s="14">
        <f ca="1">ALL!X69</f>
        <v>0</v>
      </c>
      <c r="U90" s="14">
        <f ca="1">ALL!Y69</f>
        <v>0</v>
      </c>
      <c r="V90" s="14">
        <f ca="1">ALL!Z69</f>
        <v>0</v>
      </c>
      <c r="W90" s="14">
        <f ca="1">ALL!AA69</f>
        <v>0</v>
      </c>
      <c r="X90" s="14">
        <f ca="1">ALL!AB69</f>
        <v>0</v>
      </c>
      <c r="Y90" s="14">
        <f ca="1">ALL!AC69</f>
        <v>0</v>
      </c>
      <c r="Z90" s="14">
        <f ca="1">ALL!AD69</f>
        <v>0</v>
      </c>
      <c r="AA90" s="14">
        <f ca="1">ALL!AE69</f>
        <v>0</v>
      </c>
      <c r="AB90" s="14">
        <f ca="1">ALL!AF69</f>
        <v>0</v>
      </c>
      <c r="AC90" s="14">
        <f ca="1">ALL!AG69</f>
        <v>0</v>
      </c>
      <c r="AD90" s="14">
        <f ca="1">ALL!AH69</f>
        <v>0</v>
      </c>
      <c r="AE90" s="14">
        <f ca="1">ALL!AI69</f>
        <v>0</v>
      </c>
      <c r="AF90" s="14">
        <f ca="1">ALL!AJ69</f>
        <v>0</v>
      </c>
      <c r="AG90" s="14">
        <f ca="1">ALL!AK69</f>
        <v>0</v>
      </c>
      <c r="AH90" s="14">
        <f ca="1">ALL!AL69</f>
        <v>0</v>
      </c>
      <c r="AI90" s="14">
        <f>ALL!AM69</f>
        <v>0</v>
      </c>
    </row>
    <row r="91" spans="1:35" ht="21.75" hidden="1" outlineLevel="1" thickBot="1" x14ac:dyDescent="0.4">
      <c r="A91" s="36">
        <f>ALL!E70</f>
        <v>0</v>
      </c>
      <c r="B91" s="16">
        <f ca="1">ALL!F70</f>
        <v>0</v>
      </c>
      <c r="C91" s="16">
        <f ca="1">ALL!G70</f>
        <v>0</v>
      </c>
      <c r="D91" s="16">
        <f ca="1">ALL!H70</f>
        <v>0</v>
      </c>
      <c r="E91" s="16">
        <f ca="1">ALL!I70</f>
        <v>0</v>
      </c>
      <c r="F91" s="14">
        <f ca="1">ALL!J70</f>
        <v>0</v>
      </c>
      <c r="G91" s="14">
        <f ca="1">ALL!K70</f>
        <v>0</v>
      </c>
      <c r="H91" s="14">
        <f ca="1">ALL!L70</f>
        <v>0</v>
      </c>
      <c r="I91" s="14">
        <f ca="1">ALL!M70</f>
        <v>0</v>
      </c>
      <c r="J91" s="14">
        <f ca="1">ALL!N70</f>
        <v>0</v>
      </c>
      <c r="K91" s="14">
        <f ca="1">ALL!O70</f>
        <v>0</v>
      </c>
      <c r="L91" s="14">
        <f ca="1">ALL!P70</f>
        <v>0</v>
      </c>
      <c r="M91" s="14">
        <f ca="1">ALL!Q70</f>
        <v>0</v>
      </c>
      <c r="N91" s="14">
        <f ca="1">ALL!R70</f>
        <v>0</v>
      </c>
      <c r="O91" s="14">
        <f ca="1">ALL!S70</f>
        <v>0</v>
      </c>
      <c r="P91" s="14">
        <f ca="1">ALL!T70</f>
        <v>0</v>
      </c>
      <c r="Q91" s="14">
        <f ca="1">ALL!U70</f>
        <v>0</v>
      </c>
      <c r="R91" s="14">
        <f ca="1">ALL!V70</f>
        <v>0</v>
      </c>
      <c r="S91" s="14">
        <f ca="1">ALL!W70</f>
        <v>0</v>
      </c>
      <c r="T91" s="14">
        <f ca="1">ALL!X70</f>
        <v>0</v>
      </c>
      <c r="U91" s="14">
        <f ca="1">ALL!Y70</f>
        <v>0</v>
      </c>
      <c r="V91" s="14">
        <f ca="1">ALL!Z70</f>
        <v>0</v>
      </c>
      <c r="W91" s="14">
        <f ca="1">ALL!AA70</f>
        <v>0</v>
      </c>
      <c r="X91" s="14">
        <f ca="1">ALL!AB70</f>
        <v>0</v>
      </c>
      <c r="Y91" s="14">
        <f ca="1">ALL!AC70</f>
        <v>0</v>
      </c>
      <c r="Z91" s="14">
        <f ca="1">ALL!AD70</f>
        <v>0</v>
      </c>
      <c r="AA91" s="14">
        <f ca="1">ALL!AE70</f>
        <v>0</v>
      </c>
      <c r="AB91" s="14">
        <f ca="1">ALL!AF70</f>
        <v>0</v>
      </c>
      <c r="AC91" s="14">
        <f ca="1">ALL!AG70</f>
        <v>0</v>
      </c>
      <c r="AD91" s="14">
        <f ca="1">ALL!AH70</f>
        <v>0</v>
      </c>
      <c r="AE91" s="14">
        <f ca="1">ALL!AI70</f>
        <v>0</v>
      </c>
      <c r="AF91" s="14">
        <f ca="1">ALL!AJ70</f>
        <v>0</v>
      </c>
      <c r="AG91" s="14">
        <f ca="1">ALL!AK70</f>
        <v>0</v>
      </c>
      <c r="AH91" s="14">
        <f ca="1">ALL!AL70</f>
        <v>0</v>
      </c>
      <c r="AI91" s="14">
        <f>ALL!AM70</f>
        <v>0</v>
      </c>
    </row>
    <row r="92" spans="1:35" ht="21.75" hidden="1" outlineLevel="1" thickBot="1" x14ac:dyDescent="0.4">
      <c r="A92" s="36">
        <f>ALL!E71</f>
        <v>0</v>
      </c>
      <c r="B92" s="16">
        <f ca="1">ALL!F71</f>
        <v>0</v>
      </c>
      <c r="C92" s="16">
        <f ca="1">ALL!G71</f>
        <v>0</v>
      </c>
      <c r="D92" s="16">
        <f ca="1">ALL!H71</f>
        <v>0</v>
      </c>
      <c r="E92" s="16">
        <f ca="1">ALL!I71</f>
        <v>0</v>
      </c>
      <c r="F92" s="14">
        <f ca="1">ALL!J71</f>
        <v>0</v>
      </c>
      <c r="G92" s="14">
        <f ca="1">ALL!K71</f>
        <v>0</v>
      </c>
      <c r="H92" s="14">
        <f ca="1">ALL!L71</f>
        <v>0</v>
      </c>
      <c r="I92" s="14">
        <f ca="1">ALL!M71</f>
        <v>0</v>
      </c>
      <c r="J92" s="14">
        <f ca="1">ALL!N71</f>
        <v>0</v>
      </c>
      <c r="K92" s="14">
        <f ca="1">ALL!O71</f>
        <v>0</v>
      </c>
      <c r="L92" s="14">
        <f ca="1">ALL!P71</f>
        <v>0</v>
      </c>
      <c r="M92" s="14">
        <f ca="1">ALL!Q71</f>
        <v>0</v>
      </c>
      <c r="N92" s="14">
        <f ca="1">ALL!R71</f>
        <v>0</v>
      </c>
      <c r="O92" s="14">
        <f ca="1">ALL!S71</f>
        <v>0</v>
      </c>
      <c r="P92" s="14">
        <f ca="1">ALL!T71</f>
        <v>0</v>
      </c>
      <c r="Q92" s="14">
        <f ca="1">ALL!U71</f>
        <v>0</v>
      </c>
      <c r="R92" s="14">
        <f ca="1">ALL!V71</f>
        <v>0</v>
      </c>
      <c r="S92" s="14">
        <f ca="1">ALL!W71</f>
        <v>0</v>
      </c>
      <c r="T92" s="14">
        <f ca="1">ALL!X71</f>
        <v>0</v>
      </c>
      <c r="U92" s="14">
        <f ca="1">ALL!Y71</f>
        <v>0</v>
      </c>
      <c r="V92" s="14">
        <f ca="1">ALL!Z71</f>
        <v>0</v>
      </c>
      <c r="W92" s="14">
        <f ca="1">ALL!AA71</f>
        <v>0</v>
      </c>
      <c r="X92" s="14">
        <f ca="1">ALL!AB71</f>
        <v>0</v>
      </c>
      <c r="Y92" s="14">
        <f ca="1">ALL!AC71</f>
        <v>0</v>
      </c>
      <c r="Z92" s="14">
        <f ca="1">ALL!AD71</f>
        <v>0</v>
      </c>
      <c r="AA92" s="14">
        <f ca="1">ALL!AE71</f>
        <v>0</v>
      </c>
      <c r="AB92" s="14">
        <f ca="1">ALL!AF71</f>
        <v>0</v>
      </c>
      <c r="AC92" s="14">
        <f ca="1">ALL!AG71</f>
        <v>0</v>
      </c>
      <c r="AD92" s="14">
        <f ca="1">ALL!AH71</f>
        <v>0</v>
      </c>
      <c r="AE92" s="14">
        <f ca="1">ALL!AI71</f>
        <v>0</v>
      </c>
      <c r="AF92" s="14">
        <f ca="1">ALL!AJ71</f>
        <v>0</v>
      </c>
      <c r="AG92" s="14">
        <f ca="1">ALL!AK71</f>
        <v>0</v>
      </c>
      <c r="AH92" s="14">
        <f ca="1">ALL!AL71</f>
        <v>0</v>
      </c>
      <c r="AI92" s="14">
        <f>ALL!AM71</f>
        <v>0</v>
      </c>
    </row>
    <row r="93" spans="1:35" ht="21.75" hidden="1" outlineLevel="1" thickBot="1" x14ac:dyDescent="0.4">
      <c r="A93" s="36">
        <f>ALL!E72</f>
        <v>0</v>
      </c>
      <c r="B93" s="16">
        <f ca="1">ALL!F72</f>
        <v>0</v>
      </c>
      <c r="C93" s="16">
        <f ca="1">ALL!G72</f>
        <v>0</v>
      </c>
      <c r="D93" s="16">
        <f ca="1">ALL!H72</f>
        <v>0</v>
      </c>
      <c r="E93" s="16">
        <f ca="1">ALL!I72</f>
        <v>0</v>
      </c>
      <c r="F93" s="14">
        <f ca="1">ALL!J72</f>
        <v>0</v>
      </c>
      <c r="G93" s="14">
        <f ca="1">ALL!K72</f>
        <v>0</v>
      </c>
      <c r="H93" s="14">
        <f ca="1">ALL!L72</f>
        <v>0</v>
      </c>
      <c r="I93" s="14">
        <f ca="1">ALL!M72</f>
        <v>0</v>
      </c>
      <c r="J93" s="14">
        <f ca="1">ALL!N72</f>
        <v>0</v>
      </c>
      <c r="K93" s="14">
        <f ca="1">ALL!O72</f>
        <v>0</v>
      </c>
      <c r="L93" s="14">
        <f ca="1">ALL!P72</f>
        <v>0</v>
      </c>
      <c r="M93" s="14">
        <f ca="1">ALL!Q72</f>
        <v>0</v>
      </c>
      <c r="N93" s="14">
        <f ca="1">ALL!R72</f>
        <v>0</v>
      </c>
      <c r="O93" s="14">
        <f ca="1">ALL!S72</f>
        <v>0</v>
      </c>
      <c r="P93" s="14">
        <f ca="1">ALL!T72</f>
        <v>0</v>
      </c>
      <c r="Q93" s="14">
        <f ca="1">ALL!U72</f>
        <v>0</v>
      </c>
      <c r="R93" s="14">
        <f ca="1">ALL!V72</f>
        <v>0</v>
      </c>
      <c r="S93" s="14">
        <f ca="1">ALL!W72</f>
        <v>0</v>
      </c>
      <c r="T93" s="14">
        <f ca="1">ALL!X72</f>
        <v>0</v>
      </c>
      <c r="U93" s="14">
        <f ca="1">ALL!Y72</f>
        <v>0</v>
      </c>
      <c r="V93" s="14">
        <f ca="1">ALL!Z72</f>
        <v>0</v>
      </c>
      <c r="W93" s="14">
        <f ca="1">ALL!AA72</f>
        <v>0</v>
      </c>
      <c r="X93" s="14">
        <f ca="1">ALL!AB72</f>
        <v>0</v>
      </c>
      <c r="Y93" s="14">
        <f ca="1">ALL!AC72</f>
        <v>0</v>
      </c>
      <c r="Z93" s="14">
        <f ca="1">ALL!AD72</f>
        <v>0</v>
      </c>
      <c r="AA93" s="14">
        <f ca="1">ALL!AE72</f>
        <v>0</v>
      </c>
      <c r="AB93" s="14">
        <f ca="1">ALL!AF72</f>
        <v>0</v>
      </c>
      <c r="AC93" s="14">
        <f ca="1">ALL!AG72</f>
        <v>0</v>
      </c>
      <c r="AD93" s="14">
        <f ca="1">ALL!AH72</f>
        <v>0</v>
      </c>
      <c r="AE93" s="14">
        <f ca="1">ALL!AI72</f>
        <v>0</v>
      </c>
      <c r="AF93" s="14">
        <f ca="1">ALL!AJ72</f>
        <v>0</v>
      </c>
      <c r="AG93" s="14">
        <f ca="1">ALL!AK72</f>
        <v>0</v>
      </c>
      <c r="AH93" s="14">
        <f ca="1">ALL!AL72</f>
        <v>0</v>
      </c>
      <c r="AI93" s="14">
        <f>ALL!AM72</f>
        <v>0</v>
      </c>
    </row>
    <row r="94" spans="1:35" ht="21.75" hidden="1" outlineLevel="1" thickBot="1" x14ac:dyDescent="0.4">
      <c r="A94" s="36">
        <f>ALL!E73</f>
        <v>0</v>
      </c>
      <c r="B94" s="16">
        <f ca="1">ALL!F73</f>
        <v>0</v>
      </c>
      <c r="C94" s="16">
        <f ca="1">ALL!G73</f>
        <v>0</v>
      </c>
      <c r="D94" s="16">
        <f ca="1">ALL!H73</f>
        <v>0</v>
      </c>
      <c r="E94" s="16">
        <f ca="1">ALL!I73</f>
        <v>0</v>
      </c>
      <c r="F94" s="14">
        <f ca="1">ALL!J73</f>
        <v>0</v>
      </c>
      <c r="G94" s="14">
        <f ca="1">ALL!K73</f>
        <v>0</v>
      </c>
      <c r="H94" s="14">
        <f ca="1">ALL!L73</f>
        <v>0</v>
      </c>
      <c r="I94" s="14">
        <f ca="1">ALL!M73</f>
        <v>0</v>
      </c>
      <c r="J94" s="14">
        <f ca="1">ALL!N73</f>
        <v>0</v>
      </c>
      <c r="K94" s="14">
        <f ca="1">ALL!O73</f>
        <v>0</v>
      </c>
      <c r="L94" s="14">
        <f ca="1">ALL!P73</f>
        <v>0</v>
      </c>
      <c r="M94" s="14">
        <f ca="1">ALL!Q73</f>
        <v>0</v>
      </c>
      <c r="N94" s="14">
        <f ca="1">ALL!R73</f>
        <v>0</v>
      </c>
      <c r="O94" s="14">
        <f ca="1">ALL!S73</f>
        <v>0</v>
      </c>
      <c r="P94" s="14">
        <f ca="1">ALL!T73</f>
        <v>0</v>
      </c>
      <c r="Q94" s="14">
        <f ca="1">ALL!U73</f>
        <v>0</v>
      </c>
      <c r="R94" s="14">
        <f ca="1">ALL!V73</f>
        <v>0</v>
      </c>
      <c r="S94" s="14">
        <f ca="1">ALL!W73</f>
        <v>0</v>
      </c>
      <c r="T94" s="14">
        <f ca="1">ALL!X73</f>
        <v>0</v>
      </c>
      <c r="U94" s="14">
        <f ca="1">ALL!Y73</f>
        <v>0</v>
      </c>
      <c r="V94" s="14">
        <f ca="1">ALL!Z73</f>
        <v>0</v>
      </c>
      <c r="W94" s="14">
        <f ca="1">ALL!AA73</f>
        <v>0</v>
      </c>
      <c r="X94" s="14">
        <f ca="1">ALL!AB73</f>
        <v>0</v>
      </c>
      <c r="Y94" s="14">
        <f ca="1">ALL!AC73</f>
        <v>0</v>
      </c>
      <c r="Z94" s="14">
        <f ca="1">ALL!AD73</f>
        <v>0</v>
      </c>
      <c r="AA94" s="14">
        <f ca="1">ALL!AE73</f>
        <v>0</v>
      </c>
      <c r="AB94" s="14">
        <f ca="1">ALL!AF73</f>
        <v>0</v>
      </c>
      <c r="AC94" s="14">
        <f ca="1">ALL!AG73</f>
        <v>0</v>
      </c>
      <c r="AD94" s="14">
        <f ca="1">ALL!AH73</f>
        <v>0</v>
      </c>
      <c r="AE94" s="14">
        <f ca="1">ALL!AI73</f>
        <v>0</v>
      </c>
      <c r="AF94" s="14">
        <f ca="1">ALL!AJ73</f>
        <v>0</v>
      </c>
      <c r="AG94" s="14">
        <f ca="1">ALL!AK73</f>
        <v>0</v>
      </c>
      <c r="AH94" s="14">
        <f ca="1">ALL!AL73</f>
        <v>0</v>
      </c>
      <c r="AI94" s="14">
        <f>ALL!AM73</f>
        <v>0</v>
      </c>
    </row>
    <row r="95" spans="1:35" ht="21.75" hidden="1" outlineLevel="1" thickBot="1" x14ac:dyDescent="0.4">
      <c r="A95" s="36">
        <f>ALL!E74</f>
        <v>0</v>
      </c>
      <c r="B95" s="16">
        <f ca="1">ALL!F74</f>
        <v>0</v>
      </c>
      <c r="C95" s="16">
        <f ca="1">ALL!G74</f>
        <v>0</v>
      </c>
      <c r="D95" s="16">
        <f ca="1">ALL!H74</f>
        <v>0</v>
      </c>
      <c r="E95" s="16">
        <f ca="1">ALL!I74</f>
        <v>0</v>
      </c>
      <c r="F95" s="14">
        <f ca="1">ALL!J74</f>
        <v>0</v>
      </c>
      <c r="G95" s="14">
        <f ca="1">ALL!K74</f>
        <v>0</v>
      </c>
      <c r="H95" s="14">
        <f ca="1">ALL!L74</f>
        <v>0</v>
      </c>
      <c r="I95" s="14">
        <f ca="1">ALL!M74</f>
        <v>0</v>
      </c>
      <c r="J95" s="14">
        <f ca="1">ALL!N74</f>
        <v>0</v>
      </c>
      <c r="K95" s="14">
        <f ca="1">ALL!O74</f>
        <v>0</v>
      </c>
      <c r="L95" s="14">
        <f ca="1">ALL!P74</f>
        <v>0</v>
      </c>
      <c r="M95" s="14">
        <f ca="1">ALL!Q74</f>
        <v>0</v>
      </c>
      <c r="N95" s="14">
        <f ca="1">ALL!R74</f>
        <v>0</v>
      </c>
      <c r="O95" s="14">
        <f ca="1">ALL!S74</f>
        <v>0</v>
      </c>
      <c r="P95" s="14">
        <f ca="1">ALL!T74</f>
        <v>0</v>
      </c>
      <c r="Q95" s="14">
        <f ca="1">ALL!U74</f>
        <v>0</v>
      </c>
      <c r="R95" s="14">
        <f ca="1">ALL!V74</f>
        <v>0</v>
      </c>
      <c r="S95" s="14">
        <f ca="1">ALL!W74</f>
        <v>0</v>
      </c>
      <c r="T95" s="14">
        <f ca="1">ALL!X74</f>
        <v>0</v>
      </c>
      <c r="U95" s="14">
        <f ca="1">ALL!Y74</f>
        <v>0</v>
      </c>
      <c r="V95" s="14">
        <f ca="1">ALL!Z74</f>
        <v>0</v>
      </c>
      <c r="W95" s="14">
        <f ca="1">ALL!AA74</f>
        <v>0</v>
      </c>
      <c r="X95" s="14">
        <f ca="1">ALL!AB74</f>
        <v>0</v>
      </c>
      <c r="Y95" s="14">
        <f ca="1">ALL!AC74</f>
        <v>0</v>
      </c>
      <c r="Z95" s="14">
        <f ca="1">ALL!AD74</f>
        <v>0</v>
      </c>
      <c r="AA95" s="14">
        <f ca="1">ALL!AE74</f>
        <v>0</v>
      </c>
      <c r="AB95" s="14">
        <f ca="1">ALL!AF74</f>
        <v>0</v>
      </c>
      <c r="AC95" s="14">
        <f ca="1">ALL!AG74</f>
        <v>0</v>
      </c>
      <c r="AD95" s="14">
        <f ca="1">ALL!AH74</f>
        <v>0</v>
      </c>
      <c r="AE95" s="14">
        <f ca="1">ALL!AI74</f>
        <v>0</v>
      </c>
      <c r="AF95" s="14">
        <f ca="1">ALL!AJ74</f>
        <v>0</v>
      </c>
      <c r="AG95" s="14">
        <f ca="1">ALL!AK74</f>
        <v>0</v>
      </c>
      <c r="AH95" s="14">
        <f ca="1">ALL!AL74</f>
        <v>0</v>
      </c>
      <c r="AI95" s="14">
        <f>ALL!AM74</f>
        <v>0</v>
      </c>
    </row>
    <row r="96" spans="1:35" ht="21.75" hidden="1" outlineLevel="1" thickBot="1" x14ac:dyDescent="0.4">
      <c r="A96" s="36">
        <f>ALL!E75</f>
        <v>1</v>
      </c>
      <c r="B96" s="16">
        <f>ALL!F75</f>
        <v>0</v>
      </c>
      <c r="C96" s="16">
        <f>ALL!G75</f>
        <v>0</v>
      </c>
      <c r="D96" s="16">
        <f>ALL!H75</f>
        <v>0</v>
      </c>
      <c r="E96" s="16">
        <f>ALL!I75</f>
        <v>0</v>
      </c>
      <c r="F96" s="14">
        <f>ALL!J75</f>
        <v>0</v>
      </c>
      <c r="G96" s="14">
        <f>ALL!K75</f>
        <v>0</v>
      </c>
      <c r="H96" s="14">
        <f>ALL!L75</f>
        <v>0</v>
      </c>
      <c r="I96" s="14">
        <f>ALL!M75</f>
        <v>0</v>
      </c>
      <c r="J96" s="14">
        <f>ALL!N75</f>
        <v>0</v>
      </c>
      <c r="K96" s="14">
        <f>ALL!O75</f>
        <v>0</v>
      </c>
      <c r="L96" s="14">
        <f>ALL!P75</f>
        <v>0</v>
      </c>
      <c r="M96" s="14">
        <f>ALL!Q75</f>
        <v>0</v>
      </c>
      <c r="N96" s="14">
        <f>ALL!R75</f>
        <v>0</v>
      </c>
      <c r="O96" s="14">
        <f>ALL!S75</f>
        <v>0</v>
      </c>
      <c r="P96" s="14">
        <f>ALL!T75</f>
        <v>0</v>
      </c>
      <c r="Q96" s="14">
        <f>ALL!U75</f>
        <v>0</v>
      </c>
      <c r="R96" s="14">
        <f>ALL!V75</f>
        <v>0</v>
      </c>
      <c r="S96" s="14">
        <f>ALL!W75</f>
        <v>0</v>
      </c>
      <c r="T96" s="14">
        <f>ALL!X75</f>
        <v>0</v>
      </c>
      <c r="U96" s="14">
        <f>ALL!Y75</f>
        <v>0</v>
      </c>
      <c r="V96" s="14">
        <f>ALL!Z75</f>
        <v>0</v>
      </c>
      <c r="W96" s="14">
        <f>ALL!AA75</f>
        <v>0</v>
      </c>
      <c r="X96" s="14">
        <f>ALL!AB75</f>
        <v>0</v>
      </c>
      <c r="Y96" s="14">
        <f>ALL!AC75</f>
        <v>0</v>
      </c>
      <c r="Z96" s="14">
        <f>ALL!AD75</f>
        <v>0</v>
      </c>
      <c r="AA96" s="14">
        <f>ALL!AE75</f>
        <v>0</v>
      </c>
      <c r="AB96" s="14">
        <f>ALL!AF75</f>
        <v>0</v>
      </c>
      <c r="AC96" s="14">
        <f>ALL!AG75</f>
        <v>0</v>
      </c>
      <c r="AD96" s="14">
        <f>ALL!AH75</f>
        <v>0</v>
      </c>
      <c r="AE96" s="14">
        <f>ALL!AI75</f>
        <v>0</v>
      </c>
      <c r="AF96" s="14">
        <f>ALL!AJ75</f>
        <v>0</v>
      </c>
      <c r="AG96" s="14">
        <f>ALL!AK75</f>
        <v>0</v>
      </c>
      <c r="AH96" s="14">
        <f>ALL!AL75</f>
        <v>0</v>
      </c>
      <c r="AI96" s="14">
        <f>ALL!AM75</f>
        <v>0</v>
      </c>
    </row>
    <row r="97" spans="1:94" ht="21.75" collapsed="1" thickTop="1" x14ac:dyDescent="0.35">
      <c r="A97" s="92" t="s">
        <v>10</v>
      </c>
      <c r="B97" s="93"/>
      <c r="F97" s="37"/>
      <c r="G97" s="37"/>
      <c r="H97" s="37"/>
      <c r="I97" s="37"/>
      <c r="J97" s="37"/>
      <c r="K97" s="37"/>
      <c r="L97" s="37"/>
      <c r="M97" s="37"/>
      <c r="N97" s="37"/>
      <c r="O97" s="37"/>
      <c r="P97" s="37"/>
      <c r="Q97" s="37"/>
      <c r="R97" s="37"/>
      <c r="S97" s="37"/>
      <c r="T97" s="37"/>
      <c r="U97" s="37"/>
      <c r="V97" s="37"/>
      <c r="W97" s="37"/>
      <c r="X97" s="37"/>
      <c r="Y97" s="37"/>
      <c r="Z97" s="37"/>
      <c r="AA97" s="37"/>
      <c r="AB97" s="37"/>
      <c r="AC97" s="37"/>
      <c r="AD97" s="37"/>
      <c r="AE97" s="37"/>
      <c r="AF97" s="37"/>
      <c r="AG97" s="37"/>
      <c r="AH97" s="37"/>
      <c r="AI97" s="37"/>
    </row>
    <row r="98" spans="1:94" x14ac:dyDescent="0.35">
      <c r="A98" s="21">
        <f>Values!B1</f>
        <v>700</v>
      </c>
      <c r="B98" s="53">
        <f>MIN(B100:CP154)</f>
        <v>-184.14450450450451</v>
      </c>
    </row>
    <row r="99" spans="1:94" ht="21.75" thickBot="1" x14ac:dyDescent="0.4">
      <c r="A99" s="22">
        <f>A98</f>
        <v>700</v>
      </c>
      <c r="B99" s="54">
        <v>0</v>
      </c>
    </row>
    <row r="100" spans="1:94" ht="22.5" thickTop="1" thickBot="1" x14ac:dyDescent="0.4">
      <c r="A100" s="4" t="s">
        <v>30</v>
      </c>
      <c r="B100" s="72">
        <v>306</v>
      </c>
      <c r="C100" s="72">
        <v>314</v>
      </c>
      <c r="D100" s="72">
        <v>322</v>
      </c>
      <c r="E100" s="72">
        <v>330</v>
      </c>
      <c r="F100" s="4">
        <v>338</v>
      </c>
      <c r="G100" s="4">
        <v>346</v>
      </c>
      <c r="H100" s="4">
        <v>354</v>
      </c>
      <c r="I100" s="4">
        <v>362</v>
      </c>
      <c r="J100" s="4">
        <v>370</v>
      </c>
      <c r="K100" s="4">
        <v>378</v>
      </c>
      <c r="L100" s="4">
        <v>386</v>
      </c>
      <c r="M100" s="4">
        <v>394</v>
      </c>
      <c r="N100" s="4">
        <v>402</v>
      </c>
      <c r="O100" s="4">
        <v>410</v>
      </c>
      <c r="P100" s="4">
        <v>418</v>
      </c>
      <c r="Q100" s="4">
        <v>426</v>
      </c>
      <c r="R100" s="4">
        <v>434</v>
      </c>
      <c r="S100" s="4">
        <v>442</v>
      </c>
      <c r="T100" s="4">
        <v>450</v>
      </c>
      <c r="U100" s="4">
        <v>458</v>
      </c>
      <c r="V100" s="4">
        <v>466</v>
      </c>
      <c r="W100" s="4">
        <v>474</v>
      </c>
      <c r="X100" s="4">
        <v>482</v>
      </c>
      <c r="Y100" s="4">
        <v>490</v>
      </c>
      <c r="Z100" s="4">
        <v>498</v>
      </c>
      <c r="AA100" s="4">
        <v>506</v>
      </c>
      <c r="AB100" s="4">
        <v>514</v>
      </c>
      <c r="AC100" s="4">
        <v>522</v>
      </c>
      <c r="AD100" s="4">
        <v>530</v>
      </c>
      <c r="AE100" s="4">
        <v>538</v>
      </c>
      <c r="AF100" s="4">
        <v>546</v>
      </c>
      <c r="AG100" s="4">
        <v>554</v>
      </c>
      <c r="AH100" s="4">
        <v>562</v>
      </c>
      <c r="AI100" s="4">
        <v>570</v>
      </c>
      <c r="AJ100" s="4">
        <v>578</v>
      </c>
      <c r="AK100" s="4">
        <v>586</v>
      </c>
      <c r="AL100" s="4">
        <v>594</v>
      </c>
      <c r="AM100" s="4">
        <v>602</v>
      </c>
      <c r="AN100" s="4">
        <v>610</v>
      </c>
      <c r="AO100" s="4">
        <v>618</v>
      </c>
      <c r="AP100" s="4">
        <v>626</v>
      </c>
      <c r="AQ100" s="4">
        <v>634</v>
      </c>
      <c r="AR100" s="4">
        <v>642</v>
      </c>
      <c r="AS100" s="4">
        <v>650</v>
      </c>
      <c r="AT100" s="4">
        <v>658</v>
      </c>
      <c r="AU100" s="4">
        <v>666</v>
      </c>
      <c r="AV100" s="4">
        <v>674</v>
      </c>
      <c r="AW100" s="4">
        <v>682</v>
      </c>
      <c r="AX100" s="4">
        <v>690</v>
      </c>
      <c r="AY100" s="4">
        <v>698</v>
      </c>
      <c r="AZ100" s="4">
        <v>706</v>
      </c>
      <c r="BA100" s="4">
        <v>714</v>
      </c>
      <c r="BB100" s="4">
        <v>722</v>
      </c>
      <c r="BC100" s="4">
        <v>730</v>
      </c>
      <c r="BD100" s="4">
        <v>738</v>
      </c>
      <c r="BE100" s="4">
        <v>746</v>
      </c>
      <c r="BF100" s="4">
        <v>754</v>
      </c>
      <c r="BG100" s="4">
        <v>762</v>
      </c>
      <c r="BH100" s="4">
        <v>770</v>
      </c>
      <c r="BI100" s="4">
        <v>778</v>
      </c>
      <c r="BJ100" s="4">
        <v>786</v>
      </c>
      <c r="BK100" s="4">
        <v>794</v>
      </c>
      <c r="BL100" s="4">
        <v>802</v>
      </c>
      <c r="BM100" s="4">
        <v>810</v>
      </c>
      <c r="BN100" s="4">
        <v>818</v>
      </c>
      <c r="BO100" s="4">
        <v>826</v>
      </c>
      <c r="BP100" s="4">
        <v>834</v>
      </c>
      <c r="BQ100" s="4">
        <v>842</v>
      </c>
      <c r="BR100" s="4">
        <v>850</v>
      </c>
      <c r="BS100" s="4">
        <v>858</v>
      </c>
      <c r="BT100" s="4">
        <v>866</v>
      </c>
      <c r="BU100" s="4">
        <v>874</v>
      </c>
      <c r="BV100" s="4">
        <v>882</v>
      </c>
      <c r="BW100" s="4">
        <v>890</v>
      </c>
      <c r="BX100" s="4">
        <v>898</v>
      </c>
      <c r="BY100" s="4">
        <v>906</v>
      </c>
      <c r="BZ100" s="4">
        <v>914</v>
      </c>
      <c r="CA100" s="4">
        <v>922</v>
      </c>
      <c r="CB100" s="4">
        <v>930</v>
      </c>
      <c r="CC100" s="4">
        <v>938</v>
      </c>
      <c r="CD100" s="4">
        <v>946</v>
      </c>
      <c r="CE100" s="4">
        <v>954</v>
      </c>
      <c r="CF100" s="4">
        <v>962</v>
      </c>
      <c r="CG100" s="4">
        <v>970</v>
      </c>
      <c r="CH100" s="4">
        <v>978</v>
      </c>
      <c r="CI100" s="4">
        <v>986</v>
      </c>
      <c r="CJ100" s="4">
        <v>994</v>
      </c>
      <c r="CK100" s="4"/>
      <c r="CL100" s="4"/>
      <c r="CM100" s="4"/>
      <c r="CN100" s="4"/>
      <c r="CO100" s="4"/>
      <c r="CP100" s="4"/>
    </row>
    <row r="101" spans="1:94" ht="22.5" thickTop="1" thickBot="1" x14ac:dyDescent="0.4">
      <c r="A101" s="18" t="s">
        <v>68</v>
      </c>
      <c r="B101" s="38">
        <v>-15.118108108108107</v>
      </c>
      <c r="C101" s="38">
        <v>-14.88027027027027</v>
      </c>
      <c r="D101" s="38">
        <v>-14.642432432432432</v>
      </c>
      <c r="E101" s="38">
        <v>-14.404594594594593</v>
      </c>
      <c r="F101">
        <v>-13.959101796407184</v>
      </c>
      <c r="G101">
        <v>-13.46568862275449</v>
      </c>
      <c r="H101">
        <v>-12.972275449101796</v>
      </c>
      <c r="I101">
        <v>-12.478862275449101</v>
      </c>
      <c r="J101">
        <v>-11.950329341317365</v>
      </c>
      <c r="K101">
        <v>-11.40182634730539</v>
      </c>
      <c r="L101">
        <v>-10.853323353293414</v>
      </c>
      <c r="M101">
        <v>-10.304820359281438</v>
      </c>
      <c r="N101">
        <v>-9.7896616766467073</v>
      </c>
      <c r="O101">
        <v>-9.3132544910179647</v>
      </c>
      <c r="P101">
        <v>-8.836847305389222</v>
      </c>
      <c r="Q101">
        <v>-8.3604401197604794</v>
      </c>
      <c r="R101">
        <v>-7.9011107784431145</v>
      </c>
      <c r="S101">
        <v>-7.4841047904191624</v>
      </c>
      <c r="T101">
        <v>-7.0670988023952104</v>
      </c>
      <c r="U101">
        <v>-6.6500928143712592</v>
      </c>
      <c r="V101">
        <v>-6.2383952095808395</v>
      </c>
      <c r="W101">
        <v>-5.8685748502994022</v>
      </c>
      <c r="X101">
        <v>-5.4987544910179649</v>
      </c>
      <c r="Y101">
        <v>-5.1289341317365267</v>
      </c>
      <c r="Z101">
        <v>-4.7591137724550894</v>
      </c>
      <c r="AA101">
        <v>-4.6019909909909904</v>
      </c>
      <c r="AB101">
        <v>-4.4590480480480474</v>
      </c>
      <c r="AC101">
        <v>-4.3161051051051045</v>
      </c>
      <c r="AD101">
        <v>-4.1731621621621615</v>
      </c>
      <c r="AE101">
        <v>-4.1562215568862273</v>
      </c>
      <c r="AF101">
        <v>-4.1758622754491022</v>
      </c>
      <c r="AG101">
        <v>-4.1955029940119761</v>
      </c>
      <c r="AH101">
        <v>-4.2151437125748501</v>
      </c>
      <c r="AI101">
        <v>-4.2348562874251492</v>
      </c>
      <c r="AJ101">
        <v>-4.2546167664670653</v>
      </c>
      <c r="AK101">
        <v>-4.2743772455089815</v>
      </c>
      <c r="AL101">
        <v>-4.2941377245508976</v>
      </c>
      <c r="AM101">
        <v>-4.3138982035928146</v>
      </c>
      <c r="AN101">
        <v>-4.3336586826347308</v>
      </c>
      <c r="AO101">
        <v>-4.3534191616766469</v>
      </c>
      <c r="AP101">
        <v>-4.373179640718563</v>
      </c>
      <c r="AQ101">
        <v>-4.3929401197604792</v>
      </c>
      <c r="AR101">
        <v>-4.4127005988023953</v>
      </c>
      <c r="AS101">
        <v>-4.4324610778443114</v>
      </c>
      <c r="AT101">
        <v>-4.4522215568862276</v>
      </c>
      <c r="AU101">
        <v>-4.4719820359281437</v>
      </c>
      <c r="AV101">
        <v>-4.4917425149700598</v>
      </c>
      <c r="AW101">
        <v>-4.511502994011976</v>
      </c>
      <c r="AX101">
        <v>-4.5312634730538921</v>
      </c>
      <c r="AY101">
        <v>-4.5510239520958082</v>
      </c>
      <c r="AZ101">
        <v>-4.5702584269662925</v>
      </c>
      <c r="BA101">
        <v>-4.5894344569288394</v>
      </c>
      <c r="BB101">
        <v>-4.6086104868913855</v>
      </c>
      <c r="BC101">
        <v>-4.6277865168539325</v>
      </c>
      <c r="BD101">
        <v>-4.6469625468164795</v>
      </c>
      <c r="BE101">
        <v>-4.6661385767790264</v>
      </c>
      <c r="BF101">
        <v>-4.6853146067415734</v>
      </c>
      <c r="BG101">
        <v>-4.7044906367041204</v>
      </c>
      <c r="BH101">
        <v>-4.7236666666666665</v>
      </c>
      <c r="BI101">
        <v>-4.7428426966292134</v>
      </c>
      <c r="BJ101">
        <v>-4.7620187265917604</v>
      </c>
      <c r="BK101">
        <v>-4.7811947565543074</v>
      </c>
      <c r="BL101">
        <v>-4.8003707865168543</v>
      </c>
      <c r="BM101">
        <v>-4.8195468164794013</v>
      </c>
      <c r="BN101">
        <v>-4.8387228464419483</v>
      </c>
      <c r="BO101">
        <v>-4.8578988764044944</v>
      </c>
      <c r="BP101">
        <v>-4.8768456928838955</v>
      </c>
      <c r="BQ101">
        <v>-4.8949430711610491</v>
      </c>
      <c r="BR101">
        <v>-4.9130404494382027</v>
      </c>
      <c r="BS101">
        <v>-4.9311378277153564</v>
      </c>
      <c r="BT101">
        <v>-4.94923520599251</v>
      </c>
      <c r="BU101">
        <v>-4.9673325842696627</v>
      </c>
      <c r="BV101">
        <v>-4.9854299625468164</v>
      </c>
      <c r="BW101">
        <v>-5.00352734082397</v>
      </c>
      <c r="BX101">
        <v>-5.0216247191011236</v>
      </c>
      <c r="BY101">
        <v>-5.0397220973782773</v>
      </c>
      <c r="BZ101">
        <v>-5.0578194756554309</v>
      </c>
      <c r="CA101">
        <v>-5.0759168539325845</v>
      </c>
      <c r="CB101">
        <v>-5.0940142322097381</v>
      </c>
      <c r="CC101">
        <v>-5.1121116104868918</v>
      </c>
      <c r="CD101">
        <v>-5.1302089887640445</v>
      </c>
      <c r="CE101">
        <v>-5.1483063670411982</v>
      </c>
      <c r="CF101">
        <v>-5.1664037453183518</v>
      </c>
      <c r="CG101">
        <v>-5.1840538922155686</v>
      </c>
      <c r="CH101">
        <v>-5.2012994011976046</v>
      </c>
      <c r="CI101">
        <v>-5.2185449101796406</v>
      </c>
      <c r="CJ101">
        <v>-5.2357904191616766</v>
      </c>
    </row>
    <row r="102" spans="1:94" ht="21.75" thickBot="1" x14ac:dyDescent="0.4">
      <c r="A102" s="18" t="s">
        <v>42</v>
      </c>
      <c r="B102" s="38">
        <v>-15.118108108108107</v>
      </c>
      <c r="C102" s="38">
        <v>-14.88027027027027</v>
      </c>
      <c r="D102" s="38">
        <v>-14.642432432432432</v>
      </c>
      <c r="E102" s="38">
        <v>-14.404594594594593</v>
      </c>
      <c r="F102">
        <v>-13.959101796407184</v>
      </c>
      <c r="G102">
        <v>-13.46568862275449</v>
      </c>
      <c r="H102">
        <v>-12.972275449101796</v>
      </c>
      <c r="I102">
        <v>-12.478862275449101</v>
      </c>
      <c r="J102">
        <v>-11.950329341317365</v>
      </c>
      <c r="K102">
        <v>-11.40182634730539</v>
      </c>
      <c r="L102">
        <v>-10.853323353293414</v>
      </c>
      <c r="M102">
        <v>-10.304820359281438</v>
      </c>
      <c r="N102">
        <v>-9.7896616766467073</v>
      </c>
      <c r="O102">
        <v>-9.3132544910179647</v>
      </c>
      <c r="P102">
        <v>-8.836847305389222</v>
      </c>
      <c r="Q102">
        <v>-8.3604401197604794</v>
      </c>
      <c r="R102">
        <v>-7.9011107784431145</v>
      </c>
      <c r="S102">
        <v>-7.4841047904191624</v>
      </c>
      <c r="T102">
        <v>-7.0670988023952104</v>
      </c>
      <c r="U102">
        <v>-6.6500928143712592</v>
      </c>
      <c r="V102">
        <v>-6.2383952095808395</v>
      </c>
      <c r="W102">
        <v>-5.8685748502994022</v>
      </c>
      <c r="X102">
        <v>-5.4987544910179649</v>
      </c>
      <c r="Y102">
        <v>-5.1289341317365267</v>
      </c>
      <c r="Z102">
        <v>-4.7591137724550894</v>
      </c>
      <c r="AA102">
        <v>-4.6019909909909904</v>
      </c>
      <c r="AB102">
        <v>-4.4590480480480474</v>
      </c>
      <c r="AC102">
        <v>-4.3161051051051045</v>
      </c>
      <c r="AD102">
        <v>-4.1731621621621615</v>
      </c>
      <c r="AE102">
        <v>-4.1562215568862273</v>
      </c>
      <c r="AF102">
        <v>-4.1758622754491022</v>
      </c>
      <c r="AG102">
        <v>-4.1955029940119761</v>
      </c>
      <c r="AH102">
        <v>-4.2151437125748501</v>
      </c>
      <c r="AI102">
        <v>-4.2348562874251492</v>
      </c>
      <c r="AJ102">
        <v>-4.2546167664670653</v>
      </c>
      <c r="AK102">
        <v>-4.2743772455089815</v>
      </c>
      <c r="AL102">
        <v>-4.2941377245508976</v>
      </c>
      <c r="AM102">
        <v>-4.3138982035928146</v>
      </c>
      <c r="AN102">
        <v>-4.3336586826347308</v>
      </c>
      <c r="AO102">
        <v>-4.3534191616766469</v>
      </c>
      <c r="AP102">
        <v>-4.373179640718563</v>
      </c>
      <c r="AQ102">
        <v>-4.3929401197604792</v>
      </c>
      <c r="AR102">
        <v>-4.4127005988023953</v>
      </c>
      <c r="AS102">
        <v>-4.4324610778443114</v>
      </c>
      <c r="AT102">
        <v>-4.4522215568862276</v>
      </c>
      <c r="AU102">
        <v>-4.4719820359281437</v>
      </c>
      <c r="AV102">
        <v>-4.4917425149700598</v>
      </c>
      <c r="AW102">
        <v>-4.511502994011976</v>
      </c>
      <c r="AX102">
        <v>-4.5312634730538921</v>
      </c>
      <c r="AY102">
        <v>-4.5510239520958082</v>
      </c>
      <c r="AZ102">
        <v>-4.5702584269662925</v>
      </c>
      <c r="BA102">
        <v>-4.5894344569288394</v>
      </c>
      <c r="BB102">
        <v>-4.6086104868913855</v>
      </c>
      <c r="BC102">
        <v>-4.6277865168539325</v>
      </c>
      <c r="BD102">
        <v>-4.6469625468164795</v>
      </c>
      <c r="BE102">
        <v>-4.6661385767790264</v>
      </c>
      <c r="BF102">
        <v>-4.6853146067415734</v>
      </c>
      <c r="BG102">
        <v>-4.7044906367041204</v>
      </c>
      <c r="BH102">
        <v>-4.7236666666666665</v>
      </c>
      <c r="BI102">
        <v>-4.7428426966292134</v>
      </c>
      <c r="BJ102">
        <v>-4.7620187265917604</v>
      </c>
      <c r="BK102">
        <v>-4.7811947565543074</v>
      </c>
      <c r="BL102">
        <v>-4.8003707865168543</v>
      </c>
      <c r="BM102">
        <v>-4.8195468164794013</v>
      </c>
      <c r="BN102">
        <v>-4.8387228464419483</v>
      </c>
      <c r="BO102">
        <v>-4.8578988764044944</v>
      </c>
      <c r="BP102">
        <v>-4.8768456928838955</v>
      </c>
      <c r="BQ102">
        <v>-4.8949430711610491</v>
      </c>
      <c r="BR102">
        <v>-4.9130404494382027</v>
      </c>
      <c r="BS102">
        <v>-4.9311378277153564</v>
      </c>
      <c r="BT102">
        <v>-4.94923520599251</v>
      </c>
      <c r="BU102">
        <v>-4.9673325842696627</v>
      </c>
      <c r="BV102">
        <v>-4.9854299625468164</v>
      </c>
      <c r="BW102">
        <v>-5.00352734082397</v>
      </c>
      <c r="BX102">
        <v>-5.0216247191011236</v>
      </c>
      <c r="BY102">
        <v>-5.0397220973782773</v>
      </c>
      <c r="BZ102">
        <v>-5.0578194756554309</v>
      </c>
      <c r="CA102">
        <v>-5.0759168539325845</v>
      </c>
      <c r="CB102">
        <v>-5.0940142322097381</v>
      </c>
      <c r="CC102">
        <v>-5.1121116104868918</v>
      </c>
      <c r="CD102">
        <v>-5.1302089887640445</v>
      </c>
      <c r="CE102">
        <v>-5.1483063670411982</v>
      </c>
      <c r="CF102">
        <v>-5.1664037453183518</v>
      </c>
      <c r="CG102">
        <v>-5.1840538922155686</v>
      </c>
      <c r="CH102">
        <v>-5.2012994011976046</v>
      </c>
      <c r="CI102">
        <v>-5.2185449101796406</v>
      </c>
      <c r="CJ102">
        <v>-5.2357904191616766</v>
      </c>
    </row>
    <row r="103" spans="1:94" ht="21.75" thickBot="1" x14ac:dyDescent="0.4">
      <c r="A103" s="18" t="s">
        <v>41</v>
      </c>
      <c r="B103" s="38">
        <v>-36.591171171171169</v>
      </c>
      <c r="C103" s="38">
        <v>-35.925705705705703</v>
      </c>
      <c r="D103" s="38">
        <v>-35.260240240240236</v>
      </c>
      <c r="E103" s="38">
        <v>-34.594774774774777</v>
      </c>
      <c r="F103">
        <v>-34.041856287425148</v>
      </c>
      <c r="G103">
        <v>-33.514910179640715</v>
      </c>
      <c r="H103">
        <v>-32.987964071856283</v>
      </c>
      <c r="I103">
        <v>-32.46101796407185</v>
      </c>
      <c r="J103">
        <v>-31.996676646706582</v>
      </c>
      <c r="K103">
        <v>-31.567934131736521</v>
      </c>
      <c r="L103">
        <v>-31.139191616766464</v>
      </c>
      <c r="M103">
        <v>-30.710449101796403</v>
      </c>
      <c r="N103">
        <v>-30.316158682634729</v>
      </c>
      <c r="O103">
        <v>-29.961907185628743</v>
      </c>
      <c r="P103">
        <v>-29.607655688622753</v>
      </c>
      <c r="Q103">
        <v>-29.253404191616767</v>
      </c>
      <c r="R103">
        <v>-28.916230538922157</v>
      </c>
      <c r="S103">
        <v>-28.62138023952096</v>
      </c>
      <c r="T103">
        <v>-28.326529940119762</v>
      </c>
      <c r="U103">
        <v>-28.031679640718565</v>
      </c>
      <c r="V103">
        <v>-27.742407185628743</v>
      </c>
      <c r="W103">
        <v>-27.4971377245509</v>
      </c>
      <c r="X103">
        <v>-27.251868263473057</v>
      </c>
      <c r="Y103">
        <v>-27.00659880239521</v>
      </c>
      <c r="Z103">
        <v>-26.761329341317367</v>
      </c>
      <c r="AA103">
        <v>-26.724603603603605</v>
      </c>
      <c r="AB103">
        <v>-26.701780780780783</v>
      </c>
      <c r="AC103">
        <v>-26.678957957957962</v>
      </c>
      <c r="AD103">
        <v>-26.656135135135138</v>
      </c>
      <c r="AE103">
        <v>-26.760892215568866</v>
      </c>
      <c r="AF103">
        <v>-26.902688622754493</v>
      </c>
      <c r="AG103">
        <v>-27.04448502994012</v>
      </c>
      <c r="AH103">
        <v>-27.186281437125746</v>
      </c>
      <c r="AI103">
        <v>-27.324556886227544</v>
      </c>
      <c r="AJ103">
        <v>-27.460485029940116</v>
      </c>
      <c r="AK103">
        <v>-27.596413173652692</v>
      </c>
      <c r="AL103">
        <v>-27.732341317365268</v>
      </c>
      <c r="AM103">
        <v>-27.868269461077844</v>
      </c>
      <c r="AN103">
        <v>-28.00419760479042</v>
      </c>
      <c r="AO103">
        <v>-28.140125748502992</v>
      </c>
      <c r="AP103">
        <v>-28.276053892215568</v>
      </c>
      <c r="AQ103">
        <v>-28.411982035928144</v>
      </c>
      <c r="AR103">
        <v>-28.54791017964072</v>
      </c>
      <c r="AS103">
        <v>-28.683838323353296</v>
      </c>
      <c r="AT103">
        <v>-28.819766467065868</v>
      </c>
      <c r="AU103">
        <v>-28.955694610778444</v>
      </c>
      <c r="AV103">
        <v>-29.09162275449102</v>
      </c>
      <c r="AW103">
        <v>-29.227550898203596</v>
      </c>
      <c r="AX103">
        <v>-29.363479041916172</v>
      </c>
      <c r="AY103">
        <v>-29.499407185628744</v>
      </c>
      <c r="AZ103">
        <v>-29.627876404494383</v>
      </c>
      <c r="BA103">
        <v>-29.755516853932587</v>
      </c>
      <c r="BB103">
        <v>-29.88315730337079</v>
      </c>
      <c r="BC103">
        <v>-30.01079775280899</v>
      </c>
      <c r="BD103">
        <v>-30.138438202247194</v>
      </c>
      <c r="BE103">
        <v>-30.266078651685394</v>
      </c>
      <c r="BF103">
        <v>-30.393719101123597</v>
      </c>
      <c r="BG103">
        <v>-30.521359550561801</v>
      </c>
      <c r="BH103">
        <v>-30.649000000000001</v>
      </c>
      <c r="BI103">
        <v>-30.776640449438204</v>
      </c>
      <c r="BJ103">
        <v>-30.904280898876408</v>
      </c>
      <c r="BK103">
        <v>-31.031921348314608</v>
      </c>
      <c r="BL103">
        <v>-31.159561797752811</v>
      </c>
      <c r="BM103">
        <v>-31.287202247191011</v>
      </c>
      <c r="BN103">
        <v>-31.414842696629215</v>
      </c>
      <c r="BO103">
        <v>-31.542483146067418</v>
      </c>
      <c r="BP103">
        <v>-31.668748314606741</v>
      </c>
      <c r="BQ103">
        <v>-31.789916853932585</v>
      </c>
      <c r="BR103">
        <v>-31.911085393258428</v>
      </c>
      <c r="BS103">
        <v>-32.032253932584268</v>
      </c>
      <c r="BT103">
        <v>-32.153422471910112</v>
      </c>
      <c r="BU103">
        <v>-32.274591011235955</v>
      </c>
      <c r="BV103">
        <v>-32.395759550561799</v>
      </c>
      <c r="BW103">
        <v>-32.516928089887642</v>
      </c>
      <c r="BX103">
        <v>-32.638096629213486</v>
      </c>
      <c r="BY103">
        <v>-32.759265168539329</v>
      </c>
      <c r="BZ103">
        <v>-32.880433707865166</v>
      </c>
      <c r="CA103">
        <v>-33.001602247191009</v>
      </c>
      <c r="CB103">
        <v>-33.122770786516853</v>
      </c>
      <c r="CC103">
        <v>-33.243939325842696</v>
      </c>
      <c r="CD103">
        <v>-33.36510786516854</v>
      </c>
      <c r="CE103">
        <v>-33.486276404494383</v>
      </c>
      <c r="CF103">
        <v>-33.607444943820227</v>
      </c>
      <c r="CG103">
        <v>-33.725610778443112</v>
      </c>
      <c r="CH103">
        <v>-33.84105988023952</v>
      </c>
      <c r="CI103">
        <v>-33.956508982035928</v>
      </c>
      <c r="CJ103">
        <v>-34.071958083832335</v>
      </c>
    </row>
    <row r="104" spans="1:94" ht="21.75" thickBot="1" x14ac:dyDescent="0.4">
      <c r="A104" s="18" t="s">
        <v>69</v>
      </c>
      <c r="B104" s="38">
        <v>-59.678288288288286</v>
      </c>
      <c r="C104" s="38">
        <v>-58.332942942942942</v>
      </c>
      <c r="D104" s="38">
        <v>-56.987597597597599</v>
      </c>
      <c r="E104" s="38">
        <v>-55.642252252252256</v>
      </c>
      <c r="F104">
        <v>-54.130868263473054</v>
      </c>
      <c r="G104">
        <v>-52.581167664670659</v>
      </c>
      <c r="H104">
        <v>-51.031467065868263</v>
      </c>
      <c r="I104">
        <v>-49.481766467065867</v>
      </c>
      <c r="J104">
        <v>-47.964131736526944</v>
      </c>
      <c r="K104">
        <v>-46.464730538922154</v>
      </c>
      <c r="L104">
        <v>-44.965329341317364</v>
      </c>
      <c r="M104">
        <v>-43.465928143712574</v>
      </c>
      <c r="N104">
        <v>-42.064011976047901</v>
      </c>
      <c r="O104">
        <v>-40.775389221556885</v>
      </c>
      <c r="P104">
        <v>-39.48676646706587</v>
      </c>
      <c r="Q104">
        <v>-38.198143712574847</v>
      </c>
      <c r="R104">
        <v>-36.957724550898206</v>
      </c>
      <c r="S104">
        <v>-35.836766467065871</v>
      </c>
      <c r="T104">
        <v>-34.715808383233536</v>
      </c>
      <c r="U104">
        <v>-33.594850299401202</v>
      </c>
      <c r="V104">
        <v>-32.488982035928146</v>
      </c>
      <c r="W104">
        <v>-31.502155688622757</v>
      </c>
      <c r="X104">
        <v>-30.515329341317369</v>
      </c>
      <c r="Y104">
        <v>-29.528502994011976</v>
      </c>
      <c r="Z104">
        <v>-28.541676646706588</v>
      </c>
      <c r="AA104">
        <v>-27.788558558558559</v>
      </c>
      <c r="AB104">
        <v>-27.051021021021018</v>
      </c>
      <c r="AC104">
        <v>-26.313483483483481</v>
      </c>
      <c r="AD104">
        <v>-25.575945945945943</v>
      </c>
      <c r="AE104">
        <v>-25.655029940119761</v>
      </c>
      <c r="AF104">
        <v>-25.971197604790419</v>
      </c>
      <c r="AG104">
        <v>-26.287365269461077</v>
      </c>
      <c r="AH104">
        <v>-26.603532934131735</v>
      </c>
      <c r="AI104">
        <v>-26.911437125748503</v>
      </c>
      <c r="AJ104">
        <v>-27.213832335329339</v>
      </c>
      <c r="AK104">
        <v>-27.51622754491018</v>
      </c>
      <c r="AL104">
        <v>-27.818622754491017</v>
      </c>
      <c r="AM104">
        <v>-28.121017964071857</v>
      </c>
      <c r="AN104">
        <v>-28.423413173652694</v>
      </c>
      <c r="AO104">
        <v>-28.725808383233534</v>
      </c>
      <c r="AP104">
        <v>-29.028203592814371</v>
      </c>
      <c r="AQ104">
        <v>-29.330598802395212</v>
      </c>
      <c r="AR104">
        <v>-29.632994011976049</v>
      </c>
      <c r="AS104">
        <v>-29.935389221556889</v>
      </c>
      <c r="AT104">
        <v>-30.237784431137726</v>
      </c>
      <c r="AU104">
        <v>-30.540179640718566</v>
      </c>
      <c r="AV104">
        <v>-30.842574850299403</v>
      </c>
      <c r="AW104">
        <v>-31.144970059880244</v>
      </c>
      <c r="AX104">
        <v>-31.447365269461081</v>
      </c>
      <c r="AY104">
        <v>-31.749760479041917</v>
      </c>
      <c r="AZ104">
        <v>-32.022696629213485</v>
      </c>
      <c r="BA104">
        <v>-32.292359550561798</v>
      </c>
      <c r="BB104">
        <v>-32.562022471910112</v>
      </c>
      <c r="BC104">
        <v>-32.831685393258432</v>
      </c>
      <c r="BD104">
        <v>-33.101348314606746</v>
      </c>
      <c r="BE104">
        <v>-33.371011235955059</v>
      </c>
      <c r="BF104">
        <v>-33.640674157303373</v>
      </c>
      <c r="BG104">
        <v>-33.910337078651686</v>
      </c>
      <c r="BH104">
        <v>-34.18</v>
      </c>
      <c r="BI104">
        <v>-34.44966292134832</v>
      </c>
      <c r="BJ104">
        <v>-34.719325842696634</v>
      </c>
      <c r="BK104">
        <v>-34.988988764044947</v>
      </c>
      <c r="BL104">
        <v>-35.258651685393261</v>
      </c>
      <c r="BM104">
        <v>-35.528314606741574</v>
      </c>
      <c r="BN104">
        <v>-35.797977528089888</v>
      </c>
      <c r="BO104">
        <v>-36.067640449438201</v>
      </c>
      <c r="BP104">
        <v>-36.328007490636708</v>
      </c>
      <c r="BQ104">
        <v>-36.553925093632962</v>
      </c>
      <c r="BR104">
        <v>-36.779842696629217</v>
      </c>
      <c r="BS104">
        <v>-37.005760299625472</v>
      </c>
      <c r="BT104">
        <v>-37.231677902621726</v>
      </c>
      <c r="BU104">
        <v>-37.457595505617981</v>
      </c>
      <c r="BV104">
        <v>-37.683513108614235</v>
      </c>
      <c r="BW104">
        <v>-37.90943071161049</v>
      </c>
      <c r="BX104">
        <v>-38.135348314606745</v>
      </c>
      <c r="BY104">
        <v>-38.361265917602999</v>
      </c>
      <c r="BZ104">
        <v>-38.587183520599254</v>
      </c>
      <c r="CA104">
        <v>-38.813101123595509</v>
      </c>
      <c r="CB104">
        <v>-39.039018726591763</v>
      </c>
      <c r="CC104">
        <v>-39.264936329588011</v>
      </c>
      <c r="CD104">
        <v>-39.490853932584265</v>
      </c>
      <c r="CE104">
        <v>-39.71677153558052</v>
      </c>
      <c r="CF104">
        <v>-39.942689138576775</v>
      </c>
      <c r="CG104">
        <v>-40.151856287425147</v>
      </c>
      <c r="CH104">
        <v>-40.345868263473051</v>
      </c>
      <c r="CI104">
        <v>-40.539880239520954</v>
      </c>
      <c r="CJ104">
        <v>-40.733892215568858</v>
      </c>
    </row>
    <row r="105" spans="1:94" ht="21.75" thickBot="1" x14ac:dyDescent="0.4">
      <c r="A105" s="18" t="s">
        <v>40</v>
      </c>
      <c r="B105" s="38">
        <v>-15.118108108108107</v>
      </c>
      <c r="C105" s="38">
        <v>-14.88027027027027</v>
      </c>
      <c r="D105" s="38">
        <v>-14.642432432432432</v>
      </c>
      <c r="E105" s="38">
        <v>-14.404594594594593</v>
      </c>
      <c r="F105">
        <v>-13.959101796407184</v>
      </c>
      <c r="G105">
        <v>-13.46568862275449</v>
      </c>
      <c r="H105">
        <v>-12.972275449101796</v>
      </c>
      <c r="I105">
        <v>-12.478862275449101</v>
      </c>
      <c r="J105">
        <v>-11.950329341317365</v>
      </c>
      <c r="K105">
        <v>-11.40182634730539</v>
      </c>
      <c r="L105">
        <v>-10.853323353293414</v>
      </c>
      <c r="M105">
        <v>-10.304820359281438</v>
      </c>
      <c r="N105">
        <v>-9.7896616766467073</v>
      </c>
      <c r="O105">
        <v>-9.3132544910179647</v>
      </c>
      <c r="P105">
        <v>-8.836847305389222</v>
      </c>
      <c r="Q105">
        <v>-8.3604401197604794</v>
      </c>
      <c r="R105">
        <v>-7.9011107784431145</v>
      </c>
      <c r="S105">
        <v>-7.4841047904191624</v>
      </c>
      <c r="T105">
        <v>-7.0670988023952104</v>
      </c>
      <c r="U105">
        <v>-6.6500928143712592</v>
      </c>
      <c r="V105">
        <v>-6.2383952095808395</v>
      </c>
      <c r="W105">
        <v>-5.8685748502994022</v>
      </c>
      <c r="X105">
        <v>-5.4987544910179649</v>
      </c>
      <c r="Y105">
        <v>-5.1289341317365267</v>
      </c>
      <c r="Z105">
        <v>-4.7591137724550894</v>
      </c>
      <c r="AA105">
        <v>-4.6019909909909904</v>
      </c>
      <c r="AB105">
        <v>-4.4590480480480474</v>
      </c>
      <c r="AC105">
        <v>-4.3161051051051045</v>
      </c>
      <c r="AD105">
        <v>-4.1731621621621615</v>
      </c>
      <c r="AE105">
        <v>-4.1562215568862273</v>
      </c>
      <c r="AF105">
        <v>-4.1758622754491022</v>
      </c>
      <c r="AG105">
        <v>-4.1955029940119761</v>
      </c>
      <c r="AH105">
        <v>-4.2151437125748501</v>
      </c>
      <c r="AI105">
        <v>-4.2348562874251492</v>
      </c>
      <c r="AJ105">
        <v>-4.2546167664670653</v>
      </c>
      <c r="AK105">
        <v>-4.2743772455089815</v>
      </c>
      <c r="AL105">
        <v>-4.2941377245508976</v>
      </c>
      <c r="AM105">
        <v>-4.3138982035928146</v>
      </c>
      <c r="AN105">
        <v>-4.3336586826347308</v>
      </c>
      <c r="AO105">
        <v>-4.3534191616766469</v>
      </c>
      <c r="AP105">
        <v>-4.373179640718563</v>
      </c>
      <c r="AQ105">
        <v>-4.3929401197604792</v>
      </c>
      <c r="AR105">
        <v>-4.4127005988023953</v>
      </c>
      <c r="AS105">
        <v>-4.4324610778443114</v>
      </c>
      <c r="AT105">
        <v>-4.4522215568862276</v>
      </c>
      <c r="AU105">
        <v>-4.4719820359281437</v>
      </c>
      <c r="AV105">
        <v>-4.4917425149700598</v>
      </c>
      <c r="AW105">
        <v>-4.511502994011976</v>
      </c>
      <c r="AX105">
        <v>-4.5312634730538921</v>
      </c>
      <c r="AY105">
        <v>-4.5510239520958082</v>
      </c>
      <c r="AZ105">
        <v>-4.5702584269662925</v>
      </c>
      <c r="BA105">
        <v>-4.5894344569288394</v>
      </c>
      <c r="BB105">
        <v>-4.6086104868913855</v>
      </c>
      <c r="BC105">
        <v>-4.6277865168539325</v>
      </c>
      <c r="BD105">
        <v>-4.6469625468164795</v>
      </c>
      <c r="BE105">
        <v>-4.6661385767790264</v>
      </c>
      <c r="BF105">
        <v>-4.6853146067415734</v>
      </c>
      <c r="BG105">
        <v>-4.7044906367041204</v>
      </c>
      <c r="BH105">
        <v>-4.7236666666666665</v>
      </c>
      <c r="BI105">
        <v>-4.7428426966292134</v>
      </c>
      <c r="BJ105">
        <v>-4.7620187265917604</v>
      </c>
      <c r="BK105">
        <v>-4.7811947565543074</v>
      </c>
      <c r="BL105">
        <v>-4.8003707865168543</v>
      </c>
      <c r="BM105">
        <v>-4.8195468164794013</v>
      </c>
      <c r="BN105">
        <v>-4.8387228464419483</v>
      </c>
      <c r="BO105">
        <v>-4.8578988764044944</v>
      </c>
      <c r="BP105">
        <v>-4.8768456928838955</v>
      </c>
      <c r="BQ105">
        <v>-4.8949430711610491</v>
      </c>
      <c r="BR105">
        <v>-4.9130404494382027</v>
      </c>
      <c r="BS105">
        <v>-4.9311378277153564</v>
      </c>
      <c r="BT105">
        <v>-4.94923520599251</v>
      </c>
      <c r="BU105">
        <v>-4.9673325842696627</v>
      </c>
      <c r="BV105">
        <v>-4.9854299625468164</v>
      </c>
      <c r="BW105">
        <v>-5.00352734082397</v>
      </c>
      <c r="BX105">
        <v>-5.0216247191011236</v>
      </c>
      <c r="BY105">
        <v>-5.0397220973782773</v>
      </c>
      <c r="BZ105">
        <v>-5.0578194756554309</v>
      </c>
      <c r="CA105">
        <v>-5.0759168539325845</v>
      </c>
      <c r="CB105">
        <v>-5.0940142322097381</v>
      </c>
      <c r="CC105">
        <v>-5.1121116104868918</v>
      </c>
      <c r="CD105">
        <v>-5.1302089887640445</v>
      </c>
      <c r="CE105">
        <v>-5.1483063670411982</v>
      </c>
      <c r="CF105">
        <v>-5.1664037453183518</v>
      </c>
      <c r="CG105">
        <v>-5.1840538922155686</v>
      </c>
      <c r="CH105">
        <v>-5.2012994011976046</v>
      </c>
      <c r="CI105">
        <v>-5.2185449101796406</v>
      </c>
      <c r="CJ105">
        <v>-5.2357904191616766</v>
      </c>
    </row>
    <row r="106" spans="1:94" ht="21.75" thickBot="1" x14ac:dyDescent="0.4">
      <c r="A106" s="18" t="s">
        <v>39</v>
      </c>
      <c r="B106" s="38">
        <v>-21.473063063063062</v>
      </c>
      <c r="C106" s="38">
        <v>-21.045435435435436</v>
      </c>
      <c r="D106" s="38">
        <v>-20.617807807807807</v>
      </c>
      <c r="E106" s="38">
        <v>-20.190180180180178</v>
      </c>
      <c r="F106">
        <v>-20.082754491017962</v>
      </c>
      <c r="G106">
        <v>-20.049221556886227</v>
      </c>
      <c r="H106">
        <v>-20.015688622754489</v>
      </c>
      <c r="I106">
        <v>-19.982155688622754</v>
      </c>
      <c r="J106">
        <v>-20.046347305389222</v>
      </c>
      <c r="K106">
        <v>-20.166107784431137</v>
      </c>
      <c r="L106">
        <v>-20.285868263473052</v>
      </c>
      <c r="M106">
        <v>-20.40562874251497</v>
      </c>
      <c r="N106">
        <v>-20.526497005988023</v>
      </c>
      <c r="O106">
        <v>-20.648652694610778</v>
      </c>
      <c r="P106">
        <v>-20.770808383233533</v>
      </c>
      <c r="Q106">
        <v>-20.892964071856287</v>
      </c>
      <c r="R106">
        <v>-21.015119760479042</v>
      </c>
      <c r="S106">
        <v>-21.137275449101796</v>
      </c>
      <c r="T106">
        <v>-21.259431137724551</v>
      </c>
      <c r="U106">
        <v>-21.381586826347306</v>
      </c>
      <c r="V106">
        <v>-21.504011976047902</v>
      </c>
      <c r="W106">
        <v>-21.628562874251497</v>
      </c>
      <c r="X106">
        <v>-21.753113772455091</v>
      </c>
      <c r="Y106">
        <v>-21.877664670658682</v>
      </c>
      <c r="Z106">
        <v>-22.002215568862276</v>
      </c>
      <c r="AA106">
        <v>-22.122612612612613</v>
      </c>
      <c r="AB106">
        <v>-22.242732732732733</v>
      </c>
      <c r="AC106">
        <v>-22.362852852852853</v>
      </c>
      <c r="AD106">
        <v>-22.482972972972973</v>
      </c>
      <c r="AE106">
        <v>-22.604670658682636</v>
      </c>
      <c r="AF106">
        <v>-22.726826347305391</v>
      </c>
      <c r="AG106">
        <v>-22.848982035928145</v>
      </c>
      <c r="AH106">
        <v>-22.971137724550896</v>
      </c>
      <c r="AI106">
        <v>-23.089700598802395</v>
      </c>
      <c r="AJ106">
        <v>-23.205868263473054</v>
      </c>
      <c r="AK106">
        <v>-23.322035928143713</v>
      </c>
      <c r="AL106">
        <v>-23.438203592814371</v>
      </c>
      <c r="AM106">
        <v>-23.55437125748503</v>
      </c>
      <c r="AN106">
        <v>-23.670538922155689</v>
      </c>
      <c r="AO106">
        <v>-23.786706586826348</v>
      </c>
      <c r="AP106">
        <v>-23.902874251497007</v>
      </c>
      <c r="AQ106">
        <v>-24.019041916167666</v>
      </c>
      <c r="AR106">
        <v>-24.135209580838325</v>
      </c>
      <c r="AS106">
        <v>-24.251377245508984</v>
      </c>
      <c r="AT106">
        <v>-24.367544910179642</v>
      </c>
      <c r="AU106">
        <v>-24.483712574850301</v>
      </c>
      <c r="AV106">
        <v>-24.59988023952096</v>
      </c>
      <c r="AW106">
        <v>-24.716047904191619</v>
      </c>
      <c r="AX106">
        <v>-24.832215568862278</v>
      </c>
      <c r="AY106">
        <v>-24.948383233532937</v>
      </c>
      <c r="AZ106">
        <v>-25.057617977528093</v>
      </c>
      <c r="BA106">
        <v>-25.166082397003748</v>
      </c>
      <c r="BB106">
        <v>-25.2745468164794</v>
      </c>
      <c r="BC106">
        <v>-25.383011235955056</v>
      </c>
      <c r="BD106">
        <v>-25.491475655430712</v>
      </c>
      <c r="BE106">
        <v>-25.599940074906367</v>
      </c>
      <c r="BF106">
        <v>-25.708404494382023</v>
      </c>
      <c r="BG106">
        <v>-25.816868913857679</v>
      </c>
      <c r="BH106">
        <v>-25.925333333333334</v>
      </c>
      <c r="BI106">
        <v>-26.03379775280899</v>
      </c>
      <c r="BJ106">
        <v>-26.142262172284646</v>
      </c>
      <c r="BK106">
        <v>-26.250726591760301</v>
      </c>
      <c r="BL106">
        <v>-26.359191011235957</v>
      </c>
      <c r="BM106">
        <v>-26.467655430711609</v>
      </c>
      <c r="BN106">
        <v>-26.576119850187265</v>
      </c>
      <c r="BO106">
        <v>-26.684584269662921</v>
      </c>
      <c r="BP106">
        <v>-26.791902621722848</v>
      </c>
      <c r="BQ106">
        <v>-26.894973782771537</v>
      </c>
      <c r="BR106">
        <v>-26.998044943820226</v>
      </c>
      <c r="BS106">
        <v>-27.101116104868915</v>
      </c>
      <c r="BT106">
        <v>-27.204187265917604</v>
      </c>
      <c r="BU106">
        <v>-27.307258426966293</v>
      </c>
      <c r="BV106">
        <v>-27.410329588014982</v>
      </c>
      <c r="BW106">
        <v>-27.513400749063671</v>
      </c>
      <c r="BX106">
        <v>-27.616471910112359</v>
      </c>
      <c r="BY106">
        <v>-27.719543071161048</v>
      </c>
      <c r="BZ106">
        <v>-27.822614232209737</v>
      </c>
      <c r="CA106">
        <v>-27.925685393258426</v>
      </c>
      <c r="CB106">
        <v>-28.028756554307115</v>
      </c>
      <c r="CC106">
        <v>-28.131827715355804</v>
      </c>
      <c r="CD106">
        <v>-28.234898876404493</v>
      </c>
      <c r="CE106">
        <v>-28.337970037453182</v>
      </c>
      <c r="CF106">
        <v>-28.441041198501871</v>
      </c>
      <c r="CG106">
        <v>-28.541556886227543</v>
      </c>
      <c r="CH106">
        <v>-28.639760479041914</v>
      </c>
      <c r="CI106">
        <v>-28.737964071856286</v>
      </c>
      <c r="CJ106">
        <v>-28.836167664670658</v>
      </c>
    </row>
    <row r="107" spans="1:94" ht="21.75" thickBot="1" x14ac:dyDescent="0.4">
      <c r="A107" s="18" t="s">
        <v>50</v>
      </c>
      <c r="B107" s="38">
        <v>-58.064234234234235</v>
      </c>
      <c r="C107" s="38">
        <v>-56.971141141141139</v>
      </c>
      <c r="D107" s="38">
        <v>-55.878048048048043</v>
      </c>
      <c r="E107" s="38">
        <v>-54.784954954954955</v>
      </c>
      <c r="F107">
        <v>-54.124610778443113</v>
      </c>
      <c r="G107">
        <v>-53.564131736526946</v>
      </c>
      <c r="H107">
        <v>-53.003652694610771</v>
      </c>
      <c r="I107">
        <v>-52.443173652694604</v>
      </c>
      <c r="J107">
        <v>-52.043023952095801</v>
      </c>
      <c r="K107">
        <v>-51.734041916167662</v>
      </c>
      <c r="L107">
        <v>-51.425059880239516</v>
      </c>
      <c r="M107">
        <v>-51.11607784431137</v>
      </c>
      <c r="N107">
        <v>-50.842655688622749</v>
      </c>
      <c r="O107">
        <v>-50.610559880239521</v>
      </c>
      <c r="P107">
        <v>-50.378464071856285</v>
      </c>
      <c r="Q107">
        <v>-50.146368263473057</v>
      </c>
      <c r="R107">
        <v>-49.931350299401196</v>
      </c>
      <c r="S107">
        <v>-49.758655688622753</v>
      </c>
      <c r="T107">
        <v>-49.58596107784431</v>
      </c>
      <c r="U107">
        <v>-49.413266467065867</v>
      </c>
      <c r="V107">
        <v>-49.246419161676648</v>
      </c>
      <c r="W107">
        <v>-49.125700598802396</v>
      </c>
      <c r="X107">
        <v>-49.004982035928144</v>
      </c>
      <c r="Y107">
        <v>-48.884263473053892</v>
      </c>
      <c r="Z107">
        <v>-48.76354491017964</v>
      </c>
      <c r="AA107">
        <v>-48.847216216216218</v>
      </c>
      <c r="AB107">
        <v>-48.944513513513513</v>
      </c>
      <c r="AC107">
        <v>-49.041810810810816</v>
      </c>
      <c r="AD107">
        <v>-49.139108108108111</v>
      </c>
      <c r="AE107">
        <v>-49.365562874251502</v>
      </c>
      <c r="AF107">
        <v>-49.62951497005988</v>
      </c>
      <c r="AG107">
        <v>-49.893467065868265</v>
      </c>
      <c r="AH107">
        <v>-50.157419161676643</v>
      </c>
      <c r="AI107">
        <v>-50.414257485029935</v>
      </c>
      <c r="AJ107">
        <v>-50.666353293413174</v>
      </c>
      <c r="AK107">
        <v>-50.918449101796405</v>
      </c>
      <c r="AL107">
        <v>-51.170544910179636</v>
      </c>
      <c r="AM107">
        <v>-51.422640718562874</v>
      </c>
      <c r="AN107">
        <v>-51.674736526946106</v>
      </c>
      <c r="AO107">
        <v>-51.926832335329337</v>
      </c>
      <c r="AP107">
        <v>-52.178928143712575</v>
      </c>
      <c r="AQ107">
        <v>-52.431023952095806</v>
      </c>
      <c r="AR107">
        <v>-52.683119760479038</v>
      </c>
      <c r="AS107">
        <v>-52.935215568862276</v>
      </c>
      <c r="AT107">
        <v>-53.187311377245507</v>
      </c>
      <c r="AU107">
        <v>-53.439407185628738</v>
      </c>
      <c r="AV107">
        <v>-53.691502994011977</v>
      </c>
      <c r="AW107">
        <v>-53.943598802395208</v>
      </c>
      <c r="AX107">
        <v>-54.195694610778446</v>
      </c>
      <c r="AY107">
        <v>-54.447790419161677</v>
      </c>
      <c r="AZ107">
        <v>-54.685494382022469</v>
      </c>
      <c r="BA107">
        <v>-54.921599250936332</v>
      </c>
      <c r="BB107">
        <v>-55.157704119850187</v>
      </c>
      <c r="BC107">
        <v>-55.393808988764043</v>
      </c>
      <c r="BD107">
        <v>-55.629913857677906</v>
      </c>
      <c r="BE107">
        <v>-55.866018726591761</v>
      </c>
      <c r="BF107">
        <v>-56.102123595505617</v>
      </c>
      <c r="BG107">
        <v>-56.338228464419473</v>
      </c>
      <c r="BH107">
        <v>-56.574333333333335</v>
      </c>
      <c r="BI107">
        <v>-56.810438202247191</v>
      </c>
      <c r="BJ107">
        <v>-57.046543071161047</v>
      </c>
      <c r="BK107">
        <v>-57.282647940074902</v>
      </c>
      <c r="BL107">
        <v>-57.518752808988765</v>
      </c>
      <c r="BM107">
        <v>-57.754857677902621</v>
      </c>
      <c r="BN107">
        <v>-57.990962546816476</v>
      </c>
      <c r="BO107">
        <v>-58.227067415730332</v>
      </c>
      <c r="BP107">
        <v>-58.460650936329586</v>
      </c>
      <c r="BQ107">
        <v>-58.684890636704118</v>
      </c>
      <c r="BR107">
        <v>-58.909130337078651</v>
      </c>
      <c r="BS107">
        <v>-59.133370037453183</v>
      </c>
      <c r="BT107">
        <v>-59.357609737827715</v>
      </c>
      <c r="BU107">
        <v>-59.581849438202241</v>
      </c>
      <c r="BV107">
        <v>-59.806089138576773</v>
      </c>
      <c r="BW107">
        <v>-60.030328838951306</v>
      </c>
      <c r="BX107">
        <v>-60.254568539325838</v>
      </c>
      <c r="BY107">
        <v>-60.478808239700371</v>
      </c>
      <c r="BZ107">
        <v>-60.703047940074903</v>
      </c>
      <c r="CA107">
        <v>-60.927287640449435</v>
      </c>
      <c r="CB107">
        <v>-61.151527340823968</v>
      </c>
      <c r="CC107">
        <v>-61.3757670411985</v>
      </c>
      <c r="CD107">
        <v>-61.600006741573026</v>
      </c>
      <c r="CE107">
        <v>-61.824246441947558</v>
      </c>
      <c r="CF107">
        <v>-62.048486142322091</v>
      </c>
      <c r="CG107">
        <v>-62.267167664670652</v>
      </c>
      <c r="CH107">
        <v>-62.480820359281431</v>
      </c>
      <c r="CI107">
        <v>-62.69447305389221</v>
      </c>
      <c r="CJ107">
        <v>-62.908125748502989</v>
      </c>
    </row>
    <row r="108" spans="1:94" ht="21.75" thickBot="1" x14ac:dyDescent="0.4">
      <c r="A108" s="18" t="s">
        <v>49</v>
      </c>
      <c r="B108" s="38">
        <v>-183.77576576576575</v>
      </c>
      <c r="C108" s="38">
        <v>-179.80219219219219</v>
      </c>
      <c r="D108" s="38">
        <v>-175.82861861861863</v>
      </c>
      <c r="E108" s="38">
        <v>-171.85504504504505</v>
      </c>
      <c r="F108">
        <v>-168.51000000000002</v>
      </c>
      <c r="G108">
        <v>-165.31</v>
      </c>
      <c r="H108">
        <v>-162.10999999999999</v>
      </c>
      <c r="I108">
        <v>-158.91</v>
      </c>
      <c r="J108">
        <v>-156.06730538922156</v>
      </c>
      <c r="K108">
        <v>-153.42778443113772</v>
      </c>
      <c r="L108">
        <v>-150.78826347305389</v>
      </c>
      <c r="M108">
        <v>-148.14874251497005</v>
      </c>
      <c r="N108">
        <v>-145.70751497005986</v>
      </c>
      <c r="O108">
        <v>-143.49673652694611</v>
      </c>
      <c r="P108">
        <v>-141.28595808383233</v>
      </c>
      <c r="Q108">
        <v>-139.07517964071855</v>
      </c>
      <c r="R108">
        <v>-136.96080838323354</v>
      </c>
      <c r="S108">
        <v>-135.08535928143712</v>
      </c>
      <c r="T108">
        <v>-133.20991017964073</v>
      </c>
      <c r="U108">
        <v>-131.33446107784434</v>
      </c>
      <c r="V108">
        <v>-129.49</v>
      </c>
      <c r="W108">
        <v>-127.89000000000001</v>
      </c>
      <c r="X108">
        <v>-126.29000000000002</v>
      </c>
      <c r="Y108">
        <v>-124.69000000000001</v>
      </c>
      <c r="Z108">
        <v>-123.09</v>
      </c>
      <c r="AA108">
        <v>-121.94495495495497</v>
      </c>
      <c r="AB108">
        <v>-120.83024024024024</v>
      </c>
      <c r="AC108">
        <v>-119.71552552552552</v>
      </c>
      <c r="AD108">
        <v>-118.6008108108108</v>
      </c>
      <c r="AE108">
        <v>-119.12407185628743</v>
      </c>
      <c r="AF108">
        <v>-120.12287425149701</v>
      </c>
      <c r="AG108">
        <v>-121.12167664670659</v>
      </c>
      <c r="AH108">
        <v>-122.12047904191617</v>
      </c>
      <c r="AI108">
        <v>-123.0919760479042</v>
      </c>
      <c r="AJ108">
        <v>-124.04526946107785</v>
      </c>
      <c r="AK108">
        <v>-124.9985628742515</v>
      </c>
      <c r="AL108">
        <v>-125.95185628742516</v>
      </c>
      <c r="AM108">
        <v>-126.90514970059881</v>
      </c>
      <c r="AN108">
        <v>-127.85844311377247</v>
      </c>
      <c r="AO108">
        <v>-128.81173652694611</v>
      </c>
      <c r="AP108">
        <v>-129.76502994011977</v>
      </c>
      <c r="AQ108">
        <v>-130.71832335329341</v>
      </c>
      <c r="AR108">
        <v>-131.67161676646708</v>
      </c>
      <c r="AS108">
        <v>-132.62491017964072</v>
      </c>
      <c r="AT108">
        <v>-133.57820359281436</v>
      </c>
      <c r="AU108">
        <v>-134.53149700598803</v>
      </c>
      <c r="AV108">
        <v>-135.48479041916167</v>
      </c>
      <c r="AW108">
        <v>-136.43808383233534</v>
      </c>
      <c r="AX108">
        <v>-137.39137724550898</v>
      </c>
      <c r="AY108">
        <v>-138.34467065868265</v>
      </c>
      <c r="AZ108">
        <v>-139.21824719101124</v>
      </c>
      <c r="BA108">
        <v>-140.08296629213484</v>
      </c>
      <c r="BB108">
        <v>-140.94768539325844</v>
      </c>
      <c r="BC108">
        <v>-141.81240449438204</v>
      </c>
      <c r="BD108">
        <v>-142.67712359550563</v>
      </c>
      <c r="BE108">
        <v>-143.54184269662923</v>
      </c>
      <c r="BF108">
        <v>-144.40656179775283</v>
      </c>
      <c r="BG108">
        <v>-145.2712808988764</v>
      </c>
      <c r="BH108">
        <v>-146.136</v>
      </c>
      <c r="BI108">
        <v>-147.00071910112359</v>
      </c>
      <c r="BJ108">
        <v>-147.86543820224719</v>
      </c>
      <c r="BK108">
        <v>-148.73015730337079</v>
      </c>
      <c r="BL108">
        <v>-149.59487640449439</v>
      </c>
      <c r="BM108">
        <v>-150.45959550561798</v>
      </c>
      <c r="BN108">
        <v>-151.32431460674158</v>
      </c>
      <c r="BO108">
        <v>-152.18903370786518</v>
      </c>
      <c r="BP108">
        <v>-153.03172284644197</v>
      </c>
      <c r="BQ108">
        <v>-153.79277153558053</v>
      </c>
      <c r="BR108">
        <v>-154.55382022471912</v>
      </c>
      <c r="BS108">
        <v>-155.31486891385768</v>
      </c>
      <c r="BT108">
        <v>-156.07591760299627</v>
      </c>
      <c r="BU108">
        <v>-156.83696629213483</v>
      </c>
      <c r="BV108">
        <v>-157.59801498127342</v>
      </c>
      <c r="BW108">
        <v>-158.35906367041198</v>
      </c>
      <c r="BX108">
        <v>-159.12011235955057</v>
      </c>
      <c r="BY108">
        <v>-159.88116104868914</v>
      </c>
      <c r="BZ108">
        <v>-160.64220973782773</v>
      </c>
      <c r="CA108">
        <v>-161.40325842696629</v>
      </c>
      <c r="CB108">
        <v>-162.16430711610488</v>
      </c>
      <c r="CC108">
        <v>-162.92535580524344</v>
      </c>
      <c r="CD108">
        <v>-163.68640449438203</v>
      </c>
      <c r="CE108">
        <v>-164.44745318352059</v>
      </c>
      <c r="CF108">
        <v>-165.20850187265918</v>
      </c>
      <c r="CG108">
        <v>-165.92838323353294</v>
      </c>
      <c r="CH108">
        <v>-166.61101796407183</v>
      </c>
      <c r="CI108">
        <v>-167.29365269461076</v>
      </c>
      <c r="CJ108">
        <v>-167.97628742514968</v>
      </c>
    </row>
    <row r="109" spans="1:94" ht="21.75" thickBot="1" x14ac:dyDescent="0.4">
      <c r="A109" s="18" t="s">
        <v>70</v>
      </c>
      <c r="B109" s="38">
        <v>-30.236216216216214</v>
      </c>
      <c r="C109" s="38">
        <v>-29.760540540540539</v>
      </c>
      <c r="D109" s="38">
        <v>-29.284864864864865</v>
      </c>
      <c r="E109" s="38">
        <v>-28.809189189189187</v>
      </c>
      <c r="F109">
        <v>-27.918203592814368</v>
      </c>
      <c r="G109">
        <v>-26.93137724550898</v>
      </c>
      <c r="H109">
        <v>-25.944550898203591</v>
      </c>
      <c r="I109">
        <v>-24.957724550898202</v>
      </c>
      <c r="J109">
        <v>-23.900658682634731</v>
      </c>
      <c r="K109">
        <v>-22.803652694610779</v>
      </c>
      <c r="L109">
        <v>-21.706646706586827</v>
      </c>
      <c r="M109">
        <v>-20.609640718562876</v>
      </c>
      <c r="N109">
        <v>-19.579323353293415</v>
      </c>
      <c r="O109">
        <v>-18.626508982035929</v>
      </c>
      <c r="P109">
        <v>-17.673694610778444</v>
      </c>
      <c r="Q109">
        <v>-16.720880239520959</v>
      </c>
      <c r="R109">
        <v>-15.802221556886229</v>
      </c>
      <c r="S109">
        <v>-14.968209580838325</v>
      </c>
      <c r="T109">
        <v>-14.134197604790421</v>
      </c>
      <c r="U109">
        <v>-13.300185628742518</v>
      </c>
      <c r="V109">
        <v>-12.476790419161679</v>
      </c>
      <c r="W109">
        <v>-11.737149700598804</v>
      </c>
      <c r="X109">
        <v>-10.99750898203593</v>
      </c>
      <c r="Y109">
        <v>-10.257868263473053</v>
      </c>
      <c r="Z109">
        <v>-9.5182275449101788</v>
      </c>
      <c r="AA109">
        <v>-9.2039819819819808</v>
      </c>
      <c r="AB109">
        <v>-8.9180960960960949</v>
      </c>
      <c r="AC109">
        <v>-8.632210210210209</v>
      </c>
      <c r="AD109">
        <v>-8.346324324324323</v>
      </c>
      <c r="AE109">
        <v>-8.3124431137724546</v>
      </c>
      <c r="AF109">
        <v>-8.3517245508982043</v>
      </c>
      <c r="AG109">
        <v>-8.3910059880239523</v>
      </c>
      <c r="AH109">
        <v>-8.4302874251497002</v>
      </c>
      <c r="AI109">
        <v>-8.4697125748502984</v>
      </c>
      <c r="AJ109">
        <v>-8.5092335329341307</v>
      </c>
      <c r="AK109">
        <v>-8.5487544910179629</v>
      </c>
      <c r="AL109">
        <v>-8.5882754491017952</v>
      </c>
      <c r="AM109">
        <v>-8.6277964071856292</v>
      </c>
      <c r="AN109">
        <v>-8.6673173652694615</v>
      </c>
      <c r="AO109">
        <v>-8.7068383233532938</v>
      </c>
      <c r="AP109">
        <v>-8.746359281437126</v>
      </c>
      <c r="AQ109">
        <v>-8.7858802395209583</v>
      </c>
      <c r="AR109">
        <v>-8.8254011976047906</v>
      </c>
      <c r="AS109">
        <v>-8.8649221556886229</v>
      </c>
      <c r="AT109">
        <v>-8.9044431137724551</v>
      </c>
      <c r="AU109">
        <v>-8.9439640718562874</v>
      </c>
      <c r="AV109">
        <v>-8.9834850299401197</v>
      </c>
      <c r="AW109">
        <v>-9.0230059880239519</v>
      </c>
      <c r="AX109">
        <v>-9.0625269461077842</v>
      </c>
      <c r="AY109">
        <v>-9.1020479041916165</v>
      </c>
      <c r="AZ109">
        <v>-9.140516853932585</v>
      </c>
      <c r="BA109">
        <v>-9.1788689138576789</v>
      </c>
      <c r="BB109">
        <v>-9.2172209737827711</v>
      </c>
      <c r="BC109">
        <v>-9.255573033707865</v>
      </c>
      <c r="BD109">
        <v>-9.2939250936329589</v>
      </c>
      <c r="BE109">
        <v>-9.3322771535580529</v>
      </c>
      <c r="BF109">
        <v>-9.3706292134831468</v>
      </c>
      <c r="BG109">
        <v>-9.4089812734082408</v>
      </c>
      <c r="BH109">
        <v>-9.4473333333333329</v>
      </c>
      <c r="BI109">
        <v>-9.4856853932584269</v>
      </c>
      <c r="BJ109">
        <v>-9.5240374531835208</v>
      </c>
      <c r="BK109">
        <v>-9.5623895131086147</v>
      </c>
      <c r="BL109">
        <v>-9.6007415730337087</v>
      </c>
      <c r="BM109">
        <v>-9.6390936329588026</v>
      </c>
      <c r="BN109">
        <v>-9.6774456928838966</v>
      </c>
      <c r="BO109">
        <v>-9.7157977528089887</v>
      </c>
      <c r="BP109">
        <v>-9.7536913857677909</v>
      </c>
      <c r="BQ109">
        <v>-9.7898861423220982</v>
      </c>
      <c r="BR109">
        <v>-9.8260808988764055</v>
      </c>
      <c r="BS109">
        <v>-9.8622756554307127</v>
      </c>
      <c r="BT109">
        <v>-9.89847041198502</v>
      </c>
      <c r="BU109">
        <v>-9.9346651685393255</v>
      </c>
      <c r="BV109">
        <v>-9.9708599250936327</v>
      </c>
      <c r="BW109">
        <v>-10.00705468164794</v>
      </c>
      <c r="BX109">
        <v>-10.043249438202247</v>
      </c>
      <c r="BY109">
        <v>-10.079444194756555</v>
      </c>
      <c r="BZ109">
        <v>-10.115638951310862</v>
      </c>
      <c r="CA109">
        <v>-10.151833707865169</v>
      </c>
      <c r="CB109">
        <v>-10.188028464419476</v>
      </c>
      <c r="CC109">
        <v>-10.224223220973784</v>
      </c>
      <c r="CD109">
        <v>-10.260417977528089</v>
      </c>
      <c r="CE109">
        <v>-10.296612734082396</v>
      </c>
      <c r="CF109">
        <v>-10.332807490636704</v>
      </c>
      <c r="CG109">
        <v>-10.368107784431137</v>
      </c>
      <c r="CH109">
        <v>-10.402598802395209</v>
      </c>
      <c r="CI109">
        <v>-10.437089820359281</v>
      </c>
      <c r="CJ109">
        <v>-10.471580838323353</v>
      </c>
    </row>
    <row r="110" spans="1:94" ht="21.75" thickBot="1" x14ac:dyDescent="0.4">
      <c r="A110" s="18" t="s">
        <v>3</v>
      </c>
      <c r="B110" s="38">
        <v>-15.118108108108107</v>
      </c>
      <c r="C110" s="38">
        <v>-14.88027027027027</v>
      </c>
      <c r="D110" s="38">
        <v>-14.642432432432432</v>
      </c>
      <c r="E110" s="38">
        <v>-14.404594594594593</v>
      </c>
      <c r="F110">
        <v>-13.959101796407184</v>
      </c>
      <c r="G110">
        <v>-13.46568862275449</v>
      </c>
      <c r="H110">
        <v>-12.972275449101796</v>
      </c>
      <c r="I110">
        <v>-12.478862275449101</v>
      </c>
      <c r="J110">
        <v>-11.950329341317365</v>
      </c>
      <c r="K110">
        <v>-11.40182634730539</v>
      </c>
      <c r="L110">
        <v>-10.853323353293414</v>
      </c>
      <c r="M110">
        <v>-10.304820359281438</v>
      </c>
      <c r="N110">
        <v>-9.7896616766467073</v>
      </c>
      <c r="O110">
        <v>-9.3132544910179647</v>
      </c>
      <c r="P110">
        <v>-8.836847305389222</v>
      </c>
      <c r="Q110">
        <v>-8.3604401197604794</v>
      </c>
      <c r="R110">
        <v>-7.9011107784431145</v>
      </c>
      <c r="S110">
        <v>-7.4841047904191624</v>
      </c>
      <c r="T110">
        <v>-7.0670988023952104</v>
      </c>
      <c r="U110">
        <v>-6.6500928143712592</v>
      </c>
      <c r="V110">
        <v>-6.2383952095808395</v>
      </c>
      <c r="W110">
        <v>-5.8685748502994022</v>
      </c>
      <c r="X110">
        <v>-5.4987544910179649</v>
      </c>
      <c r="Y110">
        <v>-5.1289341317365267</v>
      </c>
      <c r="Z110">
        <v>-4.7591137724550894</v>
      </c>
      <c r="AA110">
        <v>-4.6019909909909904</v>
      </c>
      <c r="AB110">
        <v>-4.4590480480480474</v>
      </c>
      <c r="AC110">
        <v>-4.3161051051051045</v>
      </c>
      <c r="AD110">
        <v>-4.1731621621621615</v>
      </c>
      <c r="AE110">
        <v>-4.1562215568862273</v>
      </c>
      <c r="AF110">
        <v>-4.1758622754491022</v>
      </c>
      <c r="AG110">
        <v>-4.1955029940119761</v>
      </c>
      <c r="AH110">
        <v>-4.2151437125748501</v>
      </c>
      <c r="AI110">
        <v>-4.2348562874251492</v>
      </c>
      <c r="AJ110">
        <v>-4.2546167664670653</v>
      </c>
      <c r="AK110">
        <v>-4.2743772455089815</v>
      </c>
      <c r="AL110">
        <v>-4.2941377245508976</v>
      </c>
      <c r="AM110">
        <v>-4.3138982035928146</v>
      </c>
      <c r="AN110">
        <v>-4.3336586826347308</v>
      </c>
      <c r="AO110">
        <v>-4.3534191616766469</v>
      </c>
      <c r="AP110">
        <v>-4.373179640718563</v>
      </c>
      <c r="AQ110">
        <v>-4.3929401197604792</v>
      </c>
      <c r="AR110">
        <v>-4.4127005988023953</v>
      </c>
      <c r="AS110">
        <v>-4.4324610778443114</v>
      </c>
      <c r="AT110">
        <v>-4.4522215568862276</v>
      </c>
      <c r="AU110">
        <v>-4.4719820359281437</v>
      </c>
      <c r="AV110">
        <v>-4.4917425149700598</v>
      </c>
      <c r="AW110">
        <v>-4.511502994011976</v>
      </c>
      <c r="AX110">
        <v>-4.5312634730538921</v>
      </c>
      <c r="AY110">
        <v>-4.5510239520958082</v>
      </c>
      <c r="AZ110">
        <v>-4.5702584269662925</v>
      </c>
      <c r="BA110">
        <v>-4.5894344569288394</v>
      </c>
      <c r="BB110">
        <v>-4.6086104868913855</v>
      </c>
      <c r="BC110">
        <v>-4.6277865168539325</v>
      </c>
      <c r="BD110">
        <v>-4.6469625468164795</v>
      </c>
      <c r="BE110">
        <v>-4.6661385767790264</v>
      </c>
      <c r="BF110">
        <v>-4.6853146067415734</v>
      </c>
      <c r="BG110">
        <v>-4.7044906367041204</v>
      </c>
      <c r="BH110">
        <v>-4.7236666666666665</v>
      </c>
      <c r="BI110">
        <v>-4.7428426966292134</v>
      </c>
      <c r="BJ110">
        <v>-4.7620187265917604</v>
      </c>
      <c r="BK110">
        <v>-4.7811947565543074</v>
      </c>
      <c r="BL110">
        <v>-4.8003707865168543</v>
      </c>
      <c r="BM110">
        <v>-4.8195468164794013</v>
      </c>
      <c r="BN110">
        <v>-4.8387228464419483</v>
      </c>
      <c r="BO110">
        <v>-4.8578988764044944</v>
      </c>
      <c r="BP110">
        <v>-4.8768456928838955</v>
      </c>
      <c r="BQ110">
        <v>-4.8949430711610491</v>
      </c>
      <c r="BR110">
        <v>-4.9130404494382027</v>
      </c>
      <c r="BS110">
        <v>-4.9311378277153564</v>
      </c>
      <c r="BT110">
        <v>-4.94923520599251</v>
      </c>
      <c r="BU110">
        <v>-4.9673325842696627</v>
      </c>
      <c r="BV110">
        <v>-4.9854299625468164</v>
      </c>
      <c r="BW110">
        <v>-5.00352734082397</v>
      </c>
      <c r="BX110">
        <v>-5.0216247191011236</v>
      </c>
      <c r="BY110">
        <v>-5.0397220973782773</v>
      </c>
      <c r="BZ110">
        <v>-5.0578194756554309</v>
      </c>
      <c r="CA110">
        <v>-5.0759168539325845</v>
      </c>
      <c r="CB110">
        <v>-5.0940142322097381</v>
      </c>
      <c r="CC110">
        <v>-5.1121116104868918</v>
      </c>
      <c r="CD110">
        <v>-5.1302089887640445</v>
      </c>
      <c r="CE110">
        <v>-5.1483063670411982</v>
      </c>
      <c r="CF110">
        <v>-5.1664037453183518</v>
      </c>
      <c r="CG110">
        <v>-5.1840538922155686</v>
      </c>
      <c r="CH110">
        <v>-5.2012994011976046</v>
      </c>
      <c r="CI110">
        <v>-5.2185449101796406</v>
      </c>
      <c r="CJ110">
        <v>-5.2357904191616766</v>
      </c>
    </row>
    <row r="111" spans="1:94" ht="21.75" thickBot="1" x14ac:dyDescent="0.4">
      <c r="A111" s="18" t="s">
        <v>1</v>
      </c>
      <c r="B111" s="38">
        <v>-19.022342342342341</v>
      </c>
      <c r="C111" s="38">
        <v>-19.024744744744744</v>
      </c>
      <c r="D111" s="38">
        <v>-19.027147147147147</v>
      </c>
      <c r="E111" s="38">
        <v>-19.02954954954955</v>
      </c>
      <c r="F111">
        <v>-19.035838323353293</v>
      </c>
      <c r="G111">
        <v>-19.043023952095808</v>
      </c>
      <c r="H111">
        <v>-19.050209580838324</v>
      </c>
      <c r="I111">
        <v>-19.057395209580836</v>
      </c>
      <c r="J111">
        <v>-19.06763473053892</v>
      </c>
      <c r="K111">
        <v>-19.079610778443111</v>
      </c>
      <c r="L111">
        <v>-19.091586826347303</v>
      </c>
      <c r="M111">
        <v>-19.103562874251498</v>
      </c>
      <c r="N111">
        <v>-19.116646706586828</v>
      </c>
      <c r="O111">
        <v>-19.131017964071855</v>
      </c>
      <c r="P111">
        <v>-19.145389221556886</v>
      </c>
      <c r="Q111">
        <v>-19.159760479041918</v>
      </c>
      <c r="R111">
        <v>-19.174131736526949</v>
      </c>
      <c r="S111">
        <v>-19.188502994011976</v>
      </c>
      <c r="T111">
        <v>-19.202874251497008</v>
      </c>
      <c r="U111">
        <v>-19.217245508982035</v>
      </c>
      <c r="V111">
        <v>-19.231886227544912</v>
      </c>
      <c r="W111">
        <v>-19.248652694610779</v>
      </c>
      <c r="X111">
        <v>-19.265419161676647</v>
      </c>
      <c r="Y111">
        <v>-19.282185628742514</v>
      </c>
      <c r="Z111">
        <v>-19.298952095808385</v>
      </c>
      <c r="AA111">
        <v>-19.2481981981982</v>
      </c>
      <c r="AB111">
        <v>-19.192942942942942</v>
      </c>
      <c r="AC111">
        <v>-19.137687687687688</v>
      </c>
      <c r="AD111">
        <v>-19.082432432432434</v>
      </c>
      <c r="AE111">
        <v>-19.062574850299402</v>
      </c>
      <c r="AF111">
        <v>-19.052994011976047</v>
      </c>
      <c r="AG111">
        <v>-19.043413173652695</v>
      </c>
      <c r="AH111">
        <v>-19.033832335329343</v>
      </c>
      <c r="AI111">
        <v>-19.040059880239522</v>
      </c>
      <c r="AJ111">
        <v>-19.056826347305389</v>
      </c>
      <c r="AK111">
        <v>-19.07359281437126</v>
      </c>
      <c r="AL111">
        <v>-19.090359281437127</v>
      </c>
      <c r="AM111">
        <v>-19.107125748502995</v>
      </c>
      <c r="AN111">
        <v>-19.123892215568862</v>
      </c>
      <c r="AO111">
        <v>-19.140658682634729</v>
      </c>
      <c r="AP111">
        <v>-19.1574251497006</v>
      </c>
      <c r="AQ111">
        <v>-19.174191616766468</v>
      </c>
      <c r="AR111">
        <v>-19.190958083832335</v>
      </c>
      <c r="AS111">
        <v>-19.207724550898202</v>
      </c>
      <c r="AT111">
        <v>-19.22449101796407</v>
      </c>
      <c r="AU111">
        <v>-19.241257485029941</v>
      </c>
      <c r="AV111">
        <v>-19.258023952095808</v>
      </c>
      <c r="AW111">
        <v>-19.274790419161675</v>
      </c>
      <c r="AX111">
        <v>-19.291556886227543</v>
      </c>
      <c r="AY111">
        <v>-19.30832335329341</v>
      </c>
      <c r="AZ111">
        <v>-19.324022471910112</v>
      </c>
      <c r="BA111">
        <v>-19.33960299625468</v>
      </c>
      <c r="BB111">
        <v>-19.355183520599251</v>
      </c>
      <c r="BC111">
        <v>-19.370764044943819</v>
      </c>
      <c r="BD111">
        <v>-19.38634456928839</v>
      </c>
      <c r="BE111">
        <v>-19.401925093632958</v>
      </c>
      <c r="BF111">
        <v>-19.417505617977529</v>
      </c>
      <c r="BG111">
        <v>-19.433086142322097</v>
      </c>
      <c r="BH111">
        <v>-19.448666666666668</v>
      </c>
      <c r="BI111">
        <v>-19.464247191011236</v>
      </c>
      <c r="BJ111">
        <v>-19.479827715355807</v>
      </c>
      <c r="BK111">
        <v>-19.495408239700375</v>
      </c>
      <c r="BL111">
        <v>-19.510988764044942</v>
      </c>
      <c r="BM111">
        <v>-19.526569288389513</v>
      </c>
      <c r="BN111">
        <v>-19.542149812734081</v>
      </c>
      <c r="BO111">
        <v>-19.557730337078652</v>
      </c>
      <c r="BP111">
        <v>-19.573183520599251</v>
      </c>
      <c r="BQ111">
        <v>-19.58816479400749</v>
      </c>
      <c r="BR111">
        <v>-19.603146067415732</v>
      </c>
      <c r="BS111">
        <v>-19.618127340823971</v>
      </c>
      <c r="BT111">
        <v>-19.63310861423221</v>
      </c>
      <c r="BU111">
        <v>-19.648089887640449</v>
      </c>
      <c r="BV111">
        <v>-19.663071161048691</v>
      </c>
      <c r="BW111">
        <v>-19.67805243445693</v>
      </c>
      <c r="BX111">
        <v>-19.693033707865169</v>
      </c>
      <c r="BY111">
        <v>-19.708014981273408</v>
      </c>
      <c r="BZ111">
        <v>-19.722996254681647</v>
      </c>
      <c r="CA111">
        <v>-19.737977528089889</v>
      </c>
      <c r="CB111">
        <v>-19.752958801498128</v>
      </c>
      <c r="CC111">
        <v>-19.767940074906367</v>
      </c>
      <c r="CD111">
        <v>-19.782921348314606</v>
      </c>
      <c r="CE111">
        <v>-19.797902621722848</v>
      </c>
      <c r="CF111">
        <v>-19.812883895131087</v>
      </c>
      <c r="CG111">
        <v>-19.82754491017964</v>
      </c>
      <c r="CH111">
        <v>-19.841916167664671</v>
      </c>
      <c r="CI111">
        <v>-19.856287425149699</v>
      </c>
      <c r="CJ111">
        <v>-19.87065868263473</v>
      </c>
    </row>
    <row r="112" spans="1:94" ht="21.75" thickBot="1" x14ac:dyDescent="0.4">
      <c r="A112" s="18" t="s">
        <v>37</v>
      </c>
      <c r="B112" s="38">
        <v>-15.118108108108107</v>
      </c>
      <c r="C112" s="38">
        <v>-14.88027027027027</v>
      </c>
      <c r="D112" s="38">
        <v>-14.642432432432432</v>
      </c>
      <c r="E112" s="38">
        <v>-14.404594594594593</v>
      </c>
      <c r="F112">
        <v>-13.959101796407184</v>
      </c>
      <c r="G112">
        <v>-13.46568862275449</v>
      </c>
      <c r="H112">
        <v>-12.972275449101796</v>
      </c>
      <c r="I112">
        <v>-12.478862275449101</v>
      </c>
      <c r="J112">
        <v>-11.950329341317365</v>
      </c>
      <c r="K112">
        <v>-11.40182634730539</v>
      </c>
      <c r="L112">
        <v>-10.853323353293414</v>
      </c>
      <c r="M112">
        <v>-10.304820359281438</v>
      </c>
      <c r="N112">
        <v>-9.7896616766467073</v>
      </c>
      <c r="O112">
        <v>-9.3132544910179647</v>
      </c>
      <c r="P112">
        <v>-8.836847305389222</v>
      </c>
      <c r="Q112">
        <v>-8.3604401197604794</v>
      </c>
      <c r="R112">
        <v>-7.9011107784431145</v>
      </c>
      <c r="S112">
        <v>-7.4841047904191624</v>
      </c>
      <c r="T112">
        <v>-7.0670988023952104</v>
      </c>
      <c r="U112">
        <v>-6.6500928143712592</v>
      </c>
      <c r="V112">
        <v>-6.2383952095808395</v>
      </c>
      <c r="W112">
        <v>-5.8685748502994022</v>
      </c>
      <c r="X112">
        <v>-5.4987544910179649</v>
      </c>
      <c r="Y112">
        <v>-5.1289341317365267</v>
      </c>
      <c r="Z112">
        <v>-4.7591137724550894</v>
      </c>
      <c r="AA112">
        <v>-4.6019909909909904</v>
      </c>
      <c r="AB112">
        <v>-4.4590480480480474</v>
      </c>
      <c r="AC112">
        <v>-4.3161051051051045</v>
      </c>
      <c r="AD112">
        <v>-4.1731621621621615</v>
      </c>
      <c r="AE112">
        <v>-4.1562215568862273</v>
      </c>
      <c r="AF112">
        <v>-4.1758622754491022</v>
      </c>
      <c r="AG112">
        <v>-4.1955029940119761</v>
      </c>
      <c r="AH112">
        <v>-4.2151437125748501</v>
      </c>
      <c r="AI112">
        <v>-4.2348562874251492</v>
      </c>
      <c r="AJ112">
        <v>-4.2546167664670653</v>
      </c>
      <c r="AK112">
        <v>-4.2743772455089815</v>
      </c>
      <c r="AL112">
        <v>-4.2941377245508976</v>
      </c>
      <c r="AM112">
        <v>-4.3138982035928146</v>
      </c>
      <c r="AN112">
        <v>-4.3336586826347308</v>
      </c>
      <c r="AO112">
        <v>-4.3534191616766469</v>
      </c>
      <c r="AP112">
        <v>-4.373179640718563</v>
      </c>
      <c r="AQ112">
        <v>-4.3929401197604792</v>
      </c>
      <c r="AR112">
        <v>-4.4127005988023953</v>
      </c>
      <c r="AS112">
        <v>-4.4324610778443114</v>
      </c>
      <c r="AT112">
        <v>-4.4522215568862276</v>
      </c>
      <c r="AU112">
        <v>-4.4719820359281437</v>
      </c>
      <c r="AV112">
        <v>-4.4917425149700598</v>
      </c>
      <c r="AW112">
        <v>-4.511502994011976</v>
      </c>
      <c r="AX112">
        <v>-4.5312634730538921</v>
      </c>
      <c r="AY112">
        <v>-4.5510239520958082</v>
      </c>
      <c r="AZ112">
        <v>-4.5702584269662925</v>
      </c>
      <c r="BA112">
        <v>-4.5894344569288394</v>
      </c>
      <c r="BB112">
        <v>-4.6086104868913855</v>
      </c>
      <c r="BC112">
        <v>-4.6277865168539325</v>
      </c>
      <c r="BD112">
        <v>-4.6469625468164795</v>
      </c>
      <c r="BE112">
        <v>-4.6661385767790264</v>
      </c>
      <c r="BF112">
        <v>-4.6853146067415734</v>
      </c>
      <c r="BG112">
        <v>-4.7044906367041204</v>
      </c>
      <c r="BH112">
        <v>-4.7236666666666665</v>
      </c>
      <c r="BI112">
        <v>-4.7428426966292134</v>
      </c>
      <c r="BJ112">
        <v>-4.7620187265917604</v>
      </c>
      <c r="BK112">
        <v>-4.7811947565543074</v>
      </c>
      <c r="BL112">
        <v>-4.8003707865168543</v>
      </c>
      <c r="BM112">
        <v>-4.8195468164794013</v>
      </c>
      <c r="BN112">
        <v>-4.8387228464419483</v>
      </c>
      <c r="BO112">
        <v>-4.8578988764044944</v>
      </c>
      <c r="BP112">
        <v>-4.8768456928838955</v>
      </c>
      <c r="BQ112">
        <v>-4.8949430711610491</v>
      </c>
      <c r="BR112">
        <v>-4.9130404494382027</v>
      </c>
      <c r="BS112">
        <v>-4.9311378277153564</v>
      </c>
      <c r="BT112">
        <v>-4.94923520599251</v>
      </c>
      <c r="BU112">
        <v>-4.9673325842696627</v>
      </c>
      <c r="BV112">
        <v>-4.9854299625468164</v>
      </c>
      <c r="BW112">
        <v>-5.00352734082397</v>
      </c>
      <c r="BX112">
        <v>-5.0216247191011236</v>
      </c>
      <c r="BY112">
        <v>-5.0397220973782773</v>
      </c>
      <c r="BZ112">
        <v>-5.0578194756554309</v>
      </c>
      <c r="CA112">
        <v>-5.0759168539325845</v>
      </c>
      <c r="CB112">
        <v>-5.0940142322097381</v>
      </c>
      <c r="CC112">
        <v>-5.1121116104868918</v>
      </c>
      <c r="CD112">
        <v>-5.1302089887640445</v>
      </c>
      <c r="CE112">
        <v>-5.1483063670411982</v>
      </c>
      <c r="CF112">
        <v>-5.1664037453183518</v>
      </c>
      <c r="CG112">
        <v>-5.1840538922155686</v>
      </c>
      <c r="CH112">
        <v>-5.2012994011976046</v>
      </c>
      <c r="CI112">
        <v>-5.2185449101796406</v>
      </c>
      <c r="CJ112">
        <v>-5.2357904191616766</v>
      </c>
    </row>
    <row r="113" spans="1:88" ht="21.75" hidden="1" thickBot="1" x14ac:dyDescent="0.4">
      <c r="A113" s="18" t="s">
        <v>28</v>
      </c>
      <c r="B113" s="38">
        <v>-19.022342342342341</v>
      </c>
      <c r="C113" s="38">
        <v>-19.024744744744744</v>
      </c>
      <c r="D113" s="38">
        <v>-19.027147147147147</v>
      </c>
      <c r="E113" s="38">
        <v>-19.02954954954955</v>
      </c>
      <c r="F113">
        <v>-19.035838323353293</v>
      </c>
      <c r="G113">
        <v>-19.043023952095808</v>
      </c>
      <c r="H113">
        <v>-19.050209580838324</v>
      </c>
      <c r="I113">
        <v>-19.057395209580836</v>
      </c>
      <c r="J113">
        <v>-19.06763473053892</v>
      </c>
      <c r="K113">
        <v>-19.079610778443111</v>
      </c>
      <c r="L113">
        <v>-19.091586826347303</v>
      </c>
      <c r="M113">
        <v>-19.103562874251498</v>
      </c>
      <c r="N113">
        <v>-19.116646706586828</v>
      </c>
      <c r="O113">
        <v>-19.131017964071855</v>
      </c>
      <c r="P113">
        <v>-19.145389221556886</v>
      </c>
      <c r="Q113">
        <v>-19.159760479041918</v>
      </c>
      <c r="R113">
        <v>-19.174131736526949</v>
      </c>
      <c r="S113">
        <v>-19.188502994011976</v>
      </c>
      <c r="T113">
        <v>-19.202874251497008</v>
      </c>
      <c r="U113">
        <v>-19.217245508982035</v>
      </c>
      <c r="V113">
        <v>-19.231886227544912</v>
      </c>
      <c r="W113">
        <v>-19.248652694610779</v>
      </c>
      <c r="X113">
        <v>-19.265419161676647</v>
      </c>
      <c r="Y113">
        <v>-19.282185628742514</v>
      </c>
      <c r="Z113">
        <v>-19.298952095808385</v>
      </c>
      <c r="AA113">
        <v>-19.2481981981982</v>
      </c>
      <c r="AB113">
        <v>-19.192942942942942</v>
      </c>
      <c r="AC113">
        <v>-19.137687687687688</v>
      </c>
      <c r="AD113">
        <v>-19.082432432432434</v>
      </c>
      <c r="AE113">
        <v>-19.062574850299402</v>
      </c>
      <c r="AF113">
        <v>-19.052994011976047</v>
      </c>
      <c r="AG113">
        <v>-19.043413173652695</v>
      </c>
      <c r="AH113">
        <v>-19.033832335329343</v>
      </c>
      <c r="AI113">
        <v>-19.040059880239522</v>
      </c>
      <c r="AJ113">
        <v>-19.056826347305389</v>
      </c>
      <c r="AK113">
        <v>-19.07359281437126</v>
      </c>
      <c r="AL113">
        <v>-19.090359281437127</v>
      </c>
      <c r="AM113">
        <v>-19.107125748502995</v>
      </c>
      <c r="AN113">
        <v>-19.123892215568862</v>
      </c>
      <c r="AO113">
        <v>-19.140658682634729</v>
      </c>
      <c r="AP113">
        <v>-19.1574251497006</v>
      </c>
      <c r="AQ113">
        <v>-19.174191616766468</v>
      </c>
      <c r="AR113">
        <v>-19.190958083832335</v>
      </c>
      <c r="AS113">
        <v>-19.207724550898202</v>
      </c>
      <c r="AT113">
        <v>-19.22449101796407</v>
      </c>
      <c r="AU113">
        <v>-19.241257485029941</v>
      </c>
      <c r="AV113">
        <v>-19.258023952095808</v>
      </c>
      <c r="AW113">
        <v>-19.274790419161675</v>
      </c>
      <c r="AX113">
        <v>-19.291556886227543</v>
      </c>
      <c r="AY113">
        <v>-19.30832335329341</v>
      </c>
      <c r="AZ113">
        <v>-19.324022471910112</v>
      </c>
      <c r="BA113">
        <v>-19.33960299625468</v>
      </c>
      <c r="BB113">
        <v>-19.355183520599251</v>
      </c>
      <c r="BC113">
        <v>-19.370764044943819</v>
      </c>
      <c r="BD113">
        <v>-19.38634456928839</v>
      </c>
      <c r="BE113">
        <v>-19.401925093632958</v>
      </c>
      <c r="BF113">
        <v>-19.417505617977529</v>
      </c>
      <c r="BG113">
        <v>-19.433086142322097</v>
      </c>
      <c r="BH113">
        <v>-19.448666666666668</v>
      </c>
      <c r="BI113">
        <v>-19.464247191011236</v>
      </c>
      <c r="BJ113">
        <v>-19.479827715355807</v>
      </c>
      <c r="BK113">
        <v>-19.495408239700375</v>
      </c>
      <c r="BL113">
        <v>-19.510988764044942</v>
      </c>
      <c r="BM113">
        <v>-19.526569288389513</v>
      </c>
      <c r="BN113">
        <v>-19.542149812734081</v>
      </c>
      <c r="BO113">
        <v>-19.557730337078652</v>
      </c>
      <c r="BP113">
        <v>-19.573183520599251</v>
      </c>
      <c r="BQ113">
        <v>-19.58816479400749</v>
      </c>
      <c r="BR113">
        <v>-19.603146067415732</v>
      </c>
      <c r="BS113">
        <v>-19.618127340823971</v>
      </c>
      <c r="BT113">
        <v>-19.63310861423221</v>
      </c>
      <c r="BU113">
        <v>-19.648089887640449</v>
      </c>
      <c r="BV113">
        <v>-19.663071161048691</v>
      </c>
      <c r="BW113">
        <v>-19.67805243445693</v>
      </c>
      <c r="BX113">
        <v>-19.693033707865169</v>
      </c>
      <c r="BY113">
        <v>-19.708014981273408</v>
      </c>
      <c r="BZ113">
        <v>-19.722996254681647</v>
      </c>
      <c r="CA113">
        <v>-19.737977528089889</v>
      </c>
      <c r="CB113">
        <v>-19.752958801498128</v>
      </c>
      <c r="CC113">
        <v>-19.767940074906367</v>
      </c>
      <c r="CD113">
        <v>-19.782921348314606</v>
      </c>
      <c r="CE113">
        <v>-19.797902621722848</v>
      </c>
      <c r="CF113">
        <v>-19.812883895131087</v>
      </c>
      <c r="CG113">
        <v>-19.82754491017964</v>
      </c>
      <c r="CH113">
        <v>-19.841916167664671</v>
      </c>
      <c r="CI113">
        <v>-19.856287425149699</v>
      </c>
      <c r="CJ113">
        <v>-19.87065868263473</v>
      </c>
    </row>
    <row r="114" spans="1:88" ht="21.75" hidden="1" thickBot="1" x14ac:dyDescent="0.4">
      <c r="A114" s="18" t="s">
        <v>5</v>
      </c>
      <c r="B114" s="38">
        <v>-59.678288288288286</v>
      </c>
      <c r="C114" s="38">
        <v>-58.332942942942942</v>
      </c>
      <c r="D114" s="38">
        <v>-56.987597597597599</v>
      </c>
      <c r="E114" s="38">
        <v>-55.642252252252256</v>
      </c>
      <c r="F114">
        <v>-54.130868263473054</v>
      </c>
      <c r="G114">
        <v>-52.581167664670659</v>
      </c>
      <c r="H114">
        <v>-51.031467065868263</v>
      </c>
      <c r="I114">
        <v>-49.481766467065867</v>
      </c>
      <c r="J114">
        <v>-47.964131736526944</v>
      </c>
      <c r="K114">
        <v>-46.464730538922154</v>
      </c>
      <c r="L114">
        <v>-44.965329341317364</v>
      </c>
      <c r="M114">
        <v>-43.465928143712574</v>
      </c>
      <c r="N114">
        <v>-42.064011976047901</v>
      </c>
      <c r="O114">
        <v>-40.775389221556885</v>
      </c>
      <c r="P114">
        <v>-39.48676646706587</v>
      </c>
      <c r="Q114">
        <v>-38.198143712574847</v>
      </c>
      <c r="R114">
        <v>-36.957724550898206</v>
      </c>
      <c r="S114">
        <v>-35.836766467065871</v>
      </c>
      <c r="T114">
        <v>-34.715808383233536</v>
      </c>
      <c r="U114">
        <v>-33.594850299401202</v>
      </c>
      <c r="V114">
        <v>-32.488982035928146</v>
      </c>
      <c r="W114">
        <v>-31.502155688622757</v>
      </c>
      <c r="X114">
        <v>-30.515329341317369</v>
      </c>
      <c r="Y114">
        <v>-29.528502994011976</v>
      </c>
      <c r="Z114">
        <v>-28.541676646706588</v>
      </c>
      <c r="AA114">
        <v>-27.788558558558559</v>
      </c>
      <c r="AB114">
        <v>-27.051021021021018</v>
      </c>
      <c r="AC114">
        <v>-26.313483483483481</v>
      </c>
      <c r="AD114">
        <v>-25.575945945945943</v>
      </c>
      <c r="AE114">
        <v>-25.655029940119761</v>
      </c>
      <c r="AF114">
        <v>-25.971197604790419</v>
      </c>
      <c r="AG114">
        <v>-26.287365269461077</v>
      </c>
      <c r="AH114">
        <v>-26.603532934131735</v>
      </c>
      <c r="AI114">
        <v>-26.911437125748503</v>
      </c>
      <c r="AJ114">
        <v>-27.213832335329339</v>
      </c>
      <c r="AK114">
        <v>-27.51622754491018</v>
      </c>
      <c r="AL114">
        <v>-27.818622754491017</v>
      </c>
      <c r="AM114">
        <v>-28.121017964071857</v>
      </c>
      <c r="AN114">
        <v>-28.423413173652694</v>
      </c>
      <c r="AO114">
        <v>-28.725808383233534</v>
      </c>
      <c r="AP114">
        <v>-29.028203592814371</v>
      </c>
      <c r="AQ114">
        <v>-29.330598802395212</v>
      </c>
      <c r="AR114">
        <v>-29.632994011976049</v>
      </c>
      <c r="AS114">
        <v>-29.935389221556889</v>
      </c>
      <c r="AT114">
        <v>-30.237784431137726</v>
      </c>
      <c r="AU114">
        <v>-30.540179640718566</v>
      </c>
      <c r="AV114">
        <v>-30.842574850299403</v>
      </c>
      <c r="AW114">
        <v>-31.144970059880244</v>
      </c>
      <c r="AX114">
        <v>-31.447365269461081</v>
      </c>
      <c r="AY114">
        <v>-31.749760479041917</v>
      </c>
      <c r="AZ114">
        <v>-32.022696629213485</v>
      </c>
      <c r="BA114">
        <v>-32.292359550561798</v>
      </c>
      <c r="BB114">
        <v>-32.562022471910112</v>
      </c>
      <c r="BC114">
        <v>-32.831685393258432</v>
      </c>
      <c r="BD114">
        <v>-33.101348314606746</v>
      </c>
      <c r="BE114">
        <v>-33.371011235955059</v>
      </c>
      <c r="BF114">
        <v>-33.640674157303373</v>
      </c>
      <c r="BG114">
        <v>-33.910337078651686</v>
      </c>
      <c r="BH114">
        <v>-34.18</v>
      </c>
      <c r="BI114">
        <v>-34.44966292134832</v>
      </c>
      <c r="BJ114">
        <v>-34.719325842696634</v>
      </c>
      <c r="BK114">
        <v>-34.988988764044947</v>
      </c>
      <c r="BL114">
        <v>-35.258651685393261</v>
      </c>
      <c r="BM114">
        <v>-35.528314606741574</v>
      </c>
      <c r="BN114">
        <v>-35.797977528089888</v>
      </c>
      <c r="BO114">
        <v>-36.067640449438201</v>
      </c>
      <c r="BP114">
        <v>-36.328007490636708</v>
      </c>
      <c r="BQ114">
        <v>-36.553925093632962</v>
      </c>
      <c r="BR114">
        <v>-36.779842696629217</v>
      </c>
      <c r="BS114">
        <v>-37.005760299625472</v>
      </c>
      <c r="BT114">
        <v>-37.231677902621726</v>
      </c>
      <c r="BU114">
        <v>-37.457595505617981</v>
      </c>
      <c r="BV114">
        <v>-37.683513108614235</v>
      </c>
      <c r="BW114">
        <v>-37.90943071161049</v>
      </c>
      <c r="BX114">
        <v>-38.135348314606745</v>
      </c>
      <c r="BY114">
        <v>-38.361265917602999</v>
      </c>
      <c r="BZ114">
        <v>-38.587183520599254</v>
      </c>
      <c r="CA114">
        <v>-38.813101123595509</v>
      </c>
      <c r="CB114">
        <v>-39.039018726591763</v>
      </c>
      <c r="CC114">
        <v>-39.264936329588011</v>
      </c>
      <c r="CD114">
        <v>-39.490853932584265</v>
      </c>
      <c r="CE114">
        <v>-39.71677153558052</v>
      </c>
      <c r="CF114">
        <v>-39.942689138576775</v>
      </c>
      <c r="CG114">
        <v>-40.151856287425147</v>
      </c>
      <c r="CH114">
        <v>-40.345868263473051</v>
      </c>
      <c r="CI114">
        <v>-40.539880239520954</v>
      </c>
      <c r="CJ114">
        <v>-40.733892215568858</v>
      </c>
    </row>
    <row r="115" spans="1:88" ht="21.75" hidden="1" thickBot="1" x14ac:dyDescent="0.4">
      <c r="A115" s="18" t="s">
        <v>6</v>
      </c>
      <c r="B115" s="38">
        <v>-15.118108108108107</v>
      </c>
      <c r="C115" s="38">
        <v>-14.88027027027027</v>
      </c>
      <c r="D115" s="38">
        <v>-14.642432432432432</v>
      </c>
      <c r="E115" s="38">
        <v>-14.404594594594593</v>
      </c>
      <c r="F115">
        <v>-13.959101796407184</v>
      </c>
      <c r="G115">
        <v>-13.46568862275449</v>
      </c>
      <c r="H115">
        <v>-12.972275449101796</v>
      </c>
      <c r="I115">
        <v>-12.478862275449101</v>
      </c>
      <c r="J115">
        <v>-11.950329341317365</v>
      </c>
      <c r="K115">
        <v>-11.40182634730539</v>
      </c>
      <c r="L115">
        <v>-10.853323353293414</v>
      </c>
      <c r="M115">
        <v>-10.304820359281438</v>
      </c>
      <c r="N115">
        <v>-9.7896616766467073</v>
      </c>
      <c r="O115">
        <v>-9.3132544910179647</v>
      </c>
      <c r="P115">
        <v>-8.836847305389222</v>
      </c>
      <c r="Q115">
        <v>-8.3604401197604794</v>
      </c>
      <c r="R115">
        <v>-7.9011107784431145</v>
      </c>
      <c r="S115">
        <v>-7.4841047904191624</v>
      </c>
      <c r="T115">
        <v>-7.0670988023952104</v>
      </c>
      <c r="U115">
        <v>-6.6500928143712592</v>
      </c>
      <c r="V115">
        <v>-6.2383952095808395</v>
      </c>
      <c r="W115">
        <v>-5.8685748502994022</v>
      </c>
      <c r="X115">
        <v>-5.4987544910179649</v>
      </c>
      <c r="Y115">
        <v>-5.1289341317365267</v>
      </c>
      <c r="Z115">
        <v>-4.7591137724550894</v>
      </c>
      <c r="AA115">
        <v>-4.6019909909909904</v>
      </c>
      <c r="AB115">
        <v>-4.4590480480480474</v>
      </c>
      <c r="AC115">
        <v>-4.3161051051051045</v>
      </c>
      <c r="AD115">
        <v>-4.1731621621621615</v>
      </c>
      <c r="AE115">
        <v>-4.1562215568862273</v>
      </c>
      <c r="AF115">
        <v>-4.1758622754491022</v>
      </c>
      <c r="AG115">
        <v>-4.1955029940119761</v>
      </c>
      <c r="AH115">
        <v>-4.2151437125748501</v>
      </c>
      <c r="AI115">
        <v>-4.2348562874251492</v>
      </c>
      <c r="AJ115">
        <v>-4.2546167664670653</v>
      </c>
      <c r="AK115">
        <v>-4.2743772455089815</v>
      </c>
      <c r="AL115">
        <v>-4.2941377245508976</v>
      </c>
      <c r="AM115">
        <v>-4.3138982035928146</v>
      </c>
      <c r="AN115">
        <v>-4.3336586826347308</v>
      </c>
      <c r="AO115">
        <v>-4.3534191616766469</v>
      </c>
      <c r="AP115">
        <v>-4.373179640718563</v>
      </c>
      <c r="AQ115">
        <v>-4.3929401197604792</v>
      </c>
      <c r="AR115">
        <v>-4.4127005988023953</v>
      </c>
      <c r="AS115">
        <v>-4.4324610778443114</v>
      </c>
      <c r="AT115">
        <v>-4.4522215568862276</v>
      </c>
      <c r="AU115">
        <v>-4.4719820359281437</v>
      </c>
      <c r="AV115">
        <v>-4.4917425149700598</v>
      </c>
      <c r="AW115">
        <v>-4.511502994011976</v>
      </c>
      <c r="AX115">
        <v>-4.5312634730538921</v>
      </c>
      <c r="AY115">
        <v>-4.5510239520958082</v>
      </c>
      <c r="AZ115">
        <v>-4.5702584269662925</v>
      </c>
      <c r="BA115">
        <v>-4.5894344569288394</v>
      </c>
      <c r="BB115">
        <v>-4.6086104868913855</v>
      </c>
      <c r="BC115">
        <v>-4.6277865168539325</v>
      </c>
      <c r="BD115">
        <v>-4.6469625468164795</v>
      </c>
      <c r="BE115">
        <v>-4.6661385767790264</v>
      </c>
      <c r="BF115">
        <v>-4.6853146067415734</v>
      </c>
      <c r="BG115">
        <v>-4.7044906367041204</v>
      </c>
      <c r="BH115">
        <v>-4.7236666666666665</v>
      </c>
      <c r="BI115">
        <v>-4.7428426966292134</v>
      </c>
      <c r="BJ115">
        <v>-4.7620187265917604</v>
      </c>
      <c r="BK115">
        <v>-4.7811947565543074</v>
      </c>
      <c r="BL115">
        <v>-4.8003707865168543</v>
      </c>
      <c r="BM115">
        <v>-4.8195468164794013</v>
      </c>
      <c r="BN115">
        <v>-4.8387228464419483</v>
      </c>
      <c r="BO115">
        <v>-4.8578988764044944</v>
      </c>
      <c r="BP115">
        <v>-4.8768456928838955</v>
      </c>
      <c r="BQ115">
        <v>-4.8949430711610491</v>
      </c>
      <c r="BR115">
        <v>-4.9130404494382027</v>
      </c>
      <c r="BS115">
        <v>-4.9311378277153564</v>
      </c>
      <c r="BT115">
        <v>-4.94923520599251</v>
      </c>
      <c r="BU115">
        <v>-4.9673325842696627</v>
      </c>
      <c r="BV115">
        <v>-4.9854299625468164</v>
      </c>
      <c r="BW115">
        <v>-5.00352734082397</v>
      </c>
      <c r="BX115">
        <v>-5.0216247191011236</v>
      </c>
      <c r="BY115">
        <v>-5.0397220973782773</v>
      </c>
      <c r="BZ115">
        <v>-5.0578194756554309</v>
      </c>
      <c r="CA115">
        <v>-5.0759168539325845</v>
      </c>
      <c r="CB115">
        <v>-5.0940142322097381</v>
      </c>
      <c r="CC115">
        <v>-5.1121116104868918</v>
      </c>
      <c r="CD115">
        <v>-5.1302089887640445</v>
      </c>
      <c r="CE115">
        <v>-5.1483063670411982</v>
      </c>
      <c r="CF115">
        <v>-5.1664037453183518</v>
      </c>
      <c r="CG115">
        <v>-5.1840538922155686</v>
      </c>
      <c r="CH115">
        <v>-5.2012994011976046</v>
      </c>
      <c r="CI115">
        <v>-5.2185449101796406</v>
      </c>
      <c r="CJ115">
        <v>-5.2357904191616766</v>
      </c>
    </row>
    <row r="116" spans="1:88" ht="21.75" hidden="1" thickBot="1" x14ac:dyDescent="0.4">
      <c r="A116" s="18" t="s">
        <v>7</v>
      </c>
      <c r="B116" s="38">
        <v>-21.473063063063062</v>
      </c>
      <c r="C116" s="38">
        <v>-21.045435435435436</v>
      </c>
      <c r="D116" s="38">
        <v>-20.617807807807807</v>
      </c>
      <c r="E116" s="38">
        <v>-20.190180180180178</v>
      </c>
      <c r="F116">
        <v>-20.082754491017962</v>
      </c>
      <c r="G116">
        <v>-20.049221556886227</v>
      </c>
      <c r="H116">
        <v>-20.015688622754489</v>
      </c>
      <c r="I116">
        <v>-19.982155688622754</v>
      </c>
      <c r="J116">
        <v>-20.046347305389222</v>
      </c>
      <c r="K116">
        <v>-20.166107784431137</v>
      </c>
      <c r="L116">
        <v>-20.285868263473052</v>
      </c>
      <c r="M116">
        <v>-20.40562874251497</v>
      </c>
      <c r="N116">
        <v>-20.526497005988023</v>
      </c>
      <c r="O116">
        <v>-20.648652694610778</v>
      </c>
      <c r="P116">
        <v>-20.770808383233533</v>
      </c>
      <c r="Q116">
        <v>-20.892964071856287</v>
      </c>
      <c r="R116">
        <v>-21.015119760479042</v>
      </c>
      <c r="S116">
        <v>-21.137275449101796</v>
      </c>
      <c r="T116">
        <v>-21.259431137724551</v>
      </c>
      <c r="U116">
        <v>-21.381586826347306</v>
      </c>
      <c r="V116">
        <v>-21.504011976047902</v>
      </c>
      <c r="W116">
        <v>-21.628562874251497</v>
      </c>
      <c r="X116">
        <v>-21.753113772455091</v>
      </c>
      <c r="Y116">
        <v>-21.877664670658682</v>
      </c>
      <c r="Z116">
        <v>-22.002215568862276</v>
      </c>
      <c r="AA116">
        <v>-22.122612612612613</v>
      </c>
      <c r="AB116">
        <v>-22.242732732732733</v>
      </c>
      <c r="AC116">
        <v>-22.362852852852853</v>
      </c>
      <c r="AD116">
        <v>-22.482972972972973</v>
      </c>
      <c r="AE116">
        <v>-22.604670658682636</v>
      </c>
      <c r="AF116">
        <v>-22.726826347305391</v>
      </c>
      <c r="AG116">
        <v>-22.848982035928145</v>
      </c>
      <c r="AH116">
        <v>-22.971137724550896</v>
      </c>
      <c r="AI116">
        <v>-23.089700598802395</v>
      </c>
      <c r="AJ116">
        <v>-23.205868263473054</v>
      </c>
      <c r="AK116">
        <v>-23.322035928143713</v>
      </c>
      <c r="AL116">
        <v>-23.438203592814371</v>
      </c>
      <c r="AM116">
        <v>-23.55437125748503</v>
      </c>
      <c r="AN116">
        <v>-23.670538922155689</v>
      </c>
      <c r="AO116">
        <v>-23.786706586826348</v>
      </c>
      <c r="AP116">
        <v>-23.902874251497007</v>
      </c>
      <c r="AQ116">
        <v>-24.019041916167666</v>
      </c>
      <c r="AR116">
        <v>-24.135209580838325</v>
      </c>
      <c r="AS116">
        <v>-24.251377245508984</v>
      </c>
      <c r="AT116">
        <v>-24.367544910179642</v>
      </c>
      <c r="AU116">
        <v>-24.483712574850301</v>
      </c>
      <c r="AV116">
        <v>-24.59988023952096</v>
      </c>
      <c r="AW116">
        <v>-24.716047904191619</v>
      </c>
      <c r="AX116">
        <v>-24.832215568862278</v>
      </c>
      <c r="AY116">
        <v>-24.948383233532937</v>
      </c>
      <c r="AZ116">
        <v>-25.057617977528093</v>
      </c>
      <c r="BA116">
        <v>-25.166082397003748</v>
      </c>
      <c r="BB116">
        <v>-25.2745468164794</v>
      </c>
      <c r="BC116">
        <v>-25.383011235955056</v>
      </c>
      <c r="BD116">
        <v>-25.491475655430712</v>
      </c>
      <c r="BE116">
        <v>-25.599940074906367</v>
      </c>
      <c r="BF116">
        <v>-25.708404494382023</v>
      </c>
      <c r="BG116">
        <v>-25.816868913857679</v>
      </c>
      <c r="BH116">
        <v>-25.925333333333334</v>
      </c>
      <c r="BI116">
        <v>-26.03379775280899</v>
      </c>
      <c r="BJ116">
        <v>-26.142262172284646</v>
      </c>
      <c r="BK116">
        <v>-26.250726591760301</v>
      </c>
      <c r="BL116">
        <v>-26.359191011235957</v>
      </c>
      <c r="BM116">
        <v>-26.467655430711609</v>
      </c>
      <c r="BN116">
        <v>-26.576119850187265</v>
      </c>
      <c r="BO116">
        <v>-26.684584269662921</v>
      </c>
      <c r="BP116">
        <v>-26.791902621722848</v>
      </c>
      <c r="BQ116">
        <v>-26.894973782771537</v>
      </c>
      <c r="BR116">
        <v>-26.998044943820226</v>
      </c>
      <c r="BS116">
        <v>-27.101116104868915</v>
      </c>
      <c r="BT116">
        <v>-27.204187265917604</v>
      </c>
      <c r="BU116">
        <v>-27.307258426966293</v>
      </c>
      <c r="BV116">
        <v>-27.410329588014982</v>
      </c>
      <c r="BW116">
        <v>-27.513400749063671</v>
      </c>
      <c r="BX116">
        <v>-27.616471910112359</v>
      </c>
      <c r="BY116">
        <v>-27.719543071161048</v>
      </c>
      <c r="BZ116">
        <v>-27.822614232209737</v>
      </c>
      <c r="CA116">
        <v>-27.925685393258426</v>
      </c>
      <c r="CB116">
        <v>-28.028756554307115</v>
      </c>
      <c r="CC116">
        <v>-28.131827715355804</v>
      </c>
      <c r="CD116">
        <v>-28.234898876404493</v>
      </c>
      <c r="CE116">
        <v>-28.337970037453182</v>
      </c>
      <c r="CF116">
        <v>-28.441041198501871</v>
      </c>
      <c r="CG116">
        <v>-28.541556886227543</v>
      </c>
      <c r="CH116">
        <v>-28.639760479041914</v>
      </c>
      <c r="CI116">
        <v>-28.737964071856286</v>
      </c>
      <c r="CJ116">
        <v>-28.836167664670658</v>
      </c>
    </row>
    <row r="117" spans="1:88" ht="21.75" hidden="1" thickBot="1" x14ac:dyDescent="0.4">
      <c r="A117" s="18"/>
    </row>
    <row r="118" spans="1:88" ht="21.75" hidden="1" thickBot="1" x14ac:dyDescent="0.4">
      <c r="A118" s="18"/>
    </row>
    <row r="119" spans="1:88" ht="21.75" hidden="1" thickBot="1" x14ac:dyDescent="0.4">
      <c r="A119" s="18"/>
    </row>
    <row r="120" spans="1:88" ht="21.75" hidden="1" thickBot="1" x14ac:dyDescent="0.4">
      <c r="A120" s="18"/>
    </row>
    <row r="121" spans="1:88" ht="21.75" hidden="1" thickBot="1" x14ac:dyDescent="0.4">
      <c r="A121" s="18"/>
    </row>
    <row r="122" spans="1:88" ht="21.75" hidden="1" thickBot="1" x14ac:dyDescent="0.4">
      <c r="A122" s="18"/>
    </row>
    <row r="123" spans="1:88" ht="21.75" hidden="1" thickBot="1" x14ac:dyDescent="0.4">
      <c r="A123" s="18"/>
    </row>
    <row r="124" spans="1:88" ht="21.75" hidden="1" thickBot="1" x14ac:dyDescent="0.4">
      <c r="A124" s="18"/>
    </row>
    <row r="125" spans="1:88" ht="21.75" hidden="1" thickBot="1" x14ac:dyDescent="0.4">
      <c r="A125" s="18"/>
    </row>
    <row r="126" spans="1:88" ht="21.75" hidden="1" thickBot="1" x14ac:dyDescent="0.4">
      <c r="A126" s="18"/>
    </row>
    <row r="127" spans="1:88" ht="21.75" hidden="1" thickBot="1" x14ac:dyDescent="0.4">
      <c r="A127" s="18"/>
    </row>
    <row r="128" spans="1:88" ht="21.75" hidden="1" thickBot="1" x14ac:dyDescent="0.4">
      <c r="A128" s="18"/>
    </row>
    <row r="129" spans="1:90" ht="21.75" hidden="1" thickBot="1" x14ac:dyDescent="0.4">
      <c r="A129" s="18"/>
    </row>
    <row r="130" spans="1:90" ht="21.75" hidden="1" thickBot="1" x14ac:dyDescent="0.4">
      <c r="A130" s="18"/>
    </row>
    <row r="131" spans="1:90" ht="21.75" thickBot="1" x14ac:dyDescent="0.4"/>
    <row r="132" spans="1:90" ht="21.75" thickBot="1" x14ac:dyDescent="0.4">
      <c r="A132" s="18" t="s">
        <v>41</v>
      </c>
      <c r="B132" s="38">
        <v>-37.456036036036032</v>
      </c>
      <c r="C132" s="38">
        <v>-36.754534534534535</v>
      </c>
      <c r="D132" s="38">
        <v>-36.053033033033032</v>
      </c>
      <c r="E132" s="38">
        <v>-35.351531531531528</v>
      </c>
      <c r="F132">
        <v>-34.77434131736527</v>
      </c>
      <c r="G132">
        <v>-34.225838323353294</v>
      </c>
      <c r="H132">
        <v>-33.677335329341318</v>
      </c>
      <c r="I132">
        <v>-33.128832335329342</v>
      </c>
      <c r="J132">
        <v>-32.657592814371256</v>
      </c>
      <c r="K132">
        <v>-32.230287425149697</v>
      </c>
      <c r="L132">
        <v>-31.802982035928146</v>
      </c>
      <c r="M132">
        <v>-31.375676646706587</v>
      </c>
      <c r="N132">
        <v>-30.997113772455091</v>
      </c>
      <c r="O132">
        <v>-30.675197604790419</v>
      </c>
      <c r="P132">
        <v>-30.353281437125748</v>
      </c>
      <c r="Q132">
        <v>-30.031365269461077</v>
      </c>
      <c r="R132">
        <v>-29.749044910179641</v>
      </c>
      <c r="S132">
        <v>-29.564853293413172</v>
      </c>
      <c r="T132">
        <v>-29.380661676646707</v>
      </c>
      <c r="U132">
        <v>-29.196470059880241</v>
      </c>
      <c r="V132">
        <v>-29.031194610778446</v>
      </c>
      <c r="W132">
        <v>-29.015146706586826</v>
      </c>
      <c r="X132">
        <v>-28.99909880239521</v>
      </c>
      <c r="Y132">
        <v>-28.983050898203594</v>
      </c>
      <c r="Z132">
        <v>-28.967002994011978</v>
      </c>
      <c r="AA132">
        <v>-29.170279279279281</v>
      </c>
      <c r="AB132">
        <v>-29.388177177177177</v>
      </c>
      <c r="AC132">
        <v>-29.606075075075076</v>
      </c>
      <c r="AD132">
        <v>-29.823972972972971</v>
      </c>
      <c r="AE132">
        <v>-29.965814371257483</v>
      </c>
      <c r="AF132">
        <v>-30.085574850299402</v>
      </c>
      <c r="AG132">
        <v>-30.205335329341317</v>
      </c>
      <c r="AH132">
        <v>-30.325095808383235</v>
      </c>
      <c r="AI132">
        <v>-30.453622754491018</v>
      </c>
      <c r="AJ132">
        <v>-30.587994011976047</v>
      </c>
      <c r="AK132">
        <v>-30.722365269461079</v>
      </c>
      <c r="AL132">
        <v>-30.856736526946108</v>
      </c>
      <c r="AM132">
        <v>-30.990700598802395</v>
      </c>
      <c r="AN132">
        <v>-31.12411377245509</v>
      </c>
      <c r="AO132">
        <v>-31.257526946107784</v>
      </c>
      <c r="AP132">
        <v>-31.390940119760479</v>
      </c>
      <c r="AQ132">
        <v>-31.524592814371257</v>
      </c>
      <c r="AR132">
        <v>-31.658964071856285</v>
      </c>
      <c r="AS132">
        <v>-31.793335329341318</v>
      </c>
      <c r="AT132">
        <v>-31.927706586826346</v>
      </c>
      <c r="AU132">
        <v>-32.062077844311375</v>
      </c>
      <c r="AV132">
        <v>-32.196449101796411</v>
      </c>
      <c r="AW132">
        <v>-32.330820359281439</v>
      </c>
      <c r="AX132">
        <v>-32.465191616766468</v>
      </c>
      <c r="AY132">
        <v>-32.599562874251497</v>
      </c>
      <c r="AZ132">
        <v>-32.727876404494381</v>
      </c>
      <c r="BA132">
        <v>-32.855516853932585</v>
      </c>
      <c r="BB132">
        <v>-32.983157303370788</v>
      </c>
      <c r="BC132">
        <v>-33.110797752808992</v>
      </c>
      <c r="BD132">
        <v>-33.238438202247195</v>
      </c>
      <c r="BE132">
        <v>-33.366078651685392</v>
      </c>
      <c r="BF132">
        <v>-33.493719101123595</v>
      </c>
      <c r="BG132">
        <v>-33.621359550561799</v>
      </c>
      <c r="BH132">
        <v>-33.749000000000002</v>
      </c>
      <c r="BI132">
        <v>-33.876640449438206</v>
      </c>
      <c r="BJ132">
        <v>-34.004280898876409</v>
      </c>
      <c r="BK132">
        <v>-34.131921348314606</v>
      </c>
      <c r="BL132">
        <v>-34.259561797752809</v>
      </c>
      <c r="BM132">
        <v>-34.387202247191013</v>
      </c>
      <c r="BN132">
        <v>-34.514842696629216</v>
      </c>
      <c r="BO132">
        <v>-34.64248314606742</v>
      </c>
      <c r="BP132">
        <v>-34.768748314606746</v>
      </c>
      <c r="BQ132">
        <v>-34.88991685393259</v>
      </c>
      <c r="BR132">
        <v>-35.011085393258426</v>
      </c>
      <c r="BS132">
        <v>-35.13225393258427</v>
      </c>
      <c r="BT132">
        <v>-35.253422471910113</v>
      </c>
      <c r="BU132">
        <v>-35.374591011235957</v>
      </c>
      <c r="BV132">
        <v>-35.4957595505618</v>
      </c>
      <c r="BW132">
        <v>-35.616928089887644</v>
      </c>
      <c r="BX132">
        <v>-35.738096629213487</v>
      </c>
      <c r="BY132">
        <v>-35.859265168539331</v>
      </c>
      <c r="BZ132">
        <v>-35.980433707865167</v>
      </c>
      <c r="CA132">
        <v>-36.101602247191011</v>
      </c>
      <c r="CB132">
        <v>-36.222770786516854</v>
      </c>
      <c r="CC132">
        <v>-36.343939325842697</v>
      </c>
      <c r="CD132">
        <v>-36.465107865168541</v>
      </c>
      <c r="CE132">
        <v>-36.586276404494384</v>
      </c>
      <c r="CF132">
        <v>-36.707444943820228</v>
      </c>
      <c r="CG132">
        <v>-36.825319819819818</v>
      </c>
      <c r="CH132">
        <v>-36.940214714714713</v>
      </c>
      <c r="CI132">
        <v>-37.055109609609609</v>
      </c>
      <c r="CJ132">
        <v>-37.170004504504504</v>
      </c>
      <c r="CK132">
        <v>-36.080475247524753</v>
      </c>
      <c r="CL132">
        <v>-36.193346534653465</v>
      </c>
    </row>
    <row r="133" spans="1:90" ht="21.75" thickBot="1" x14ac:dyDescent="0.4">
      <c r="A133" s="18" t="s">
        <v>39</v>
      </c>
      <c r="B133" s="38">
        <v>-21.943243243243245</v>
      </c>
      <c r="C133" s="38">
        <v>-21.741441441441442</v>
      </c>
      <c r="D133" s="38">
        <v>-21.539639639639642</v>
      </c>
      <c r="E133" s="38">
        <v>-21.337837837837839</v>
      </c>
      <c r="F133">
        <v>-21.317514970059882</v>
      </c>
      <c r="G133">
        <v>-21.339071856287426</v>
      </c>
      <c r="H133">
        <v>-21.360628742514972</v>
      </c>
      <c r="I133">
        <v>-21.382185628742516</v>
      </c>
      <c r="J133">
        <v>-21.452604790419162</v>
      </c>
      <c r="K133">
        <v>-21.550808383233534</v>
      </c>
      <c r="L133">
        <v>-21.649011976047905</v>
      </c>
      <c r="M133">
        <v>-21.747215568862277</v>
      </c>
      <c r="N133">
        <v>-21.843203592814373</v>
      </c>
      <c r="O133">
        <v>-21.936616766467068</v>
      </c>
      <c r="P133">
        <v>-22.030029940119761</v>
      </c>
      <c r="Q133">
        <v>-22.123443113772456</v>
      </c>
      <c r="R133">
        <v>-22.209970059880241</v>
      </c>
      <c r="S133">
        <v>-22.279431137724551</v>
      </c>
      <c r="T133">
        <v>-22.348892215568863</v>
      </c>
      <c r="U133">
        <v>-22.418353293413173</v>
      </c>
      <c r="V133">
        <v>-22.488353293413173</v>
      </c>
      <c r="W133">
        <v>-22.562604790419162</v>
      </c>
      <c r="X133">
        <v>-22.63685628742515</v>
      </c>
      <c r="Y133">
        <v>-22.711107784431139</v>
      </c>
      <c r="Z133">
        <v>-22.785359281437124</v>
      </c>
      <c r="AA133">
        <v>-22.846306306306307</v>
      </c>
      <c r="AB133">
        <v>-22.906366366366367</v>
      </c>
      <c r="AC133">
        <v>-22.966426426426427</v>
      </c>
      <c r="AD133">
        <v>-23.026486486486487</v>
      </c>
      <c r="AE133">
        <v>-23.130958083832336</v>
      </c>
      <c r="AF133">
        <v>-23.248323353293415</v>
      </c>
      <c r="AG133">
        <v>-23.36568862275449</v>
      </c>
      <c r="AH133">
        <v>-23.483053892215569</v>
      </c>
      <c r="AI133">
        <v>-23.60185628742515</v>
      </c>
      <c r="AJ133">
        <v>-23.721616766467065</v>
      </c>
      <c r="AK133">
        <v>-23.841377245508983</v>
      </c>
      <c r="AL133">
        <v>-23.961137724550898</v>
      </c>
      <c r="AM133">
        <v>-24.078862275449104</v>
      </c>
      <c r="AN133">
        <v>-24.193832335329343</v>
      </c>
      <c r="AO133">
        <v>-24.308802395209582</v>
      </c>
      <c r="AP133">
        <v>-24.423772455089821</v>
      </c>
      <c r="AQ133">
        <v>-24.53874251497006</v>
      </c>
      <c r="AR133">
        <v>-24.653712574850299</v>
      </c>
      <c r="AS133">
        <v>-24.768682634730538</v>
      </c>
      <c r="AT133">
        <v>-24.883652694610777</v>
      </c>
      <c r="AU133">
        <v>-24.998622754491016</v>
      </c>
      <c r="AV133">
        <v>-25.113592814371255</v>
      </c>
      <c r="AW133">
        <v>-25.228562874251494</v>
      </c>
      <c r="AX133">
        <v>-25.343532934131737</v>
      </c>
      <c r="AY133">
        <v>-25.458502994011976</v>
      </c>
      <c r="AZ133">
        <v>-25.567617977528091</v>
      </c>
      <c r="BA133">
        <v>-25.676082397003746</v>
      </c>
      <c r="BB133">
        <v>-25.784546816479402</v>
      </c>
      <c r="BC133">
        <v>-25.893011235955058</v>
      </c>
      <c r="BD133">
        <v>-26.001475655430713</v>
      </c>
      <c r="BE133">
        <v>-26.109940074906369</v>
      </c>
      <c r="BF133">
        <v>-26.218404494382021</v>
      </c>
      <c r="BG133">
        <v>-26.326868913857677</v>
      </c>
      <c r="BH133">
        <v>-26.435333333333332</v>
      </c>
      <c r="BI133">
        <v>-26.543797752808988</v>
      </c>
      <c r="BJ133">
        <v>-26.652262172284644</v>
      </c>
      <c r="BK133">
        <v>-26.760726591760299</v>
      </c>
      <c r="BL133">
        <v>-26.869191011235955</v>
      </c>
      <c r="BM133">
        <v>-26.977655430711611</v>
      </c>
      <c r="BN133">
        <v>-27.086119850187266</v>
      </c>
      <c r="BO133">
        <v>-27.194584269662922</v>
      </c>
      <c r="BP133">
        <v>-27.301902621722849</v>
      </c>
      <c r="BQ133">
        <v>-27.404973782771538</v>
      </c>
      <c r="BR133">
        <v>-27.508044943820227</v>
      </c>
      <c r="BS133">
        <v>-27.611116104868916</v>
      </c>
      <c r="BT133">
        <v>-27.714187265917605</v>
      </c>
      <c r="BU133">
        <v>-27.817258426966294</v>
      </c>
      <c r="BV133">
        <v>-27.920329588014983</v>
      </c>
      <c r="BW133">
        <v>-28.023400749063672</v>
      </c>
      <c r="BX133">
        <v>-28.126471910112361</v>
      </c>
      <c r="BY133">
        <v>-28.22954307116105</v>
      </c>
      <c r="BZ133">
        <v>-28.332614232209739</v>
      </c>
      <c r="CA133">
        <v>-28.435685393258428</v>
      </c>
      <c r="CB133">
        <v>-28.538756554307117</v>
      </c>
      <c r="CC133">
        <v>-28.641827715355806</v>
      </c>
      <c r="CD133">
        <v>-28.744898876404495</v>
      </c>
      <c r="CE133">
        <v>-28.847970037453184</v>
      </c>
      <c r="CF133">
        <v>-28.951041198501873</v>
      </c>
      <c r="CG133">
        <v>-29.051396396396395</v>
      </c>
      <c r="CH133">
        <v>-29.149294294294293</v>
      </c>
      <c r="CI133">
        <v>-29.247192192192191</v>
      </c>
      <c r="CJ133">
        <v>-29.345090090090089</v>
      </c>
      <c r="CK133">
        <v>-8.1209504950495059</v>
      </c>
      <c r="CL133">
        <v>-8.1466930693069308</v>
      </c>
    </row>
    <row r="134" spans="1:90" ht="21.75" thickBot="1" x14ac:dyDescent="0.4">
      <c r="A134" s="18" t="s">
        <v>49</v>
      </c>
      <c r="B134" s="38">
        <v>-184.14450450450451</v>
      </c>
      <c r="C134" s="38">
        <v>-180.19015015015015</v>
      </c>
      <c r="D134" s="38">
        <v>-176.23579579579581</v>
      </c>
      <c r="E134" s="38">
        <v>-172.28144144144147</v>
      </c>
      <c r="F134">
        <v>-168.94194610778445</v>
      </c>
      <c r="G134">
        <v>-165.74434131736527</v>
      </c>
      <c r="H134">
        <v>-162.54673652694612</v>
      </c>
      <c r="I134">
        <v>-159.34913173652694</v>
      </c>
      <c r="J134">
        <v>-156.51188622754489</v>
      </c>
      <c r="K134">
        <v>-153.87955089820358</v>
      </c>
      <c r="L134">
        <v>-151.24721556886226</v>
      </c>
      <c r="M134">
        <v>-148.61488023952094</v>
      </c>
      <c r="N134">
        <v>-146.17973053892214</v>
      </c>
      <c r="O134">
        <v>-143.97374251497007</v>
      </c>
      <c r="P134">
        <v>-141.76775449101797</v>
      </c>
      <c r="Q134">
        <v>-139.56176646706587</v>
      </c>
      <c r="R134">
        <v>-137.45494011976049</v>
      </c>
      <c r="S134">
        <v>-135.59386227544911</v>
      </c>
      <c r="T134">
        <v>-133.73278443113773</v>
      </c>
      <c r="U134">
        <v>-131.87170658682635</v>
      </c>
      <c r="V134">
        <v>-130.04404191616766</v>
      </c>
      <c r="W134">
        <v>-128.47997005988023</v>
      </c>
      <c r="X134">
        <v>-126.91589820359282</v>
      </c>
      <c r="Y134">
        <v>-125.35182634730539</v>
      </c>
      <c r="Z134">
        <v>-123.78775449101796</v>
      </c>
      <c r="AA134">
        <v>-123.46702702702703</v>
      </c>
      <c r="AB134">
        <v>-123.22918918918919</v>
      </c>
      <c r="AC134">
        <v>-122.99135135135135</v>
      </c>
      <c r="AD134">
        <v>-122.75351351351351</v>
      </c>
      <c r="AE134">
        <v>-123.46293413173653</v>
      </c>
      <c r="AF134">
        <v>-124.44736526946109</v>
      </c>
      <c r="AG134">
        <v>-125.43179640718563</v>
      </c>
      <c r="AH134">
        <v>-126.41622754491017</v>
      </c>
      <c r="AI134">
        <v>-127.39922155688622</v>
      </c>
      <c r="AJ134">
        <v>-128.38125748502995</v>
      </c>
      <c r="AK134">
        <v>-129.36329341317364</v>
      </c>
      <c r="AL134">
        <v>-130.34532934131735</v>
      </c>
      <c r="AM134">
        <v>-131.31718562874252</v>
      </c>
      <c r="AN134">
        <v>-132.27526946107784</v>
      </c>
      <c r="AO134">
        <v>-133.23335329341316</v>
      </c>
      <c r="AP134">
        <v>-134.19143712574851</v>
      </c>
      <c r="AQ134">
        <v>-135.14592814371258</v>
      </c>
      <c r="AR134">
        <v>-136.08964071856286</v>
      </c>
      <c r="AS134">
        <v>-137.03335329341317</v>
      </c>
      <c r="AT134">
        <v>-137.97706586826348</v>
      </c>
      <c r="AU134">
        <v>-138.91970059880239</v>
      </c>
      <c r="AV134">
        <v>-139.84904191616766</v>
      </c>
      <c r="AW134">
        <v>-140.77838323353294</v>
      </c>
      <c r="AX134">
        <v>-141.70772455089821</v>
      </c>
      <c r="AY134">
        <v>-142.63706586826348</v>
      </c>
      <c r="AZ134">
        <v>-143.50932584269663</v>
      </c>
      <c r="BA134">
        <v>-144.37524344569289</v>
      </c>
      <c r="BB134">
        <v>-145.24116104868915</v>
      </c>
      <c r="BC134">
        <v>-146.10707865168538</v>
      </c>
      <c r="BD134">
        <v>-146.97299625468165</v>
      </c>
      <c r="BE134">
        <v>-147.83891385767791</v>
      </c>
      <c r="BF134">
        <v>-148.70483146067417</v>
      </c>
      <c r="BG134">
        <v>-149.57074906367041</v>
      </c>
      <c r="BH134">
        <v>-150.43666666666667</v>
      </c>
      <c r="BI134">
        <v>-151.30258426966293</v>
      </c>
      <c r="BJ134">
        <v>-152.16850187265919</v>
      </c>
      <c r="BK134">
        <v>-153.03441947565543</v>
      </c>
      <c r="BL134">
        <v>-153.90033707865169</v>
      </c>
      <c r="BM134">
        <v>-154.76625468164795</v>
      </c>
      <c r="BN134">
        <v>-155.63217228464421</v>
      </c>
      <c r="BO134">
        <v>-156.49808988764045</v>
      </c>
      <c r="BP134">
        <v>-157.34146816479401</v>
      </c>
      <c r="BQ134">
        <v>-158.10131835205993</v>
      </c>
      <c r="BR134">
        <v>-158.86116853932586</v>
      </c>
      <c r="BS134">
        <v>-159.62101872659179</v>
      </c>
      <c r="BT134">
        <v>-160.38086891385768</v>
      </c>
      <c r="BU134">
        <v>-161.14071910112361</v>
      </c>
      <c r="BV134">
        <v>-161.90056928838953</v>
      </c>
      <c r="BW134">
        <v>-162.66041947565543</v>
      </c>
      <c r="BX134">
        <v>-163.42026966292136</v>
      </c>
      <c r="BY134">
        <v>-164.18011985018728</v>
      </c>
      <c r="BZ134">
        <v>-164.93997003745321</v>
      </c>
      <c r="CA134">
        <v>-165.6998202247191</v>
      </c>
      <c r="CB134">
        <v>-166.45967041198503</v>
      </c>
      <c r="CC134">
        <v>-167.21952059925096</v>
      </c>
      <c r="CD134">
        <v>-167.97937078651688</v>
      </c>
      <c r="CE134">
        <v>-168.73922097378278</v>
      </c>
      <c r="CF134">
        <v>-169.4990711610487</v>
      </c>
      <c r="CG134">
        <v>-170.1970720720721</v>
      </c>
      <c r="CH134">
        <v>-170.83911411411412</v>
      </c>
      <c r="CI134">
        <v>-171.48115615615617</v>
      </c>
      <c r="CJ134">
        <v>-172.12319819819822</v>
      </c>
      <c r="CK134">
        <v>-28.733663366336632</v>
      </c>
      <c r="CL134">
        <v>-28.828712871287127</v>
      </c>
    </row>
    <row r="135" spans="1:90" ht="21.75" thickBot="1" x14ac:dyDescent="0.4">
      <c r="A135" s="18" t="s">
        <v>3</v>
      </c>
      <c r="B135" s="38">
        <v>-15.512792792792792</v>
      </c>
      <c r="C135" s="38">
        <v>-15.013093093093092</v>
      </c>
      <c r="D135" s="38">
        <v>-14.513393393393393</v>
      </c>
      <c r="E135" s="38">
        <v>-14.013693693693693</v>
      </c>
      <c r="F135">
        <v>-13.456826347305389</v>
      </c>
      <c r="G135">
        <v>-12.886766467065867</v>
      </c>
      <c r="H135">
        <v>-12.316706586826346</v>
      </c>
      <c r="I135">
        <v>-11.746646706586823</v>
      </c>
      <c r="J135">
        <v>-11.204988023952094</v>
      </c>
      <c r="K135">
        <v>-10.679479041916167</v>
      </c>
      <c r="L135">
        <v>-10.153970059880239</v>
      </c>
      <c r="M135">
        <v>-9.628461077844312</v>
      </c>
      <c r="N135">
        <v>-9.1539101796407198</v>
      </c>
      <c r="O135">
        <v>-8.7385808383233528</v>
      </c>
      <c r="P135">
        <v>-8.3232514970059874</v>
      </c>
      <c r="Q135">
        <v>-7.9079221556886221</v>
      </c>
      <c r="R135">
        <v>-7.5390748502994009</v>
      </c>
      <c r="S135">
        <v>-7.2854221556886225</v>
      </c>
      <c r="T135">
        <v>-7.031769461077845</v>
      </c>
      <c r="U135">
        <v>-6.7781167664670665</v>
      </c>
      <c r="V135">
        <v>-6.5428413173652693</v>
      </c>
      <c r="W135">
        <v>-6.4525419161676645</v>
      </c>
      <c r="X135">
        <v>-6.3622425149700597</v>
      </c>
      <c r="Y135">
        <v>-6.2719431137724548</v>
      </c>
      <c r="Z135">
        <v>-6.18164371257485</v>
      </c>
      <c r="AA135">
        <v>-6.3239729729729737</v>
      </c>
      <c r="AB135">
        <v>-6.4818108108108117</v>
      </c>
      <c r="AC135">
        <v>-6.6396486486486497</v>
      </c>
      <c r="AD135">
        <v>-6.7974864864864877</v>
      </c>
      <c r="AE135">
        <v>-6.8348562874251497</v>
      </c>
      <c r="AF135">
        <v>-6.8372514970059886</v>
      </c>
      <c r="AG135">
        <v>-6.8396467065868265</v>
      </c>
      <c r="AH135">
        <v>-6.8420419161676644</v>
      </c>
      <c r="AI135">
        <v>-6.8517664670658682</v>
      </c>
      <c r="AJ135">
        <v>-6.866377245508982</v>
      </c>
      <c r="AK135">
        <v>-6.8809880239520957</v>
      </c>
      <c r="AL135">
        <v>-6.8955988023952095</v>
      </c>
      <c r="AM135">
        <v>-6.911838323353293</v>
      </c>
      <c r="AN135">
        <v>-6.930281437125748</v>
      </c>
      <c r="AO135">
        <v>-6.9487245508982038</v>
      </c>
      <c r="AP135">
        <v>-6.9671676646706588</v>
      </c>
      <c r="AQ135">
        <v>-6.9858502994011973</v>
      </c>
      <c r="AR135">
        <v>-7.0052514970059878</v>
      </c>
      <c r="AS135">
        <v>-7.0246526946107783</v>
      </c>
      <c r="AT135">
        <v>-7.0440538922155689</v>
      </c>
      <c r="AU135">
        <v>-7.0634550898203594</v>
      </c>
      <c r="AV135">
        <v>-7.0828562874251499</v>
      </c>
      <c r="AW135">
        <v>-7.1022574850299405</v>
      </c>
      <c r="AX135">
        <v>-7.1216586826347301</v>
      </c>
      <c r="AY135">
        <v>-7.1410598802395207</v>
      </c>
      <c r="AZ135">
        <v>-7.1602584269662923</v>
      </c>
      <c r="BA135">
        <v>-7.1794344569288393</v>
      </c>
      <c r="BB135">
        <v>-7.1986104868913854</v>
      </c>
      <c r="BC135">
        <v>-7.2177865168539324</v>
      </c>
      <c r="BD135">
        <v>-7.2369625468164793</v>
      </c>
      <c r="BE135">
        <v>-7.2561385767790263</v>
      </c>
      <c r="BF135">
        <v>-7.2753146067415733</v>
      </c>
      <c r="BG135">
        <v>-7.2944906367041202</v>
      </c>
      <c r="BH135">
        <v>-7.3136666666666663</v>
      </c>
      <c r="BI135">
        <v>-7.3328426966292133</v>
      </c>
      <c r="BJ135">
        <v>-7.3520187265917603</v>
      </c>
      <c r="BK135">
        <v>-7.3711947565543072</v>
      </c>
      <c r="BL135">
        <v>-7.3903707865168542</v>
      </c>
      <c r="BM135">
        <v>-7.4095468164794012</v>
      </c>
      <c r="BN135">
        <v>-7.4287228464419481</v>
      </c>
      <c r="BO135">
        <v>-7.4478988764044942</v>
      </c>
      <c r="BP135">
        <v>-7.4668456928838953</v>
      </c>
      <c r="BQ135">
        <v>-7.484943071161049</v>
      </c>
      <c r="BR135">
        <v>-7.5030404494382026</v>
      </c>
      <c r="BS135">
        <v>-7.5211378277153562</v>
      </c>
      <c r="BT135">
        <v>-7.5392352059925098</v>
      </c>
      <c r="BU135">
        <v>-7.5573325842696626</v>
      </c>
      <c r="BV135">
        <v>-7.5754299625468162</v>
      </c>
      <c r="BW135">
        <v>-7.5935273408239699</v>
      </c>
      <c r="BX135">
        <v>-7.6116247191011235</v>
      </c>
      <c r="BY135">
        <v>-7.6297220973782771</v>
      </c>
      <c r="BZ135">
        <v>-7.6478194756554307</v>
      </c>
      <c r="CA135">
        <v>-7.6659168539325844</v>
      </c>
      <c r="CB135">
        <v>-7.684014232209738</v>
      </c>
      <c r="CC135">
        <v>-7.7021116104868916</v>
      </c>
      <c r="CD135">
        <v>-7.7202089887640444</v>
      </c>
      <c r="CE135">
        <v>-7.738306367041198</v>
      </c>
      <c r="CF135">
        <v>-7.7564037453183516</v>
      </c>
      <c r="CG135">
        <v>-7.7739234234234234</v>
      </c>
      <c r="CH135">
        <v>-7.7909204204204201</v>
      </c>
      <c r="CI135">
        <v>-7.8079174174174168</v>
      </c>
      <c r="CJ135">
        <v>-7.8249144144144145</v>
      </c>
      <c r="CK135">
        <v>-64.814138613861388</v>
      </c>
      <c r="CL135">
        <v>-65.022059405940595</v>
      </c>
    </row>
    <row r="136" spans="1:90" ht="21.75" thickBot="1" x14ac:dyDescent="0.4">
      <c r="A136" s="18" t="s">
        <v>1</v>
      </c>
      <c r="B136" s="38">
        <v>-18.877657657657657</v>
      </c>
      <c r="C136" s="38">
        <v>-18.875255255255254</v>
      </c>
      <c r="D136" s="38">
        <v>-18.872852852852855</v>
      </c>
      <c r="E136" s="38">
        <v>-18.870450450450452</v>
      </c>
      <c r="F136">
        <v>-18.875838323353292</v>
      </c>
      <c r="G136">
        <v>-18.883023952095808</v>
      </c>
      <c r="H136">
        <v>-18.890209580838324</v>
      </c>
      <c r="I136">
        <v>-18.897395209580836</v>
      </c>
      <c r="J136">
        <v>-18.906107784431136</v>
      </c>
      <c r="K136">
        <v>-18.915688622754491</v>
      </c>
      <c r="L136">
        <v>-18.925269461077846</v>
      </c>
      <c r="M136">
        <v>-18.934850299401198</v>
      </c>
      <c r="N136">
        <v>-18.945538922155688</v>
      </c>
      <c r="O136">
        <v>-18.957514970059879</v>
      </c>
      <c r="P136">
        <v>-18.969491017964071</v>
      </c>
      <c r="Q136">
        <v>-18.981467065868262</v>
      </c>
      <c r="R136">
        <v>-18.993443113772454</v>
      </c>
      <c r="S136">
        <v>-19.005419161676645</v>
      </c>
      <c r="T136">
        <v>-19.017395209580837</v>
      </c>
      <c r="U136">
        <v>-19.029371257485028</v>
      </c>
      <c r="V136">
        <v>-19.040808383233532</v>
      </c>
      <c r="W136">
        <v>-19.047994011976048</v>
      </c>
      <c r="X136">
        <v>-19.055179640718563</v>
      </c>
      <c r="Y136">
        <v>-19.062365269461079</v>
      </c>
      <c r="Z136">
        <v>-19.069550898203595</v>
      </c>
      <c r="AA136">
        <v>-19.045225225225227</v>
      </c>
      <c r="AB136">
        <v>-19.018798798798798</v>
      </c>
      <c r="AC136">
        <v>-18.992372372372373</v>
      </c>
      <c r="AD136">
        <v>-18.965945945945947</v>
      </c>
      <c r="AE136">
        <v>-18.972994011976049</v>
      </c>
      <c r="AF136">
        <v>-18.989760479041916</v>
      </c>
      <c r="AG136">
        <v>-19.006526946107787</v>
      </c>
      <c r="AH136">
        <v>-19.023293413173654</v>
      </c>
      <c r="AI136">
        <v>-19.040059880239522</v>
      </c>
      <c r="AJ136">
        <v>-19.056826347305389</v>
      </c>
      <c r="AK136">
        <v>-19.07359281437126</v>
      </c>
      <c r="AL136">
        <v>-19.090359281437127</v>
      </c>
      <c r="AM136">
        <v>-19.107125748502995</v>
      </c>
      <c r="AN136">
        <v>-19.123892215568866</v>
      </c>
      <c r="AO136">
        <v>-19.140658682634733</v>
      </c>
      <c r="AP136">
        <v>-19.1574251497006</v>
      </c>
      <c r="AQ136">
        <v>-19.174191616766468</v>
      </c>
      <c r="AR136">
        <v>-19.190958083832335</v>
      </c>
      <c r="AS136">
        <v>-19.207724550898202</v>
      </c>
      <c r="AT136">
        <v>-19.22449101796407</v>
      </c>
      <c r="AU136">
        <v>-19.241257485029937</v>
      </c>
      <c r="AV136">
        <v>-19.258023952095808</v>
      </c>
      <c r="AW136">
        <v>-19.274790419161675</v>
      </c>
      <c r="AX136">
        <v>-19.291556886227543</v>
      </c>
      <c r="AY136">
        <v>-19.30832335329341</v>
      </c>
      <c r="AZ136">
        <v>-19.324022471910112</v>
      </c>
      <c r="BA136">
        <v>-19.33960299625468</v>
      </c>
      <c r="BB136">
        <v>-19.355183520599251</v>
      </c>
      <c r="BC136">
        <v>-19.370764044943819</v>
      </c>
      <c r="BD136">
        <v>-19.38634456928839</v>
      </c>
      <c r="BE136">
        <v>-19.401925093632958</v>
      </c>
      <c r="BF136">
        <v>-19.417505617977529</v>
      </c>
      <c r="BG136">
        <v>-19.433086142322097</v>
      </c>
      <c r="BH136">
        <v>-19.448666666666668</v>
      </c>
      <c r="BI136">
        <v>-19.464247191011236</v>
      </c>
      <c r="BJ136">
        <v>-19.479827715355807</v>
      </c>
      <c r="BK136">
        <v>-19.495408239700375</v>
      </c>
      <c r="BL136">
        <v>-19.510988764044942</v>
      </c>
      <c r="BM136">
        <v>-19.526569288389513</v>
      </c>
      <c r="BN136">
        <v>-19.542149812734081</v>
      </c>
      <c r="BO136">
        <v>-19.557730337078652</v>
      </c>
      <c r="BP136">
        <v>-19.573183520599251</v>
      </c>
      <c r="BQ136">
        <v>-19.58816479400749</v>
      </c>
      <c r="BR136">
        <v>-19.603146067415732</v>
      </c>
      <c r="BS136">
        <v>-19.618127340823971</v>
      </c>
      <c r="BT136">
        <v>-19.63310861423221</v>
      </c>
      <c r="BU136">
        <v>-19.648089887640449</v>
      </c>
      <c r="BV136">
        <v>-19.663071161048691</v>
      </c>
      <c r="BW136">
        <v>-19.67805243445693</v>
      </c>
      <c r="BX136">
        <v>-19.693033707865169</v>
      </c>
      <c r="BY136">
        <v>-19.708014981273408</v>
      </c>
      <c r="BZ136">
        <v>-19.722996254681647</v>
      </c>
      <c r="CA136">
        <v>-19.737977528089889</v>
      </c>
      <c r="CB136">
        <v>-19.752958801498128</v>
      </c>
      <c r="CC136">
        <v>-19.767940074906367</v>
      </c>
      <c r="CD136">
        <v>-19.782921348314606</v>
      </c>
      <c r="CE136">
        <v>-19.797902621722848</v>
      </c>
      <c r="CF136">
        <v>-19.812883895131087</v>
      </c>
      <c r="CG136">
        <v>-19.827252252252254</v>
      </c>
      <c r="CH136">
        <v>-19.841066066066066</v>
      </c>
      <c r="CI136">
        <v>-19.854879879879881</v>
      </c>
      <c r="CJ136">
        <v>-19.868693693693693</v>
      </c>
      <c r="CK136">
        <v>-102.44289108910891</v>
      </c>
      <c r="CL136">
        <v>-102.77952475247524</v>
      </c>
    </row>
    <row r="137" spans="1:90" ht="21.75" thickBot="1" x14ac:dyDescent="0.4">
      <c r="A137" s="18" t="s">
        <v>62</v>
      </c>
      <c r="B137" s="38">
        <v>-59.399279279279277</v>
      </c>
      <c r="C137" s="38">
        <v>-58.495975975975981</v>
      </c>
      <c r="D137" s="38">
        <v>-57.592672672672677</v>
      </c>
      <c r="E137" s="38">
        <v>-56.689369369369373</v>
      </c>
      <c r="F137">
        <v>-56.091856287425152</v>
      </c>
      <c r="G137">
        <v>-55.564910179640719</v>
      </c>
      <c r="H137">
        <v>-55.037964071856287</v>
      </c>
      <c r="I137">
        <v>-54.511017964071854</v>
      </c>
      <c r="J137">
        <v>-54.110197604790422</v>
      </c>
      <c r="K137">
        <v>-53.781095808383235</v>
      </c>
      <c r="L137">
        <v>-53.451994011976048</v>
      </c>
      <c r="M137">
        <v>-53.122892215568861</v>
      </c>
      <c r="N137">
        <v>-52.840317365269463</v>
      </c>
      <c r="O137">
        <v>-52.611814371257488</v>
      </c>
      <c r="P137">
        <v>-52.383311377245512</v>
      </c>
      <c r="Q137">
        <v>-52.154808383233537</v>
      </c>
      <c r="R137">
        <v>-51.959014970059883</v>
      </c>
      <c r="S137">
        <v>-51.84428443113773</v>
      </c>
      <c r="T137">
        <v>-51.72955389221557</v>
      </c>
      <c r="U137">
        <v>-51.61482335329341</v>
      </c>
      <c r="V137">
        <v>-51.519547904191612</v>
      </c>
      <c r="W137">
        <v>-51.577751497005984</v>
      </c>
      <c r="X137">
        <v>-51.635955089820357</v>
      </c>
      <c r="Y137">
        <v>-51.694158682634729</v>
      </c>
      <c r="Z137">
        <v>-51.752362275449102</v>
      </c>
      <c r="AA137">
        <v>-52.016585585585588</v>
      </c>
      <c r="AB137">
        <v>-52.29454354354354</v>
      </c>
      <c r="AC137">
        <v>-52.572501501501499</v>
      </c>
      <c r="AD137">
        <v>-52.850459459459458</v>
      </c>
      <c r="AE137">
        <v>-53.09677245508982</v>
      </c>
      <c r="AF137">
        <v>-53.333898203592817</v>
      </c>
      <c r="AG137">
        <v>-53.571023952095814</v>
      </c>
      <c r="AH137">
        <v>-53.808149700598804</v>
      </c>
      <c r="AI137">
        <v>-54.055479041916172</v>
      </c>
      <c r="AJ137">
        <v>-54.309610778443115</v>
      </c>
      <c r="AK137">
        <v>-54.563742514970059</v>
      </c>
      <c r="AL137">
        <v>-54.817874251497003</v>
      </c>
      <c r="AM137">
        <v>-55.069562874251496</v>
      </c>
      <c r="AN137">
        <v>-55.317946107784429</v>
      </c>
      <c r="AO137">
        <v>-55.56632934131737</v>
      </c>
      <c r="AP137">
        <v>-55.814712574850304</v>
      </c>
      <c r="AQ137">
        <v>-56.063335329341321</v>
      </c>
      <c r="AR137">
        <v>-56.312676646706592</v>
      </c>
      <c r="AS137">
        <v>-56.562017964071856</v>
      </c>
      <c r="AT137">
        <v>-56.81135928143712</v>
      </c>
      <c r="AU137">
        <v>-57.060700598802391</v>
      </c>
      <c r="AV137">
        <v>-57.310041916167663</v>
      </c>
      <c r="AW137">
        <v>-57.559383233532934</v>
      </c>
      <c r="AX137">
        <v>-57.808724550898205</v>
      </c>
      <c r="AY137">
        <v>-58.058065868263469</v>
      </c>
      <c r="AZ137">
        <v>-58.295494382022468</v>
      </c>
      <c r="BA137">
        <v>-58.531599250936331</v>
      </c>
      <c r="BB137">
        <v>-58.767704119850187</v>
      </c>
      <c r="BC137">
        <v>-59.003808988764042</v>
      </c>
      <c r="BD137">
        <v>-59.239913857677905</v>
      </c>
      <c r="BE137">
        <v>-59.476018726591761</v>
      </c>
      <c r="BF137">
        <v>-59.712123595505616</v>
      </c>
      <c r="BG137">
        <v>-59.948228464419479</v>
      </c>
      <c r="BH137">
        <v>-60.184333333333335</v>
      </c>
      <c r="BI137">
        <v>-60.42043820224719</v>
      </c>
      <c r="BJ137">
        <v>-60.656543071161053</v>
      </c>
      <c r="BK137">
        <v>-60.892647940074909</v>
      </c>
      <c r="BL137">
        <v>-61.128752808988764</v>
      </c>
      <c r="BM137">
        <v>-61.364857677902627</v>
      </c>
      <c r="BN137">
        <v>-61.600962546816483</v>
      </c>
      <c r="BO137">
        <v>-61.837067415730338</v>
      </c>
      <c r="BP137">
        <v>-62.070650936329592</v>
      </c>
      <c r="BQ137">
        <v>-62.294890636704125</v>
      </c>
      <c r="BR137">
        <v>-62.519130337078657</v>
      </c>
      <c r="BS137">
        <v>-62.74337003745319</v>
      </c>
      <c r="BT137">
        <v>-62.967609737827722</v>
      </c>
      <c r="BU137">
        <v>-63.191849438202254</v>
      </c>
      <c r="BV137">
        <v>-63.41608913857678</v>
      </c>
      <c r="BW137">
        <v>-63.640328838951312</v>
      </c>
      <c r="BX137">
        <v>-63.864568539325845</v>
      </c>
      <c r="BY137">
        <v>-64.088808239700384</v>
      </c>
      <c r="BZ137">
        <v>-64.31304794007491</v>
      </c>
      <c r="CA137">
        <v>-64.537287640449435</v>
      </c>
      <c r="CB137">
        <v>-64.761527340823974</v>
      </c>
      <c r="CC137">
        <v>-64.9857670411985</v>
      </c>
      <c r="CD137">
        <v>-65.210006741573039</v>
      </c>
      <c r="CE137">
        <v>-65.434246441947565</v>
      </c>
      <c r="CF137">
        <v>-65.658486142322104</v>
      </c>
      <c r="CG137">
        <v>-65.876716216216224</v>
      </c>
      <c r="CH137">
        <v>-66.089509009009006</v>
      </c>
      <c r="CI137">
        <v>-66.302301801801804</v>
      </c>
      <c r="CJ137">
        <v>-66.515094594594601</v>
      </c>
      <c r="CK137">
        <v>-44.975564356435648</v>
      </c>
      <c r="CL137">
        <v>-45.122099009900992</v>
      </c>
    </row>
    <row r="138" spans="1:90" ht="21.75" thickBot="1" x14ac:dyDescent="0.4">
      <c r="A138" s="18" t="s">
        <v>48</v>
      </c>
      <c r="B138" s="38">
        <v>-37.456036036036032</v>
      </c>
      <c r="C138" s="38">
        <v>-36.754534534534535</v>
      </c>
      <c r="D138" s="38">
        <v>-36.053033033033032</v>
      </c>
      <c r="E138" s="38">
        <v>-35.351531531531528</v>
      </c>
      <c r="F138">
        <v>-34.77434131736527</v>
      </c>
      <c r="G138">
        <v>-34.225838323353294</v>
      </c>
      <c r="H138">
        <v>-33.677335329341318</v>
      </c>
      <c r="I138">
        <v>-33.128832335329342</v>
      </c>
      <c r="J138">
        <v>-32.657592814371256</v>
      </c>
      <c r="K138">
        <v>-32.230287425149697</v>
      </c>
      <c r="L138">
        <v>-31.802982035928146</v>
      </c>
      <c r="M138">
        <v>-31.375676646706587</v>
      </c>
      <c r="N138">
        <v>-30.997113772455091</v>
      </c>
      <c r="O138">
        <v>-30.675197604790419</v>
      </c>
      <c r="P138">
        <v>-30.353281437125748</v>
      </c>
      <c r="Q138">
        <v>-30.031365269461077</v>
      </c>
      <c r="R138">
        <v>-29.749044910179641</v>
      </c>
      <c r="S138">
        <v>-29.564853293413172</v>
      </c>
      <c r="T138">
        <v>-29.380661676646707</v>
      </c>
      <c r="U138">
        <v>-29.196470059880241</v>
      </c>
      <c r="V138">
        <v>-29.031194610778446</v>
      </c>
      <c r="W138">
        <v>-29.015146706586826</v>
      </c>
      <c r="X138">
        <v>-28.99909880239521</v>
      </c>
      <c r="Y138">
        <v>-28.983050898203594</v>
      </c>
      <c r="Z138">
        <v>-28.967002994011978</v>
      </c>
      <c r="AA138">
        <v>-29.170279279279281</v>
      </c>
      <c r="AB138">
        <v>-29.388177177177177</v>
      </c>
      <c r="AC138">
        <v>-29.606075075075076</v>
      </c>
      <c r="AD138">
        <v>-29.823972972972971</v>
      </c>
      <c r="AE138">
        <v>-29.965814371257483</v>
      </c>
      <c r="AF138">
        <v>-30.085574850299402</v>
      </c>
      <c r="AG138">
        <v>-30.205335329341317</v>
      </c>
      <c r="AH138">
        <v>-30.325095808383235</v>
      </c>
      <c r="AI138">
        <v>-30.453622754491018</v>
      </c>
      <c r="AJ138">
        <v>-30.587994011976047</v>
      </c>
      <c r="AK138">
        <v>-30.722365269461079</v>
      </c>
      <c r="AL138">
        <v>-30.856736526946108</v>
      </c>
      <c r="AM138">
        <v>-30.990700598802395</v>
      </c>
      <c r="AN138">
        <v>-31.12411377245509</v>
      </c>
      <c r="AO138">
        <v>-31.257526946107784</v>
      </c>
      <c r="AP138">
        <v>-31.390940119760479</v>
      </c>
      <c r="AQ138">
        <v>-31.524592814371257</v>
      </c>
      <c r="AR138">
        <v>-31.658964071856285</v>
      </c>
      <c r="AS138">
        <v>-31.793335329341318</v>
      </c>
      <c r="AT138">
        <v>-31.927706586826346</v>
      </c>
      <c r="AU138">
        <v>-32.062077844311375</v>
      </c>
      <c r="AV138">
        <v>-32.196449101796411</v>
      </c>
      <c r="AW138">
        <v>-32.330820359281439</v>
      </c>
      <c r="AX138">
        <v>-32.465191616766468</v>
      </c>
      <c r="AY138">
        <v>-32.599562874251497</v>
      </c>
      <c r="AZ138">
        <v>-32.727876404494381</v>
      </c>
      <c r="BA138">
        <v>-32.855516853932585</v>
      </c>
      <c r="BB138">
        <v>-32.983157303370788</v>
      </c>
      <c r="BC138">
        <v>-33.110797752808992</v>
      </c>
      <c r="BD138">
        <v>-33.238438202247195</v>
      </c>
      <c r="BE138">
        <v>-33.366078651685392</v>
      </c>
      <c r="BF138">
        <v>-33.493719101123595</v>
      </c>
      <c r="BG138">
        <v>-33.621359550561799</v>
      </c>
      <c r="BH138">
        <v>-33.749000000000002</v>
      </c>
      <c r="BI138">
        <v>-33.876640449438206</v>
      </c>
      <c r="BJ138">
        <v>-34.004280898876409</v>
      </c>
      <c r="BK138">
        <v>-34.131921348314606</v>
      </c>
      <c r="BL138">
        <v>-34.259561797752809</v>
      </c>
      <c r="BM138">
        <v>-34.387202247191013</v>
      </c>
      <c r="BN138">
        <v>-34.514842696629216</v>
      </c>
      <c r="BO138">
        <v>-34.64248314606742</v>
      </c>
      <c r="BP138">
        <v>-34.768748314606746</v>
      </c>
      <c r="BQ138">
        <v>-34.88991685393259</v>
      </c>
      <c r="BR138">
        <v>-35.011085393258426</v>
      </c>
      <c r="BS138">
        <v>-35.13225393258427</v>
      </c>
      <c r="BT138">
        <v>-35.253422471910113</v>
      </c>
      <c r="BU138">
        <v>-35.374591011235957</v>
      </c>
      <c r="BV138">
        <v>-35.4957595505618</v>
      </c>
      <c r="BW138">
        <v>-35.616928089887644</v>
      </c>
      <c r="BX138">
        <v>-35.738096629213487</v>
      </c>
      <c r="BY138">
        <v>-35.859265168539331</v>
      </c>
      <c r="BZ138">
        <v>-35.980433707865167</v>
      </c>
      <c r="CA138">
        <v>-36.101602247191011</v>
      </c>
      <c r="CB138">
        <v>-36.222770786516854</v>
      </c>
      <c r="CC138">
        <v>-36.343939325842697</v>
      </c>
      <c r="CD138">
        <v>-36.465107865168541</v>
      </c>
      <c r="CE138">
        <v>-36.586276404494384</v>
      </c>
      <c r="CF138">
        <v>-36.707444943820228</v>
      </c>
      <c r="CG138">
        <v>-36.825319819819818</v>
      </c>
      <c r="CH138">
        <v>-36.940214714714713</v>
      </c>
      <c r="CI138">
        <v>-37.055109609609609</v>
      </c>
      <c r="CJ138">
        <v>-37.170004504504504</v>
      </c>
      <c r="CK138">
        <v>-8.1209504950495059</v>
      </c>
      <c r="CL138">
        <v>-8.1466930693069308</v>
      </c>
    </row>
    <row r="139" spans="1:90" ht="21.75" thickBot="1" x14ac:dyDescent="0.4">
      <c r="A139" s="18" t="s">
        <v>63</v>
      </c>
      <c r="B139" s="38">
        <v>-184.14450450450451</v>
      </c>
      <c r="C139" s="38">
        <v>-180.19015015015015</v>
      </c>
      <c r="D139" s="38">
        <v>-176.23579579579581</v>
      </c>
      <c r="E139" s="38">
        <v>-172.28144144144147</v>
      </c>
      <c r="F139">
        <v>-168.94194610778445</v>
      </c>
      <c r="G139">
        <v>-165.74434131736527</v>
      </c>
      <c r="H139">
        <v>-162.54673652694612</v>
      </c>
      <c r="I139">
        <v>-159.34913173652694</v>
      </c>
      <c r="J139">
        <v>-156.51188622754489</v>
      </c>
      <c r="K139">
        <v>-153.87955089820358</v>
      </c>
      <c r="L139">
        <v>-151.24721556886226</v>
      </c>
      <c r="M139">
        <v>-148.61488023952094</v>
      </c>
      <c r="N139">
        <v>-146.17973053892214</v>
      </c>
      <c r="O139">
        <v>-143.97374251497007</v>
      </c>
      <c r="P139">
        <v>-141.76775449101797</v>
      </c>
      <c r="Q139">
        <v>-139.56176646706587</v>
      </c>
      <c r="R139">
        <v>-137.45494011976049</v>
      </c>
      <c r="S139">
        <v>-135.59386227544911</v>
      </c>
      <c r="T139">
        <v>-133.73278443113773</v>
      </c>
      <c r="U139">
        <v>-131.87170658682635</v>
      </c>
      <c r="V139">
        <v>-130.04404191616766</v>
      </c>
      <c r="W139">
        <v>-128.47997005988023</v>
      </c>
      <c r="X139">
        <v>-126.91589820359282</v>
      </c>
      <c r="Y139">
        <v>-125.35182634730539</v>
      </c>
      <c r="Z139">
        <v>-123.78775449101796</v>
      </c>
      <c r="AA139">
        <v>-123.46702702702703</v>
      </c>
      <c r="AB139">
        <v>-123.22918918918919</v>
      </c>
      <c r="AC139">
        <v>-122.99135135135135</v>
      </c>
      <c r="AD139">
        <v>-122.75351351351351</v>
      </c>
      <c r="AE139">
        <v>-123.46293413173653</v>
      </c>
      <c r="AF139">
        <v>-124.44736526946109</v>
      </c>
      <c r="AG139">
        <v>-125.43179640718563</v>
      </c>
      <c r="AH139">
        <v>-126.41622754491017</v>
      </c>
      <c r="AI139">
        <v>-127.39922155688622</v>
      </c>
      <c r="AJ139">
        <v>-128.38125748502995</v>
      </c>
      <c r="AK139">
        <v>-129.36329341317364</v>
      </c>
      <c r="AL139">
        <v>-130.34532934131735</v>
      </c>
      <c r="AM139">
        <v>-131.31718562874252</v>
      </c>
      <c r="AN139">
        <v>-132.27526946107784</v>
      </c>
      <c r="AO139">
        <v>-133.23335329341316</v>
      </c>
      <c r="AP139">
        <v>-134.19143712574851</v>
      </c>
      <c r="AQ139">
        <v>-135.14592814371258</v>
      </c>
      <c r="AR139">
        <v>-136.08964071856286</v>
      </c>
      <c r="AS139">
        <v>-137.03335329341317</v>
      </c>
      <c r="AT139">
        <v>-137.97706586826348</v>
      </c>
      <c r="AU139">
        <v>-138.91970059880239</v>
      </c>
      <c r="AV139">
        <v>-139.84904191616766</v>
      </c>
      <c r="AW139">
        <v>-140.77838323353294</v>
      </c>
      <c r="AX139">
        <v>-141.70772455089821</v>
      </c>
      <c r="AY139">
        <v>-142.63706586826348</v>
      </c>
      <c r="AZ139">
        <v>-143.50932584269663</v>
      </c>
      <c r="BA139">
        <v>-144.37524344569289</v>
      </c>
      <c r="BB139">
        <v>-145.24116104868915</v>
      </c>
      <c r="BC139">
        <v>-146.10707865168538</v>
      </c>
      <c r="BD139">
        <v>-146.97299625468165</v>
      </c>
      <c r="BE139">
        <v>-147.83891385767791</v>
      </c>
      <c r="BF139">
        <v>-148.70483146067417</v>
      </c>
      <c r="BG139">
        <v>-149.57074906367041</v>
      </c>
      <c r="BH139">
        <v>-150.43666666666667</v>
      </c>
      <c r="BI139">
        <v>-151.30258426966293</v>
      </c>
      <c r="BJ139">
        <v>-152.16850187265919</v>
      </c>
      <c r="BK139">
        <v>-153.03441947565543</v>
      </c>
      <c r="BL139">
        <v>-153.90033707865169</v>
      </c>
      <c r="BM139">
        <v>-154.76625468164795</v>
      </c>
      <c r="BN139">
        <v>-155.63217228464421</v>
      </c>
      <c r="BO139">
        <v>-156.49808988764045</v>
      </c>
      <c r="BP139">
        <v>-157.34146816479401</v>
      </c>
      <c r="BQ139">
        <v>-158.10131835205993</v>
      </c>
      <c r="BR139">
        <v>-158.86116853932586</v>
      </c>
      <c r="BS139">
        <v>-159.62101872659179</v>
      </c>
      <c r="BT139">
        <v>-160.38086891385768</v>
      </c>
      <c r="BU139">
        <v>-161.14071910112361</v>
      </c>
      <c r="BV139">
        <v>-161.90056928838953</v>
      </c>
      <c r="BW139">
        <v>-162.66041947565543</v>
      </c>
      <c r="BX139">
        <v>-163.42026966292136</v>
      </c>
      <c r="BY139">
        <v>-164.18011985018728</v>
      </c>
      <c r="BZ139">
        <v>-164.93997003745321</v>
      </c>
      <c r="CA139">
        <v>-165.6998202247191</v>
      </c>
      <c r="CB139">
        <v>-166.45967041198503</v>
      </c>
      <c r="CC139">
        <v>-167.21952059925096</v>
      </c>
      <c r="CD139">
        <v>-167.97937078651688</v>
      </c>
      <c r="CE139">
        <v>-168.73922097378278</v>
      </c>
      <c r="CF139">
        <v>-169.4990711610487</v>
      </c>
      <c r="CG139">
        <v>-170.1970720720721</v>
      </c>
      <c r="CH139">
        <v>-170.83911411411412</v>
      </c>
      <c r="CI139">
        <v>-171.48115615615617</v>
      </c>
      <c r="CJ139">
        <v>-172.12319819819822</v>
      </c>
      <c r="CK139">
        <v>-19.85920792079208</v>
      </c>
      <c r="CL139">
        <v>-19.871089108910891</v>
      </c>
    </row>
    <row r="140" spans="1:90" ht="21.75" thickBot="1" x14ac:dyDescent="0.4">
      <c r="A140" s="18" t="s">
        <v>47</v>
      </c>
      <c r="B140" s="38">
        <v>-15.512792792792792</v>
      </c>
      <c r="C140" s="38">
        <v>-15.013093093093092</v>
      </c>
      <c r="D140" s="38">
        <v>-14.513393393393393</v>
      </c>
      <c r="E140" s="38">
        <v>-14.013693693693693</v>
      </c>
      <c r="F140">
        <v>-13.456826347305389</v>
      </c>
      <c r="G140">
        <v>-12.886766467065867</v>
      </c>
      <c r="H140">
        <v>-12.316706586826346</v>
      </c>
      <c r="I140">
        <v>-11.746646706586823</v>
      </c>
      <c r="J140">
        <v>-11.204988023952094</v>
      </c>
      <c r="K140">
        <v>-10.679479041916167</v>
      </c>
      <c r="L140">
        <v>-10.153970059880239</v>
      </c>
      <c r="M140">
        <v>-9.628461077844312</v>
      </c>
      <c r="N140">
        <v>-9.1539101796407198</v>
      </c>
      <c r="O140">
        <v>-8.7385808383233528</v>
      </c>
      <c r="P140">
        <v>-8.3232514970059874</v>
      </c>
      <c r="Q140">
        <v>-7.9079221556886221</v>
      </c>
      <c r="R140">
        <v>-7.5390748502994009</v>
      </c>
      <c r="S140">
        <v>-7.2854221556886225</v>
      </c>
      <c r="T140">
        <v>-7.031769461077845</v>
      </c>
      <c r="U140">
        <v>-6.7781167664670665</v>
      </c>
      <c r="V140">
        <v>-6.5428413173652693</v>
      </c>
      <c r="W140">
        <v>-6.4525419161676645</v>
      </c>
      <c r="X140">
        <v>-6.3622425149700597</v>
      </c>
      <c r="Y140">
        <v>-6.2719431137724548</v>
      </c>
      <c r="Z140">
        <v>-6.18164371257485</v>
      </c>
      <c r="AA140">
        <v>-6.3239729729729737</v>
      </c>
      <c r="AB140">
        <v>-6.4818108108108117</v>
      </c>
      <c r="AC140">
        <v>-6.6396486486486497</v>
      </c>
      <c r="AD140">
        <v>-6.7974864864864877</v>
      </c>
      <c r="AE140">
        <v>-6.8348562874251497</v>
      </c>
      <c r="AF140">
        <v>-6.8372514970059886</v>
      </c>
      <c r="AG140">
        <v>-6.8396467065868265</v>
      </c>
      <c r="AH140">
        <v>-6.8420419161676644</v>
      </c>
      <c r="AI140">
        <v>-6.8517664670658682</v>
      </c>
      <c r="AJ140">
        <v>-6.866377245508982</v>
      </c>
      <c r="AK140">
        <v>-6.8809880239520957</v>
      </c>
      <c r="AL140">
        <v>-6.8955988023952095</v>
      </c>
      <c r="AM140">
        <v>-6.911838323353293</v>
      </c>
      <c r="AN140">
        <v>-6.930281437125748</v>
      </c>
      <c r="AO140">
        <v>-6.9487245508982038</v>
      </c>
      <c r="AP140">
        <v>-6.9671676646706588</v>
      </c>
      <c r="AQ140">
        <v>-6.9858502994011973</v>
      </c>
      <c r="AR140">
        <v>-7.0052514970059878</v>
      </c>
      <c r="AS140">
        <v>-7.0246526946107783</v>
      </c>
      <c r="AT140">
        <v>-7.0440538922155689</v>
      </c>
      <c r="AU140">
        <v>-7.0634550898203594</v>
      </c>
      <c r="AV140">
        <v>-7.0828562874251499</v>
      </c>
      <c r="AW140">
        <v>-7.1022574850299405</v>
      </c>
      <c r="AX140">
        <v>-7.1216586826347301</v>
      </c>
      <c r="AY140">
        <v>-7.1410598802395207</v>
      </c>
      <c r="AZ140">
        <v>-7.1602584269662923</v>
      </c>
      <c r="BA140">
        <v>-7.1794344569288393</v>
      </c>
      <c r="BB140">
        <v>-7.1986104868913854</v>
      </c>
      <c r="BC140">
        <v>-7.2177865168539324</v>
      </c>
      <c r="BD140">
        <v>-7.2369625468164793</v>
      </c>
      <c r="BE140">
        <v>-7.2561385767790263</v>
      </c>
      <c r="BF140">
        <v>-7.2753146067415733</v>
      </c>
      <c r="BG140">
        <v>-7.2944906367041202</v>
      </c>
      <c r="BH140">
        <v>-7.3136666666666663</v>
      </c>
      <c r="BI140">
        <v>-7.3328426966292133</v>
      </c>
      <c r="BJ140">
        <v>-7.3520187265917603</v>
      </c>
      <c r="BK140">
        <v>-7.3711947565543072</v>
      </c>
      <c r="BL140">
        <v>-7.3903707865168542</v>
      </c>
      <c r="BM140">
        <v>-7.4095468164794012</v>
      </c>
      <c r="BN140">
        <v>-7.4287228464419481</v>
      </c>
      <c r="BO140">
        <v>-7.4478988764044942</v>
      </c>
      <c r="BP140">
        <v>-7.4668456928838953</v>
      </c>
      <c r="BQ140">
        <v>-7.484943071161049</v>
      </c>
      <c r="BR140">
        <v>-7.5030404494382026</v>
      </c>
      <c r="BS140">
        <v>-7.5211378277153562</v>
      </c>
      <c r="BT140">
        <v>-7.5392352059925098</v>
      </c>
      <c r="BU140">
        <v>-7.5573325842696626</v>
      </c>
      <c r="BV140">
        <v>-7.5754299625468162</v>
      </c>
      <c r="BW140">
        <v>-7.5935273408239699</v>
      </c>
      <c r="BX140">
        <v>-7.6116247191011235</v>
      </c>
      <c r="BY140">
        <v>-7.6297220973782771</v>
      </c>
      <c r="BZ140">
        <v>-7.6478194756554307</v>
      </c>
      <c r="CA140">
        <v>-7.6659168539325844</v>
      </c>
      <c r="CB140">
        <v>-7.684014232209738</v>
      </c>
      <c r="CC140">
        <v>-7.7021116104868916</v>
      </c>
      <c r="CD140">
        <v>-7.7202089887640444</v>
      </c>
      <c r="CE140">
        <v>-7.738306367041198</v>
      </c>
      <c r="CF140">
        <v>-7.7564037453183516</v>
      </c>
      <c r="CG140">
        <v>-7.7739234234234234</v>
      </c>
      <c r="CH140">
        <v>-7.7909204204204201</v>
      </c>
      <c r="CI140">
        <v>-7.8079174174174168</v>
      </c>
      <c r="CJ140">
        <v>-7.8249144144144145</v>
      </c>
      <c r="CK140">
        <v>-64.814138613861388</v>
      </c>
      <c r="CL140">
        <v>-65.022059405940595</v>
      </c>
    </row>
    <row r="141" spans="1:90" ht="21.75" thickBot="1" x14ac:dyDescent="0.4">
      <c r="A141" s="18" t="s">
        <v>46</v>
      </c>
      <c r="B141" s="38">
        <v>-59.157387387387388</v>
      </c>
      <c r="C141" s="38">
        <v>-57.482912912912909</v>
      </c>
      <c r="D141" s="38">
        <v>-55.808438438438436</v>
      </c>
      <c r="E141" s="38">
        <v>-54.133963963963964</v>
      </c>
      <c r="F141">
        <v>-52.494700598802396</v>
      </c>
      <c r="G141">
        <v>-50.863562874251492</v>
      </c>
      <c r="H141">
        <v>-49.232425149700596</v>
      </c>
      <c r="I141">
        <v>-47.601287425149692</v>
      </c>
      <c r="J141">
        <v>-46.077035928143708</v>
      </c>
      <c r="K141">
        <v>-44.613562874251492</v>
      </c>
      <c r="L141">
        <v>-43.150089820359277</v>
      </c>
      <c r="M141">
        <v>-41.686616766467068</v>
      </c>
      <c r="N141">
        <v>-40.325059880239522</v>
      </c>
      <c r="O141">
        <v>-39.081946107784432</v>
      </c>
      <c r="P141">
        <v>-37.838832335329343</v>
      </c>
      <c r="Q141">
        <v>-36.595718562874254</v>
      </c>
      <c r="R141">
        <v>-35.412514970059881</v>
      </c>
      <c r="S141">
        <v>-34.377784431137727</v>
      </c>
      <c r="T141">
        <v>-33.343053892215572</v>
      </c>
      <c r="U141">
        <v>-32.308323353293417</v>
      </c>
      <c r="V141">
        <v>-31.289491017964075</v>
      </c>
      <c r="W141">
        <v>-30.396077844311378</v>
      </c>
      <c r="X141">
        <v>-29.502664670658685</v>
      </c>
      <c r="Y141">
        <v>-28.609251497005989</v>
      </c>
      <c r="Z141">
        <v>-27.715838323353292</v>
      </c>
      <c r="AA141">
        <v>-27.464054054054053</v>
      </c>
      <c r="AB141">
        <v>-27.255045045045044</v>
      </c>
      <c r="AC141">
        <v>-27.046036036036035</v>
      </c>
      <c r="AD141">
        <v>-26.837027027027027</v>
      </c>
      <c r="AE141">
        <v>-27.03502994011976</v>
      </c>
      <c r="AF141">
        <v>-27.351197604790418</v>
      </c>
      <c r="AG141">
        <v>-27.667365269461076</v>
      </c>
      <c r="AH141">
        <v>-27.983532934131734</v>
      </c>
      <c r="AI141">
        <v>-28.296826347305387</v>
      </c>
      <c r="AJ141">
        <v>-28.60820359281437</v>
      </c>
      <c r="AK141">
        <v>-28.919580838323352</v>
      </c>
      <c r="AL141">
        <v>-29.230958083832334</v>
      </c>
      <c r="AM141">
        <v>-29.540299401197604</v>
      </c>
      <c r="AN141">
        <v>-29.84688622754491</v>
      </c>
      <c r="AO141">
        <v>-30.153473053892217</v>
      </c>
      <c r="AP141">
        <v>-30.460059880239523</v>
      </c>
      <c r="AQ141">
        <v>-30.7648502994012</v>
      </c>
      <c r="AR141">
        <v>-31.064251497005991</v>
      </c>
      <c r="AS141">
        <v>-31.363652694610781</v>
      </c>
      <c r="AT141">
        <v>-31.663053892215572</v>
      </c>
      <c r="AU141">
        <v>-31.961916167664672</v>
      </c>
      <c r="AV141">
        <v>-32.254131736526951</v>
      </c>
      <c r="AW141">
        <v>-32.546347305389219</v>
      </c>
      <c r="AX141">
        <v>-32.838562874251494</v>
      </c>
      <c r="AY141">
        <v>-33.130778443113769</v>
      </c>
      <c r="AZ141">
        <v>-33.403235955056175</v>
      </c>
      <c r="BA141">
        <v>-33.673498127340821</v>
      </c>
      <c r="BB141">
        <v>-33.943760299625467</v>
      </c>
      <c r="BC141">
        <v>-34.214022471910113</v>
      </c>
      <c r="BD141">
        <v>-34.484284644194759</v>
      </c>
      <c r="BE141">
        <v>-34.754546816479397</v>
      </c>
      <c r="BF141">
        <v>-35.024808988764043</v>
      </c>
      <c r="BG141">
        <v>-35.295071161048689</v>
      </c>
      <c r="BH141">
        <v>-35.565333333333335</v>
      </c>
      <c r="BI141">
        <v>-35.835595505617981</v>
      </c>
      <c r="BJ141">
        <v>-36.10585767790262</v>
      </c>
      <c r="BK141">
        <v>-36.376119850187266</v>
      </c>
      <c r="BL141">
        <v>-36.646382022471911</v>
      </c>
      <c r="BM141">
        <v>-36.916644194756557</v>
      </c>
      <c r="BN141">
        <v>-37.186906367041203</v>
      </c>
      <c r="BO141">
        <v>-37.457168539325849</v>
      </c>
      <c r="BP141">
        <v>-37.717880149812736</v>
      </c>
      <c r="BQ141">
        <v>-37.943198501872665</v>
      </c>
      <c r="BR141">
        <v>-38.168516853932587</v>
      </c>
      <c r="BS141">
        <v>-38.393835205992509</v>
      </c>
      <c r="BT141">
        <v>-38.619153558052439</v>
      </c>
      <c r="BU141">
        <v>-38.844471910112361</v>
      </c>
      <c r="BV141">
        <v>-39.06979026217229</v>
      </c>
      <c r="BW141">
        <v>-39.295108614232213</v>
      </c>
      <c r="BX141">
        <v>-39.520426966292135</v>
      </c>
      <c r="BY141">
        <v>-39.745745318352064</v>
      </c>
      <c r="BZ141">
        <v>-39.971063670411986</v>
      </c>
      <c r="CA141">
        <v>-40.196382022471909</v>
      </c>
      <c r="CB141">
        <v>-40.421700374531838</v>
      </c>
      <c r="CC141">
        <v>-40.64701872659176</v>
      </c>
      <c r="CD141">
        <v>-40.87233707865169</v>
      </c>
      <c r="CE141">
        <v>-41.097655430711612</v>
      </c>
      <c r="CF141">
        <v>-41.322973782771534</v>
      </c>
      <c r="CG141">
        <v>-41.521441441441439</v>
      </c>
      <c r="CH141">
        <v>-41.695615615615615</v>
      </c>
      <c r="CI141">
        <v>-41.869789789789792</v>
      </c>
      <c r="CJ141">
        <v>-42.043963963963961</v>
      </c>
      <c r="CK141">
        <v>-36.080475247524753</v>
      </c>
      <c r="CL141">
        <v>-36.193346534653465</v>
      </c>
    </row>
    <row r="142" spans="1:90" ht="21.75" thickBot="1" x14ac:dyDescent="0.4">
      <c r="A142" s="18" t="s">
        <v>45</v>
      </c>
      <c r="B142" s="38">
        <v>-21.943243243243245</v>
      </c>
      <c r="C142" s="38">
        <v>-21.741441441441442</v>
      </c>
      <c r="D142" s="38">
        <v>-21.539639639639642</v>
      </c>
      <c r="E142" s="38">
        <v>-21.337837837837839</v>
      </c>
      <c r="F142">
        <v>-21.317514970059882</v>
      </c>
      <c r="G142">
        <v>-21.339071856287426</v>
      </c>
      <c r="H142">
        <v>-21.360628742514972</v>
      </c>
      <c r="I142">
        <v>-21.382185628742516</v>
      </c>
      <c r="J142">
        <v>-21.452604790419162</v>
      </c>
      <c r="K142">
        <v>-21.550808383233534</v>
      </c>
      <c r="L142">
        <v>-21.649011976047905</v>
      </c>
      <c r="M142">
        <v>-21.747215568862277</v>
      </c>
      <c r="N142">
        <v>-21.843203592814373</v>
      </c>
      <c r="O142">
        <v>-21.936616766467068</v>
      </c>
      <c r="P142">
        <v>-22.030029940119761</v>
      </c>
      <c r="Q142">
        <v>-22.123443113772456</v>
      </c>
      <c r="R142">
        <v>-22.209970059880241</v>
      </c>
      <c r="S142">
        <v>-22.279431137724551</v>
      </c>
      <c r="T142">
        <v>-22.348892215568863</v>
      </c>
      <c r="U142">
        <v>-22.418353293413173</v>
      </c>
      <c r="V142">
        <v>-22.488353293413173</v>
      </c>
      <c r="W142">
        <v>-22.562604790419162</v>
      </c>
      <c r="X142">
        <v>-22.63685628742515</v>
      </c>
      <c r="Y142">
        <v>-22.711107784431139</v>
      </c>
      <c r="Z142">
        <v>-22.785359281437124</v>
      </c>
      <c r="AA142">
        <v>-22.846306306306307</v>
      </c>
      <c r="AB142">
        <v>-22.906366366366367</v>
      </c>
      <c r="AC142">
        <v>-22.966426426426427</v>
      </c>
      <c r="AD142">
        <v>-23.026486486486487</v>
      </c>
      <c r="AE142">
        <v>-23.130958083832336</v>
      </c>
      <c r="AF142">
        <v>-23.248323353293415</v>
      </c>
      <c r="AG142">
        <v>-23.36568862275449</v>
      </c>
      <c r="AH142">
        <v>-23.483053892215569</v>
      </c>
      <c r="AI142">
        <v>-23.60185628742515</v>
      </c>
      <c r="AJ142">
        <v>-23.721616766467065</v>
      </c>
      <c r="AK142">
        <v>-23.841377245508983</v>
      </c>
      <c r="AL142">
        <v>-23.961137724550898</v>
      </c>
      <c r="AM142">
        <v>-24.078862275449104</v>
      </c>
      <c r="AN142">
        <v>-24.193832335329343</v>
      </c>
      <c r="AO142">
        <v>-24.308802395209582</v>
      </c>
      <c r="AP142">
        <v>-24.423772455089821</v>
      </c>
      <c r="AQ142">
        <v>-24.53874251497006</v>
      </c>
      <c r="AR142">
        <v>-24.653712574850299</v>
      </c>
      <c r="AS142">
        <v>-24.768682634730538</v>
      </c>
      <c r="AT142">
        <v>-24.883652694610777</v>
      </c>
      <c r="AU142">
        <v>-24.998622754491016</v>
      </c>
      <c r="AV142">
        <v>-25.113592814371255</v>
      </c>
      <c r="AW142">
        <v>-25.228562874251494</v>
      </c>
      <c r="AX142">
        <v>-25.343532934131737</v>
      </c>
      <c r="AY142">
        <v>-25.458502994011976</v>
      </c>
      <c r="AZ142">
        <v>-25.567617977528091</v>
      </c>
      <c r="BA142">
        <v>-25.676082397003746</v>
      </c>
      <c r="BB142">
        <v>-25.784546816479402</v>
      </c>
      <c r="BC142">
        <v>-25.893011235955058</v>
      </c>
      <c r="BD142">
        <v>-26.001475655430713</v>
      </c>
      <c r="BE142">
        <v>-26.109940074906369</v>
      </c>
      <c r="BF142">
        <v>-26.218404494382021</v>
      </c>
      <c r="BG142">
        <v>-26.326868913857677</v>
      </c>
      <c r="BH142">
        <v>-26.435333333333332</v>
      </c>
      <c r="BI142">
        <v>-26.543797752808988</v>
      </c>
      <c r="BJ142">
        <v>-26.652262172284644</v>
      </c>
      <c r="BK142">
        <v>-26.760726591760299</v>
      </c>
      <c r="BL142">
        <v>-26.869191011235955</v>
      </c>
      <c r="BM142">
        <v>-26.977655430711611</v>
      </c>
      <c r="BN142">
        <v>-27.086119850187266</v>
      </c>
      <c r="BO142">
        <v>-27.194584269662922</v>
      </c>
      <c r="BP142">
        <v>-27.301902621722849</v>
      </c>
      <c r="BQ142">
        <v>-27.404973782771538</v>
      </c>
      <c r="BR142">
        <v>-27.508044943820227</v>
      </c>
      <c r="BS142">
        <v>-27.611116104868916</v>
      </c>
      <c r="BT142">
        <v>-27.714187265917605</v>
      </c>
      <c r="BU142">
        <v>-27.817258426966294</v>
      </c>
      <c r="BV142">
        <v>-27.920329588014983</v>
      </c>
      <c r="BW142">
        <v>-28.023400749063672</v>
      </c>
      <c r="BX142">
        <v>-28.126471910112361</v>
      </c>
      <c r="BY142">
        <v>-28.22954307116105</v>
      </c>
      <c r="BZ142">
        <v>-28.332614232209739</v>
      </c>
      <c r="CA142">
        <v>-28.435685393258428</v>
      </c>
      <c r="CB142">
        <v>-28.538756554307117</v>
      </c>
      <c r="CC142">
        <v>-28.641827715355806</v>
      </c>
      <c r="CD142">
        <v>-28.744898876404495</v>
      </c>
      <c r="CE142">
        <v>-28.847970037453184</v>
      </c>
      <c r="CF142">
        <v>-28.951041198501873</v>
      </c>
      <c r="CG142">
        <v>-29.051396396396395</v>
      </c>
      <c r="CH142">
        <v>-29.149294294294293</v>
      </c>
      <c r="CI142">
        <v>-29.247192192192191</v>
      </c>
      <c r="CJ142">
        <v>-29.345090090090089</v>
      </c>
      <c r="CK142">
        <v>-102.44289108910891</v>
      </c>
      <c r="CL142">
        <v>-102.77952475247524</v>
      </c>
    </row>
    <row r="143" spans="1:90" ht="21.75" thickBot="1" x14ac:dyDescent="0.4">
      <c r="A143" s="18" t="s">
        <v>44</v>
      </c>
      <c r="B143" s="38">
        <v>-21.943243243243245</v>
      </c>
      <c r="C143" s="38">
        <v>-21.741441441441442</v>
      </c>
      <c r="D143" s="38">
        <v>-21.539639639639642</v>
      </c>
      <c r="E143" s="38">
        <v>-21.337837837837839</v>
      </c>
      <c r="F143">
        <v>-21.317514970059882</v>
      </c>
      <c r="G143">
        <v>-21.339071856287426</v>
      </c>
      <c r="H143">
        <v>-21.360628742514972</v>
      </c>
      <c r="I143">
        <v>-21.382185628742516</v>
      </c>
      <c r="J143">
        <v>-21.452604790419162</v>
      </c>
      <c r="K143">
        <v>-21.550808383233534</v>
      </c>
      <c r="L143">
        <v>-21.649011976047905</v>
      </c>
      <c r="M143">
        <v>-21.747215568862277</v>
      </c>
      <c r="N143">
        <v>-21.843203592814373</v>
      </c>
      <c r="O143">
        <v>-21.936616766467068</v>
      </c>
      <c r="P143">
        <v>-22.030029940119761</v>
      </c>
      <c r="Q143">
        <v>-22.123443113772456</v>
      </c>
      <c r="R143">
        <v>-22.209970059880241</v>
      </c>
      <c r="S143">
        <v>-22.279431137724551</v>
      </c>
      <c r="T143">
        <v>-22.348892215568863</v>
      </c>
      <c r="U143">
        <v>-22.418353293413173</v>
      </c>
      <c r="V143">
        <v>-22.488353293413173</v>
      </c>
      <c r="W143">
        <v>-22.562604790419162</v>
      </c>
      <c r="X143">
        <v>-22.63685628742515</v>
      </c>
      <c r="Y143">
        <v>-22.711107784431139</v>
      </c>
      <c r="Z143">
        <v>-22.785359281437124</v>
      </c>
      <c r="AA143">
        <v>-22.846306306306307</v>
      </c>
      <c r="AB143">
        <v>-22.906366366366367</v>
      </c>
      <c r="AC143">
        <v>-22.966426426426427</v>
      </c>
      <c r="AD143">
        <v>-23.026486486486487</v>
      </c>
      <c r="AE143">
        <v>-23.130958083832336</v>
      </c>
      <c r="AF143">
        <v>-23.248323353293415</v>
      </c>
      <c r="AG143">
        <v>-23.36568862275449</v>
      </c>
      <c r="AH143">
        <v>-23.483053892215569</v>
      </c>
      <c r="AI143">
        <v>-23.60185628742515</v>
      </c>
      <c r="AJ143">
        <v>-23.721616766467065</v>
      </c>
      <c r="AK143">
        <v>-23.841377245508983</v>
      </c>
      <c r="AL143">
        <v>-23.961137724550898</v>
      </c>
      <c r="AM143">
        <v>-24.078862275449104</v>
      </c>
      <c r="AN143">
        <v>-24.193832335329343</v>
      </c>
      <c r="AO143">
        <v>-24.308802395209582</v>
      </c>
      <c r="AP143">
        <v>-24.423772455089821</v>
      </c>
      <c r="AQ143">
        <v>-24.53874251497006</v>
      </c>
      <c r="AR143">
        <v>-24.653712574850299</v>
      </c>
      <c r="AS143">
        <v>-24.768682634730538</v>
      </c>
      <c r="AT143">
        <v>-24.883652694610777</v>
      </c>
      <c r="AU143">
        <v>-24.998622754491016</v>
      </c>
      <c r="AV143">
        <v>-25.113592814371255</v>
      </c>
      <c r="AW143">
        <v>-25.228562874251494</v>
      </c>
      <c r="AX143">
        <v>-25.343532934131737</v>
      </c>
      <c r="AY143">
        <v>-25.458502994011976</v>
      </c>
      <c r="AZ143">
        <v>-25.567617977528091</v>
      </c>
      <c r="BA143">
        <v>-25.676082397003746</v>
      </c>
      <c r="BB143">
        <v>-25.784546816479402</v>
      </c>
      <c r="BC143">
        <v>-25.893011235955058</v>
      </c>
      <c r="BD143">
        <v>-26.001475655430713</v>
      </c>
      <c r="BE143">
        <v>-26.109940074906369</v>
      </c>
      <c r="BF143">
        <v>-26.218404494382021</v>
      </c>
      <c r="BG143">
        <v>-26.326868913857677</v>
      </c>
      <c r="BH143">
        <v>-26.435333333333332</v>
      </c>
      <c r="BI143">
        <v>-26.543797752808988</v>
      </c>
      <c r="BJ143">
        <v>-26.652262172284644</v>
      </c>
      <c r="BK143">
        <v>-26.760726591760299</v>
      </c>
      <c r="BL143">
        <v>-26.869191011235955</v>
      </c>
      <c r="BM143">
        <v>-26.977655430711611</v>
      </c>
      <c r="BN143">
        <v>-27.086119850187266</v>
      </c>
      <c r="BO143">
        <v>-27.194584269662922</v>
      </c>
      <c r="BP143">
        <v>-27.301902621722849</v>
      </c>
      <c r="BQ143">
        <v>-27.404973782771538</v>
      </c>
      <c r="BR143">
        <v>-27.508044943820227</v>
      </c>
      <c r="BS143">
        <v>-27.611116104868916</v>
      </c>
      <c r="BT143">
        <v>-27.714187265917605</v>
      </c>
      <c r="BU143">
        <v>-27.817258426966294</v>
      </c>
      <c r="BV143">
        <v>-27.920329588014983</v>
      </c>
      <c r="BW143">
        <v>-28.023400749063672</v>
      </c>
      <c r="BX143">
        <v>-28.126471910112361</v>
      </c>
      <c r="BY143">
        <v>-28.22954307116105</v>
      </c>
      <c r="BZ143">
        <v>-28.332614232209739</v>
      </c>
      <c r="CA143">
        <v>-28.435685393258428</v>
      </c>
      <c r="CB143">
        <v>-28.538756554307117</v>
      </c>
      <c r="CC143">
        <v>-28.641827715355806</v>
      </c>
      <c r="CD143">
        <v>-28.744898876404495</v>
      </c>
      <c r="CE143">
        <v>-28.847970037453184</v>
      </c>
      <c r="CF143">
        <v>-28.951041198501873</v>
      </c>
      <c r="CG143">
        <v>-29.051396396396395</v>
      </c>
      <c r="CH143">
        <v>-29.149294294294293</v>
      </c>
      <c r="CI143">
        <v>-29.247192192192191</v>
      </c>
      <c r="CJ143">
        <v>-29.345090090090089</v>
      </c>
      <c r="CK143">
        <v>-44.975564356435648</v>
      </c>
      <c r="CL143">
        <v>-45.122099009900992</v>
      </c>
    </row>
    <row r="144" spans="1:90" ht="21.75" thickBot="1" x14ac:dyDescent="0.4">
      <c r="A144" s="18" t="s">
        <v>51</v>
      </c>
      <c r="B144" s="38">
        <v>-21.943243243243245</v>
      </c>
      <c r="C144" s="38">
        <v>-21.741441441441442</v>
      </c>
      <c r="D144" s="38">
        <v>-21.539639639639642</v>
      </c>
      <c r="E144" s="38">
        <v>-21.337837837837839</v>
      </c>
      <c r="F144">
        <v>-21.317514970059882</v>
      </c>
      <c r="G144">
        <v>-21.339071856287426</v>
      </c>
      <c r="H144">
        <v>-21.360628742514972</v>
      </c>
      <c r="I144">
        <v>-21.382185628742516</v>
      </c>
      <c r="J144">
        <v>-21.452604790419162</v>
      </c>
      <c r="K144">
        <v>-21.550808383233534</v>
      </c>
      <c r="L144">
        <v>-21.649011976047905</v>
      </c>
      <c r="M144">
        <v>-21.747215568862277</v>
      </c>
      <c r="N144">
        <v>-21.843203592814373</v>
      </c>
      <c r="O144">
        <v>-21.936616766467068</v>
      </c>
      <c r="P144">
        <v>-22.030029940119761</v>
      </c>
      <c r="Q144">
        <v>-22.123443113772456</v>
      </c>
      <c r="R144">
        <v>-22.209970059880241</v>
      </c>
      <c r="S144">
        <v>-22.279431137724551</v>
      </c>
      <c r="T144">
        <v>-22.348892215568863</v>
      </c>
      <c r="U144">
        <v>-22.418353293413173</v>
      </c>
      <c r="V144">
        <v>-22.488353293413173</v>
      </c>
      <c r="W144">
        <v>-22.562604790419162</v>
      </c>
      <c r="X144">
        <v>-22.63685628742515</v>
      </c>
      <c r="Y144">
        <v>-22.711107784431139</v>
      </c>
      <c r="Z144">
        <v>-22.785359281437124</v>
      </c>
      <c r="AA144">
        <v>-22.846306306306307</v>
      </c>
      <c r="AB144">
        <v>-22.906366366366367</v>
      </c>
      <c r="AC144">
        <v>-22.966426426426427</v>
      </c>
      <c r="AD144">
        <v>-23.026486486486487</v>
      </c>
      <c r="AE144">
        <v>-23.130958083832336</v>
      </c>
      <c r="AF144">
        <v>-23.248323353293415</v>
      </c>
      <c r="AG144">
        <v>-23.36568862275449</v>
      </c>
      <c r="AH144">
        <v>-23.483053892215569</v>
      </c>
      <c r="AI144">
        <v>-23.60185628742515</v>
      </c>
      <c r="AJ144">
        <v>-23.721616766467065</v>
      </c>
      <c r="AK144">
        <v>-23.841377245508983</v>
      </c>
      <c r="AL144">
        <v>-23.961137724550898</v>
      </c>
      <c r="AM144">
        <v>-24.078862275449104</v>
      </c>
      <c r="AN144">
        <v>-24.193832335329343</v>
      </c>
      <c r="AO144">
        <v>-24.308802395209582</v>
      </c>
      <c r="AP144">
        <v>-24.423772455089821</v>
      </c>
      <c r="AQ144">
        <v>-24.53874251497006</v>
      </c>
      <c r="AR144">
        <v>-24.653712574850299</v>
      </c>
      <c r="AS144">
        <v>-24.768682634730538</v>
      </c>
      <c r="AT144">
        <v>-24.883652694610777</v>
      </c>
      <c r="AU144">
        <v>-24.998622754491016</v>
      </c>
      <c r="AV144">
        <v>-25.113592814371255</v>
      </c>
      <c r="AW144">
        <v>-25.228562874251494</v>
      </c>
      <c r="AX144">
        <v>-25.343532934131737</v>
      </c>
      <c r="AY144">
        <v>-25.458502994011976</v>
      </c>
      <c r="AZ144">
        <v>-25.567617977528091</v>
      </c>
      <c r="BA144">
        <v>-25.676082397003746</v>
      </c>
      <c r="BB144">
        <v>-25.784546816479402</v>
      </c>
      <c r="BC144">
        <v>-25.893011235955058</v>
      </c>
      <c r="BD144">
        <v>-26.001475655430713</v>
      </c>
      <c r="BE144">
        <v>-26.109940074906369</v>
      </c>
      <c r="BF144">
        <v>-26.218404494382021</v>
      </c>
      <c r="BG144">
        <v>-26.326868913857677</v>
      </c>
      <c r="BH144">
        <v>-26.435333333333332</v>
      </c>
      <c r="BI144">
        <v>-26.543797752808988</v>
      </c>
      <c r="BJ144">
        <v>-26.652262172284644</v>
      </c>
      <c r="BK144">
        <v>-26.760726591760299</v>
      </c>
      <c r="BL144">
        <v>-26.869191011235955</v>
      </c>
      <c r="BM144">
        <v>-26.977655430711611</v>
      </c>
      <c r="BN144">
        <v>-27.086119850187266</v>
      </c>
      <c r="BO144">
        <v>-27.194584269662922</v>
      </c>
      <c r="BP144">
        <v>-27.301902621722849</v>
      </c>
      <c r="BQ144">
        <v>-27.404973782771538</v>
      </c>
      <c r="BR144">
        <v>-27.508044943820227</v>
      </c>
      <c r="BS144">
        <v>-27.611116104868916</v>
      </c>
      <c r="BT144">
        <v>-27.714187265917605</v>
      </c>
      <c r="BU144">
        <v>-27.817258426966294</v>
      </c>
      <c r="BV144">
        <v>-27.920329588014983</v>
      </c>
      <c r="BW144">
        <v>-28.023400749063672</v>
      </c>
      <c r="BX144">
        <v>-28.126471910112361</v>
      </c>
      <c r="BY144">
        <v>-28.22954307116105</v>
      </c>
      <c r="BZ144">
        <v>-28.332614232209739</v>
      </c>
      <c r="CA144">
        <v>-28.435685393258428</v>
      </c>
      <c r="CB144">
        <v>-28.538756554307117</v>
      </c>
      <c r="CC144">
        <v>-28.641827715355806</v>
      </c>
      <c r="CD144">
        <v>-28.744898876404495</v>
      </c>
      <c r="CE144">
        <v>-28.847970037453184</v>
      </c>
      <c r="CF144">
        <v>-28.951041198501873</v>
      </c>
      <c r="CG144">
        <v>-29.051396396396395</v>
      </c>
      <c r="CH144">
        <v>-29.149294294294293</v>
      </c>
      <c r="CI144">
        <v>-29.247192192192191</v>
      </c>
      <c r="CJ144">
        <v>-29.345090090090089</v>
      </c>
      <c r="CK144">
        <v>-7.3468118811881187</v>
      </c>
      <c r="CL144">
        <v>-7.3646336633663365</v>
      </c>
    </row>
    <row r="145" spans="1:90" ht="21.75" thickBot="1" x14ac:dyDescent="0.4">
      <c r="A145" s="18" t="s">
        <v>43</v>
      </c>
      <c r="B145" s="38">
        <v>-21.943243243243245</v>
      </c>
      <c r="C145" s="38">
        <v>-21.741441441441442</v>
      </c>
      <c r="D145" s="38">
        <v>-21.539639639639642</v>
      </c>
      <c r="E145" s="38">
        <v>-21.337837837837839</v>
      </c>
      <c r="F145">
        <v>-21.317514970059882</v>
      </c>
      <c r="G145">
        <v>-21.339071856287426</v>
      </c>
      <c r="H145">
        <v>-21.360628742514972</v>
      </c>
      <c r="I145">
        <v>-21.382185628742516</v>
      </c>
      <c r="J145">
        <v>-21.452604790419162</v>
      </c>
      <c r="K145">
        <v>-21.550808383233534</v>
      </c>
      <c r="L145">
        <v>-21.649011976047905</v>
      </c>
      <c r="M145">
        <v>-21.747215568862277</v>
      </c>
      <c r="N145">
        <v>-21.843203592814373</v>
      </c>
      <c r="O145">
        <v>-21.936616766467068</v>
      </c>
      <c r="P145">
        <v>-22.030029940119761</v>
      </c>
      <c r="Q145">
        <v>-22.123443113772456</v>
      </c>
      <c r="R145">
        <v>-22.209970059880241</v>
      </c>
      <c r="S145">
        <v>-22.279431137724551</v>
      </c>
      <c r="T145">
        <v>-22.348892215568863</v>
      </c>
      <c r="U145">
        <v>-22.418353293413173</v>
      </c>
      <c r="V145">
        <v>-22.488353293413173</v>
      </c>
      <c r="W145">
        <v>-22.562604790419162</v>
      </c>
      <c r="X145">
        <v>-22.63685628742515</v>
      </c>
      <c r="Y145">
        <v>-22.711107784431139</v>
      </c>
      <c r="Z145">
        <v>-22.785359281437124</v>
      </c>
      <c r="AA145">
        <v>-22.846306306306307</v>
      </c>
      <c r="AB145">
        <v>-22.906366366366367</v>
      </c>
      <c r="AC145">
        <v>-22.966426426426427</v>
      </c>
      <c r="AD145">
        <v>-23.026486486486487</v>
      </c>
      <c r="AE145">
        <v>-23.130958083832336</v>
      </c>
      <c r="AF145">
        <v>-23.248323353293415</v>
      </c>
      <c r="AG145">
        <v>-23.36568862275449</v>
      </c>
      <c r="AH145">
        <v>-23.483053892215569</v>
      </c>
      <c r="AI145">
        <v>-23.60185628742515</v>
      </c>
      <c r="AJ145">
        <v>-23.721616766467065</v>
      </c>
      <c r="AK145">
        <v>-23.841377245508983</v>
      </c>
      <c r="AL145">
        <v>-23.961137724550898</v>
      </c>
      <c r="AM145">
        <v>-24.078862275449104</v>
      </c>
      <c r="AN145">
        <v>-24.193832335329343</v>
      </c>
      <c r="AO145">
        <v>-24.308802395209582</v>
      </c>
      <c r="AP145">
        <v>-24.423772455089821</v>
      </c>
      <c r="AQ145">
        <v>-24.53874251497006</v>
      </c>
      <c r="AR145">
        <v>-24.653712574850299</v>
      </c>
      <c r="AS145">
        <v>-24.768682634730538</v>
      </c>
      <c r="AT145">
        <v>-24.883652694610777</v>
      </c>
      <c r="AU145">
        <v>-24.998622754491016</v>
      </c>
      <c r="AV145">
        <v>-25.113592814371255</v>
      </c>
      <c r="AW145">
        <v>-25.228562874251494</v>
      </c>
      <c r="AX145">
        <v>-25.343532934131737</v>
      </c>
      <c r="AY145">
        <v>-25.458502994011976</v>
      </c>
      <c r="AZ145">
        <v>-25.567617977528091</v>
      </c>
      <c r="BA145">
        <v>-25.676082397003746</v>
      </c>
      <c r="BB145">
        <v>-25.784546816479402</v>
      </c>
      <c r="BC145">
        <v>-25.893011235955058</v>
      </c>
      <c r="BD145">
        <v>-26.001475655430713</v>
      </c>
      <c r="BE145">
        <v>-26.109940074906369</v>
      </c>
      <c r="BF145">
        <v>-26.218404494382021</v>
      </c>
      <c r="BG145">
        <v>-26.326868913857677</v>
      </c>
      <c r="BH145">
        <v>-26.435333333333332</v>
      </c>
      <c r="BI145">
        <v>-26.543797752808988</v>
      </c>
      <c r="BJ145">
        <v>-26.652262172284644</v>
      </c>
      <c r="BK145">
        <v>-26.760726591760299</v>
      </c>
      <c r="BL145">
        <v>-26.869191011235955</v>
      </c>
      <c r="BM145">
        <v>-26.977655430711611</v>
      </c>
      <c r="BN145">
        <v>-27.086119850187266</v>
      </c>
      <c r="BO145">
        <v>-27.194584269662922</v>
      </c>
      <c r="BP145">
        <v>-27.301902621722849</v>
      </c>
      <c r="BQ145">
        <v>-27.404973782771538</v>
      </c>
      <c r="BR145">
        <v>-27.508044943820227</v>
      </c>
      <c r="BS145">
        <v>-27.611116104868916</v>
      </c>
      <c r="BT145">
        <v>-27.714187265917605</v>
      </c>
      <c r="BU145">
        <v>-27.817258426966294</v>
      </c>
      <c r="BV145">
        <v>-27.920329588014983</v>
      </c>
      <c r="BW145">
        <v>-28.023400749063672</v>
      </c>
      <c r="BX145">
        <v>-28.126471910112361</v>
      </c>
      <c r="BY145">
        <v>-28.22954307116105</v>
      </c>
      <c r="BZ145">
        <v>-28.332614232209739</v>
      </c>
      <c r="CA145">
        <v>-28.435685393258428</v>
      </c>
      <c r="CB145">
        <v>-28.538756554307117</v>
      </c>
      <c r="CC145">
        <v>-28.641827715355806</v>
      </c>
      <c r="CD145">
        <v>-28.744898876404495</v>
      </c>
      <c r="CE145">
        <v>-28.847970037453184</v>
      </c>
      <c r="CF145">
        <v>-28.951041198501873</v>
      </c>
      <c r="CG145">
        <v>-29.051396396396395</v>
      </c>
      <c r="CH145">
        <v>-29.149294294294293</v>
      </c>
      <c r="CI145">
        <v>-29.247192192192191</v>
      </c>
      <c r="CJ145">
        <v>-29.345090090090089</v>
      </c>
      <c r="CK145">
        <v>-8.1209504950495059</v>
      </c>
      <c r="CL145">
        <v>-8.1466930693069308</v>
      </c>
    </row>
    <row r="146" spans="1:90" ht="21.75" thickBot="1" x14ac:dyDescent="0.4">
      <c r="A146" s="18" t="s">
        <v>61</v>
      </c>
      <c r="B146" s="38">
        <v>-15.512792792792792</v>
      </c>
      <c r="C146" s="38">
        <v>-15.013093093093092</v>
      </c>
      <c r="D146" s="38">
        <v>-14.513393393393393</v>
      </c>
      <c r="E146" s="38">
        <v>-14.013693693693693</v>
      </c>
      <c r="F146">
        <v>-13.456826347305389</v>
      </c>
      <c r="G146">
        <v>-12.886766467065867</v>
      </c>
      <c r="H146">
        <v>-12.316706586826346</v>
      </c>
      <c r="I146">
        <v>-11.746646706586823</v>
      </c>
      <c r="J146">
        <v>-11.204988023952094</v>
      </c>
      <c r="K146">
        <v>-10.679479041916167</v>
      </c>
      <c r="L146">
        <v>-10.153970059880239</v>
      </c>
      <c r="M146">
        <v>-9.628461077844312</v>
      </c>
      <c r="N146">
        <v>-9.1539101796407198</v>
      </c>
      <c r="O146">
        <v>-8.7385808383233528</v>
      </c>
      <c r="P146">
        <v>-8.3232514970059874</v>
      </c>
      <c r="Q146">
        <v>-7.9079221556886221</v>
      </c>
      <c r="R146">
        <v>-7.5390748502994009</v>
      </c>
      <c r="S146">
        <v>-7.2854221556886225</v>
      </c>
      <c r="T146">
        <v>-7.031769461077845</v>
      </c>
      <c r="U146">
        <v>-6.7781167664670665</v>
      </c>
      <c r="V146">
        <v>-6.5428413173652693</v>
      </c>
      <c r="W146">
        <v>-6.4525419161676645</v>
      </c>
      <c r="X146">
        <v>-6.3622425149700597</v>
      </c>
      <c r="Y146">
        <v>-6.2719431137724548</v>
      </c>
      <c r="Z146">
        <v>-6.18164371257485</v>
      </c>
      <c r="AA146">
        <v>-6.3239729729729737</v>
      </c>
      <c r="AB146">
        <v>-6.4818108108108117</v>
      </c>
      <c r="AC146">
        <v>-6.6396486486486497</v>
      </c>
      <c r="AD146">
        <v>-6.7974864864864877</v>
      </c>
      <c r="AE146">
        <v>-6.8348562874251497</v>
      </c>
      <c r="AF146">
        <v>-6.8372514970059886</v>
      </c>
      <c r="AG146">
        <v>-6.8396467065868265</v>
      </c>
      <c r="AH146">
        <v>-6.8420419161676644</v>
      </c>
      <c r="AI146">
        <v>-6.8517664670658682</v>
      </c>
      <c r="AJ146">
        <v>-6.866377245508982</v>
      </c>
      <c r="AK146">
        <v>-6.8809880239520957</v>
      </c>
      <c r="AL146">
        <v>-6.8955988023952095</v>
      </c>
      <c r="AM146">
        <v>-6.911838323353293</v>
      </c>
      <c r="AN146">
        <v>-6.930281437125748</v>
      </c>
      <c r="AO146">
        <v>-6.9487245508982038</v>
      </c>
      <c r="AP146">
        <v>-6.9671676646706588</v>
      </c>
      <c r="AQ146">
        <v>-6.9858502994011973</v>
      </c>
      <c r="AR146">
        <v>-7.0052514970059878</v>
      </c>
      <c r="AS146">
        <v>-7.0246526946107783</v>
      </c>
      <c r="AT146">
        <v>-7.0440538922155689</v>
      </c>
      <c r="AU146">
        <v>-7.0634550898203594</v>
      </c>
      <c r="AV146">
        <v>-7.0828562874251499</v>
      </c>
      <c r="AW146">
        <v>-7.1022574850299405</v>
      </c>
      <c r="AX146">
        <v>-7.1216586826347301</v>
      </c>
      <c r="AY146">
        <v>-7.1410598802395207</v>
      </c>
      <c r="AZ146">
        <v>-7.1602584269662923</v>
      </c>
      <c r="BA146">
        <v>-7.1794344569288393</v>
      </c>
      <c r="BB146">
        <v>-7.1986104868913854</v>
      </c>
      <c r="BC146">
        <v>-7.2177865168539324</v>
      </c>
      <c r="BD146">
        <v>-7.2369625468164793</v>
      </c>
      <c r="BE146">
        <v>-7.2561385767790263</v>
      </c>
      <c r="BF146">
        <v>-7.2753146067415733</v>
      </c>
      <c r="BG146">
        <v>-7.2944906367041202</v>
      </c>
      <c r="BH146">
        <v>-7.3136666666666663</v>
      </c>
      <c r="BI146">
        <v>-7.3328426966292133</v>
      </c>
      <c r="BJ146">
        <v>-7.3520187265917603</v>
      </c>
      <c r="BK146">
        <v>-7.3711947565543072</v>
      </c>
      <c r="BL146">
        <v>-7.3903707865168542</v>
      </c>
      <c r="BM146">
        <v>-7.4095468164794012</v>
      </c>
      <c r="BN146">
        <v>-7.4287228464419481</v>
      </c>
      <c r="BO146">
        <v>-7.4478988764044942</v>
      </c>
      <c r="BP146">
        <v>-7.4668456928838953</v>
      </c>
      <c r="BQ146">
        <v>-7.484943071161049</v>
      </c>
      <c r="BR146">
        <v>-7.5030404494382026</v>
      </c>
      <c r="BS146">
        <v>-7.5211378277153562</v>
      </c>
      <c r="BT146">
        <v>-7.5392352059925098</v>
      </c>
      <c r="BU146">
        <v>-7.5573325842696626</v>
      </c>
      <c r="BV146">
        <v>-7.5754299625468162</v>
      </c>
      <c r="BW146">
        <v>-7.5935273408239699</v>
      </c>
      <c r="BX146">
        <v>-7.6116247191011235</v>
      </c>
      <c r="BY146">
        <v>-7.6297220973782771</v>
      </c>
      <c r="BZ146">
        <v>-7.6478194756554307</v>
      </c>
      <c r="CA146">
        <v>-7.6659168539325844</v>
      </c>
      <c r="CB146">
        <v>-7.684014232209738</v>
      </c>
      <c r="CC146">
        <v>-7.7021116104868916</v>
      </c>
      <c r="CD146">
        <v>-7.7202089887640444</v>
      </c>
      <c r="CE146">
        <v>-7.738306367041198</v>
      </c>
      <c r="CF146">
        <v>-7.7564037453183516</v>
      </c>
      <c r="CG146">
        <v>-7.7739234234234234</v>
      </c>
      <c r="CH146">
        <v>-7.7909204204204201</v>
      </c>
      <c r="CI146">
        <v>-7.8079174174174168</v>
      </c>
      <c r="CJ146">
        <v>-7.8249144144144145</v>
      </c>
      <c r="CK146">
        <v>-28.733663366336632</v>
      </c>
      <c r="CL146">
        <v>-28.828712871287127</v>
      </c>
    </row>
    <row r="147" spans="1:90" ht="21.75" thickBot="1" x14ac:dyDescent="0.4">
      <c r="A147" s="18" t="s">
        <v>28</v>
      </c>
      <c r="B147" s="38">
        <v>-18.877657657657657</v>
      </c>
      <c r="C147" s="38">
        <v>-18.875255255255254</v>
      </c>
      <c r="D147" s="38">
        <v>-18.872852852852855</v>
      </c>
      <c r="E147" s="38">
        <v>-18.870450450450452</v>
      </c>
      <c r="F147">
        <v>-18.875838323353292</v>
      </c>
      <c r="G147">
        <v>-18.883023952095808</v>
      </c>
      <c r="H147">
        <v>-18.890209580838324</v>
      </c>
      <c r="I147">
        <v>-18.897395209580836</v>
      </c>
      <c r="J147">
        <v>-18.906107784431136</v>
      </c>
      <c r="K147">
        <v>-18.915688622754491</v>
      </c>
      <c r="L147">
        <v>-18.925269461077846</v>
      </c>
      <c r="M147">
        <v>-18.934850299401198</v>
      </c>
      <c r="N147">
        <v>-18.945538922155688</v>
      </c>
      <c r="O147">
        <v>-18.957514970059879</v>
      </c>
      <c r="P147">
        <v>-18.969491017964071</v>
      </c>
      <c r="Q147">
        <v>-18.981467065868262</v>
      </c>
      <c r="R147">
        <v>-18.993443113772454</v>
      </c>
      <c r="S147">
        <v>-19.005419161676645</v>
      </c>
      <c r="T147">
        <v>-19.017395209580837</v>
      </c>
      <c r="U147">
        <v>-19.029371257485028</v>
      </c>
      <c r="V147">
        <v>-19.040808383233532</v>
      </c>
      <c r="W147">
        <v>-19.047994011976048</v>
      </c>
      <c r="X147">
        <v>-19.055179640718563</v>
      </c>
      <c r="Y147">
        <v>-19.062365269461079</v>
      </c>
      <c r="Z147">
        <v>-19.069550898203595</v>
      </c>
      <c r="AA147">
        <v>-19.045225225225227</v>
      </c>
      <c r="AB147">
        <v>-19.018798798798798</v>
      </c>
      <c r="AC147">
        <v>-18.992372372372373</v>
      </c>
      <c r="AD147">
        <v>-18.965945945945947</v>
      </c>
      <c r="AE147">
        <v>-18.972994011976049</v>
      </c>
      <c r="AF147">
        <v>-18.989760479041916</v>
      </c>
      <c r="AG147">
        <v>-19.006526946107787</v>
      </c>
      <c r="AH147">
        <v>-19.023293413173654</v>
      </c>
      <c r="AI147">
        <v>-19.040059880239522</v>
      </c>
      <c r="AJ147">
        <v>-19.056826347305389</v>
      </c>
      <c r="AK147">
        <v>-19.07359281437126</v>
      </c>
      <c r="AL147">
        <v>-19.090359281437127</v>
      </c>
      <c r="AM147">
        <v>-19.107125748502995</v>
      </c>
      <c r="AN147">
        <v>-19.123892215568866</v>
      </c>
      <c r="AO147">
        <v>-19.140658682634733</v>
      </c>
      <c r="AP147">
        <v>-19.1574251497006</v>
      </c>
      <c r="AQ147">
        <v>-19.174191616766468</v>
      </c>
      <c r="AR147">
        <v>-19.190958083832335</v>
      </c>
      <c r="AS147">
        <v>-19.207724550898202</v>
      </c>
      <c r="AT147">
        <v>-19.22449101796407</v>
      </c>
      <c r="AU147">
        <v>-19.241257485029937</v>
      </c>
      <c r="AV147">
        <v>-19.258023952095808</v>
      </c>
      <c r="AW147">
        <v>-19.274790419161675</v>
      </c>
      <c r="AX147">
        <v>-19.291556886227543</v>
      </c>
      <c r="AY147">
        <v>-19.30832335329341</v>
      </c>
      <c r="AZ147">
        <v>-19.324022471910112</v>
      </c>
      <c r="BA147">
        <v>-19.33960299625468</v>
      </c>
      <c r="BB147">
        <v>-19.355183520599251</v>
      </c>
      <c r="BC147">
        <v>-19.370764044943819</v>
      </c>
      <c r="BD147">
        <v>-19.38634456928839</v>
      </c>
      <c r="BE147">
        <v>-19.401925093632958</v>
      </c>
      <c r="BF147">
        <v>-19.417505617977529</v>
      </c>
      <c r="BG147">
        <v>-19.433086142322097</v>
      </c>
      <c r="BH147">
        <v>-19.448666666666668</v>
      </c>
      <c r="BI147">
        <v>-19.464247191011236</v>
      </c>
      <c r="BJ147">
        <v>-19.479827715355807</v>
      </c>
      <c r="BK147">
        <v>-19.495408239700375</v>
      </c>
      <c r="BL147">
        <v>-19.510988764044942</v>
      </c>
      <c r="BM147">
        <v>-19.526569288389513</v>
      </c>
      <c r="BN147">
        <v>-19.542149812734081</v>
      </c>
      <c r="BO147">
        <v>-19.557730337078652</v>
      </c>
      <c r="BP147">
        <v>-19.573183520599251</v>
      </c>
      <c r="BQ147">
        <v>-19.58816479400749</v>
      </c>
      <c r="BR147">
        <v>-19.603146067415732</v>
      </c>
      <c r="BS147">
        <v>-19.618127340823971</v>
      </c>
      <c r="BT147">
        <v>-19.63310861423221</v>
      </c>
      <c r="BU147">
        <v>-19.648089887640449</v>
      </c>
      <c r="BV147">
        <v>-19.663071161048691</v>
      </c>
      <c r="BW147">
        <v>-19.67805243445693</v>
      </c>
      <c r="BX147">
        <v>-19.693033707865169</v>
      </c>
      <c r="BY147">
        <v>-19.708014981273408</v>
      </c>
      <c r="BZ147">
        <v>-19.722996254681647</v>
      </c>
      <c r="CA147">
        <v>-19.737977528089889</v>
      </c>
      <c r="CB147">
        <v>-19.752958801498128</v>
      </c>
      <c r="CC147">
        <v>-19.767940074906367</v>
      </c>
      <c r="CD147">
        <v>-19.782921348314606</v>
      </c>
      <c r="CE147">
        <v>-19.797902621722848</v>
      </c>
      <c r="CF147">
        <v>-19.812883895131087</v>
      </c>
      <c r="CG147">
        <v>-19.827252252252254</v>
      </c>
      <c r="CH147">
        <v>-19.841066066066066</v>
      </c>
      <c r="CI147">
        <v>-19.854879879879881</v>
      </c>
      <c r="CJ147">
        <v>-19.868693693693693</v>
      </c>
      <c r="CK147">
        <v>-28.733663366336632</v>
      </c>
      <c r="CL147">
        <v>-28.828712871287127</v>
      </c>
    </row>
    <row r="148" spans="1:90" ht="21.75" thickBot="1" x14ac:dyDescent="0.4">
      <c r="A148" s="18" t="s">
        <v>5</v>
      </c>
      <c r="B148" s="38">
        <v>-59.157387387387388</v>
      </c>
      <c r="C148" s="38">
        <v>-57.482912912912909</v>
      </c>
      <c r="D148" s="38">
        <v>-55.808438438438436</v>
      </c>
      <c r="E148" s="38">
        <v>-54.133963963963964</v>
      </c>
      <c r="F148">
        <v>-52.494700598802396</v>
      </c>
      <c r="G148">
        <v>-50.863562874251492</v>
      </c>
      <c r="H148">
        <v>-49.232425149700596</v>
      </c>
      <c r="I148">
        <v>-47.601287425149692</v>
      </c>
      <c r="J148">
        <v>-46.077035928143708</v>
      </c>
      <c r="K148">
        <v>-44.613562874251492</v>
      </c>
      <c r="L148">
        <v>-43.150089820359277</v>
      </c>
      <c r="M148">
        <v>-41.686616766467068</v>
      </c>
      <c r="N148">
        <v>-40.325059880239522</v>
      </c>
      <c r="O148">
        <v>-39.081946107784432</v>
      </c>
      <c r="P148">
        <v>-37.838832335329343</v>
      </c>
      <c r="Q148">
        <v>-36.595718562874254</v>
      </c>
      <c r="R148">
        <v>-35.412514970059881</v>
      </c>
      <c r="S148">
        <v>-34.377784431137727</v>
      </c>
      <c r="T148">
        <v>-33.343053892215572</v>
      </c>
      <c r="U148">
        <v>-32.308323353293417</v>
      </c>
      <c r="V148">
        <v>-31.289491017964075</v>
      </c>
      <c r="W148">
        <v>-30.396077844311378</v>
      </c>
      <c r="X148">
        <v>-29.502664670658685</v>
      </c>
      <c r="Y148">
        <v>-28.609251497005989</v>
      </c>
      <c r="Z148">
        <v>-27.715838323353292</v>
      </c>
      <c r="AA148">
        <v>-27.464054054054053</v>
      </c>
      <c r="AB148">
        <v>-27.255045045045044</v>
      </c>
      <c r="AC148">
        <v>-27.046036036036035</v>
      </c>
      <c r="AD148">
        <v>-26.837027027027027</v>
      </c>
      <c r="AE148">
        <v>-27.03502994011976</v>
      </c>
      <c r="AF148">
        <v>-27.351197604790418</v>
      </c>
      <c r="AG148">
        <v>-27.667365269461076</v>
      </c>
      <c r="AH148">
        <v>-27.983532934131734</v>
      </c>
      <c r="AI148">
        <v>-28.296826347305387</v>
      </c>
      <c r="AJ148">
        <v>-28.60820359281437</v>
      </c>
      <c r="AK148">
        <v>-28.919580838323352</v>
      </c>
      <c r="AL148">
        <v>-29.230958083832334</v>
      </c>
      <c r="AM148">
        <v>-29.540299401197604</v>
      </c>
      <c r="AN148">
        <v>-29.84688622754491</v>
      </c>
      <c r="AO148">
        <v>-30.153473053892217</v>
      </c>
      <c r="AP148">
        <v>-30.460059880239523</v>
      </c>
      <c r="AQ148">
        <v>-30.7648502994012</v>
      </c>
      <c r="AR148">
        <v>-31.064251497005991</v>
      </c>
      <c r="AS148">
        <v>-31.363652694610781</v>
      </c>
      <c r="AT148">
        <v>-31.663053892215572</v>
      </c>
      <c r="AU148">
        <v>-31.961916167664672</v>
      </c>
      <c r="AV148">
        <v>-32.254131736526951</v>
      </c>
      <c r="AW148">
        <v>-32.546347305389219</v>
      </c>
      <c r="AX148">
        <v>-32.838562874251494</v>
      </c>
      <c r="AY148">
        <v>-33.130778443113769</v>
      </c>
      <c r="AZ148">
        <v>-33.403235955056175</v>
      </c>
      <c r="BA148">
        <v>-33.673498127340821</v>
      </c>
      <c r="BB148">
        <v>-33.943760299625467</v>
      </c>
      <c r="BC148">
        <v>-34.214022471910113</v>
      </c>
      <c r="BD148">
        <v>-34.484284644194759</v>
      </c>
      <c r="BE148">
        <v>-34.754546816479397</v>
      </c>
      <c r="BF148">
        <v>-35.024808988764043</v>
      </c>
      <c r="BG148">
        <v>-35.295071161048689</v>
      </c>
      <c r="BH148">
        <v>-35.565333333333335</v>
      </c>
      <c r="BI148">
        <v>-35.835595505617981</v>
      </c>
      <c r="BJ148">
        <v>-36.10585767790262</v>
      </c>
      <c r="BK148">
        <v>-36.376119850187266</v>
      </c>
      <c r="BL148">
        <v>-36.646382022471911</v>
      </c>
      <c r="BM148">
        <v>-36.916644194756557</v>
      </c>
      <c r="BN148">
        <v>-37.186906367041203</v>
      </c>
      <c r="BO148">
        <v>-37.457168539325849</v>
      </c>
      <c r="BP148">
        <v>-37.717880149812736</v>
      </c>
      <c r="BQ148">
        <v>-37.943198501872665</v>
      </c>
      <c r="BR148">
        <v>-38.168516853932587</v>
      </c>
      <c r="BS148">
        <v>-38.393835205992509</v>
      </c>
      <c r="BT148">
        <v>-38.619153558052439</v>
      </c>
      <c r="BU148">
        <v>-38.844471910112361</v>
      </c>
      <c r="BV148">
        <v>-39.06979026217229</v>
      </c>
      <c r="BW148">
        <v>-39.295108614232213</v>
      </c>
      <c r="BX148">
        <v>-39.520426966292135</v>
      </c>
      <c r="BY148">
        <v>-39.745745318352064</v>
      </c>
      <c r="BZ148">
        <v>-39.971063670411986</v>
      </c>
      <c r="CA148">
        <v>-40.196382022471909</v>
      </c>
      <c r="CB148">
        <v>-40.421700374531838</v>
      </c>
      <c r="CC148">
        <v>-40.64701872659176</v>
      </c>
      <c r="CD148">
        <v>-40.87233707865169</v>
      </c>
      <c r="CE148">
        <v>-41.097655430711612</v>
      </c>
      <c r="CF148">
        <v>-41.322973782771534</v>
      </c>
      <c r="CG148">
        <v>-41.521441441441439</v>
      </c>
      <c r="CH148">
        <v>-41.695615615615615</v>
      </c>
      <c r="CI148">
        <v>-41.869789789789792</v>
      </c>
      <c r="CJ148">
        <v>-42.043963963963961</v>
      </c>
      <c r="CK148">
        <v>-28.733663366336632</v>
      </c>
      <c r="CL148">
        <v>-28.828712871287127</v>
      </c>
    </row>
    <row r="149" spans="1:90" ht="21.75" thickBot="1" x14ac:dyDescent="0.4">
      <c r="A149" s="18" t="s">
        <v>6</v>
      </c>
      <c r="B149" s="38">
        <v>-15.512792792792792</v>
      </c>
      <c r="C149" s="38">
        <v>-15.013093093093092</v>
      </c>
      <c r="D149" s="38">
        <v>-14.513393393393393</v>
      </c>
      <c r="E149" s="38">
        <v>-14.013693693693693</v>
      </c>
      <c r="F149">
        <v>-13.456826347305389</v>
      </c>
      <c r="G149">
        <v>-12.886766467065867</v>
      </c>
      <c r="H149">
        <v>-12.316706586826346</v>
      </c>
      <c r="I149">
        <v>-11.746646706586823</v>
      </c>
      <c r="J149">
        <v>-11.204988023952094</v>
      </c>
      <c r="K149">
        <v>-10.679479041916167</v>
      </c>
      <c r="L149">
        <v>-10.153970059880239</v>
      </c>
      <c r="M149">
        <v>-9.628461077844312</v>
      </c>
      <c r="N149">
        <v>-9.1539101796407198</v>
      </c>
      <c r="O149">
        <v>-8.7385808383233528</v>
      </c>
      <c r="P149">
        <v>-8.3232514970059874</v>
      </c>
      <c r="Q149">
        <v>-7.9079221556886221</v>
      </c>
      <c r="R149">
        <v>-7.5390748502994009</v>
      </c>
      <c r="S149">
        <v>-7.2854221556886225</v>
      </c>
      <c r="T149">
        <v>-7.031769461077845</v>
      </c>
      <c r="U149">
        <v>-6.7781167664670665</v>
      </c>
      <c r="V149">
        <v>-6.5428413173652693</v>
      </c>
      <c r="W149">
        <v>-6.4525419161676645</v>
      </c>
      <c r="X149">
        <v>-6.3622425149700597</v>
      </c>
      <c r="Y149">
        <v>-6.2719431137724548</v>
      </c>
      <c r="Z149">
        <v>-6.18164371257485</v>
      </c>
      <c r="AA149">
        <v>-6.3239729729729737</v>
      </c>
      <c r="AB149">
        <v>-6.4818108108108117</v>
      </c>
      <c r="AC149">
        <v>-6.6396486486486497</v>
      </c>
      <c r="AD149">
        <v>-6.7974864864864877</v>
      </c>
      <c r="AE149">
        <v>-6.8348562874251497</v>
      </c>
      <c r="AF149">
        <v>-6.8372514970059886</v>
      </c>
      <c r="AG149">
        <v>-6.8396467065868265</v>
      </c>
      <c r="AH149">
        <v>-6.8420419161676644</v>
      </c>
      <c r="AI149">
        <v>-6.8517664670658682</v>
      </c>
      <c r="AJ149">
        <v>-6.866377245508982</v>
      </c>
      <c r="AK149">
        <v>-6.8809880239520957</v>
      </c>
      <c r="AL149">
        <v>-6.8955988023952095</v>
      </c>
      <c r="AM149">
        <v>-6.911838323353293</v>
      </c>
      <c r="AN149">
        <v>-6.930281437125748</v>
      </c>
      <c r="AO149">
        <v>-6.9487245508982038</v>
      </c>
      <c r="AP149">
        <v>-6.9671676646706588</v>
      </c>
      <c r="AQ149">
        <v>-6.9858502994011973</v>
      </c>
      <c r="AR149">
        <v>-7.0052514970059878</v>
      </c>
      <c r="AS149">
        <v>-7.0246526946107783</v>
      </c>
      <c r="AT149">
        <v>-7.0440538922155689</v>
      </c>
      <c r="AU149">
        <v>-7.0634550898203594</v>
      </c>
      <c r="AV149">
        <v>-7.0828562874251499</v>
      </c>
      <c r="AW149">
        <v>-7.1022574850299405</v>
      </c>
      <c r="AX149">
        <v>-7.1216586826347301</v>
      </c>
      <c r="AY149">
        <v>-7.1410598802395207</v>
      </c>
      <c r="AZ149">
        <v>-7.1602584269662923</v>
      </c>
      <c r="BA149">
        <v>-7.1794344569288393</v>
      </c>
      <c r="BB149">
        <v>-7.1986104868913854</v>
      </c>
      <c r="BC149">
        <v>-7.2177865168539324</v>
      </c>
      <c r="BD149">
        <v>-7.2369625468164793</v>
      </c>
      <c r="BE149">
        <v>-7.2561385767790263</v>
      </c>
      <c r="BF149">
        <v>-7.2753146067415733</v>
      </c>
      <c r="BG149">
        <v>-7.2944906367041202</v>
      </c>
      <c r="BH149">
        <v>-7.3136666666666663</v>
      </c>
      <c r="BI149">
        <v>-7.3328426966292133</v>
      </c>
      <c r="BJ149">
        <v>-7.3520187265917603</v>
      </c>
      <c r="BK149">
        <v>-7.3711947565543072</v>
      </c>
      <c r="BL149">
        <v>-7.3903707865168542</v>
      </c>
      <c r="BM149">
        <v>-7.4095468164794012</v>
      </c>
      <c r="BN149">
        <v>-7.4287228464419481</v>
      </c>
      <c r="BO149">
        <v>-7.4478988764044942</v>
      </c>
      <c r="BP149">
        <v>-7.4668456928838953</v>
      </c>
      <c r="BQ149">
        <v>-7.484943071161049</v>
      </c>
      <c r="BR149">
        <v>-7.5030404494382026</v>
      </c>
      <c r="BS149">
        <v>-7.5211378277153562</v>
      </c>
      <c r="BT149">
        <v>-7.5392352059925098</v>
      </c>
      <c r="BU149">
        <v>-7.5573325842696626</v>
      </c>
      <c r="BV149">
        <v>-7.5754299625468162</v>
      </c>
      <c r="BW149">
        <v>-7.5935273408239699</v>
      </c>
      <c r="BX149">
        <v>-7.6116247191011235</v>
      </c>
      <c r="BY149">
        <v>-7.6297220973782771</v>
      </c>
      <c r="BZ149">
        <v>-7.6478194756554307</v>
      </c>
      <c r="CA149">
        <v>-7.6659168539325844</v>
      </c>
      <c r="CB149">
        <v>-7.684014232209738</v>
      </c>
      <c r="CC149">
        <v>-7.7021116104868916</v>
      </c>
      <c r="CD149">
        <v>-7.7202089887640444</v>
      </c>
      <c r="CE149">
        <v>-7.738306367041198</v>
      </c>
      <c r="CF149">
        <v>-7.7564037453183516</v>
      </c>
      <c r="CG149">
        <v>-7.7739234234234234</v>
      </c>
      <c r="CH149">
        <v>-7.7909204204204201</v>
      </c>
      <c r="CI149">
        <v>-7.8079174174174168</v>
      </c>
      <c r="CJ149">
        <v>-7.8249144144144145</v>
      </c>
      <c r="CK149">
        <v>-28.733663366336632</v>
      </c>
      <c r="CL149">
        <v>-28.828712871287127</v>
      </c>
    </row>
    <row r="150" spans="1:90" ht="21.75" thickBot="1" x14ac:dyDescent="0.4">
      <c r="A150" s="18" t="s">
        <v>7</v>
      </c>
      <c r="B150" s="38">
        <v>-21.943243243243245</v>
      </c>
      <c r="C150" s="38">
        <v>-21.741441441441442</v>
      </c>
      <c r="D150" s="38">
        <v>-21.539639639639642</v>
      </c>
      <c r="E150" s="38">
        <v>-21.337837837837839</v>
      </c>
      <c r="F150">
        <v>-21.317514970059882</v>
      </c>
      <c r="G150">
        <v>-21.339071856287426</v>
      </c>
      <c r="H150">
        <v>-21.360628742514972</v>
      </c>
      <c r="I150">
        <v>-21.382185628742516</v>
      </c>
      <c r="J150">
        <v>-21.452604790419162</v>
      </c>
      <c r="K150">
        <v>-21.550808383233534</v>
      </c>
      <c r="L150">
        <v>-21.649011976047905</v>
      </c>
      <c r="M150">
        <v>-21.747215568862277</v>
      </c>
      <c r="N150">
        <v>-21.843203592814373</v>
      </c>
      <c r="O150">
        <v>-21.936616766467068</v>
      </c>
      <c r="P150">
        <v>-22.030029940119761</v>
      </c>
      <c r="Q150">
        <v>-22.123443113772456</v>
      </c>
      <c r="R150">
        <v>-22.209970059880241</v>
      </c>
      <c r="S150">
        <v>-22.279431137724551</v>
      </c>
      <c r="T150">
        <v>-22.348892215568863</v>
      </c>
      <c r="U150">
        <v>-22.418353293413173</v>
      </c>
      <c r="V150">
        <v>-22.488353293413173</v>
      </c>
      <c r="W150">
        <v>-22.562604790419162</v>
      </c>
      <c r="X150">
        <v>-22.63685628742515</v>
      </c>
      <c r="Y150">
        <v>-22.711107784431139</v>
      </c>
      <c r="Z150">
        <v>-22.785359281437124</v>
      </c>
      <c r="AA150">
        <v>-22.846306306306307</v>
      </c>
      <c r="AB150">
        <v>-22.906366366366367</v>
      </c>
      <c r="AC150">
        <v>-22.966426426426427</v>
      </c>
      <c r="AD150">
        <v>-23.026486486486487</v>
      </c>
      <c r="AE150">
        <v>-23.130958083832336</v>
      </c>
      <c r="AF150">
        <v>-23.248323353293415</v>
      </c>
      <c r="AG150">
        <v>-23.36568862275449</v>
      </c>
      <c r="AH150">
        <v>-23.483053892215569</v>
      </c>
      <c r="AI150">
        <v>-23.60185628742515</v>
      </c>
      <c r="AJ150">
        <v>-23.721616766467065</v>
      </c>
      <c r="AK150">
        <v>-23.841377245508983</v>
      </c>
      <c r="AL150">
        <v>-23.961137724550898</v>
      </c>
      <c r="AM150">
        <v>-24.078862275449104</v>
      </c>
      <c r="AN150">
        <v>-24.193832335329343</v>
      </c>
      <c r="AO150">
        <v>-24.308802395209582</v>
      </c>
      <c r="AP150">
        <v>-24.423772455089821</v>
      </c>
      <c r="AQ150">
        <v>-24.53874251497006</v>
      </c>
      <c r="AR150">
        <v>-24.653712574850299</v>
      </c>
      <c r="AS150">
        <v>-24.768682634730538</v>
      </c>
      <c r="AT150">
        <v>-24.883652694610777</v>
      </c>
      <c r="AU150">
        <v>-24.998622754491016</v>
      </c>
      <c r="AV150">
        <v>-25.113592814371255</v>
      </c>
      <c r="AW150">
        <v>-25.228562874251494</v>
      </c>
      <c r="AX150">
        <v>-25.343532934131737</v>
      </c>
      <c r="AY150">
        <v>-25.458502994011976</v>
      </c>
      <c r="AZ150">
        <v>-25.567617977528091</v>
      </c>
      <c r="BA150">
        <v>-25.676082397003746</v>
      </c>
      <c r="BB150">
        <v>-25.784546816479402</v>
      </c>
      <c r="BC150">
        <v>-25.893011235955058</v>
      </c>
      <c r="BD150">
        <v>-26.001475655430713</v>
      </c>
      <c r="BE150">
        <v>-26.109940074906369</v>
      </c>
      <c r="BF150">
        <v>-26.218404494382021</v>
      </c>
      <c r="BG150">
        <v>-26.326868913857677</v>
      </c>
      <c r="BH150">
        <v>-26.435333333333332</v>
      </c>
      <c r="BI150">
        <v>-26.543797752808988</v>
      </c>
      <c r="BJ150">
        <v>-26.652262172284644</v>
      </c>
      <c r="BK150">
        <v>-26.760726591760299</v>
      </c>
      <c r="BL150">
        <v>-26.869191011235955</v>
      </c>
      <c r="BM150">
        <v>-26.977655430711611</v>
      </c>
      <c r="BN150">
        <v>-27.086119850187266</v>
      </c>
      <c r="BO150">
        <v>-27.194584269662922</v>
      </c>
      <c r="BP150">
        <v>-27.301902621722849</v>
      </c>
      <c r="BQ150">
        <v>-27.404973782771538</v>
      </c>
      <c r="BR150">
        <v>-27.508044943820227</v>
      </c>
      <c r="BS150">
        <v>-27.611116104868916</v>
      </c>
      <c r="BT150">
        <v>-27.714187265917605</v>
      </c>
      <c r="BU150">
        <v>-27.817258426966294</v>
      </c>
      <c r="BV150">
        <v>-27.920329588014983</v>
      </c>
      <c r="BW150">
        <v>-28.023400749063672</v>
      </c>
      <c r="BX150">
        <v>-28.126471910112361</v>
      </c>
      <c r="BY150">
        <v>-28.22954307116105</v>
      </c>
      <c r="BZ150">
        <v>-28.332614232209739</v>
      </c>
      <c r="CA150">
        <v>-28.435685393258428</v>
      </c>
      <c r="CB150">
        <v>-28.538756554307117</v>
      </c>
      <c r="CC150">
        <v>-28.641827715355806</v>
      </c>
      <c r="CD150">
        <v>-28.744898876404495</v>
      </c>
      <c r="CE150">
        <v>-28.847970037453184</v>
      </c>
      <c r="CF150">
        <v>-28.951041198501873</v>
      </c>
      <c r="CG150">
        <v>-29.051396396396395</v>
      </c>
      <c r="CH150">
        <v>-29.149294294294293</v>
      </c>
      <c r="CI150">
        <v>-29.247192192192191</v>
      </c>
      <c r="CJ150">
        <v>-29.345090090090089</v>
      </c>
      <c r="CK150">
        <v>-7.3468118811881187</v>
      </c>
      <c r="CL150">
        <v>-7.3646336633663365</v>
      </c>
    </row>
    <row r="151" spans="1:90" ht="21.75" thickBot="1" x14ac:dyDescent="0.4">
      <c r="A151" s="18"/>
    </row>
    <row r="152" spans="1:90" ht="21.75" thickBot="1" x14ac:dyDescent="0.4">
      <c r="A152" s="18"/>
    </row>
    <row r="153" spans="1:90" ht="21.75" thickBot="1" x14ac:dyDescent="0.4">
      <c r="A153" s="18"/>
    </row>
    <row r="154" spans="1:90" ht="21.75" thickBot="1" x14ac:dyDescent="0.4">
      <c r="A154" s="18"/>
    </row>
    <row r="155" spans="1:90" ht="21.75" thickBot="1" x14ac:dyDescent="0.4">
      <c r="A155" s="18"/>
    </row>
    <row r="156" spans="1:90" ht="21.75" thickBot="1" x14ac:dyDescent="0.4">
      <c r="A156" s="18"/>
    </row>
  </sheetData>
  <mergeCells count="1">
    <mergeCell ref="A97:B97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Button 1">
              <controlPr defaultSize="0" print="0" autoFill="0" autoPict="0" macro="[0]!Evaluating_Python">
                <anchor moveWithCells="1" sizeWithCells="1">
                  <from>
                    <xdr:col>4</xdr:col>
                    <xdr:colOff>447675</xdr:colOff>
                    <xdr:row>0</xdr:row>
                    <xdr:rowOff>47625</xdr:rowOff>
                  </from>
                  <to>
                    <xdr:col>95</xdr:col>
                    <xdr:colOff>676275</xdr:colOff>
                    <xdr:row>0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AE14FF-35CA-4718-83C3-F5F9B7E0B30A}">
  <sheetPr codeName="Лист6"/>
  <dimension ref="A1:L22"/>
  <sheetViews>
    <sheetView workbookViewId="0">
      <pane xSplit="1" topLeftCell="B1" activePane="topRight" state="frozen"/>
      <selection pane="topRight" activeCell="F27" sqref="F27"/>
    </sheetView>
  </sheetViews>
  <sheetFormatPr defaultRowHeight="21" x14ac:dyDescent="0.35"/>
  <cols>
    <col min="1" max="1" width="4.81640625" customWidth="1"/>
  </cols>
  <sheetData>
    <row r="1" spans="1:12" ht="28.5" x14ac:dyDescent="0.45">
      <c r="A1" s="45">
        <v>0</v>
      </c>
      <c r="B1" s="55"/>
      <c r="C1" s="55"/>
      <c r="D1" s="55"/>
      <c r="E1" s="55"/>
      <c r="F1" s="55"/>
      <c r="G1" s="55"/>
      <c r="H1" s="55"/>
      <c r="I1" s="55"/>
      <c r="J1" s="55"/>
      <c r="K1" s="55"/>
      <c r="L1" s="55"/>
    </row>
    <row r="2" spans="1:12" ht="21.75" customHeight="1" x14ac:dyDescent="0.35">
      <c r="A2" s="46" t="s">
        <v>32</v>
      </c>
      <c r="B2" s="58"/>
      <c r="C2" s="56"/>
      <c r="D2" s="56"/>
      <c r="E2" s="56"/>
      <c r="F2" s="56"/>
      <c r="G2" s="56"/>
      <c r="H2" s="56"/>
      <c r="I2" s="56"/>
      <c r="J2" s="56"/>
      <c r="K2" s="56"/>
      <c r="L2" s="56"/>
    </row>
    <row r="3" spans="1:12" x14ac:dyDescent="0.35">
      <c r="B3" s="57"/>
      <c r="C3" s="56"/>
      <c r="D3" s="56"/>
      <c r="E3" s="56"/>
      <c r="F3" s="57"/>
      <c r="G3" s="56"/>
      <c r="H3" s="56"/>
      <c r="I3" s="56"/>
      <c r="J3" s="57"/>
      <c r="K3" s="56"/>
      <c r="L3" s="56"/>
    </row>
    <row r="4" spans="1:12" x14ac:dyDescent="0.35">
      <c r="B4" s="58"/>
      <c r="C4" s="56"/>
      <c r="D4" s="56"/>
      <c r="E4" s="56"/>
      <c r="F4" s="56"/>
      <c r="G4" s="56"/>
      <c r="H4" s="56"/>
      <c r="I4" s="56"/>
      <c r="J4" s="56"/>
      <c r="K4" s="56"/>
      <c r="L4" s="56"/>
    </row>
    <row r="5" spans="1:12" x14ac:dyDescent="0.35">
      <c r="B5" s="57"/>
      <c r="C5" s="56"/>
      <c r="D5" s="56"/>
      <c r="E5" s="56"/>
      <c r="F5" s="57"/>
      <c r="G5" s="56"/>
      <c r="H5" s="56"/>
      <c r="I5" s="56"/>
      <c r="J5" s="57"/>
      <c r="K5" s="56"/>
      <c r="L5" s="56"/>
    </row>
    <row r="6" spans="1:12" x14ac:dyDescent="0.35">
      <c r="B6" s="58"/>
      <c r="C6" s="56"/>
      <c r="D6" s="56"/>
      <c r="E6" s="56"/>
      <c r="F6" s="56"/>
      <c r="G6" s="56"/>
      <c r="H6" s="56"/>
      <c r="I6" s="56"/>
      <c r="J6" s="56"/>
      <c r="K6" s="56"/>
      <c r="L6" s="56"/>
    </row>
    <row r="7" spans="1:12" x14ac:dyDescent="0.35">
      <c r="B7" s="57"/>
      <c r="C7" s="56"/>
      <c r="D7" s="56"/>
      <c r="E7" s="56"/>
      <c r="F7" s="56"/>
      <c r="G7" s="56"/>
      <c r="H7" s="56"/>
      <c r="I7" s="56"/>
      <c r="J7" s="57"/>
      <c r="K7" s="56"/>
      <c r="L7" s="56"/>
    </row>
    <row r="8" spans="1:12" x14ac:dyDescent="0.35">
      <c r="B8" s="58"/>
      <c r="C8" s="56"/>
      <c r="D8" s="56"/>
      <c r="E8" s="56"/>
      <c r="F8" s="56"/>
      <c r="G8" s="56"/>
      <c r="H8" s="56"/>
      <c r="I8" s="56"/>
      <c r="J8" s="56"/>
      <c r="K8" s="56"/>
      <c r="L8" s="56"/>
    </row>
    <row r="9" spans="1:12" x14ac:dyDescent="0.35">
      <c r="B9" s="58"/>
      <c r="C9" s="56"/>
      <c r="D9" s="56"/>
      <c r="E9" s="56"/>
      <c r="F9" s="56"/>
      <c r="G9" s="56"/>
      <c r="H9" s="56"/>
      <c r="I9" s="56"/>
      <c r="J9" s="57"/>
      <c r="K9" s="56"/>
      <c r="L9" s="56"/>
    </row>
    <row r="10" spans="1:12" x14ac:dyDescent="0.35">
      <c r="B10" s="57"/>
      <c r="C10" s="56"/>
      <c r="D10" s="56"/>
      <c r="E10" s="56"/>
      <c r="F10" s="56"/>
      <c r="G10" s="56"/>
      <c r="H10" s="56"/>
      <c r="I10" s="56"/>
      <c r="J10" s="56"/>
      <c r="K10" s="56"/>
      <c r="L10" s="56"/>
    </row>
    <row r="11" spans="1:12" x14ac:dyDescent="0.35">
      <c r="B11" s="58"/>
      <c r="C11" s="56"/>
      <c r="D11" s="56"/>
      <c r="E11" s="56"/>
      <c r="F11" s="56"/>
      <c r="G11" s="56"/>
      <c r="H11" s="56"/>
      <c r="I11" s="56"/>
      <c r="J11" s="57"/>
      <c r="K11" s="56"/>
      <c r="L11" s="56"/>
    </row>
    <row r="12" spans="1:12" x14ac:dyDescent="0.35">
      <c r="B12" s="57"/>
      <c r="C12" s="56"/>
      <c r="D12" s="56"/>
      <c r="E12" s="56"/>
      <c r="F12" s="56"/>
      <c r="G12" s="56"/>
      <c r="H12" s="56"/>
      <c r="I12" s="56"/>
      <c r="J12" s="56"/>
      <c r="K12" s="56"/>
      <c r="L12" s="56"/>
    </row>
    <row r="13" spans="1:12" x14ac:dyDescent="0.35">
      <c r="B13" s="58"/>
      <c r="C13" s="56"/>
      <c r="D13" s="56"/>
      <c r="E13" s="56"/>
      <c r="F13" s="57"/>
      <c r="G13" s="56"/>
      <c r="H13" s="56"/>
      <c r="I13" s="56"/>
      <c r="J13" s="57"/>
      <c r="K13" s="56"/>
      <c r="L13" s="56"/>
    </row>
    <row r="14" spans="1:12" x14ac:dyDescent="0.35">
      <c r="B14" s="57"/>
      <c r="C14" s="56"/>
      <c r="D14" s="56"/>
      <c r="E14" s="56"/>
      <c r="F14" s="56"/>
      <c r="G14" s="56"/>
      <c r="H14" s="56"/>
      <c r="I14" s="56"/>
      <c r="J14" s="56"/>
      <c r="K14" s="56"/>
      <c r="L14" s="56"/>
    </row>
    <row r="15" spans="1:12" x14ac:dyDescent="0.35">
      <c r="B15" s="58"/>
      <c r="C15" s="56"/>
      <c r="D15" s="56"/>
      <c r="E15" s="56"/>
      <c r="F15" s="56"/>
      <c r="G15" s="56"/>
      <c r="H15" s="56"/>
      <c r="I15" s="56"/>
      <c r="J15" s="57"/>
      <c r="K15" s="56"/>
      <c r="L15" s="56"/>
    </row>
    <row r="16" spans="1:12" x14ac:dyDescent="0.35">
      <c r="B16" s="58"/>
      <c r="C16" s="56"/>
      <c r="D16" s="56"/>
      <c r="E16" s="56"/>
      <c r="F16" s="56"/>
      <c r="G16" s="56"/>
      <c r="H16" s="56"/>
      <c r="I16" s="56"/>
      <c r="J16" s="56"/>
      <c r="K16" s="56"/>
      <c r="L16" s="56"/>
    </row>
    <row r="17" spans="1:12" x14ac:dyDescent="0.35">
      <c r="B17" s="57"/>
      <c r="C17" s="56"/>
      <c r="D17" s="56"/>
      <c r="E17" s="56"/>
      <c r="F17" s="57"/>
      <c r="G17" s="56"/>
      <c r="H17" s="56"/>
      <c r="I17" s="56"/>
      <c r="J17" s="57"/>
      <c r="K17" s="56"/>
      <c r="L17" s="56"/>
    </row>
    <row r="18" spans="1:12" x14ac:dyDescent="0.35">
      <c r="B18" s="58"/>
      <c r="C18" s="56"/>
      <c r="D18" s="56"/>
      <c r="E18" s="56"/>
      <c r="F18" s="56"/>
      <c r="G18" s="56"/>
      <c r="H18" s="56"/>
      <c r="I18" s="56"/>
      <c r="J18" s="56"/>
      <c r="K18" s="56"/>
      <c r="L18" s="56"/>
    </row>
    <row r="19" spans="1:12" x14ac:dyDescent="0.35">
      <c r="B19" s="58"/>
      <c r="C19" s="56"/>
      <c r="D19" s="56"/>
      <c r="E19" s="56"/>
      <c r="F19" s="57"/>
      <c r="G19" s="56"/>
      <c r="H19" s="56"/>
      <c r="I19" s="56"/>
      <c r="J19" s="57"/>
      <c r="K19" s="56"/>
      <c r="L19" s="56"/>
    </row>
    <row r="20" spans="1:12" x14ac:dyDescent="0.35">
      <c r="B20" s="57"/>
      <c r="C20" s="56"/>
      <c r="D20" s="56"/>
      <c r="E20" s="56"/>
      <c r="F20" s="56"/>
      <c r="G20" s="56"/>
      <c r="H20" s="56"/>
      <c r="I20" s="56"/>
      <c r="J20" s="56"/>
      <c r="K20" s="56"/>
      <c r="L20" s="56"/>
    </row>
    <row r="22" spans="1:12" x14ac:dyDescent="0.35">
      <c r="A22" t="e">
        <f>$A$1:$AZ$21</f>
        <v>#VALUE!</v>
      </c>
    </row>
  </sheetData>
  <conditionalFormatting sqref="A1:Z1 A21 A2:L20">
    <cfRule type="expression" dxfId="0" priority="1">
      <formula>ISNUMBER(A1)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Button 1">
              <controlPr defaultSize="0" print="0" autoFill="0" autoPict="0" macro="[0]!Sorting_data">
                <anchor moveWithCells="1" sizeWithCells="1">
                  <from>
                    <xdr:col>0</xdr:col>
                    <xdr:colOff>28575</xdr:colOff>
                    <xdr:row>2</xdr:row>
                    <xdr:rowOff>47625</xdr:rowOff>
                  </from>
                  <to>
                    <xdr:col>0</xdr:col>
                    <xdr:colOff>419100</xdr:colOff>
                    <xdr:row>9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7E1055B8-6494-4476-93CB-C225EF9DDEA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6</vt:i4>
      </vt:variant>
      <vt:variant>
        <vt:lpstr>Именованные диапазоны</vt:lpstr>
      </vt:variant>
      <vt:variant>
        <vt:i4>12</vt:i4>
      </vt:variant>
    </vt:vector>
  </HeadingPairs>
  <TitlesOfParts>
    <vt:vector size="18" baseType="lpstr">
      <vt:lpstr>Values</vt:lpstr>
      <vt:lpstr>ALL</vt:lpstr>
      <vt:lpstr>FLUID</vt:lpstr>
      <vt:lpstr>SOLID</vt:lpstr>
      <vt:lpstr>EVALUATION</vt:lpstr>
      <vt:lpstr>data</vt:lpstr>
      <vt:lpstr>ALL!H.Ar</vt:lpstr>
      <vt:lpstr>FLUID!H.Ar</vt:lpstr>
      <vt:lpstr>SOLID!H.Ar</vt:lpstr>
      <vt:lpstr>ALL!H.Ga</vt:lpstr>
      <vt:lpstr>FLUID!H.Ga</vt:lpstr>
      <vt:lpstr>SOLID!H.Ga</vt:lpstr>
      <vt:lpstr>ALL!H.Ge</vt:lpstr>
      <vt:lpstr>FLUID!H.Ge</vt:lpstr>
      <vt:lpstr>SOLID!H.Ge</vt:lpstr>
      <vt:lpstr>ALL!H.Se</vt:lpstr>
      <vt:lpstr>FLUID!H.Se</vt:lpstr>
      <vt:lpstr>SOLID!H.Se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IlIa</dc:creator>
  <cp:lastModifiedBy>IlIa</cp:lastModifiedBy>
  <dcterms:created xsi:type="dcterms:W3CDTF">2021-02-28T18:39:35Z</dcterms:created>
  <dcterms:modified xsi:type="dcterms:W3CDTF">2021-03-07T15:51:33Z</dcterms:modified>
</cp:coreProperties>
</file>